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rkistan\15. Cable\"/>
    </mc:Choice>
  </mc:AlternateContent>
  <xr:revisionPtr revIDLastSave="0" documentId="13_ncr:1_{7E756C52-6F49-4653-97AA-1540BD214BCA}" xr6:coauthVersionLast="47" xr6:coauthVersionMax="47" xr10:uidLastSave="{00000000-0000-0000-0000-000000000000}"/>
  <bookViews>
    <workbookView xWindow="-108" yWindow="-108" windowWidth="23256" windowHeight="12576" tabRatio="602" xr2:uid="{00000000-000D-0000-FFFF-FFFF00000000}"/>
  </bookViews>
  <sheets>
    <sheet name="1. IO Database (HW) Legend" sheetId="7" r:id="rId1"/>
    <sheet name="FI_CS_Cable_list" sheetId="15" r:id="rId2"/>
    <sheet name="Query" sheetId="20" r:id="rId3"/>
    <sheet name="Query_CSI" sheetId="19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______b1" hidden="1">{"'Komponenten'!$J$27"}</definedName>
    <definedName name="______b1" hidden="1">{"'Komponenten'!$J$27"}</definedName>
    <definedName name="_____b1" hidden="1">{"'Komponenten'!$J$27"}</definedName>
    <definedName name="_____THK1">#REF!</definedName>
    <definedName name="____THK1">#REF!</definedName>
    <definedName name="___THK1">#REF!</definedName>
    <definedName name="__b1" hidden="1">{"'Komponenten'!$J$27"}</definedName>
    <definedName name="__THK1">#REF!</definedName>
    <definedName name="_1U11_" hidden="1">#REF!</definedName>
    <definedName name="_b1" hidden="1">{"'Komponenten'!$J$27"}</definedName>
    <definedName name="_Fill" hidden="1">#REF!</definedName>
    <definedName name="_xlnm._FilterDatabase" localSheetId="1" hidden="1">FI_CS_Cable_list!$A$5:$O$418</definedName>
    <definedName name="_Key1" hidden="1">#REF!</definedName>
    <definedName name="_LV4">#REF!</definedName>
    <definedName name="_MatMult_B" hidden="1">#REF!</definedName>
    <definedName name="_Order1">255</definedName>
    <definedName name="_Order2">255</definedName>
    <definedName name="_Regression_Int">1</definedName>
    <definedName name="_Sort" hidden="1">#REF!</definedName>
    <definedName name="_THK1">#REF!</definedName>
    <definedName name="\a">#N/A</definedName>
    <definedName name="\q">#N/A</definedName>
    <definedName name="\z">#N/A</definedName>
    <definedName name="A" localSheetId="1" hidden="1">#REF!</definedName>
    <definedName name="A" hidden="1">{"'Flow'!$A$1:$S$58"}</definedName>
    <definedName name="Access_Button">"PJTFINAL_F02F11_List"</definedName>
    <definedName name="ALLOY">[1]TABLE!$C$5:$D$1005</definedName>
    <definedName name="asd">#REF!</definedName>
    <definedName name="ASDASD" hidden="1">{"'Flow'!$A$1:$S$58"}</definedName>
    <definedName name="B" localSheetId="1" hidden="1">#REF!</definedName>
    <definedName name="B">[0]!B</definedName>
    <definedName name="cable">#REF!</definedName>
    <definedName name="cal">#REF!</definedName>
    <definedName name="calculation">[0]!calculation</definedName>
    <definedName name="CALCULATION_1">[0]!CALCULATION_1</definedName>
    <definedName name="CARBON">[1]TABLE!$A$5:$B$765</definedName>
    <definedName name="D" localSheetId="1" hidden="1">#REF!</definedName>
    <definedName name="D">[0]!D</definedName>
    <definedName name="d_cooler_flow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1">#REF!</definedName>
    <definedName name="DATA_10">#REF!</definedName>
    <definedName name="DATA_11">#REF!</definedName>
    <definedName name="DATA_114">#REF!</definedName>
    <definedName name="DATA_12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3">#REF!</definedName>
    <definedName name="DATA_4">#REF!</definedName>
    <definedName name="DATA_5">#REF!</definedName>
    <definedName name="DATA_6">#REF!</definedName>
    <definedName name="DATA_7">#REF!</definedName>
    <definedName name="DATA_8">#REF!</definedName>
    <definedName name="DATA_9">#REF!</definedName>
    <definedName name="_xlnm.Database">#REF!</definedName>
    <definedName name="dcooler_pdrop">#REF!</definedName>
    <definedName name="design">#REF!</definedName>
    <definedName name="DF" hidden="1">#REF!</definedName>
    <definedName name="DFSF">[0]!DFSF</definedName>
    <definedName name="dgn">#REF!</definedName>
    <definedName name="dtnps">#REF!</definedName>
    <definedName name="ECL">[2]ECL!$A$1:$L$65536</definedName>
    <definedName name="f_a">#REF!</definedName>
    <definedName name="ff">#REF!</definedName>
    <definedName name="FIL">#REF!</definedName>
    <definedName name="FINC2">#REF!</definedName>
    <definedName name="flow">#REF!</definedName>
    <definedName name="FR">#REF!</definedName>
    <definedName name="FT">#REF!</definedName>
    <definedName name="gg">#REF!</definedName>
    <definedName name="heater1_flow">#REF!</definedName>
    <definedName name="heater1_pdrop">#REF!</definedName>
    <definedName name="heater2_flow">#REF!</definedName>
    <definedName name="heater2_pdrop">#REF!</definedName>
    <definedName name="heater3_flow">#REF!</definedName>
    <definedName name="heater3_pdrop">#REF!</definedName>
    <definedName name="heater4_flow">#REF!</definedName>
    <definedName name="heater4_pdrop">#REF!</definedName>
    <definedName name="HTML_CodePage" hidden="1">949</definedName>
    <definedName name="HTML_Control" localSheetId="1" hidden="1">{"'Flow'!$A$1:$S$58"}</definedName>
    <definedName name="HTML_Control" hidden="1">{"'Flow'!$A$1:$S$58"}</definedName>
    <definedName name="HTML_Description" hidden="1">""</definedName>
    <definedName name="HTML_Email" hidden="1">""</definedName>
    <definedName name="HTML_Header" hidden="1">"Flow"</definedName>
    <definedName name="HTML_LastUpdate" hidden="1">"2000.11.22"</definedName>
    <definedName name="HTML_LineAfter" hidden="1">FALSE</definedName>
    <definedName name="HTML_LineBefore" hidden="1">FALSE</definedName>
    <definedName name="HTML_Name" hidden="1">"한중."</definedName>
    <definedName name="HTML_OBDlg2" hidden="1">TRUE</definedName>
    <definedName name="HTML_OBDlg4" hidden="1">TRUE</definedName>
    <definedName name="HTML_OS" hidden="1">0</definedName>
    <definedName name="HTML_PathFile" hidden="1">"C:\My Documents\WTR.htm"</definedName>
    <definedName name="HTML_Title" hidden="1">"Wtr_WWtr_Flow(Teluk)"</definedName>
    <definedName name="ID">#REF!</definedName>
    <definedName name="ie">#REF!</definedName>
    <definedName name="InputData">[3]Testing!$E$8:$E$12,[3]Testing!$E$15:$E$18,[3]Testing!$E$21:$E$23,[3]Testing!$E$26:$E$27,[3]Testing!$E$30:$E$33,[3]Testing!$E$35:$E$37,[3]Testing!$D$43:$F$47</definedName>
    <definedName name="IntroPrintArea" hidden="1">#REF!</definedName>
    <definedName name="iteration">[4]!iteration</definedName>
    <definedName name="kib">#REF!</definedName>
    <definedName name="KT">#REF!</definedName>
    <definedName name="latent">#REF!</definedName>
    <definedName name="LIST">#REF!</definedName>
    <definedName name="material_list">#REF!</definedName>
    <definedName name="NHP">#REF!</definedName>
    <definedName name="NPS">#REF!</definedName>
    <definedName name="PIPE_TABLE">#REF!</definedName>
    <definedName name="PIPELENGTH">#REF!</definedName>
    <definedName name="PREHE">#REF!</definedName>
    <definedName name="PREHP">#REF!</definedName>
    <definedName name="PREHS">#REF!</definedName>
    <definedName name="PREHT">#REF!</definedName>
    <definedName name="PRESS">#REF!</definedName>
    <definedName name="_xlnm.Print_Area" localSheetId="0">'1. IO Database (HW) Legend'!$A$1:$M$155</definedName>
    <definedName name="_xlnm.Print_Area" localSheetId="1">FI_CS_Cable_list!$A$1:$O$418</definedName>
    <definedName name="_xlnm.Print_Area">#N/A</definedName>
    <definedName name="_xlnm.Print_Titles" localSheetId="1">FI_CS_Cable_list!$1:$5</definedName>
    <definedName name="Query">#REF!</definedName>
    <definedName name="R_V_DL">#REF!</definedName>
    <definedName name="R_V_NPS">#REF!</definedName>
    <definedName name="RATING계산">[0]!RATING계산</definedName>
    <definedName name="RE">#REF!</definedName>
    <definedName name="SAND" hidden="1">#REF!</definedName>
    <definedName name="SCH">#REF!</definedName>
    <definedName name="sch.40">#REF!</definedName>
    <definedName name="SF">#REF!</definedName>
    <definedName name="SINC2">#REF!</definedName>
    <definedName name="spe_pdrop">#REF!</definedName>
    <definedName name="SPEC_1">#REF!</definedName>
    <definedName name="SPEC_10">#REF!</definedName>
    <definedName name="SPEC_11">#REF!</definedName>
    <definedName name="SPEC_12">#REF!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_3">#REF!</definedName>
    <definedName name="SPEC_4">#REF!</definedName>
    <definedName name="SPEC_5">#REF!</definedName>
    <definedName name="SPEC_6">#REF!</definedName>
    <definedName name="SPEC_7">#REF!</definedName>
    <definedName name="SPEC_8">#REF!</definedName>
    <definedName name="SPEC_9">#REF!</definedName>
    <definedName name="SS18C">[1]TABLE!$E$5:$F$1005</definedName>
    <definedName name="SS25C">[1]TABLE!$G$5:$H$1005</definedName>
    <definedName name="Static_Feeder">#REF!</definedName>
    <definedName name="svalve_pdrop">#REF!</definedName>
    <definedName name="tube_test_press1_12">#REF!</definedName>
    <definedName name="vwo">#REF!</definedName>
    <definedName name="wjj">[0]!wjj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범위">'[5]Sheet보호(미출력요)'!$A$1:$I$25</definedName>
    <definedName name="범위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8" i="15" l="1"/>
  <c r="C417" i="15"/>
  <c r="C416" i="15"/>
  <c r="C415" i="15"/>
  <c r="C414" i="15"/>
  <c r="C413" i="15"/>
  <c r="C412" i="15"/>
  <c r="C411" i="15"/>
  <c r="C410" i="15"/>
  <c r="C409" i="15"/>
  <c r="C408" i="15"/>
  <c r="C407" i="15"/>
  <c r="C406" i="15"/>
  <c r="C405" i="15"/>
  <c r="C404" i="15"/>
  <c r="C403" i="15"/>
  <c r="C402" i="15"/>
  <c r="C401" i="15"/>
  <c r="C400" i="15"/>
  <c r="C399" i="15"/>
  <c r="C398" i="15"/>
  <c r="C397" i="15"/>
  <c r="C396" i="15"/>
  <c r="C395" i="15"/>
  <c r="C394" i="15"/>
  <c r="C393" i="15"/>
  <c r="C392" i="15"/>
  <c r="C391" i="15"/>
  <c r="C390" i="15"/>
  <c r="C389" i="15"/>
  <c r="C388" i="15"/>
  <c r="C387" i="15"/>
  <c r="C386" i="15"/>
  <c r="C385" i="15"/>
  <c r="C384" i="15"/>
  <c r="C383" i="15"/>
  <c r="C382" i="15"/>
  <c r="C381" i="15"/>
  <c r="C380" i="15"/>
  <c r="C379" i="15"/>
  <c r="C378" i="15"/>
  <c r="C377" i="15"/>
  <c r="C376" i="15"/>
  <c r="C375" i="15"/>
  <c r="C374" i="15"/>
  <c r="C373" i="15"/>
  <c r="C372" i="15"/>
  <c r="C371" i="15"/>
  <c r="C370" i="15"/>
  <c r="C369" i="15"/>
  <c r="C368" i="15"/>
  <c r="C367" i="15"/>
  <c r="C366" i="15"/>
  <c r="C365" i="15"/>
  <c r="C364" i="15"/>
  <c r="C363" i="15"/>
  <c r="C362" i="15"/>
  <c r="C361" i="15"/>
  <c r="C360" i="15"/>
  <c r="C359" i="15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O418" i="15"/>
  <c r="L418" i="15"/>
  <c r="K418" i="15"/>
  <c r="I418" i="15"/>
  <c r="H418" i="15"/>
  <c r="G418" i="15"/>
  <c r="E418" i="15"/>
  <c r="D418" i="15"/>
  <c r="B418" i="15"/>
  <c r="A418" i="15"/>
  <c r="O417" i="15"/>
  <c r="L417" i="15"/>
  <c r="K417" i="15"/>
  <c r="I417" i="15"/>
  <c r="H417" i="15"/>
  <c r="G417" i="15"/>
  <c r="E417" i="15"/>
  <c r="D417" i="15"/>
  <c r="B417" i="15"/>
  <c r="A417" i="15"/>
  <c r="O416" i="15"/>
  <c r="L416" i="15"/>
  <c r="K416" i="15"/>
  <c r="I416" i="15"/>
  <c r="H416" i="15"/>
  <c r="G416" i="15"/>
  <c r="E416" i="15"/>
  <c r="D416" i="15"/>
  <c r="B416" i="15"/>
  <c r="A416" i="15"/>
  <c r="O415" i="15"/>
  <c r="L415" i="15"/>
  <c r="K415" i="15"/>
  <c r="I415" i="15"/>
  <c r="G415" i="15"/>
  <c r="E415" i="15"/>
  <c r="D415" i="15"/>
  <c r="B415" i="15"/>
  <c r="A415" i="15"/>
  <c r="O414" i="15"/>
  <c r="L414" i="15"/>
  <c r="K414" i="15"/>
  <c r="I414" i="15"/>
  <c r="H414" i="15"/>
  <c r="G414" i="15"/>
  <c r="E414" i="15"/>
  <c r="D414" i="15"/>
  <c r="B414" i="15"/>
  <c r="A414" i="15"/>
  <c r="O413" i="15"/>
  <c r="L413" i="15"/>
  <c r="K413" i="15"/>
  <c r="I413" i="15"/>
  <c r="H413" i="15"/>
  <c r="G413" i="15"/>
  <c r="E413" i="15"/>
  <c r="D413" i="15"/>
  <c r="B413" i="15"/>
  <c r="A413" i="15"/>
  <c r="O412" i="15"/>
  <c r="L412" i="15"/>
  <c r="K412" i="15"/>
  <c r="I412" i="15"/>
  <c r="H412" i="15"/>
  <c r="G412" i="15"/>
  <c r="E412" i="15"/>
  <c r="D412" i="15"/>
  <c r="B412" i="15"/>
  <c r="A412" i="15"/>
  <c r="O411" i="15"/>
  <c r="L411" i="15"/>
  <c r="K411" i="15"/>
  <c r="I411" i="15"/>
  <c r="H411" i="15"/>
  <c r="G411" i="15"/>
  <c r="E411" i="15"/>
  <c r="D411" i="15"/>
  <c r="B411" i="15"/>
  <c r="A411" i="15"/>
  <c r="O410" i="15"/>
  <c r="L410" i="15"/>
  <c r="K410" i="15"/>
  <c r="I410" i="15"/>
  <c r="H410" i="15"/>
  <c r="G410" i="15"/>
  <c r="E410" i="15"/>
  <c r="D410" i="15"/>
  <c r="B410" i="15"/>
  <c r="A410" i="15"/>
  <c r="O409" i="15"/>
  <c r="L409" i="15"/>
  <c r="K409" i="15"/>
  <c r="I409" i="15"/>
  <c r="H409" i="15"/>
  <c r="G409" i="15"/>
  <c r="E409" i="15"/>
  <c r="D409" i="15"/>
  <c r="B409" i="15"/>
  <c r="A409" i="15"/>
  <c r="O408" i="15"/>
  <c r="L408" i="15"/>
  <c r="K408" i="15"/>
  <c r="I408" i="15"/>
  <c r="H408" i="15"/>
  <c r="G408" i="15"/>
  <c r="E408" i="15"/>
  <c r="D408" i="15"/>
  <c r="B408" i="15"/>
  <c r="A408" i="15"/>
  <c r="O407" i="15"/>
  <c r="L407" i="15"/>
  <c r="K407" i="15"/>
  <c r="I407" i="15"/>
  <c r="H407" i="15"/>
  <c r="G407" i="15"/>
  <c r="E407" i="15"/>
  <c r="D407" i="15"/>
  <c r="B407" i="15"/>
  <c r="A407" i="15"/>
  <c r="O406" i="15"/>
  <c r="L406" i="15"/>
  <c r="K406" i="15"/>
  <c r="I406" i="15"/>
  <c r="H406" i="15"/>
  <c r="G406" i="15"/>
  <c r="E406" i="15"/>
  <c r="D406" i="15"/>
  <c r="B406" i="15"/>
  <c r="A406" i="15"/>
  <c r="O405" i="15"/>
  <c r="L405" i="15"/>
  <c r="K405" i="15"/>
  <c r="I405" i="15"/>
  <c r="H405" i="15"/>
  <c r="G405" i="15"/>
  <c r="E405" i="15"/>
  <c r="D405" i="15"/>
  <c r="B405" i="15"/>
  <c r="A405" i="15"/>
  <c r="O404" i="15"/>
  <c r="L404" i="15"/>
  <c r="K404" i="15"/>
  <c r="I404" i="15"/>
  <c r="H404" i="15"/>
  <c r="G404" i="15"/>
  <c r="E404" i="15"/>
  <c r="D404" i="15"/>
  <c r="B404" i="15"/>
  <c r="A404" i="15"/>
  <c r="O403" i="15"/>
  <c r="L403" i="15"/>
  <c r="K403" i="15"/>
  <c r="I403" i="15"/>
  <c r="H403" i="15"/>
  <c r="G403" i="15"/>
  <c r="E403" i="15"/>
  <c r="D403" i="15"/>
  <c r="B403" i="15"/>
  <c r="A403" i="15"/>
  <c r="O402" i="15"/>
  <c r="L402" i="15"/>
  <c r="K402" i="15"/>
  <c r="I402" i="15"/>
  <c r="H402" i="15"/>
  <c r="G402" i="15"/>
  <c r="E402" i="15"/>
  <c r="D402" i="15"/>
  <c r="B402" i="15"/>
  <c r="A402" i="15"/>
  <c r="O401" i="15"/>
  <c r="L401" i="15"/>
  <c r="K401" i="15"/>
  <c r="I401" i="15"/>
  <c r="H401" i="15"/>
  <c r="G401" i="15"/>
  <c r="E401" i="15"/>
  <c r="D401" i="15"/>
  <c r="B401" i="15"/>
  <c r="A401" i="15"/>
  <c r="O400" i="15"/>
  <c r="L400" i="15"/>
  <c r="K400" i="15"/>
  <c r="I400" i="15"/>
  <c r="H400" i="15"/>
  <c r="G400" i="15"/>
  <c r="E400" i="15"/>
  <c r="D400" i="15"/>
  <c r="B400" i="15"/>
  <c r="A400" i="15"/>
  <c r="O399" i="15"/>
  <c r="L399" i="15"/>
  <c r="K399" i="15"/>
  <c r="I399" i="15"/>
  <c r="H399" i="15"/>
  <c r="G399" i="15"/>
  <c r="E399" i="15"/>
  <c r="D399" i="15"/>
  <c r="B399" i="15"/>
  <c r="A399" i="15"/>
  <c r="O398" i="15"/>
  <c r="L398" i="15"/>
  <c r="K398" i="15"/>
  <c r="I398" i="15"/>
  <c r="H398" i="15"/>
  <c r="G398" i="15"/>
  <c r="E398" i="15"/>
  <c r="D398" i="15"/>
  <c r="B398" i="15"/>
  <c r="A398" i="15"/>
  <c r="O397" i="15"/>
  <c r="L397" i="15"/>
  <c r="K397" i="15"/>
  <c r="I397" i="15"/>
  <c r="H397" i="15"/>
  <c r="G397" i="15"/>
  <c r="E397" i="15"/>
  <c r="D397" i="15"/>
  <c r="B397" i="15"/>
  <c r="A397" i="15"/>
  <c r="O396" i="15"/>
  <c r="L396" i="15"/>
  <c r="K396" i="15"/>
  <c r="I396" i="15"/>
  <c r="G396" i="15"/>
  <c r="E396" i="15"/>
  <c r="D396" i="15"/>
  <c r="B396" i="15"/>
  <c r="A396" i="15"/>
  <c r="O395" i="15"/>
  <c r="L395" i="15"/>
  <c r="K395" i="15"/>
  <c r="I395" i="15"/>
  <c r="G395" i="15"/>
  <c r="E395" i="15"/>
  <c r="D395" i="15"/>
  <c r="B395" i="15"/>
  <c r="A395" i="15"/>
  <c r="O394" i="15"/>
  <c r="L394" i="15"/>
  <c r="K394" i="15"/>
  <c r="I394" i="15"/>
  <c r="H394" i="15"/>
  <c r="G394" i="15"/>
  <c r="E394" i="15"/>
  <c r="D394" i="15"/>
  <c r="B394" i="15"/>
  <c r="A394" i="15"/>
  <c r="O393" i="15"/>
  <c r="L393" i="15"/>
  <c r="K393" i="15"/>
  <c r="I393" i="15"/>
  <c r="H393" i="15"/>
  <c r="G393" i="15"/>
  <c r="E393" i="15"/>
  <c r="D393" i="15"/>
  <c r="B393" i="15"/>
  <c r="A393" i="15"/>
  <c r="O392" i="15"/>
  <c r="L392" i="15"/>
  <c r="K392" i="15"/>
  <c r="I392" i="15"/>
  <c r="G392" i="15"/>
  <c r="E392" i="15"/>
  <c r="D392" i="15"/>
  <c r="B392" i="15"/>
  <c r="A392" i="15"/>
  <c r="O391" i="15"/>
  <c r="L391" i="15"/>
  <c r="K391" i="15"/>
  <c r="I391" i="15"/>
  <c r="G391" i="15"/>
  <c r="E391" i="15"/>
  <c r="D391" i="15"/>
  <c r="B391" i="15"/>
  <c r="A391" i="15"/>
  <c r="O390" i="15"/>
  <c r="L390" i="15"/>
  <c r="K390" i="15"/>
  <c r="I390" i="15"/>
  <c r="H390" i="15"/>
  <c r="G390" i="15"/>
  <c r="E390" i="15"/>
  <c r="D390" i="15"/>
  <c r="B390" i="15"/>
  <c r="A390" i="15"/>
  <c r="O389" i="15"/>
  <c r="L389" i="15"/>
  <c r="K389" i="15"/>
  <c r="I389" i="15"/>
  <c r="H389" i="15"/>
  <c r="G389" i="15"/>
  <c r="E389" i="15"/>
  <c r="D389" i="15"/>
  <c r="B389" i="15"/>
  <c r="A389" i="15"/>
  <c r="O388" i="15"/>
  <c r="L388" i="15"/>
  <c r="K388" i="15"/>
  <c r="I388" i="15"/>
  <c r="H388" i="15"/>
  <c r="G388" i="15"/>
  <c r="E388" i="15"/>
  <c r="D388" i="15"/>
  <c r="B388" i="15"/>
  <c r="A388" i="15"/>
  <c r="O387" i="15"/>
  <c r="L387" i="15"/>
  <c r="K387" i="15"/>
  <c r="I387" i="15"/>
  <c r="H387" i="15"/>
  <c r="G387" i="15"/>
  <c r="E387" i="15"/>
  <c r="D387" i="15"/>
  <c r="B387" i="15"/>
  <c r="A387" i="15"/>
  <c r="O386" i="15"/>
  <c r="L386" i="15"/>
  <c r="K386" i="15"/>
  <c r="I386" i="15"/>
  <c r="H386" i="15"/>
  <c r="G386" i="15"/>
  <c r="E386" i="15"/>
  <c r="D386" i="15"/>
  <c r="B386" i="15"/>
  <c r="A386" i="15"/>
  <c r="O385" i="15"/>
  <c r="L385" i="15"/>
  <c r="K385" i="15"/>
  <c r="I385" i="15"/>
  <c r="H385" i="15"/>
  <c r="G385" i="15"/>
  <c r="E385" i="15"/>
  <c r="D385" i="15"/>
  <c r="B385" i="15"/>
  <c r="A385" i="15"/>
  <c r="O384" i="15"/>
  <c r="L384" i="15"/>
  <c r="K384" i="15"/>
  <c r="I384" i="15"/>
  <c r="H384" i="15"/>
  <c r="G384" i="15"/>
  <c r="E384" i="15"/>
  <c r="D384" i="15"/>
  <c r="B384" i="15"/>
  <c r="A384" i="15"/>
  <c r="O383" i="15"/>
  <c r="L383" i="15"/>
  <c r="K383" i="15"/>
  <c r="I383" i="15"/>
  <c r="H383" i="15"/>
  <c r="G383" i="15"/>
  <c r="E383" i="15"/>
  <c r="D383" i="15"/>
  <c r="B383" i="15"/>
  <c r="A383" i="15"/>
  <c r="O382" i="15"/>
  <c r="L382" i="15"/>
  <c r="K382" i="15"/>
  <c r="I382" i="15"/>
  <c r="H382" i="15"/>
  <c r="G382" i="15"/>
  <c r="E382" i="15"/>
  <c r="D382" i="15"/>
  <c r="B382" i="15"/>
  <c r="A382" i="15"/>
  <c r="O381" i="15"/>
  <c r="L381" i="15"/>
  <c r="K381" i="15"/>
  <c r="I381" i="15"/>
  <c r="H381" i="15"/>
  <c r="G381" i="15"/>
  <c r="E381" i="15"/>
  <c r="D381" i="15"/>
  <c r="B381" i="15"/>
  <c r="A381" i="15"/>
  <c r="O380" i="15"/>
  <c r="L380" i="15"/>
  <c r="K380" i="15"/>
  <c r="I380" i="15"/>
  <c r="H380" i="15"/>
  <c r="G380" i="15"/>
  <c r="E380" i="15"/>
  <c r="D380" i="15"/>
  <c r="B380" i="15"/>
  <c r="A380" i="15"/>
  <c r="O379" i="15"/>
  <c r="L379" i="15"/>
  <c r="K379" i="15"/>
  <c r="I379" i="15"/>
  <c r="H379" i="15"/>
  <c r="G379" i="15"/>
  <c r="E379" i="15"/>
  <c r="D379" i="15"/>
  <c r="B379" i="15"/>
  <c r="A379" i="15"/>
  <c r="O378" i="15"/>
  <c r="L378" i="15"/>
  <c r="K378" i="15"/>
  <c r="I378" i="15"/>
  <c r="H378" i="15"/>
  <c r="G378" i="15"/>
  <c r="E378" i="15"/>
  <c r="D378" i="15"/>
  <c r="B378" i="15"/>
  <c r="A378" i="15"/>
  <c r="O377" i="15"/>
  <c r="L377" i="15"/>
  <c r="K377" i="15"/>
  <c r="I377" i="15"/>
  <c r="H377" i="15"/>
  <c r="G377" i="15"/>
  <c r="E377" i="15"/>
  <c r="D377" i="15"/>
  <c r="B377" i="15"/>
  <c r="A377" i="15"/>
  <c r="O376" i="15"/>
  <c r="L376" i="15"/>
  <c r="K376" i="15"/>
  <c r="I376" i="15"/>
  <c r="H376" i="15"/>
  <c r="G376" i="15"/>
  <c r="E376" i="15"/>
  <c r="D376" i="15"/>
  <c r="B376" i="15"/>
  <c r="A376" i="15"/>
  <c r="O375" i="15"/>
  <c r="L375" i="15"/>
  <c r="K375" i="15"/>
  <c r="I375" i="15"/>
  <c r="H375" i="15"/>
  <c r="G375" i="15"/>
  <c r="E375" i="15"/>
  <c r="D375" i="15"/>
  <c r="B375" i="15"/>
  <c r="A375" i="15"/>
  <c r="O374" i="15"/>
  <c r="L374" i="15"/>
  <c r="K374" i="15"/>
  <c r="I374" i="15"/>
  <c r="H374" i="15"/>
  <c r="G374" i="15"/>
  <c r="E374" i="15"/>
  <c r="D374" i="15"/>
  <c r="B374" i="15"/>
  <c r="A374" i="15"/>
  <c r="O373" i="15"/>
  <c r="L373" i="15"/>
  <c r="K373" i="15"/>
  <c r="I373" i="15"/>
  <c r="H373" i="15"/>
  <c r="G373" i="15"/>
  <c r="E373" i="15"/>
  <c r="D373" i="15"/>
  <c r="B373" i="15"/>
  <c r="A373" i="15"/>
  <c r="O372" i="15"/>
  <c r="L372" i="15"/>
  <c r="K372" i="15"/>
  <c r="I372" i="15"/>
  <c r="H372" i="15"/>
  <c r="G372" i="15"/>
  <c r="E372" i="15"/>
  <c r="D372" i="15"/>
  <c r="B372" i="15"/>
  <c r="A372" i="15"/>
  <c r="O371" i="15"/>
  <c r="L371" i="15"/>
  <c r="K371" i="15"/>
  <c r="I371" i="15"/>
  <c r="H371" i="15"/>
  <c r="G371" i="15"/>
  <c r="E371" i="15"/>
  <c r="D371" i="15"/>
  <c r="B371" i="15"/>
  <c r="A371" i="15"/>
  <c r="O370" i="15"/>
  <c r="L370" i="15"/>
  <c r="K370" i="15"/>
  <c r="I370" i="15"/>
  <c r="H370" i="15"/>
  <c r="G370" i="15"/>
  <c r="E370" i="15"/>
  <c r="D370" i="15"/>
  <c r="B370" i="15"/>
  <c r="A370" i="15"/>
  <c r="O369" i="15"/>
  <c r="L369" i="15"/>
  <c r="K369" i="15"/>
  <c r="I369" i="15"/>
  <c r="H369" i="15"/>
  <c r="G369" i="15"/>
  <c r="E369" i="15"/>
  <c r="D369" i="15"/>
  <c r="B369" i="15"/>
  <c r="A369" i="15"/>
  <c r="O368" i="15"/>
  <c r="L368" i="15"/>
  <c r="K368" i="15"/>
  <c r="I368" i="15"/>
  <c r="H368" i="15"/>
  <c r="G368" i="15"/>
  <c r="E368" i="15"/>
  <c r="D368" i="15"/>
  <c r="B368" i="15"/>
  <c r="A368" i="15"/>
  <c r="O367" i="15"/>
  <c r="L367" i="15"/>
  <c r="K367" i="15"/>
  <c r="I367" i="15"/>
  <c r="H367" i="15"/>
  <c r="G367" i="15"/>
  <c r="E367" i="15"/>
  <c r="D367" i="15"/>
  <c r="B367" i="15"/>
  <c r="A367" i="15"/>
  <c r="O366" i="15"/>
  <c r="L366" i="15"/>
  <c r="K366" i="15"/>
  <c r="I366" i="15"/>
  <c r="H366" i="15"/>
  <c r="G366" i="15"/>
  <c r="E366" i="15"/>
  <c r="D366" i="15"/>
  <c r="B366" i="15"/>
  <c r="A366" i="15"/>
  <c r="O365" i="15"/>
  <c r="L365" i="15"/>
  <c r="K365" i="15"/>
  <c r="I365" i="15"/>
  <c r="H365" i="15"/>
  <c r="G365" i="15"/>
  <c r="E365" i="15"/>
  <c r="D365" i="15"/>
  <c r="B365" i="15"/>
  <c r="A365" i="15"/>
  <c r="O364" i="15"/>
  <c r="L364" i="15"/>
  <c r="K364" i="15"/>
  <c r="I364" i="15"/>
  <c r="H364" i="15"/>
  <c r="G364" i="15"/>
  <c r="E364" i="15"/>
  <c r="D364" i="15"/>
  <c r="B364" i="15"/>
  <c r="A364" i="15"/>
  <c r="O363" i="15"/>
  <c r="L363" i="15"/>
  <c r="K363" i="15"/>
  <c r="I363" i="15"/>
  <c r="G363" i="15"/>
  <c r="E363" i="15"/>
  <c r="D363" i="15"/>
  <c r="B363" i="15"/>
  <c r="A363" i="15"/>
  <c r="O362" i="15"/>
  <c r="L362" i="15"/>
  <c r="K362" i="15"/>
  <c r="I362" i="15"/>
  <c r="G362" i="15"/>
  <c r="E362" i="15"/>
  <c r="D362" i="15"/>
  <c r="B362" i="15"/>
  <c r="A362" i="15"/>
  <c r="O361" i="15"/>
  <c r="L361" i="15"/>
  <c r="K361" i="15"/>
  <c r="I361" i="15"/>
  <c r="G361" i="15"/>
  <c r="E361" i="15"/>
  <c r="D361" i="15"/>
  <c r="B361" i="15"/>
  <c r="A361" i="15"/>
  <c r="O360" i="15"/>
  <c r="L360" i="15"/>
  <c r="K360" i="15"/>
  <c r="I360" i="15"/>
  <c r="G360" i="15"/>
  <c r="E360" i="15"/>
  <c r="D360" i="15"/>
  <c r="B360" i="15"/>
  <c r="A360" i="15"/>
  <c r="O359" i="15"/>
  <c r="L359" i="15"/>
  <c r="K359" i="15"/>
  <c r="I359" i="15"/>
  <c r="G359" i="15"/>
  <c r="E359" i="15"/>
  <c r="D359" i="15"/>
  <c r="B359" i="15"/>
  <c r="A359" i="15"/>
  <c r="O358" i="15"/>
  <c r="L358" i="15"/>
  <c r="K358" i="15"/>
  <c r="I358" i="15"/>
  <c r="G358" i="15"/>
  <c r="E358" i="15"/>
  <c r="D358" i="15"/>
  <c r="B358" i="15"/>
  <c r="A358" i="15"/>
  <c r="O357" i="15"/>
  <c r="L357" i="15"/>
  <c r="K357" i="15"/>
  <c r="I357" i="15"/>
  <c r="G357" i="15"/>
  <c r="E357" i="15"/>
  <c r="D357" i="15"/>
  <c r="B357" i="15"/>
  <c r="A357" i="15"/>
  <c r="O356" i="15"/>
  <c r="L356" i="15"/>
  <c r="K356" i="15"/>
  <c r="I356" i="15"/>
  <c r="G356" i="15"/>
  <c r="E356" i="15"/>
  <c r="D356" i="15"/>
  <c r="B356" i="15"/>
  <c r="A356" i="15"/>
  <c r="O355" i="15"/>
  <c r="L355" i="15"/>
  <c r="K355" i="15"/>
  <c r="I355" i="15"/>
  <c r="G355" i="15"/>
  <c r="E355" i="15"/>
  <c r="D355" i="15"/>
  <c r="B355" i="15"/>
  <c r="A355" i="15"/>
  <c r="O354" i="15"/>
  <c r="L354" i="15"/>
  <c r="K354" i="15"/>
  <c r="I354" i="15"/>
  <c r="G354" i="15"/>
  <c r="E354" i="15"/>
  <c r="D354" i="15"/>
  <c r="B354" i="15"/>
  <c r="A354" i="15"/>
  <c r="O353" i="15"/>
  <c r="L353" i="15"/>
  <c r="K353" i="15"/>
  <c r="I353" i="15"/>
  <c r="G353" i="15"/>
  <c r="E353" i="15"/>
  <c r="D353" i="15"/>
  <c r="B353" i="15"/>
  <c r="A353" i="15"/>
  <c r="O352" i="15"/>
  <c r="L352" i="15"/>
  <c r="K352" i="15"/>
  <c r="I352" i="15"/>
  <c r="G352" i="15"/>
  <c r="E352" i="15"/>
  <c r="D352" i="15"/>
  <c r="B352" i="15"/>
  <c r="A352" i="15"/>
  <c r="O351" i="15"/>
  <c r="L351" i="15"/>
  <c r="K351" i="15"/>
  <c r="I351" i="15"/>
  <c r="G351" i="15"/>
  <c r="E351" i="15"/>
  <c r="D351" i="15"/>
  <c r="B351" i="15"/>
  <c r="A351" i="15"/>
  <c r="O350" i="15"/>
  <c r="L350" i="15"/>
  <c r="K350" i="15"/>
  <c r="I350" i="15"/>
  <c r="G350" i="15"/>
  <c r="E350" i="15"/>
  <c r="D350" i="15"/>
  <c r="B350" i="15"/>
  <c r="A350" i="15"/>
  <c r="O349" i="15"/>
  <c r="L349" i="15"/>
  <c r="K349" i="15"/>
  <c r="I349" i="15"/>
  <c r="H349" i="15"/>
  <c r="G349" i="15"/>
  <c r="E349" i="15"/>
  <c r="D349" i="15"/>
  <c r="B349" i="15"/>
  <c r="A349" i="15"/>
  <c r="O348" i="15"/>
  <c r="L348" i="15"/>
  <c r="K348" i="15"/>
  <c r="I348" i="15"/>
  <c r="H348" i="15"/>
  <c r="G348" i="15"/>
  <c r="E348" i="15"/>
  <c r="D348" i="15"/>
  <c r="B348" i="15"/>
  <c r="A348" i="15"/>
  <c r="O347" i="15"/>
  <c r="L347" i="15"/>
  <c r="K347" i="15"/>
  <c r="I347" i="15"/>
  <c r="H347" i="15"/>
  <c r="G347" i="15"/>
  <c r="E347" i="15"/>
  <c r="D347" i="15"/>
  <c r="B347" i="15"/>
  <c r="A347" i="15"/>
  <c r="O346" i="15"/>
  <c r="L346" i="15"/>
  <c r="K346" i="15"/>
  <c r="I346" i="15"/>
  <c r="H346" i="15"/>
  <c r="G346" i="15"/>
  <c r="E346" i="15"/>
  <c r="D346" i="15"/>
  <c r="B346" i="15"/>
  <c r="A346" i="15"/>
  <c r="O345" i="15"/>
  <c r="L345" i="15"/>
  <c r="K345" i="15"/>
  <c r="I345" i="15"/>
  <c r="G345" i="15"/>
  <c r="E345" i="15"/>
  <c r="D345" i="15"/>
  <c r="B345" i="15"/>
  <c r="A345" i="15"/>
  <c r="O344" i="15"/>
  <c r="L344" i="15"/>
  <c r="K344" i="15"/>
  <c r="I344" i="15"/>
  <c r="H344" i="15"/>
  <c r="G344" i="15"/>
  <c r="E344" i="15"/>
  <c r="D344" i="15"/>
  <c r="B344" i="15"/>
  <c r="A344" i="15"/>
  <c r="O343" i="15"/>
  <c r="L343" i="15"/>
  <c r="K343" i="15"/>
  <c r="I343" i="15"/>
  <c r="G343" i="15"/>
  <c r="E343" i="15"/>
  <c r="D343" i="15"/>
  <c r="B343" i="15"/>
  <c r="A343" i="15"/>
  <c r="O342" i="15"/>
  <c r="L342" i="15"/>
  <c r="K342" i="15"/>
  <c r="I342" i="15"/>
  <c r="H342" i="15"/>
  <c r="G342" i="15"/>
  <c r="E342" i="15"/>
  <c r="D342" i="15"/>
  <c r="B342" i="15"/>
  <c r="A342" i="15"/>
  <c r="O341" i="15"/>
  <c r="L341" i="15"/>
  <c r="K341" i="15"/>
  <c r="I341" i="15"/>
  <c r="H341" i="15"/>
  <c r="G341" i="15"/>
  <c r="E341" i="15"/>
  <c r="D341" i="15"/>
  <c r="B341" i="15"/>
  <c r="A341" i="15"/>
  <c r="O340" i="15"/>
  <c r="L340" i="15"/>
  <c r="K340" i="15"/>
  <c r="I340" i="15"/>
  <c r="H340" i="15"/>
  <c r="G340" i="15"/>
  <c r="E340" i="15"/>
  <c r="D340" i="15"/>
  <c r="B340" i="15"/>
  <c r="A340" i="15"/>
  <c r="O339" i="15"/>
  <c r="L339" i="15"/>
  <c r="K339" i="15"/>
  <c r="I339" i="15"/>
  <c r="H339" i="15"/>
  <c r="G339" i="15"/>
  <c r="E339" i="15"/>
  <c r="D339" i="15"/>
  <c r="B339" i="15"/>
  <c r="A339" i="15"/>
  <c r="O338" i="15"/>
  <c r="L338" i="15"/>
  <c r="K338" i="15"/>
  <c r="I338" i="15"/>
  <c r="H338" i="15"/>
  <c r="G338" i="15"/>
  <c r="E338" i="15"/>
  <c r="D338" i="15"/>
  <c r="B338" i="15"/>
  <c r="A338" i="15"/>
  <c r="O337" i="15"/>
  <c r="L337" i="15"/>
  <c r="K337" i="15"/>
  <c r="I337" i="15"/>
  <c r="H337" i="15"/>
  <c r="G337" i="15"/>
  <c r="E337" i="15"/>
  <c r="D337" i="15"/>
  <c r="B337" i="15"/>
  <c r="A337" i="15"/>
  <c r="O336" i="15"/>
  <c r="L336" i="15"/>
  <c r="K336" i="15"/>
  <c r="I336" i="15"/>
  <c r="H336" i="15"/>
  <c r="G336" i="15"/>
  <c r="E336" i="15"/>
  <c r="D336" i="15"/>
  <c r="B336" i="15"/>
  <c r="A336" i="15"/>
  <c r="O335" i="15"/>
  <c r="L335" i="15"/>
  <c r="K335" i="15"/>
  <c r="I335" i="15"/>
  <c r="G335" i="15"/>
  <c r="E335" i="15"/>
  <c r="D335" i="15"/>
  <c r="B335" i="15"/>
  <c r="A335" i="15"/>
  <c r="O334" i="15"/>
  <c r="L334" i="15"/>
  <c r="K334" i="15"/>
  <c r="I334" i="15"/>
  <c r="H334" i="15"/>
  <c r="G334" i="15"/>
  <c r="E334" i="15"/>
  <c r="D334" i="15"/>
  <c r="B334" i="15"/>
  <c r="A334" i="15"/>
  <c r="O333" i="15"/>
  <c r="L333" i="15"/>
  <c r="K333" i="15"/>
  <c r="I333" i="15"/>
  <c r="G333" i="15"/>
  <c r="E333" i="15"/>
  <c r="D333" i="15"/>
  <c r="B333" i="15"/>
  <c r="A333" i="15"/>
  <c r="O332" i="15"/>
  <c r="L332" i="15"/>
  <c r="K332" i="15"/>
  <c r="I332" i="15"/>
  <c r="H332" i="15"/>
  <c r="G332" i="15"/>
  <c r="E332" i="15"/>
  <c r="D332" i="15"/>
  <c r="B332" i="15"/>
  <c r="A332" i="15"/>
  <c r="O331" i="15"/>
  <c r="L331" i="15"/>
  <c r="K331" i="15"/>
  <c r="I331" i="15"/>
  <c r="H331" i="15"/>
  <c r="G331" i="15"/>
  <c r="E331" i="15"/>
  <c r="D331" i="15"/>
  <c r="B331" i="15"/>
  <c r="A331" i="15"/>
  <c r="O330" i="15"/>
  <c r="L330" i="15"/>
  <c r="K330" i="15"/>
  <c r="I330" i="15"/>
  <c r="H330" i="15"/>
  <c r="G330" i="15"/>
  <c r="E330" i="15"/>
  <c r="D330" i="15"/>
  <c r="B330" i="15"/>
  <c r="A330" i="15"/>
  <c r="O329" i="15"/>
  <c r="L329" i="15"/>
  <c r="K329" i="15"/>
  <c r="I329" i="15"/>
  <c r="H329" i="15"/>
  <c r="G329" i="15"/>
  <c r="E329" i="15"/>
  <c r="D329" i="15"/>
  <c r="B329" i="15"/>
  <c r="A329" i="15"/>
  <c r="O328" i="15"/>
  <c r="L328" i="15"/>
  <c r="K328" i="15"/>
  <c r="I328" i="15"/>
  <c r="H328" i="15"/>
  <c r="G328" i="15"/>
  <c r="E328" i="15"/>
  <c r="D328" i="15"/>
  <c r="B328" i="15"/>
  <c r="A328" i="15"/>
  <c r="O327" i="15"/>
  <c r="L327" i="15"/>
  <c r="K327" i="15"/>
  <c r="I327" i="15"/>
  <c r="H327" i="15"/>
  <c r="G327" i="15"/>
  <c r="E327" i="15"/>
  <c r="D327" i="15"/>
  <c r="B327" i="15"/>
  <c r="A327" i="15"/>
  <c r="O326" i="15"/>
  <c r="L326" i="15"/>
  <c r="K326" i="15"/>
  <c r="I326" i="15"/>
  <c r="H326" i="15"/>
  <c r="G326" i="15"/>
  <c r="E326" i="15"/>
  <c r="D326" i="15"/>
  <c r="B326" i="15"/>
  <c r="A326" i="15"/>
  <c r="O325" i="15"/>
  <c r="L325" i="15"/>
  <c r="K325" i="15"/>
  <c r="I325" i="15"/>
  <c r="H325" i="15"/>
  <c r="G325" i="15"/>
  <c r="E325" i="15"/>
  <c r="D325" i="15"/>
  <c r="B325" i="15"/>
  <c r="A325" i="15"/>
  <c r="O324" i="15"/>
  <c r="L324" i="15"/>
  <c r="K324" i="15"/>
  <c r="I324" i="15"/>
  <c r="H324" i="15"/>
  <c r="G324" i="15"/>
  <c r="E324" i="15"/>
  <c r="D324" i="15"/>
  <c r="B324" i="15"/>
  <c r="A324" i="15"/>
  <c r="O323" i="15"/>
  <c r="L323" i="15"/>
  <c r="K323" i="15"/>
  <c r="I323" i="15"/>
  <c r="H323" i="15"/>
  <c r="G323" i="15"/>
  <c r="E323" i="15"/>
  <c r="D323" i="15"/>
  <c r="B323" i="15"/>
  <c r="A323" i="15"/>
  <c r="O322" i="15"/>
  <c r="L322" i="15"/>
  <c r="K322" i="15"/>
  <c r="I322" i="15"/>
  <c r="H322" i="15"/>
  <c r="G322" i="15"/>
  <c r="E322" i="15"/>
  <c r="D322" i="15"/>
  <c r="B322" i="15"/>
  <c r="A322" i="15"/>
  <c r="O321" i="15"/>
  <c r="L321" i="15"/>
  <c r="K321" i="15"/>
  <c r="I321" i="15"/>
  <c r="H321" i="15"/>
  <c r="G321" i="15"/>
  <c r="E321" i="15"/>
  <c r="D321" i="15"/>
  <c r="B321" i="15"/>
  <c r="A321" i="15"/>
  <c r="O320" i="15"/>
  <c r="L320" i="15"/>
  <c r="K320" i="15"/>
  <c r="I320" i="15"/>
  <c r="H320" i="15"/>
  <c r="G320" i="15"/>
  <c r="E320" i="15"/>
  <c r="D320" i="15"/>
  <c r="B320" i="15"/>
  <c r="A320" i="15"/>
  <c r="O319" i="15"/>
  <c r="L319" i="15"/>
  <c r="K319" i="15"/>
  <c r="I319" i="15"/>
  <c r="H319" i="15"/>
  <c r="G319" i="15"/>
  <c r="E319" i="15"/>
  <c r="D319" i="15"/>
  <c r="C319" i="15"/>
  <c r="B319" i="15"/>
  <c r="A319" i="15"/>
  <c r="O318" i="15"/>
  <c r="L318" i="15"/>
  <c r="K318" i="15"/>
  <c r="I318" i="15"/>
  <c r="H318" i="15"/>
  <c r="G318" i="15"/>
  <c r="E318" i="15"/>
  <c r="D318" i="15"/>
  <c r="C318" i="15"/>
  <c r="B318" i="15"/>
  <c r="A318" i="15"/>
  <c r="O317" i="15"/>
  <c r="L317" i="15"/>
  <c r="K317" i="15"/>
  <c r="I317" i="15"/>
  <c r="H317" i="15"/>
  <c r="G317" i="15"/>
  <c r="E317" i="15"/>
  <c r="D317" i="15"/>
  <c r="C317" i="15"/>
  <c r="B317" i="15"/>
  <c r="A317" i="15"/>
  <c r="O316" i="15"/>
  <c r="L316" i="15"/>
  <c r="K316" i="15"/>
  <c r="I316" i="15"/>
  <c r="H316" i="15"/>
  <c r="G316" i="15"/>
  <c r="E316" i="15"/>
  <c r="D316" i="15"/>
  <c r="C316" i="15"/>
  <c r="B316" i="15"/>
  <c r="A316" i="15"/>
  <c r="O315" i="15"/>
  <c r="L315" i="15"/>
  <c r="K315" i="15"/>
  <c r="I315" i="15"/>
  <c r="H315" i="15"/>
  <c r="G315" i="15"/>
  <c r="E315" i="15"/>
  <c r="D315" i="15"/>
  <c r="C315" i="15"/>
  <c r="B315" i="15"/>
  <c r="A315" i="15"/>
  <c r="O314" i="15"/>
  <c r="L314" i="15"/>
  <c r="K314" i="15"/>
  <c r="I314" i="15"/>
  <c r="H314" i="15"/>
  <c r="G314" i="15"/>
  <c r="E314" i="15"/>
  <c r="D314" i="15"/>
  <c r="C314" i="15"/>
  <c r="B314" i="15"/>
  <c r="A314" i="15"/>
  <c r="O313" i="15"/>
  <c r="L313" i="15"/>
  <c r="K313" i="15"/>
  <c r="I313" i="15"/>
  <c r="H313" i="15"/>
  <c r="G313" i="15"/>
  <c r="E313" i="15"/>
  <c r="D313" i="15"/>
  <c r="C313" i="15"/>
  <c r="B313" i="15"/>
  <c r="A313" i="15"/>
  <c r="O312" i="15"/>
  <c r="L312" i="15"/>
  <c r="K312" i="15"/>
  <c r="I312" i="15"/>
  <c r="H312" i="15"/>
  <c r="G312" i="15"/>
  <c r="E312" i="15"/>
  <c r="D312" i="15"/>
  <c r="C312" i="15"/>
  <c r="B312" i="15"/>
  <c r="A312" i="15"/>
  <c r="O311" i="15"/>
  <c r="L311" i="15"/>
  <c r="K311" i="15"/>
  <c r="I311" i="15"/>
  <c r="H311" i="15"/>
  <c r="G311" i="15"/>
  <c r="E311" i="15"/>
  <c r="D311" i="15"/>
  <c r="C311" i="15"/>
  <c r="B311" i="15"/>
  <c r="A311" i="15"/>
  <c r="O310" i="15"/>
  <c r="L310" i="15"/>
  <c r="K310" i="15"/>
  <c r="I310" i="15"/>
  <c r="H310" i="15"/>
  <c r="G310" i="15"/>
  <c r="E310" i="15"/>
  <c r="D310" i="15"/>
  <c r="C310" i="15"/>
  <c r="B310" i="15"/>
  <c r="A310" i="15"/>
  <c r="O309" i="15"/>
  <c r="L309" i="15"/>
  <c r="K309" i="15"/>
  <c r="I309" i="15"/>
  <c r="H309" i="15"/>
  <c r="G309" i="15"/>
  <c r="E309" i="15"/>
  <c r="D309" i="15"/>
  <c r="C309" i="15"/>
  <c r="B309" i="15"/>
  <c r="A309" i="15"/>
  <c r="O308" i="15"/>
  <c r="L308" i="15"/>
  <c r="K308" i="15"/>
  <c r="I308" i="15"/>
  <c r="H308" i="15"/>
  <c r="G308" i="15"/>
  <c r="E308" i="15"/>
  <c r="D308" i="15"/>
  <c r="C308" i="15"/>
  <c r="B308" i="15"/>
  <c r="A308" i="15"/>
  <c r="O307" i="15"/>
  <c r="L307" i="15"/>
  <c r="K307" i="15"/>
  <c r="I307" i="15"/>
  <c r="H307" i="15"/>
  <c r="G307" i="15"/>
  <c r="E307" i="15"/>
  <c r="D307" i="15"/>
  <c r="C307" i="15"/>
  <c r="B307" i="15"/>
  <c r="A307" i="15"/>
  <c r="O306" i="15"/>
  <c r="L306" i="15"/>
  <c r="K306" i="15"/>
  <c r="I306" i="15"/>
  <c r="H306" i="15"/>
  <c r="G306" i="15"/>
  <c r="E306" i="15"/>
  <c r="D306" i="15"/>
  <c r="C306" i="15"/>
  <c r="B306" i="15"/>
  <c r="A306" i="15"/>
  <c r="O305" i="15"/>
  <c r="L305" i="15"/>
  <c r="K305" i="15"/>
  <c r="I305" i="15"/>
  <c r="H305" i="15"/>
  <c r="G305" i="15"/>
  <c r="E305" i="15"/>
  <c r="D305" i="15"/>
  <c r="C305" i="15"/>
  <c r="B305" i="15"/>
  <c r="A305" i="15"/>
  <c r="O304" i="15"/>
  <c r="L304" i="15"/>
  <c r="K304" i="15"/>
  <c r="I304" i="15"/>
  <c r="H304" i="15"/>
  <c r="G304" i="15"/>
  <c r="E304" i="15"/>
  <c r="D304" i="15"/>
  <c r="C304" i="15"/>
  <c r="B304" i="15"/>
  <c r="A304" i="15"/>
  <c r="O303" i="15"/>
  <c r="L303" i="15"/>
  <c r="K303" i="15"/>
  <c r="I303" i="15"/>
  <c r="H303" i="15"/>
  <c r="G303" i="15"/>
  <c r="E303" i="15"/>
  <c r="D303" i="15"/>
  <c r="C303" i="15"/>
  <c r="B303" i="15"/>
  <c r="A303" i="15"/>
  <c r="O302" i="15"/>
  <c r="L302" i="15"/>
  <c r="K302" i="15"/>
  <c r="I302" i="15"/>
  <c r="H302" i="15"/>
  <c r="G302" i="15"/>
  <c r="E302" i="15"/>
  <c r="D302" i="15"/>
  <c r="C302" i="15"/>
  <c r="B302" i="15"/>
  <c r="A302" i="15"/>
  <c r="O301" i="15"/>
  <c r="L301" i="15"/>
  <c r="K301" i="15"/>
  <c r="I301" i="15"/>
  <c r="H301" i="15"/>
  <c r="G301" i="15"/>
  <c r="E301" i="15"/>
  <c r="D301" i="15"/>
  <c r="C301" i="15"/>
  <c r="B301" i="15"/>
  <c r="A301" i="15"/>
  <c r="O300" i="15"/>
  <c r="L300" i="15"/>
  <c r="K300" i="15"/>
  <c r="I300" i="15"/>
  <c r="H300" i="15"/>
  <c r="G300" i="15"/>
  <c r="E300" i="15"/>
  <c r="D300" i="15"/>
  <c r="C300" i="15"/>
  <c r="B300" i="15"/>
  <c r="A300" i="15"/>
  <c r="O299" i="15"/>
  <c r="L299" i="15"/>
  <c r="K299" i="15"/>
  <c r="I299" i="15"/>
  <c r="H299" i="15"/>
  <c r="G299" i="15"/>
  <c r="E299" i="15"/>
  <c r="D299" i="15"/>
  <c r="C299" i="15"/>
  <c r="B299" i="15"/>
  <c r="A299" i="15"/>
  <c r="O298" i="15"/>
  <c r="L298" i="15"/>
  <c r="K298" i="15"/>
  <c r="I298" i="15"/>
  <c r="H298" i="15"/>
  <c r="G298" i="15"/>
  <c r="E298" i="15"/>
  <c r="D298" i="15"/>
  <c r="C298" i="15"/>
  <c r="B298" i="15"/>
  <c r="A298" i="15"/>
  <c r="O297" i="15"/>
  <c r="L297" i="15"/>
  <c r="K297" i="15"/>
  <c r="I297" i="15"/>
  <c r="H297" i="15"/>
  <c r="G297" i="15"/>
  <c r="E297" i="15"/>
  <c r="D297" i="15"/>
  <c r="C297" i="15"/>
  <c r="B297" i="15"/>
  <c r="A297" i="15"/>
  <c r="O296" i="15"/>
  <c r="L296" i="15"/>
  <c r="K296" i="15"/>
  <c r="I296" i="15"/>
  <c r="H296" i="15"/>
  <c r="G296" i="15"/>
  <c r="E296" i="15"/>
  <c r="D296" i="15"/>
  <c r="C296" i="15"/>
  <c r="B296" i="15"/>
  <c r="A296" i="15"/>
  <c r="O295" i="15"/>
  <c r="L295" i="15"/>
  <c r="K295" i="15"/>
  <c r="I295" i="15"/>
  <c r="H295" i="15"/>
  <c r="G295" i="15"/>
  <c r="E295" i="15"/>
  <c r="D295" i="15"/>
  <c r="C295" i="15"/>
  <c r="B295" i="15"/>
  <c r="A295" i="15"/>
  <c r="O294" i="15"/>
  <c r="L294" i="15"/>
  <c r="K294" i="15"/>
  <c r="I294" i="15"/>
  <c r="H294" i="15"/>
  <c r="G294" i="15"/>
  <c r="E294" i="15"/>
  <c r="D294" i="15"/>
  <c r="C294" i="15"/>
  <c r="B294" i="15"/>
  <c r="A294" i="15"/>
  <c r="O293" i="15"/>
  <c r="L293" i="15"/>
  <c r="K293" i="15"/>
  <c r="I293" i="15"/>
  <c r="H293" i="15"/>
  <c r="G293" i="15"/>
  <c r="E293" i="15"/>
  <c r="D293" i="15"/>
  <c r="C293" i="15"/>
  <c r="B293" i="15"/>
  <c r="A293" i="15"/>
  <c r="O292" i="15"/>
  <c r="L292" i="15"/>
  <c r="K292" i="15"/>
  <c r="I292" i="15"/>
  <c r="H292" i="15"/>
  <c r="G292" i="15"/>
  <c r="E292" i="15"/>
  <c r="D292" i="15"/>
  <c r="C292" i="15"/>
  <c r="B292" i="15"/>
  <c r="A292" i="15"/>
  <c r="O291" i="15"/>
  <c r="L291" i="15"/>
  <c r="K291" i="15"/>
  <c r="I291" i="15"/>
  <c r="H291" i="15"/>
  <c r="G291" i="15"/>
  <c r="E291" i="15"/>
  <c r="D291" i="15"/>
  <c r="C291" i="15"/>
  <c r="B291" i="15"/>
  <c r="A291" i="15"/>
  <c r="O290" i="15"/>
  <c r="L290" i="15"/>
  <c r="K290" i="15"/>
  <c r="I290" i="15"/>
  <c r="H290" i="15"/>
  <c r="G290" i="15"/>
  <c r="E290" i="15"/>
  <c r="D290" i="15"/>
  <c r="C290" i="15"/>
  <c r="B290" i="15"/>
  <c r="A290" i="15"/>
  <c r="O289" i="15"/>
  <c r="L289" i="15"/>
  <c r="K289" i="15"/>
  <c r="I289" i="15"/>
  <c r="H289" i="15"/>
  <c r="G289" i="15"/>
  <c r="E289" i="15"/>
  <c r="D289" i="15"/>
  <c r="C289" i="15"/>
  <c r="B289" i="15"/>
  <c r="A289" i="15"/>
  <c r="O288" i="15"/>
  <c r="L288" i="15"/>
  <c r="K288" i="15"/>
  <c r="I288" i="15"/>
  <c r="H288" i="15"/>
  <c r="G288" i="15"/>
  <c r="E288" i="15"/>
  <c r="D288" i="15"/>
  <c r="C288" i="15"/>
  <c r="B288" i="15"/>
  <c r="A288" i="15"/>
  <c r="O287" i="15"/>
  <c r="L287" i="15"/>
  <c r="K287" i="15"/>
  <c r="I287" i="15"/>
  <c r="H287" i="15"/>
  <c r="G287" i="15"/>
  <c r="E287" i="15"/>
  <c r="D287" i="15"/>
  <c r="C287" i="15"/>
  <c r="B287" i="15"/>
  <c r="A287" i="15"/>
  <c r="O286" i="15"/>
  <c r="L286" i="15"/>
  <c r="K286" i="15"/>
  <c r="I286" i="15"/>
  <c r="G286" i="15"/>
  <c r="E286" i="15"/>
  <c r="D286" i="15"/>
  <c r="C286" i="15"/>
  <c r="B286" i="15"/>
  <c r="A286" i="15"/>
  <c r="O285" i="15"/>
  <c r="L285" i="15"/>
  <c r="K285" i="15"/>
  <c r="I285" i="15"/>
  <c r="H285" i="15"/>
  <c r="G285" i="15"/>
  <c r="E285" i="15"/>
  <c r="D285" i="15"/>
  <c r="C285" i="15"/>
  <c r="B285" i="15"/>
  <c r="A285" i="15"/>
  <c r="O284" i="15"/>
  <c r="L284" i="15"/>
  <c r="K284" i="15"/>
  <c r="I284" i="15"/>
  <c r="H284" i="15"/>
  <c r="G284" i="15"/>
  <c r="E284" i="15"/>
  <c r="D284" i="15"/>
  <c r="C284" i="15"/>
  <c r="B284" i="15"/>
  <c r="A284" i="15"/>
  <c r="O283" i="15"/>
  <c r="L283" i="15"/>
  <c r="K283" i="15"/>
  <c r="I283" i="15"/>
  <c r="H283" i="15"/>
  <c r="G283" i="15"/>
  <c r="E283" i="15"/>
  <c r="D283" i="15"/>
  <c r="C283" i="15"/>
  <c r="B283" i="15"/>
  <c r="A283" i="15"/>
  <c r="O282" i="15"/>
  <c r="L282" i="15"/>
  <c r="K282" i="15"/>
  <c r="I282" i="15"/>
  <c r="H282" i="15"/>
  <c r="G282" i="15"/>
  <c r="E282" i="15"/>
  <c r="D282" i="15"/>
  <c r="C282" i="15"/>
  <c r="B282" i="15"/>
  <c r="A282" i="15"/>
  <c r="O281" i="15"/>
  <c r="L281" i="15"/>
  <c r="K281" i="15"/>
  <c r="I281" i="15"/>
  <c r="H281" i="15"/>
  <c r="G281" i="15"/>
  <c r="E281" i="15"/>
  <c r="D281" i="15"/>
  <c r="C281" i="15"/>
  <c r="B281" i="15"/>
  <c r="A281" i="15"/>
  <c r="O280" i="15"/>
  <c r="L280" i="15"/>
  <c r="K280" i="15"/>
  <c r="I280" i="15"/>
  <c r="H280" i="15"/>
  <c r="G280" i="15"/>
  <c r="E280" i="15"/>
  <c r="D280" i="15"/>
  <c r="C280" i="15"/>
  <c r="B280" i="15"/>
  <c r="A280" i="15"/>
  <c r="O279" i="15"/>
  <c r="L279" i="15"/>
  <c r="K279" i="15"/>
  <c r="I279" i="15"/>
  <c r="H279" i="15"/>
  <c r="G279" i="15"/>
  <c r="E279" i="15"/>
  <c r="D279" i="15"/>
  <c r="C279" i="15"/>
  <c r="B279" i="15"/>
  <c r="A279" i="15"/>
  <c r="O278" i="15"/>
  <c r="L278" i="15"/>
  <c r="K278" i="15"/>
  <c r="I278" i="15"/>
  <c r="H278" i="15"/>
  <c r="G278" i="15"/>
  <c r="E278" i="15"/>
  <c r="D278" i="15"/>
  <c r="C278" i="15"/>
  <c r="B278" i="15"/>
  <c r="A278" i="15"/>
  <c r="O277" i="15"/>
  <c r="L277" i="15"/>
  <c r="K277" i="15"/>
  <c r="I277" i="15"/>
  <c r="G277" i="15"/>
  <c r="E277" i="15"/>
  <c r="D277" i="15"/>
  <c r="C277" i="15"/>
  <c r="B277" i="15"/>
  <c r="A277" i="15"/>
  <c r="O276" i="15"/>
  <c r="L276" i="15"/>
  <c r="K276" i="15"/>
  <c r="I276" i="15"/>
  <c r="H276" i="15"/>
  <c r="G276" i="15"/>
  <c r="E276" i="15"/>
  <c r="D276" i="15"/>
  <c r="C276" i="15"/>
  <c r="B276" i="15"/>
  <c r="A276" i="15"/>
  <c r="O275" i="15"/>
  <c r="L275" i="15"/>
  <c r="K275" i="15"/>
  <c r="I275" i="15"/>
  <c r="H275" i="15"/>
  <c r="G275" i="15"/>
  <c r="E275" i="15"/>
  <c r="D275" i="15"/>
  <c r="C275" i="15"/>
  <c r="B275" i="15"/>
  <c r="A275" i="15"/>
  <c r="O274" i="15"/>
  <c r="L274" i="15"/>
  <c r="K274" i="15"/>
  <c r="I274" i="15"/>
  <c r="H274" i="15"/>
  <c r="G274" i="15"/>
  <c r="E274" i="15"/>
  <c r="D274" i="15"/>
  <c r="C274" i="15"/>
  <c r="B274" i="15"/>
  <c r="A274" i="15"/>
  <c r="O273" i="15"/>
  <c r="L273" i="15"/>
  <c r="K273" i="15"/>
  <c r="I273" i="15"/>
  <c r="H273" i="15"/>
  <c r="G273" i="15"/>
  <c r="E273" i="15"/>
  <c r="D273" i="15"/>
  <c r="C273" i="15"/>
  <c r="B273" i="15"/>
  <c r="A273" i="15"/>
  <c r="O272" i="15"/>
  <c r="L272" i="15"/>
  <c r="K272" i="15"/>
  <c r="I272" i="15"/>
  <c r="H272" i="15"/>
  <c r="G272" i="15"/>
  <c r="E272" i="15"/>
  <c r="D272" i="15"/>
  <c r="C272" i="15"/>
  <c r="B272" i="15"/>
  <c r="A272" i="15"/>
  <c r="O271" i="15"/>
  <c r="L271" i="15"/>
  <c r="K271" i="15"/>
  <c r="I271" i="15"/>
  <c r="H271" i="15"/>
  <c r="G271" i="15"/>
  <c r="E271" i="15"/>
  <c r="D271" i="15"/>
  <c r="C271" i="15"/>
  <c r="B271" i="15"/>
  <c r="A271" i="15"/>
  <c r="O270" i="15"/>
  <c r="L270" i="15"/>
  <c r="K270" i="15"/>
  <c r="I270" i="15"/>
  <c r="H270" i="15"/>
  <c r="G270" i="15"/>
  <c r="E270" i="15"/>
  <c r="D270" i="15"/>
  <c r="C270" i="15"/>
  <c r="B270" i="15"/>
  <c r="A270" i="15"/>
  <c r="O269" i="15"/>
  <c r="L269" i="15"/>
  <c r="K269" i="15"/>
  <c r="I269" i="15"/>
  <c r="H269" i="15"/>
  <c r="G269" i="15"/>
  <c r="E269" i="15"/>
  <c r="D269" i="15"/>
  <c r="C269" i="15"/>
  <c r="B269" i="15"/>
  <c r="A269" i="15"/>
  <c r="O268" i="15"/>
  <c r="L268" i="15"/>
  <c r="K268" i="15"/>
  <c r="I268" i="15"/>
  <c r="H268" i="15"/>
  <c r="G268" i="15"/>
  <c r="E268" i="15"/>
  <c r="D268" i="15"/>
  <c r="C268" i="15"/>
  <c r="B268" i="15"/>
  <c r="A268" i="15"/>
  <c r="O267" i="15"/>
  <c r="L267" i="15"/>
  <c r="K267" i="15"/>
  <c r="I267" i="15"/>
  <c r="H267" i="15"/>
  <c r="G267" i="15"/>
  <c r="E267" i="15"/>
  <c r="D267" i="15"/>
  <c r="C267" i="15"/>
  <c r="B267" i="15"/>
  <c r="A267" i="15"/>
  <c r="O266" i="15"/>
  <c r="L266" i="15"/>
  <c r="K266" i="15"/>
  <c r="I266" i="15"/>
  <c r="H266" i="15"/>
  <c r="G266" i="15"/>
  <c r="E266" i="15"/>
  <c r="D266" i="15"/>
  <c r="C266" i="15"/>
  <c r="B266" i="15"/>
  <c r="A266" i="15"/>
  <c r="O265" i="15"/>
  <c r="L265" i="15"/>
  <c r="K265" i="15"/>
  <c r="I265" i="15"/>
  <c r="H265" i="15"/>
  <c r="G265" i="15"/>
  <c r="E265" i="15"/>
  <c r="D265" i="15"/>
  <c r="C265" i="15"/>
  <c r="B265" i="15"/>
  <c r="A265" i="15"/>
  <c r="O264" i="15"/>
  <c r="L264" i="15"/>
  <c r="K264" i="15"/>
  <c r="I264" i="15"/>
  <c r="H264" i="15"/>
  <c r="G264" i="15"/>
  <c r="E264" i="15"/>
  <c r="D264" i="15"/>
  <c r="C264" i="15"/>
  <c r="B264" i="15"/>
  <c r="A264" i="15"/>
  <c r="O263" i="15"/>
  <c r="L263" i="15"/>
  <c r="K263" i="15"/>
  <c r="I263" i="15"/>
  <c r="H263" i="15"/>
  <c r="G263" i="15"/>
  <c r="E263" i="15"/>
  <c r="D263" i="15"/>
  <c r="C263" i="15"/>
  <c r="B263" i="15"/>
  <c r="A263" i="15"/>
  <c r="O262" i="15"/>
  <c r="L262" i="15"/>
  <c r="K262" i="15"/>
  <c r="I262" i="15"/>
  <c r="H262" i="15"/>
  <c r="G262" i="15"/>
  <c r="E262" i="15"/>
  <c r="D262" i="15"/>
  <c r="C262" i="15"/>
  <c r="B262" i="15"/>
  <c r="A262" i="15"/>
  <c r="O261" i="15"/>
  <c r="L261" i="15"/>
  <c r="K261" i="15"/>
  <c r="I261" i="15"/>
  <c r="H261" i="15"/>
  <c r="G261" i="15"/>
  <c r="E261" i="15"/>
  <c r="D261" i="15"/>
  <c r="C261" i="15"/>
  <c r="B261" i="15"/>
  <c r="A261" i="15"/>
  <c r="O260" i="15"/>
  <c r="L260" i="15"/>
  <c r="K260" i="15"/>
  <c r="I260" i="15"/>
  <c r="H260" i="15"/>
  <c r="G260" i="15"/>
  <c r="E260" i="15"/>
  <c r="D260" i="15"/>
  <c r="C260" i="15"/>
  <c r="B260" i="15"/>
  <c r="A260" i="15"/>
  <c r="O259" i="15"/>
  <c r="L259" i="15"/>
  <c r="K259" i="15"/>
  <c r="I259" i="15"/>
  <c r="H259" i="15"/>
  <c r="G259" i="15"/>
  <c r="E259" i="15"/>
  <c r="D259" i="15"/>
  <c r="C259" i="15"/>
  <c r="B259" i="15"/>
  <c r="A259" i="15"/>
  <c r="O258" i="15"/>
  <c r="L258" i="15"/>
  <c r="K258" i="15"/>
  <c r="I258" i="15"/>
  <c r="H258" i="15"/>
  <c r="G258" i="15"/>
  <c r="E258" i="15"/>
  <c r="D258" i="15"/>
  <c r="C258" i="15"/>
  <c r="B258" i="15"/>
  <c r="A258" i="15"/>
  <c r="O257" i="15"/>
  <c r="L257" i="15"/>
  <c r="K257" i="15"/>
  <c r="I257" i="15"/>
  <c r="H257" i="15"/>
  <c r="G257" i="15"/>
  <c r="E257" i="15"/>
  <c r="D257" i="15"/>
  <c r="C257" i="15"/>
  <c r="B257" i="15"/>
  <c r="A257" i="15"/>
  <c r="O256" i="15"/>
  <c r="L256" i="15"/>
  <c r="K256" i="15"/>
  <c r="I256" i="15"/>
  <c r="H256" i="15"/>
  <c r="G256" i="15"/>
  <c r="E256" i="15"/>
  <c r="D256" i="15"/>
  <c r="C256" i="15"/>
  <c r="B256" i="15"/>
  <c r="A256" i="15"/>
  <c r="O255" i="15"/>
  <c r="L255" i="15"/>
  <c r="K255" i="15"/>
  <c r="I255" i="15"/>
  <c r="H255" i="15"/>
  <c r="G255" i="15"/>
  <c r="E255" i="15"/>
  <c r="D255" i="15"/>
  <c r="C255" i="15"/>
  <c r="B255" i="15"/>
  <c r="A255" i="15"/>
  <c r="O254" i="15"/>
  <c r="L254" i="15"/>
  <c r="K254" i="15"/>
  <c r="I254" i="15"/>
  <c r="H254" i="15"/>
  <c r="G254" i="15"/>
  <c r="E254" i="15"/>
  <c r="D254" i="15"/>
  <c r="C254" i="15"/>
  <c r="B254" i="15"/>
  <c r="A254" i="15"/>
  <c r="O253" i="15"/>
  <c r="L253" i="15"/>
  <c r="K253" i="15"/>
  <c r="I253" i="15"/>
  <c r="H253" i="15"/>
  <c r="G253" i="15"/>
  <c r="E253" i="15"/>
  <c r="D253" i="15"/>
  <c r="C253" i="15"/>
  <c r="B253" i="15"/>
  <c r="A253" i="15"/>
  <c r="O252" i="15"/>
  <c r="L252" i="15"/>
  <c r="K252" i="15"/>
  <c r="I252" i="15"/>
  <c r="H252" i="15"/>
  <c r="G252" i="15"/>
  <c r="E252" i="15"/>
  <c r="D252" i="15"/>
  <c r="C252" i="15"/>
  <c r="B252" i="15"/>
  <c r="A252" i="15"/>
  <c r="O251" i="15"/>
  <c r="L251" i="15"/>
  <c r="K251" i="15"/>
  <c r="I251" i="15"/>
  <c r="H251" i="15"/>
  <c r="G251" i="15"/>
  <c r="E251" i="15"/>
  <c r="D251" i="15"/>
  <c r="C251" i="15"/>
  <c r="B251" i="15"/>
  <c r="A251" i="15"/>
  <c r="O250" i="15"/>
  <c r="L250" i="15"/>
  <c r="K250" i="15"/>
  <c r="I250" i="15"/>
  <c r="H250" i="15"/>
  <c r="G250" i="15"/>
  <c r="E250" i="15"/>
  <c r="D250" i="15"/>
  <c r="C250" i="15"/>
  <c r="B250" i="15"/>
  <c r="A250" i="15"/>
  <c r="O249" i="15"/>
  <c r="L249" i="15"/>
  <c r="K249" i="15"/>
  <c r="I249" i="15"/>
  <c r="H249" i="15"/>
  <c r="G249" i="15"/>
  <c r="E249" i="15"/>
  <c r="D249" i="15"/>
  <c r="C249" i="15"/>
  <c r="B249" i="15"/>
  <c r="A249" i="15"/>
  <c r="O248" i="15"/>
  <c r="L248" i="15"/>
  <c r="K248" i="15"/>
  <c r="I248" i="15"/>
  <c r="H248" i="15"/>
  <c r="G248" i="15"/>
  <c r="E248" i="15"/>
  <c r="D248" i="15"/>
  <c r="C248" i="15"/>
  <c r="B248" i="15"/>
  <c r="A248" i="15"/>
  <c r="O247" i="15"/>
  <c r="L247" i="15"/>
  <c r="K247" i="15"/>
  <c r="I247" i="15"/>
  <c r="H247" i="15"/>
  <c r="G247" i="15"/>
  <c r="E247" i="15"/>
  <c r="D247" i="15"/>
  <c r="C247" i="15"/>
  <c r="B247" i="15"/>
  <c r="A247" i="15"/>
  <c r="O246" i="15"/>
  <c r="L246" i="15"/>
  <c r="K246" i="15"/>
  <c r="I246" i="15"/>
  <c r="H246" i="15"/>
  <c r="G246" i="15"/>
  <c r="E246" i="15"/>
  <c r="D246" i="15"/>
  <c r="C246" i="15"/>
  <c r="B246" i="15"/>
  <c r="A246" i="15"/>
  <c r="O245" i="15"/>
  <c r="L245" i="15"/>
  <c r="K245" i="15"/>
  <c r="I245" i="15"/>
  <c r="H245" i="15"/>
  <c r="G245" i="15"/>
  <c r="E245" i="15"/>
  <c r="D245" i="15"/>
  <c r="C245" i="15"/>
  <c r="B245" i="15"/>
  <c r="A245" i="15"/>
  <c r="O244" i="15"/>
  <c r="L244" i="15"/>
  <c r="K244" i="15"/>
  <c r="I244" i="15"/>
  <c r="H244" i="15"/>
  <c r="G244" i="15"/>
  <c r="E244" i="15"/>
  <c r="D244" i="15"/>
  <c r="C244" i="15"/>
  <c r="B244" i="15"/>
  <c r="A244" i="15"/>
  <c r="O243" i="15"/>
  <c r="L243" i="15"/>
  <c r="K243" i="15"/>
  <c r="I243" i="15"/>
  <c r="H243" i="15"/>
  <c r="G243" i="15"/>
  <c r="E243" i="15"/>
  <c r="D243" i="15"/>
  <c r="C243" i="15"/>
  <c r="B243" i="15"/>
  <c r="A243" i="15"/>
  <c r="O242" i="15"/>
  <c r="L242" i="15"/>
  <c r="K242" i="15"/>
  <c r="I242" i="15"/>
  <c r="H242" i="15"/>
  <c r="G242" i="15"/>
  <c r="E242" i="15"/>
  <c r="D242" i="15"/>
  <c r="C242" i="15"/>
  <c r="B242" i="15"/>
  <c r="A242" i="15"/>
  <c r="O241" i="15"/>
  <c r="L241" i="15"/>
  <c r="K241" i="15"/>
  <c r="I241" i="15"/>
  <c r="H241" i="15"/>
  <c r="G241" i="15"/>
  <c r="E241" i="15"/>
  <c r="D241" i="15"/>
  <c r="C241" i="15"/>
  <c r="B241" i="15"/>
  <c r="A241" i="15"/>
  <c r="O240" i="15"/>
  <c r="L240" i="15"/>
  <c r="K240" i="15"/>
  <c r="I240" i="15"/>
  <c r="H240" i="15"/>
  <c r="G240" i="15"/>
  <c r="E240" i="15"/>
  <c r="D240" i="15"/>
  <c r="C240" i="15"/>
  <c r="B240" i="15"/>
  <c r="A240" i="15"/>
  <c r="O239" i="15"/>
  <c r="L239" i="15"/>
  <c r="K239" i="15"/>
  <c r="I239" i="15"/>
  <c r="H239" i="15"/>
  <c r="G239" i="15"/>
  <c r="E239" i="15"/>
  <c r="D239" i="15"/>
  <c r="C239" i="15"/>
  <c r="B239" i="15"/>
  <c r="A239" i="15"/>
  <c r="O238" i="15"/>
  <c r="L238" i="15"/>
  <c r="K238" i="15"/>
  <c r="I238" i="15"/>
  <c r="H238" i="15"/>
  <c r="G238" i="15"/>
  <c r="E238" i="15"/>
  <c r="D238" i="15"/>
  <c r="C238" i="15"/>
  <c r="B238" i="15"/>
  <c r="A238" i="15"/>
  <c r="O237" i="15"/>
  <c r="L237" i="15"/>
  <c r="K237" i="15"/>
  <c r="I237" i="15"/>
  <c r="H237" i="15"/>
  <c r="G237" i="15"/>
  <c r="E237" i="15"/>
  <c r="D237" i="15"/>
  <c r="C237" i="15"/>
  <c r="B237" i="15"/>
  <c r="A237" i="15"/>
  <c r="O236" i="15"/>
  <c r="L236" i="15"/>
  <c r="K236" i="15"/>
  <c r="I236" i="15"/>
  <c r="H236" i="15"/>
  <c r="G236" i="15"/>
  <c r="E236" i="15"/>
  <c r="D236" i="15"/>
  <c r="C236" i="15"/>
  <c r="B236" i="15"/>
  <c r="A236" i="15"/>
  <c r="O235" i="15"/>
  <c r="L235" i="15"/>
  <c r="K235" i="15"/>
  <c r="I235" i="15"/>
  <c r="H235" i="15"/>
  <c r="G235" i="15"/>
  <c r="E235" i="15"/>
  <c r="D235" i="15"/>
  <c r="C235" i="15"/>
  <c r="B235" i="15"/>
  <c r="A235" i="15"/>
  <c r="O234" i="15"/>
  <c r="L234" i="15"/>
  <c r="K234" i="15"/>
  <c r="I234" i="15"/>
  <c r="H234" i="15"/>
  <c r="G234" i="15"/>
  <c r="E234" i="15"/>
  <c r="D234" i="15"/>
  <c r="C234" i="15"/>
  <c r="B234" i="15"/>
  <c r="A234" i="15"/>
  <c r="O233" i="15"/>
  <c r="L233" i="15"/>
  <c r="K233" i="15"/>
  <c r="I233" i="15"/>
  <c r="H233" i="15"/>
  <c r="G233" i="15"/>
  <c r="E233" i="15"/>
  <c r="D233" i="15"/>
  <c r="C233" i="15"/>
  <c r="B233" i="15"/>
  <c r="A233" i="15"/>
  <c r="O232" i="15"/>
  <c r="L232" i="15"/>
  <c r="K232" i="15"/>
  <c r="I232" i="15"/>
  <c r="H232" i="15"/>
  <c r="G232" i="15"/>
  <c r="E232" i="15"/>
  <c r="D232" i="15"/>
  <c r="C232" i="15"/>
  <c r="B232" i="15"/>
  <c r="A232" i="15"/>
  <c r="O231" i="15"/>
  <c r="L231" i="15"/>
  <c r="K231" i="15"/>
  <c r="I231" i="15"/>
  <c r="H231" i="15"/>
  <c r="G231" i="15"/>
  <c r="E231" i="15"/>
  <c r="D231" i="15"/>
  <c r="C231" i="15"/>
  <c r="B231" i="15"/>
  <c r="A231" i="15"/>
  <c r="O230" i="15"/>
  <c r="L230" i="15"/>
  <c r="K230" i="15"/>
  <c r="I230" i="15"/>
  <c r="H230" i="15"/>
  <c r="G230" i="15"/>
  <c r="E230" i="15"/>
  <c r="D230" i="15"/>
  <c r="C230" i="15"/>
  <c r="B230" i="15"/>
  <c r="A230" i="15"/>
  <c r="O229" i="15"/>
  <c r="L229" i="15"/>
  <c r="K229" i="15"/>
  <c r="I229" i="15"/>
  <c r="H229" i="15"/>
  <c r="G229" i="15"/>
  <c r="E229" i="15"/>
  <c r="D229" i="15"/>
  <c r="C229" i="15"/>
  <c r="B229" i="15"/>
  <c r="A229" i="15"/>
  <c r="O228" i="15"/>
  <c r="L228" i="15"/>
  <c r="K228" i="15"/>
  <c r="I228" i="15"/>
  <c r="H228" i="15"/>
  <c r="G228" i="15"/>
  <c r="E228" i="15"/>
  <c r="D228" i="15"/>
  <c r="C228" i="15"/>
  <c r="B228" i="15"/>
  <c r="A228" i="15"/>
  <c r="O227" i="15"/>
  <c r="L227" i="15"/>
  <c r="K227" i="15"/>
  <c r="I227" i="15"/>
  <c r="H227" i="15"/>
  <c r="G227" i="15"/>
  <c r="E227" i="15"/>
  <c r="D227" i="15"/>
  <c r="C227" i="15"/>
  <c r="B227" i="15"/>
  <c r="A227" i="15"/>
  <c r="O226" i="15"/>
  <c r="L226" i="15"/>
  <c r="K226" i="15"/>
  <c r="I226" i="15"/>
  <c r="H226" i="15"/>
  <c r="G226" i="15"/>
  <c r="E226" i="15"/>
  <c r="D226" i="15"/>
  <c r="C226" i="15"/>
  <c r="B226" i="15"/>
  <c r="A226" i="15"/>
  <c r="O225" i="15"/>
  <c r="L225" i="15"/>
  <c r="K225" i="15"/>
  <c r="I225" i="15"/>
  <c r="H225" i="15"/>
  <c r="G225" i="15"/>
  <c r="E225" i="15"/>
  <c r="D225" i="15"/>
  <c r="C225" i="15"/>
  <c r="B225" i="15"/>
  <c r="A225" i="15"/>
  <c r="O224" i="15"/>
  <c r="L224" i="15"/>
  <c r="K224" i="15"/>
  <c r="I224" i="15"/>
  <c r="H224" i="15"/>
  <c r="G224" i="15"/>
  <c r="E224" i="15"/>
  <c r="D224" i="15"/>
  <c r="C224" i="15"/>
  <c r="B224" i="15"/>
  <c r="A224" i="15"/>
  <c r="O223" i="15"/>
  <c r="L223" i="15"/>
  <c r="K223" i="15"/>
  <c r="I223" i="15"/>
  <c r="H223" i="15"/>
  <c r="G223" i="15"/>
  <c r="E223" i="15"/>
  <c r="D223" i="15"/>
  <c r="C223" i="15"/>
  <c r="B223" i="15"/>
  <c r="A223" i="15"/>
  <c r="O222" i="15"/>
  <c r="L222" i="15"/>
  <c r="K222" i="15"/>
  <c r="I222" i="15"/>
  <c r="H222" i="15"/>
  <c r="G222" i="15"/>
  <c r="E222" i="15"/>
  <c r="D222" i="15"/>
  <c r="C222" i="15"/>
  <c r="B222" i="15"/>
  <c r="A222" i="15"/>
  <c r="O221" i="15"/>
  <c r="L221" i="15"/>
  <c r="K221" i="15"/>
  <c r="I221" i="15"/>
  <c r="H221" i="15"/>
  <c r="G221" i="15"/>
  <c r="E221" i="15"/>
  <c r="D221" i="15"/>
  <c r="C221" i="15"/>
  <c r="B221" i="15"/>
  <c r="A221" i="15"/>
  <c r="O220" i="15"/>
  <c r="L220" i="15"/>
  <c r="K220" i="15"/>
  <c r="I220" i="15"/>
  <c r="H220" i="15"/>
  <c r="G220" i="15"/>
  <c r="E220" i="15"/>
  <c r="D220" i="15"/>
  <c r="C220" i="15"/>
  <c r="B220" i="15"/>
  <c r="A220" i="15"/>
  <c r="O219" i="15"/>
  <c r="L219" i="15"/>
  <c r="K219" i="15"/>
  <c r="I219" i="15"/>
  <c r="H219" i="15"/>
  <c r="G219" i="15"/>
  <c r="E219" i="15"/>
  <c r="D219" i="15"/>
  <c r="C219" i="15"/>
  <c r="B219" i="15"/>
  <c r="A219" i="15"/>
  <c r="O218" i="15"/>
  <c r="I218" i="15"/>
  <c r="H218" i="15"/>
  <c r="G218" i="15"/>
  <c r="E218" i="15"/>
  <c r="D218" i="15"/>
  <c r="C218" i="15"/>
  <c r="B218" i="15"/>
  <c r="A218" i="15"/>
  <c r="O217" i="15"/>
  <c r="I217" i="15"/>
  <c r="H217" i="15"/>
  <c r="G217" i="15"/>
  <c r="E217" i="15"/>
  <c r="D217" i="15"/>
  <c r="C217" i="15"/>
  <c r="B217" i="15"/>
  <c r="A217" i="15"/>
  <c r="O216" i="15"/>
  <c r="I216" i="15"/>
  <c r="H216" i="15"/>
  <c r="G216" i="15"/>
  <c r="E216" i="15"/>
  <c r="D216" i="15"/>
  <c r="C216" i="15"/>
  <c r="B216" i="15"/>
  <c r="A216" i="15"/>
  <c r="O215" i="15"/>
  <c r="L215" i="15"/>
  <c r="K215" i="15"/>
  <c r="I215" i="15"/>
  <c r="H215" i="15"/>
  <c r="G215" i="15"/>
  <c r="E215" i="15"/>
  <c r="D215" i="15"/>
  <c r="C215" i="15"/>
  <c r="B215" i="15"/>
  <c r="A215" i="15"/>
  <c r="O214" i="15"/>
  <c r="L214" i="15"/>
  <c r="K214" i="15"/>
  <c r="I214" i="15"/>
  <c r="H214" i="15"/>
  <c r="G214" i="15"/>
  <c r="E214" i="15"/>
  <c r="D214" i="15"/>
  <c r="C214" i="15"/>
  <c r="B214" i="15"/>
  <c r="A214" i="15"/>
  <c r="O213" i="15"/>
  <c r="L213" i="15"/>
  <c r="K213" i="15"/>
  <c r="I213" i="15"/>
  <c r="H213" i="15"/>
  <c r="G213" i="15"/>
  <c r="E213" i="15"/>
  <c r="D213" i="15"/>
  <c r="C213" i="15"/>
  <c r="B213" i="15"/>
  <c r="A213" i="15"/>
  <c r="O212" i="15"/>
  <c r="L212" i="15"/>
  <c r="K212" i="15"/>
  <c r="I212" i="15"/>
  <c r="H212" i="15"/>
  <c r="G212" i="15"/>
  <c r="E212" i="15"/>
  <c r="D212" i="15"/>
  <c r="C212" i="15"/>
  <c r="B212" i="15"/>
  <c r="A212" i="15"/>
  <c r="O211" i="15"/>
  <c r="L211" i="15"/>
  <c r="K211" i="15"/>
  <c r="I211" i="15"/>
  <c r="H211" i="15"/>
  <c r="G211" i="15"/>
  <c r="E211" i="15"/>
  <c r="D211" i="15"/>
  <c r="C211" i="15"/>
  <c r="B211" i="15"/>
  <c r="A211" i="15"/>
  <c r="O210" i="15"/>
  <c r="L210" i="15"/>
  <c r="K210" i="15"/>
  <c r="I210" i="15"/>
  <c r="H210" i="15"/>
  <c r="G210" i="15"/>
  <c r="E210" i="15"/>
  <c r="D210" i="15"/>
  <c r="C210" i="15"/>
  <c r="B210" i="15"/>
  <c r="A210" i="15"/>
  <c r="O209" i="15"/>
  <c r="I209" i="15"/>
  <c r="H209" i="15"/>
  <c r="G209" i="15"/>
  <c r="E209" i="15"/>
  <c r="D209" i="15"/>
  <c r="C209" i="15"/>
  <c r="B209" i="15"/>
  <c r="A209" i="15"/>
  <c r="O208" i="15"/>
  <c r="L208" i="15"/>
  <c r="K208" i="15"/>
  <c r="I208" i="15"/>
  <c r="H208" i="15"/>
  <c r="G208" i="15"/>
  <c r="E208" i="15"/>
  <c r="D208" i="15"/>
  <c r="C208" i="15"/>
  <c r="B208" i="15"/>
  <c r="A208" i="15"/>
  <c r="O207" i="15"/>
  <c r="L207" i="15"/>
  <c r="K207" i="15"/>
  <c r="I207" i="15"/>
  <c r="H207" i="15"/>
  <c r="G207" i="15"/>
  <c r="E207" i="15"/>
  <c r="D207" i="15"/>
  <c r="C207" i="15"/>
  <c r="B207" i="15"/>
  <c r="A207" i="15"/>
  <c r="O206" i="15"/>
  <c r="L206" i="15"/>
  <c r="K206" i="15"/>
  <c r="I206" i="15"/>
  <c r="H206" i="15"/>
  <c r="G206" i="15"/>
  <c r="E206" i="15"/>
  <c r="D206" i="15"/>
  <c r="C206" i="15"/>
  <c r="B206" i="15"/>
  <c r="A206" i="15"/>
  <c r="O205" i="15"/>
  <c r="L205" i="15"/>
  <c r="K205" i="15"/>
  <c r="I205" i="15"/>
  <c r="H205" i="15"/>
  <c r="G205" i="15"/>
  <c r="E205" i="15"/>
  <c r="D205" i="15"/>
  <c r="C205" i="15"/>
  <c r="B205" i="15"/>
  <c r="A205" i="15"/>
  <c r="O204" i="15"/>
  <c r="L204" i="15"/>
  <c r="K204" i="15"/>
  <c r="I204" i="15"/>
  <c r="H204" i="15"/>
  <c r="G204" i="15"/>
  <c r="E204" i="15"/>
  <c r="D204" i="15"/>
  <c r="C204" i="15"/>
  <c r="B204" i="15"/>
  <c r="A204" i="15"/>
  <c r="O203" i="15"/>
  <c r="L203" i="15"/>
  <c r="K203" i="15"/>
  <c r="I203" i="15"/>
  <c r="H203" i="15"/>
  <c r="G203" i="15"/>
  <c r="E203" i="15"/>
  <c r="D203" i="15"/>
  <c r="C203" i="15"/>
  <c r="B203" i="15"/>
  <c r="A203" i="15"/>
  <c r="O202" i="15"/>
  <c r="L202" i="15"/>
  <c r="K202" i="15"/>
  <c r="I202" i="15"/>
  <c r="H202" i="15"/>
  <c r="G202" i="15"/>
  <c r="E202" i="15"/>
  <c r="D202" i="15"/>
  <c r="C202" i="15"/>
  <c r="B202" i="15"/>
  <c r="A202" i="15"/>
  <c r="O201" i="15"/>
  <c r="L201" i="15"/>
  <c r="K201" i="15"/>
  <c r="I201" i="15"/>
  <c r="H201" i="15"/>
  <c r="G201" i="15"/>
  <c r="E201" i="15"/>
  <c r="D201" i="15"/>
  <c r="C201" i="15"/>
  <c r="B201" i="15"/>
  <c r="A201" i="15"/>
  <c r="O200" i="15"/>
  <c r="L200" i="15"/>
  <c r="K200" i="15"/>
  <c r="I200" i="15"/>
  <c r="H200" i="15"/>
  <c r="G200" i="15"/>
  <c r="E200" i="15"/>
  <c r="D200" i="15"/>
  <c r="C200" i="15"/>
  <c r="B200" i="15"/>
  <c r="A200" i="15"/>
  <c r="O199" i="15"/>
  <c r="L199" i="15"/>
  <c r="K199" i="15"/>
  <c r="I199" i="15"/>
  <c r="H199" i="15"/>
  <c r="G199" i="15"/>
  <c r="E199" i="15"/>
  <c r="D199" i="15"/>
  <c r="C199" i="15"/>
  <c r="B199" i="15"/>
  <c r="A199" i="15"/>
  <c r="O198" i="15"/>
  <c r="L198" i="15"/>
  <c r="K198" i="15"/>
  <c r="I198" i="15"/>
  <c r="H198" i="15"/>
  <c r="G198" i="15"/>
  <c r="E198" i="15"/>
  <c r="D198" i="15"/>
  <c r="C198" i="15"/>
  <c r="B198" i="15"/>
  <c r="A198" i="15"/>
  <c r="O197" i="15"/>
  <c r="L197" i="15"/>
  <c r="K197" i="15"/>
  <c r="I197" i="15"/>
  <c r="H197" i="15"/>
  <c r="G197" i="15"/>
  <c r="E197" i="15"/>
  <c r="D197" i="15"/>
  <c r="C197" i="15"/>
  <c r="B197" i="15"/>
  <c r="A197" i="15"/>
  <c r="O196" i="15"/>
  <c r="L196" i="15"/>
  <c r="K196" i="15"/>
  <c r="I196" i="15"/>
  <c r="H196" i="15"/>
  <c r="G196" i="15"/>
  <c r="E196" i="15"/>
  <c r="D196" i="15"/>
  <c r="C196" i="15"/>
  <c r="B196" i="15"/>
  <c r="A196" i="15"/>
  <c r="O195" i="15"/>
  <c r="L195" i="15"/>
  <c r="K195" i="15"/>
  <c r="I195" i="15"/>
  <c r="H195" i="15"/>
  <c r="G195" i="15"/>
  <c r="E195" i="15"/>
  <c r="D195" i="15"/>
  <c r="C195" i="15"/>
  <c r="B195" i="15"/>
  <c r="A195" i="15"/>
  <c r="O194" i="15"/>
  <c r="L194" i="15"/>
  <c r="K194" i="15"/>
  <c r="I194" i="15"/>
  <c r="H194" i="15"/>
  <c r="G194" i="15"/>
  <c r="E194" i="15"/>
  <c r="D194" i="15"/>
  <c r="C194" i="15"/>
  <c r="B194" i="15"/>
  <c r="A194" i="15"/>
  <c r="O193" i="15"/>
  <c r="L193" i="15"/>
  <c r="K193" i="15"/>
  <c r="I193" i="15"/>
  <c r="H193" i="15"/>
  <c r="G193" i="15"/>
  <c r="E193" i="15"/>
  <c r="D193" i="15"/>
  <c r="C193" i="15"/>
  <c r="B193" i="15"/>
  <c r="A193" i="15"/>
  <c r="O192" i="15"/>
  <c r="L192" i="15"/>
  <c r="K192" i="15"/>
  <c r="I192" i="15"/>
  <c r="H192" i="15"/>
  <c r="G192" i="15"/>
  <c r="E192" i="15"/>
  <c r="D192" i="15"/>
  <c r="C192" i="15"/>
  <c r="B192" i="15"/>
  <c r="A192" i="15"/>
  <c r="O191" i="15"/>
  <c r="L191" i="15"/>
  <c r="K191" i="15"/>
  <c r="I191" i="15"/>
  <c r="H191" i="15"/>
  <c r="G191" i="15"/>
  <c r="E191" i="15"/>
  <c r="D191" i="15"/>
  <c r="C191" i="15"/>
  <c r="B191" i="15"/>
  <c r="A191" i="15"/>
  <c r="O190" i="15"/>
  <c r="L190" i="15"/>
  <c r="K190" i="15"/>
  <c r="I190" i="15"/>
  <c r="H190" i="15"/>
  <c r="G190" i="15"/>
  <c r="E190" i="15"/>
  <c r="D190" i="15"/>
  <c r="C190" i="15"/>
  <c r="B190" i="15"/>
  <c r="A190" i="15"/>
  <c r="O189" i="15"/>
  <c r="L189" i="15"/>
  <c r="K189" i="15"/>
  <c r="I189" i="15"/>
  <c r="H189" i="15"/>
  <c r="G189" i="15"/>
  <c r="E189" i="15"/>
  <c r="D189" i="15"/>
  <c r="C189" i="15"/>
  <c r="B189" i="15"/>
  <c r="A189" i="15"/>
  <c r="O188" i="15"/>
  <c r="L188" i="15"/>
  <c r="K188" i="15"/>
  <c r="I188" i="15"/>
  <c r="H188" i="15"/>
  <c r="G188" i="15"/>
  <c r="E188" i="15"/>
  <c r="D188" i="15"/>
  <c r="C188" i="15"/>
  <c r="B188" i="15"/>
  <c r="A188" i="15"/>
  <c r="O187" i="15"/>
  <c r="L187" i="15"/>
  <c r="K187" i="15"/>
  <c r="I187" i="15"/>
  <c r="H187" i="15"/>
  <c r="G187" i="15"/>
  <c r="E187" i="15"/>
  <c r="D187" i="15"/>
  <c r="C187" i="15"/>
  <c r="B187" i="15"/>
  <c r="A187" i="15"/>
  <c r="O186" i="15"/>
  <c r="L186" i="15"/>
  <c r="K186" i="15"/>
  <c r="I186" i="15"/>
  <c r="H186" i="15"/>
  <c r="G186" i="15"/>
  <c r="E186" i="15"/>
  <c r="D186" i="15"/>
  <c r="C186" i="15"/>
  <c r="B186" i="15"/>
  <c r="A186" i="15"/>
  <c r="O185" i="15"/>
  <c r="L185" i="15"/>
  <c r="K185" i="15"/>
  <c r="I185" i="15"/>
  <c r="H185" i="15"/>
  <c r="G185" i="15"/>
  <c r="E185" i="15"/>
  <c r="D185" i="15"/>
  <c r="C185" i="15"/>
  <c r="B185" i="15"/>
  <c r="A185" i="15"/>
  <c r="O184" i="15"/>
  <c r="L184" i="15"/>
  <c r="K184" i="15"/>
  <c r="I184" i="15"/>
  <c r="H184" i="15"/>
  <c r="G184" i="15"/>
  <c r="E184" i="15"/>
  <c r="D184" i="15"/>
  <c r="C184" i="15"/>
  <c r="B184" i="15"/>
  <c r="A184" i="15"/>
  <c r="O183" i="15"/>
  <c r="L183" i="15"/>
  <c r="K183" i="15"/>
  <c r="I183" i="15"/>
  <c r="H183" i="15"/>
  <c r="G183" i="15"/>
  <c r="E183" i="15"/>
  <c r="D183" i="15"/>
  <c r="C183" i="15"/>
  <c r="B183" i="15"/>
  <c r="A183" i="15"/>
  <c r="O182" i="15"/>
  <c r="L182" i="15"/>
  <c r="K182" i="15"/>
  <c r="I182" i="15"/>
  <c r="H182" i="15"/>
  <c r="G182" i="15"/>
  <c r="E182" i="15"/>
  <c r="D182" i="15"/>
  <c r="C182" i="15"/>
  <c r="B182" i="15"/>
  <c r="A182" i="15"/>
  <c r="O181" i="15"/>
  <c r="L181" i="15"/>
  <c r="K181" i="15"/>
  <c r="I181" i="15"/>
  <c r="H181" i="15"/>
  <c r="G181" i="15"/>
  <c r="E181" i="15"/>
  <c r="D181" i="15"/>
  <c r="C181" i="15"/>
  <c r="B181" i="15"/>
  <c r="A181" i="15"/>
  <c r="O180" i="15"/>
  <c r="L180" i="15"/>
  <c r="K180" i="15"/>
  <c r="I180" i="15"/>
  <c r="H180" i="15"/>
  <c r="G180" i="15"/>
  <c r="E180" i="15"/>
  <c r="D180" i="15"/>
  <c r="C180" i="15"/>
  <c r="B180" i="15"/>
  <c r="A180" i="15"/>
  <c r="O179" i="15"/>
  <c r="L179" i="15"/>
  <c r="K179" i="15"/>
  <c r="I179" i="15"/>
  <c r="H179" i="15"/>
  <c r="G179" i="15"/>
  <c r="E179" i="15"/>
  <c r="D179" i="15"/>
  <c r="C179" i="15"/>
  <c r="B179" i="15"/>
  <c r="A179" i="15"/>
  <c r="O178" i="15"/>
  <c r="I178" i="15"/>
  <c r="H178" i="15"/>
  <c r="G178" i="15"/>
  <c r="E178" i="15"/>
  <c r="D178" i="15"/>
  <c r="C178" i="15"/>
  <c r="B178" i="15"/>
  <c r="A178" i="15"/>
  <c r="O177" i="15"/>
  <c r="I177" i="15"/>
  <c r="H177" i="15"/>
  <c r="G177" i="15"/>
  <c r="E177" i="15"/>
  <c r="D177" i="15"/>
  <c r="C177" i="15"/>
  <c r="B177" i="15"/>
  <c r="A177" i="15"/>
  <c r="O176" i="15"/>
  <c r="L176" i="15"/>
  <c r="K176" i="15"/>
  <c r="I176" i="15"/>
  <c r="H176" i="15"/>
  <c r="G176" i="15"/>
  <c r="E176" i="15"/>
  <c r="D176" i="15"/>
  <c r="C176" i="15"/>
  <c r="B176" i="15"/>
  <c r="A176" i="15"/>
  <c r="O175" i="15"/>
  <c r="L175" i="15"/>
  <c r="K175" i="15"/>
  <c r="I175" i="15"/>
  <c r="H175" i="15"/>
  <c r="G175" i="15"/>
  <c r="E175" i="15"/>
  <c r="D175" i="15"/>
  <c r="C175" i="15"/>
  <c r="B175" i="15"/>
  <c r="A175" i="15"/>
  <c r="O174" i="15"/>
  <c r="L174" i="15"/>
  <c r="K174" i="15"/>
  <c r="I174" i="15"/>
  <c r="H174" i="15"/>
  <c r="G174" i="15"/>
  <c r="E174" i="15"/>
  <c r="D174" i="15"/>
  <c r="C174" i="15"/>
  <c r="B174" i="15"/>
  <c r="A174" i="15"/>
  <c r="O173" i="15"/>
  <c r="L173" i="15"/>
  <c r="K173" i="15"/>
  <c r="I173" i="15"/>
  <c r="H173" i="15"/>
  <c r="G173" i="15"/>
  <c r="E173" i="15"/>
  <c r="D173" i="15"/>
  <c r="C173" i="15"/>
  <c r="B173" i="15"/>
  <c r="A173" i="15"/>
  <c r="O172" i="15"/>
  <c r="L172" i="15"/>
  <c r="K172" i="15"/>
  <c r="I172" i="15"/>
  <c r="H172" i="15"/>
  <c r="G172" i="15"/>
  <c r="E172" i="15"/>
  <c r="D172" i="15"/>
  <c r="C172" i="15"/>
  <c r="B172" i="15"/>
  <c r="A172" i="15"/>
  <c r="O171" i="15"/>
  <c r="L171" i="15"/>
  <c r="K171" i="15"/>
  <c r="I171" i="15"/>
  <c r="H171" i="15"/>
  <c r="G171" i="15"/>
  <c r="E171" i="15"/>
  <c r="D171" i="15"/>
  <c r="C171" i="15"/>
  <c r="B171" i="15"/>
  <c r="A171" i="15"/>
  <c r="O170" i="15"/>
  <c r="L170" i="15"/>
  <c r="K170" i="15"/>
  <c r="I170" i="15"/>
  <c r="H170" i="15"/>
  <c r="G170" i="15"/>
  <c r="E170" i="15"/>
  <c r="D170" i="15"/>
  <c r="C170" i="15"/>
  <c r="B170" i="15"/>
  <c r="A170" i="15"/>
  <c r="O169" i="15"/>
  <c r="L169" i="15"/>
  <c r="K169" i="15"/>
  <c r="I169" i="15"/>
  <c r="H169" i="15"/>
  <c r="G169" i="15"/>
  <c r="E169" i="15"/>
  <c r="D169" i="15"/>
  <c r="C169" i="15"/>
  <c r="B169" i="15"/>
  <c r="A169" i="15"/>
  <c r="O168" i="15"/>
  <c r="L168" i="15"/>
  <c r="K168" i="15"/>
  <c r="I168" i="15"/>
  <c r="H168" i="15"/>
  <c r="G168" i="15"/>
  <c r="E168" i="15"/>
  <c r="D168" i="15"/>
  <c r="C168" i="15"/>
  <c r="B168" i="15"/>
  <c r="A168" i="15"/>
  <c r="O167" i="15"/>
  <c r="L167" i="15"/>
  <c r="K167" i="15"/>
  <c r="I167" i="15"/>
  <c r="H167" i="15"/>
  <c r="G167" i="15"/>
  <c r="E167" i="15"/>
  <c r="D167" i="15"/>
  <c r="C167" i="15"/>
  <c r="B167" i="15"/>
  <c r="A167" i="15"/>
  <c r="O166" i="15"/>
  <c r="L166" i="15"/>
  <c r="K166" i="15"/>
  <c r="I166" i="15"/>
  <c r="H166" i="15"/>
  <c r="G166" i="15"/>
  <c r="E166" i="15"/>
  <c r="D166" i="15"/>
  <c r="C166" i="15"/>
  <c r="B166" i="15"/>
  <c r="A166" i="15"/>
  <c r="O165" i="15"/>
  <c r="L165" i="15"/>
  <c r="K165" i="15"/>
  <c r="I165" i="15"/>
  <c r="H165" i="15"/>
  <c r="G165" i="15"/>
  <c r="E165" i="15"/>
  <c r="D165" i="15"/>
  <c r="C165" i="15"/>
  <c r="B165" i="15"/>
  <c r="A165" i="15"/>
  <c r="O164" i="15"/>
  <c r="L164" i="15"/>
  <c r="K164" i="15"/>
  <c r="I164" i="15"/>
  <c r="H164" i="15"/>
  <c r="G164" i="15"/>
  <c r="E164" i="15"/>
  <c r="D164" i="15"/>
  <c r="C164" i="15"/>
  <c r="B164" i="15"/>
  <c r="A164" i="15"/>
  <c r="O163" i="15"/>
  <c r="L163" i="15"/>
  <c r="K163" i="15"/>
  <c r="I163" i="15"/>
  <c r="H163" i="15"/>
  <c r="G163" i="15"/>
  <c r="E163" i="15"/>
  <c r="D163" i="15"/>
  <c r="C163" i="15"/>
  <c r="B163" i="15"/>
  <c r="A163" i="15"/>
  <c r="O162" i="15"/>
  <c r="L162" i="15"/>
  <c r="K162" i="15"/>
  <c r="I162" i="15"/>
  <c r="H162" i="15"/>
  <c r="G162" i="15"/>
  <c r="E162" i="15"/>
  <c r="D162" i="15"/>
  <c r="C162" i="15"/>
  <c r="B162" i="15"/>
  <c r="A162" i="15"/>
  <c r="O161" i="15"/>
  <c r="L161" i="15"/>
  <c r="K161" i="15"/>
  <c r="I161" i="15"/>
  <c r="H161" i="15"/>
  <c r="G161" i="15"/>
  <c r="E161" i="15"/>
  <c r="D161" i="15"/>
  <c r="C161" i="15"/>
  <c r="B161" i="15"/>
  <c r="A161" i="15"/>
  <c r="O160" i="15"/>
  <c r="L160" i="15"/>
  <c r="K160" i="15"/>
  <c r="I160" i="15"/>
  <c r="H160" i="15"/>
  <c r="G160" i="15"/>
  <c r="E160" i="15"/>
  <c r="D160" i="15"/>
  <c r="C160" i="15"/>
  <c r="B160" i="15"/>
  <c r="A160" i="15"/>
  <c r="O159" i="15"/>
  <c r="L159" i="15"/>
  <c r="K159" i="15"/>
  <c r="I159" i="15"/>
  <c r="H159" i="15"/>
  <c r="G159" i="15"/>
  <c r="E159" i="15"/>
  <c r="D159" i="15"/>
  <c r="C159" i="15"/>
  <c r="B159" i="15"/>
  <c r="A159" i="15"/>
  <c r="O158" i="15"/>
  <c r="L158" i="15"/>
  <c r="K158" i="15"/>
  <c r="I158" i="15"/>
  <c r="H158" i="15"/>
  <c r="G158" i="15"/>
  <c r="E158" i="15"/>
  <c r="D158" i="15"/>
  <c r="C158" i="15"/>
  <c r="B158" i="15"/>
  <c r="A158" i="15"/>
  <c r="O157" i="15"/>
  <c r="L157" i="15"/>
  <c r="K157" i="15"/>
  <c r="I157" i="15"/>
  <c r="H157" i="15"/>
  <c r="G157" i="15"/>
  <c r="E157" i="15"/>
  <c r="D157" i="15"/>
  <c r="C157" i="15"/>
  <c r="B157" i="15"/>
  <c r="A157" i="15"/>
  <c r="O156" i="15"/>
  <c r="L156" i="15"/>
  <c r="K156" i="15"/>
  <c r="I156" i="15"/>
  <c r="H156" i="15"/>
  <c r="G156" i="15"/>
  <c r="E156" i="15"/>
  <c r="D156" i="15"/>
  <c r="C156" i="15"/>
  <c r="B156" i="15"/>
  <c r="A156" i="15"/>
  <c r="O155" i="15"/>
  <c r="L155" i="15"/>
  <c r="K155" i="15"/>
  <c r="I155" i="15"/>
  <c r="H155" i="15"/>
  <c r="G155" i="15"/>
  <c r="E155" i="15"/>
  <c r="D155" i="15"/>
  <c r="C155" i="15"/>
  <c r="B155" i="15"/>
  <c r="A155" i="15"/>
  <c r="O154" i="15"/>
  <c r="L154" i="15"/>
  <c r="K154" i="15"/>
  <c r="I154" i="15"/>
  <c r="H154" i="15"/>
  <c r="G154" i="15"/>
  <c r="E154" i="15"/>
  <c r="D154" i="15"/>
  <c r="C154" i="15"/>
  <c r="B154" i="15"/>
  <c r="A154" i="15"/>
  <c r="O153" i="15"/>
  <c r="I153" i="15"/>
  <c r="H153" i="15"/>
  <c r="G153" i="15"/>
  <c r="E153" i="15"/>
  <c r="D153" i="15"/>
  <c r="C153" i="15"/>
  <c r="B153" i="15"/>
  <c r="A153" i="15"/>
  <c r="O152" i="15"/>
  <c r="I152" i="15"/>
  <c r="H152" i="15"/>
  <c r="G152" i="15"/>
  <c r="E152" i="15"/>
  <c r="D152" i="15"/>
  <c r="C152" i="15"/>
  <c r="B152" i="15"/>
  <c r="A152" i="15"/>
  <c r="O151" i="15"/>
  <c r="I151" i="15"/>
  <c r="H151" i="15"/>
  <c r="G151" i="15"/>
  <c r="E151" i="15"/>
  <c r="D151" i="15"/>
  <c r="C151" i="15"/>
  <c r="B151" i="15"/>
  <c r="A151" i="15"/>
  <c r="O150" i="15"/>
  <c r="I150" i="15"/>
  <c r="H150" i="15"/>
  <c r="G150" i="15"/>
  <c r="E150" i="15"/>
  <c r="D150" i="15"/>
  <c r="C150" i="15"/>
  <c r="B150" i="15"/>
  <c r="A150" i="15"/>
  <c r="O149" i="15"/>
  <c r="L149" i="15"/>
  <c r="K149" i="15"/>
  <c r="I149" i="15"/>
  <c r="H149" i="15"/>
  <c r="G149" i="15"/>
  <c r="E149" i="15"/>
  <c r="D149" i="15"/>
  <c r="C149" i="15"/>
  <c r="B149" i="15"/>
  <c r="A149" i="15"/>
  <c r="O148" i="15"/>
  <c r="L148" i="15"/>
  <c r="K148" i="15"/>
  <c r="I148" i="15"/>
  <c r="H148" i="15"/>
  <c r="G148" i="15"/>
  <c r="E148" i="15"/>
  <c r="D148" i="15"/>
  <c r="C148" i="15"/>
  <c r="B148" i="15"/>
  <c r="A148" i="15"/>
  <c r="O147" i="15"/>
  <c r="L147" i="15"/>
  <c r="K147" i="15"/>
  <c r="I147" i="15"/>
  <c r="H147" i="15"/>
  <c r="G147" i="15"/>
  <c r="E147" i="15"/>
  <c r="D147" i="15"/>
  <c r="C147" i="15"/>
  <c r="B147" i="15"/>
  <c r="A147" i="15"/>
  <c r="O146" i="15"/>
  <c r="L146" i="15"/>
  <c r="K146" i="15"/>
  <c r="I146" i="15"/>
  <c r="H146" i="15"/>
  <c r="G146" i="15"/>
  <c r="E146" i="15"/>
  <c r="D146" i="15"/>
  <c r="C146" i="15"/>
  <c r="B146" i="15"/>
  <c r="A146" i="15"/>
  <c r="O145" i="15"/>
  <c r="L145" i="15"/>
  <c r="K145" i="15"/>
  <c r="I145" i="15"/>
  <c r="H145" i="15"/>
  <c r="G145" i="15"/>
  <c r="E145" i="15"/>
  <c r="D145" i="15"/>
  <c r="C145" i="15"/>
  <c r="B145" i="15"/>
  <c r="A145" i="15"/>
  <c r="O144" i="15"/>
  <c r="L144" i="15"/>
  <c r="K144" i="15"/>
  <c r="I144" i="15"/>
  <c r="H144" i="15"/>
  <c r="G144" i="15"/>
  <c r="E144" i="15"/>
  <c r="D144" i="15"/>
  <c r="C144" i="15"/>
  <c r="B144" i="15"/>
  <c r="A144" i="15"/>
  <c r="O143" i="15"/>
  <c r="L143" i="15"/>
  <c r="K143" i="15"/>
  <c r="I143" i="15"/>
  <c r="H143" i="15"/>
  <c r="G143" i="15"/>
  <c r="E143" i="15"/>
  <c r="D143" i="15"/>
  <c r="C143" i="15"/>
  <c r="B143" i="15"/>
  <c r="A143" i="15"/>
  <c r="O142" i="15"/>
  <c r="L142" i="15"/>
  <c r="K142" i="15"/>
  <c r="I142" i="15"/>
  <c r="H142" i="15"/>
  <c r="G142" i="15"/>
  <c r="E142" i="15"/>
  <c r="D142" i="15"/>
  <c r="C142" i="15"/>
  <c r="B142" i="15"/>
  <c r="A142" i="15"/>
  <c r="O141" i="15"/>
  <c r="L141" i="15"/>
  <c r="K141" i="15"/>
  <c r="I141" i="15"/>
  <c r="H141" i="15"/>
  <c r="G141" i="15"/>
  <c r="E141" i="15"/>
  <c r="D141" i="15"/>
  <c r="C141" i="15"/>
  <c r="B141" i="15"/>
  <c r="A141" i="15"/>
  <c r="O140" i="15"/>
  <c r="L140" i="15"/>
  <c r="K140" i="15"/>
  <c r="I140" i="15"/>
  <c r="H140" i="15"/>
  <c r="G140" i="15"/>
  <c r="E140" i="15"/>
  <c r="D140" i="15"/>
  <c r="C140" i="15"/>
  <c r="B140" i="15"/>
  <c r="A140" i="15"/>
  <c r="O139" i="15"/>
  <c r="L139" i="15"/>
  <c r="K139" i="15"/>
  <c r="I139" i="15"/>
  <c r="H139" i="15"/>
  <c r="G139" i="15"/>
  <c r="E139" i="15"/>
  <c r="D139" i="15"/>
  <c r="C139" i="15"/>
  <c r="B139" i="15"/>
  <c r="A139" i="15"/>
  <c r="O138" i="15"/>
  <c r="L138" i="15"/>
  <c r="K138" i="15"/>
  <c r="I138" i="15"/>
  <c r="H138" i="15"/>
  <c r="G138" i="15"/>
  <c r="E138" i="15"/>
  <c r="D138" i="15"/>
  <c r="C138" i="15"/>
  <c r="B138" i="15"/>
  <c r="A138" i="15"/>
  <c r="O137" i="15"/>
  <c r="L137" i="15"/>
  <c r="K137" i="15"/>
  <c r="I137" i="15"/>
  <c r="H137" i="15"/>
  <c r="G137" i="15"/>
  <c r="E137" i="15"/>
  <c r="D137" i="15"/>
  <c r="C137" i="15"/>
  <c r="B137" i="15"/>
  <c r="A137" i="15"/>
  <c r="O136" i="15"/>
  <c r="L136" i="15"/>
  <c r="K136" i="15"/>
  <c r="I136" i="15"/>
  <c r="H136" i="15"/>
  <c r="G136" i="15"/>
  <c r="E136" i="15"/>
  <c r="D136" i="15"/>
  <c r="C136" i="15"/>
  <c r="B136" i="15"/>
  <c r="A136" i="15"/>
  <c r="O135" i="15"/>
  <c r="L135" i="15"/>
  <c r="K135" i="15"/>
  <c r="I135" i="15"/>
  <c r="H135" i="15"/>
  <c r="G135" i="15"/>
  <c r="E135" i="15"/>
  <c r="D135" i="15"/>
  <c r="C135" i="15"/>
  <c r="B135" i="15"/>
  <c r="A135" i="15"/>
  <c r="O134" i="15"/>
  <c r="L134" i="15"/>
  <c r="K134" i="15"/>
  <c r="I134" i="15"/>
  <c r="H134" i="15"/>
  <c r="G134" i="15"/>
  <c r="E134" i="15"/>
  <c r="D134" i="15"/>
  <c r="C134" i="15"/>
  <c r="B134" i="15"/>
  <c r="A134" i="15"/>
  <c r="O133" i="15"/>
  <c r="L133" i="15"/>
  <c r="K133" i="15"/>
  <c r="I133" i="15"/>
  <c r="H133" i="15"/>
  <c r="G133" i="15"/>
  <c r="E133" i="15"/>
  <c r="D133" i="15"/>
  <c r="C133" i="15"/>
  <c r="B133" i="15"/>
  <c r="A133" i="15"/>
  <c r="O132" i="15"/>
  <c r="L132" i="15"/>
  <c r="K132" i="15"/>
  <c r="I132" i="15"/>
  <c r="H132" i="15"/>
  <c r="G132" i="15"/>
  <c r="E132" i="15"/>
  <c r="D132" i="15"/>
  <c r="C132" i="15"/>
  <c r="B132" i="15"/>
  <c r="A132" i="15"/>
  <c r="O131" i="15"/>
  <c r="L131" i="15"/>
  <c r="K131" i="15"/>
  <c r="I131" i="15"/>
  <c r="H131" i="15"/>
  <c r="G131" i="15"/>
  <c r="E131" i="15"/>
  <c r="D131" i="15"/>
  <c r="C131" i="15"/>
  <c r="B131" i="15"/>
  <c r="A131" i="15"/>
  <c r="O130" i="15"/>
  <c r="L130" i="15"/>
  <c r="K130" i="15"/>
  <c r="I130" i="15"/>
  <c r="H130" i="15"/>
  <c r="G130" i="15"/>
  <c r="E130" i="15"/>
  <c r="D130" i="15"/>
  <c r="C130" i="15"/>
  <c r="B130" i="15"/>
  <c r="A130" i="15"/>
  <c r="O129" i="15"/>
  <c r="G129" i="15"/>
  <c r="C129" i="15"/>
  <c r="B129" i="15"/>
  <c r="A129" i="15"/>
  <c r="O128" i="15"/>
  <c r="G128" i="15"/>
  <c r="C128" i="15"/>
  <c r="B128" i="15"/>
  <c r="A128" i="15"/>
  <c r="O127" i="15"/>
  <c r="I127" i="15"/>
  <c r="H127" i="15"/>
  <c r="G127" i="15"/>
  <c r="C127" i="15"/>
  <c r="B127" i="15"/>
  <c r="A127" i="15"/>
  <c r="O126" i="15"/>
  <c r="L126" i="15"/>
  <c r="K126" i="15"/>
  <c r="G126" i="15"/>
  <c r="C126" i="15"/>
  <c r="B126" i="15"/>
  <c r="A126" i="15"/>
  <c r="O125" i="15"/>
  <c r="L125" i="15"/>
  <c r="K125" i="15"/>
  <c r="G125" i="15"/>
  <c r="C125" i="15"/>
  <c r="B125" i="15"/>
  <c r="A125" i="15"/>
  <c r="O124" i="15"/>
  <c r="I124" i="15"/>
  <c r="H124" i="15"/>
  <c r="G124" i="15"/>
  <c r="C124" i="15"/>
  <c r="B124" i="15"/>
  <c r="A124" i="15"/>
  <c r="O123" i="15"/>
  <c r="I123" i="15"/>
  <c r="H123" i="15"/>
  <c r="G123" i="15"/>
  <c r="C123" i="15"/>
  <c r="B123" i="15"/>
  <c r="A123" i="15"/>
  <c r="O122" i="15"/>
  <c r="I122" i="15"/>
  <c r="H122" i="15"/>
  <c r="G122" i="15"/>
  <c r="C122" i="15"/>
  <c r="B122" i="15"/>
  <c r="A122" i="15"/>
  <c r="O121" i="15"/>
  <c r="L121" i="15"/>
  <c r="K121" i="15"/>
  <c r="G121" i="15"/>
  <c r="C121" i="15"/>
  <c r="B121" i="15"/>
  <c r="A121" i="15"/>
  <c r="O120" i="15"/>
  <c r="L120" i="15"/>
  <c r="K120" i="15"/>
  <c r="I120" i="15"/>
  <c r="H120" i="15"/>
  <c r="G120" i="15"/>
  <c r="C120" i="15"/>
  <c r="B120" i="15"/>
  <c r="A120" i="15"/>
  <c r="O119" i="15"/>
  <c r="L119" i="15"/>
  <c r="K119" i="15"/>
  <c r="I119" i="15"/>
  <c r="H119" i="15"/>
  <c r="G119" i="15"/>
  <c r="C119" i="15"/>
  <c r="B119" i="15"/>
  <c r="A119" i="15"/>
  <c r="O118" i="15"/>
  <c r="L118" i="15"/>
  <c r="K118" i="15"/>
  <c r="I118" i="15"/>
  <c r="H118" i="15"/>
  <c r="G118" i="15"/>
  <c r="C118" i="15"/>
  <c r="B118" i="15"/>
  <c r="A118" i="15"/>
  <c r="O117" i="15"/>
  <c r="L117" i="15"/>
  <c r="K117" i="15"/>
  <c r="I117" i="15"/>
  <c r="H117" i="15"/>
  <c r="G117" i="15"/>
  <c r="C117" i="15"/>
  <c r="B117" i="15"/>
  <c r="A117" i="15"/>
  <c r="O116" i="15"/>
  <c r="L116" i="15"/>
  <c r="K116" i="15"/>
  <c r="I116" i="15"/>
  <c r="H116" i="15"/>
  <c r="G116" i="15"/>
  <c r="E116" i="15"/>
  <c r="D116" i="15"/>
  <c r="C116" i="15"/>
  <c r="B116" i="15"/>
  <c r="A116" i="15"/>
  <c r="O115" i="15"/>
  <c r="L115" i="15"/>
  <c r="K115" i="15"/>
  <c r="I115" i="15"/>
  <c r="H115" i="15"/>
  <c r="G115" i="15"/>
  <c r="E115" i="15"/>
  <c r="D115" i="15"/>
  <c r="C115" i="15"/>
  <c r="B115" i="15"/>
  <c r="A115" i="15"/>
  <c r="O114" i="15"/>
  <c r="L114" i="15"/>
  <c r="K114" i="15"/>
  <c r="I114" i="15"/>
  <c r="H114" i="15"/>
  <c r="G114" i="15"/>
  <c r="E114" i="15"/>
  <c r="D114" i="15"/>
  <c r="C114" i="15"/>
  <c r="B114" i="15"/>
  <c r="A114" i="15"/>
  <c r="O113" i="15"/>
  <c r="L113" i="15"/>
  <c r="K113" i="15"/>
  <c r="I113" i="15"/>
  <c r="H113" i="15"/>
  <c r="G113" i="15"/>
  <c r="E113" i="15"/>
  <c r="D113" i="15"/>
  <c r="C113" i="15"/>
  <c r="B113" i="15"/>
  <c r="A113" i="15"/>
  <c r="O112" i="15"/>
  <c r="L112" i="15"/>
  <c r="K112" i="15"/>
  <c r="I112" i="15"/>
  <c r="H112" i="15"/>
  <c r="G112" i="15"/>
  <c r="E112" i="15"/>
  <c r="D112" i="15"/>
  <c r="C112" i="15"/>
  <c r="B112" i="15"/>
  <c r="A112" i="15"/>
  <c r="O111" i="15"/>
  <c r="L111" i="15"/>
  <c r="K111" i="15"/>
  <c r="I111" i="15"/>
  <c r="H111" i="15"/>
  <c r="G111" i="15"/>
  <c r="E111" i="15"/>
  <c r="D111" i="15"/>
  <c r="C111" i="15"/>
  <c r="B111" i="15"/>
  <c r="A111" i="15"/>
  <c r="O110" i="15"/>
  <c r="L110" i="15"/>
  <c r="K110" i="15"/>
  <c r="I110" i="15"/>
  <c r="H110" i="15"/>
  <c r="G110" i="15"/>
  <c r="E110" i="15"/>
  <c r="D110" i="15"/>
  <c r="C110" i="15"/>
  <c r="B110" i="15"/>
  <c r="A110" i="15"/>
  <c r="O109" i="15"/>
  <c r="L109" i="15"/>
  <c r="K109" i="15"/>
  <c r="I109" i="15"/>
  <c r="H109" i="15"/>
  <c r="G109" i="15"/>
  <c r="E109" i="15"/>
  <c r="D109" i="15"/>
  <c r="C109" i="15"/>
  <c r="B109" i="15"/>
  <c r="A109" i="15"/>
  <c r="O108" i="15"/>
  <c r="L108" i="15"/>
  <c r="K108" i="15"/>
  <c r="I108" i="15"/>
  <c r="H108" i="15"/>
  <c r="G108" i="15"/>
  <c r="E108" i="15"/>
  <c r="D108" i="15"/>
  <c r="C108" i="15"/>
  <c r="B108" i="15"/>
  <c r="A108" i="15"/>
  <c r="O107" i="15"/>
  <c r="L107" i="15"/>
  <c r="K107" i="15"/>
  <c r="I107" i="15"/>
  <c r="H107" i="15"/>
  <c r="G107" i="15"/>
  <c r="E107" i="15"/>
  <c r="D107" i="15"/>
  <c r="C107" i="15"/>
  <c r="B107" i="15"/>
  <c r="A107" i="15"/>
  <c r="O106" i="15"/>
  <c r="L106" i="15"/>
  <c r="K106" i="15"/>
  <c r="I106" i="15"/>
  <c r="H106" i="15"/>
  <c r="G106" i="15"/>
  <c r="E106" i="15"/>
  <c r="D106" i="15"/>
  <c r="C106" i="15"/>
  <c r="B106" i="15"/>
  <c r="A106" i="15"/>
  <c r="O105" i="15"/>
  <c r="L105" i="15"/>
  <c r="K105" i="15"/>
  <c r="I105" i="15"/>
  <c r="H105" i="15"/>
  <c r="G105" i="15"/>
  <c r="E105" i="15"/>
  <c r="D105" i="15"/>
  <c r="C105" i="15"/>
  <c r="B105" i="15"/>
  <c r="A105" i="15"/>
  <c r="O104" i="15"/>
  <c r="L104" i="15"/>
  <c r="K104" i="15"/>
  <c r="I104" i="15"/>
  <c r="H104" i="15"/>
  <c r="G104" i="15"/>
  <c r="E104" i="15"/>
  <c r="D104" i="15"/>
  <c r="C104" i="15"/>
  <c r="B104" i="15"/>
  <c r="A104" i="15"/>
  <c r="O103" i="15"/>
  <c r="L103" i="15"/>
  <c r="K103" i="15"/>
  <c r="I103" i="15"/>
  <c r="H103" i="15"/>
  <c r="G103" i="15"/>
  <c r="E103" i="15"/>
  <c r="D103" i="15"/>
  <c r="C103" i="15"/>
  <c r="B103" i="15"/>
  <c r="A103" i="15"/>
  <c r="O102" i="15"/>
  <c r="L102" i="15"/>
  <c r="K102" i="15"/>
  <c r="I102" i="15"/>
  <c r="H102" i="15"/>
  <c r="G102" i="15"/>
  <c r="E102" i="15"/>
  <c r="D102" i="15"/>
  <c r="C102" i="15"/>
  <c r="B102" i="15"/>
  <c r="A102" i="15"/>
  <c r="O101" i="15"/>
  <c r="L101" i="15"/>
  <c r="K101" i="15"/>
  <c r="I101" i="15"/>
  <c r="H101" i="15"/>
  <c r="G101" i="15"/>
  <c r="E101" i="15"/>
  <c r="D101" i="15"/>
  <c r="C101" i="15"/>
  <c r="B101" i="15"/>
  <c r="A101" i="15"/>
  <c r="O100" i="15"/>
  <c r="L100" i="15"/>
  <c r="K100" i="15"/>
  <c r="I100" i="15"/>
  <c r="H100" i="15"/>
  <c r="G100" i="15"/>
  <c r="E100" i="15"/>
  <c r="D100" i="15"/>
  <c r="C100" i="15"/>
  <c r="B100" i="15"/>
  <c r="A100" i="15"/>
  <c r="O99" i="15"/>
  <c r="L99" i="15"/>
  <c r="K99" i="15"/>
  <c r="I99" i="15"/>
  <c r="H99" i="15"/>
  <c r="G99" i="15"/>
  <c r="E99" i="15"/>
  <c r="D99" i="15"/>
  <c r="C99" i="15"/>
  <c r="B99" i="15"/>
  <c r="A99" i="15"/>
  <c r="O98" i="15"/>
  <c r="L98" i="15"/>
  <c r="K98" i="15"/>
  <c r="I98" i="15"/>
  <c r="H98" i="15"/>
  <c r="G98" i="15"/>
  <c r="E98" i="15"/>
  <c r="D98" i="15"/>
  <c r="C98" i="15"/>
  <c r="B98" i="15"/>
  <c r="A98" i="15"/>
  <c r="O97" i="15"/>
  <c r="L97" i="15"/>
  <c r="K97" i="15"/>
  <c r="I97" i="15"/>
  <c r="H97" i="15"/>
  <c r="G97" i="15"/>
  <c r="E97" i="15"/>
  <c r="D97" i="15"/>
  <c r="C97" i="15"/>
  <c r="B97" i="15"/>
  <c r="A97" i="15"/>
  <c r="O96" i="15"/>
  <c r="L96" i="15"/>
  <c r="K96" i="15"/>
  <c r="I96" i="15"/>
  <c r="H96" i="15"/>
  <c r="G96" i="15"/>
  <c r="E96" i="15"/>
  <c r="D96" i="15"/>
  <c r="C96" i="15"/>
  <c r="B96" i="15"/>
  <c r="A96" i="15"/>
  <c r="O95" i="15"/>
  <c r="L95" i="15"/>
  <c r="K95" i="15"/>
  <c r="I95" i="15"/>
  <c r="H95" i="15"/>
  <c r="G95" i="15"/>
  <c r="E95" i="15"/>
  <c r="D95" i="15"/>
  <c r="C95" i="15"/>
  <c r="B95" i="15"/>
  <c r="A95" i="15"/>
  <c r="O94" i="15"/>
  <c r="L94" i="15"/>
  <c r="K94" i="15"/>
  <c r="I94" i="15"/>
  <c r="H94" i="15"/>
  <c r="G94" i="15"/>
  <c r="E94" i="15"/>
  <c r="D94" i="15"/>
  <c r="C94" i="15"/>
  <c r="B94" i="15"/>
  <c r="A94" i="15"/>
  <c r="O93" i="15"/>
  <c r="L93" i="15"/>
  <c r="K93" i="15"/>
  <c r="I93" i="15"/>
  <c r="H93" i="15"/>
  <c r="G93" i="15"/>
  <c r="E93" i="15"/>
  <c r="D93" i="15"/>
  <c r="C93" i="15"/>
  <c r="B93" i="15"/>
  <c r="A93" i="15"/>
  <c r="O92" i="15"/>
  <c r="L92" i="15"/>
  <c r="K92" i="15"/>
  <c r="I92" i="15"/>
  <c r="H92" i="15"/>
  <c r="G92" i="15"/>
  <c r="E92" i="15"/>
  <c r="D92" i="15"/>
  <c r="C92" i="15"/>
  <c r="B92" i="15"/>
  <c r="A92" i="15"/>
  <c r="O91" i="15"/>
  <c r="L91" i="15"/>
  <c r="K91" i="15"/>
  <c r="I91" i="15"/>
  <c r="H91" i="15"/>
  <c r="G91" i="15"/>
  <c r="E91" i="15"/>
  <c r="D91" i="15"/>
  <c r="C91" i="15"/>
  <c r="B91" i="15"/>
  <c r="A91" i="15"/>
  <c r="O90" i="15"/>
  <c r="L90" i="15"/>
  <c r="K90" i="15"/>
  <c r="I90" i="15"/>
  <c r="H90" i="15"/>
  <c r="G90" i="15"/>
  <c r="E90" i="15"/>
  <c r="D90" i="15"/>
  <c r="C90" i="15"/>
  <c r="B90" i="15"/>
  <c r="A90" i="15"/>
  <c r="O89" i="15"/>
  <c r="L89" i="15"/>
  <c r="K89" i="15"/>
  <c r="I89" i="15"/>
  <c r="H89" i="15"/>
  <c r="G89" i="15"/>
  <c r="E89" i="15"/>
  <c r="D89" i="15"/>
  <c r="C89" i="15"/>
  <c r="B89" i="15"/>
  <c r="A89" i="15"/>
  <c r="O88" i="15"/>
  <c r="L88" i="15"/>
  <c r="K88" i="15"/>
  <c r="I88" i="15"/>
  <c r="H88" i="15"/>
  <c r="G88" i="15"/>
  <c r="E88" i="15"/>
  <c r="D88" i="15"/>
  <c r="C88" i="15"/>
  <c r="B88" i="15"/>
  <c r="A88" i="15"/>
  <c r="O87" i="15"/>
  <c r="L87" i="15"/>
  <c r="K87" i="15"/>
  <c r="I87" i="15"/>
  <c r="H87" i="15"/>
  <c r="G87" i="15"/>
  <c r="E87" i="15"/>
  <c r="D87" i="15"/>
  <c r="C87" i="15"/>
  <c r="B87" i="15"/>
  <c r="A87" i="15"/>
  <c r="O86" i="15"/>
  <c r="L86" i="15"/>
  <c r="K86" i="15"/>
  <c r="I86" i="15"/>
  <c r="H86" i="15"/>
  <c r="G86" i="15"/>
  <c r="E86" i="15"/>
  <c r="D86" i="15"/>
  <c r="C86" i="15"/>
  <c r="B86" i="15"/>
  <c r="A86" i="15"/>
  <c r="O85" i="15"/>
  <c r="L85" i="15"/>
  <c r="K85" i="15"/>
  <c r="I85" i="15"/>
  <c r="H85" i="15"/>
  <c r="G85" i="15"/>
  <c r="E85" i="15"/>
  <c r="D85" i="15"/>
  <c r="C85" i="15"/>
  <c r="B85" i="15"/>
  <c r="A85" i="15"/>
  <c r="O84" i="15"/>
  <c r="L84" i="15"/>
  <c r="K84" i="15"/>
  <c r="I84" i="15"/>
  <c r="H84" i="15"/>
  <c r="G84" i="15"/>
  <c r="E84" i="15"/>
  <c r="D84" i="15"/>
  <c r="C84" i="15"/>
  <c r="B84" i="15"/>
  <c r="A84" i="15"/>
  <c r="O83" i="15"/>
  <c r="L83" i="15"/>
  <c r="K83" i="15"/>
  <c r="I83" i="15"/>
  <c r="H83" i="15"/>
  <c r="G83" i="15"/>
  <c r="E83" i="15"/>
  <c r="D83" i="15"/>
  <c r="C83" i="15"/>
  <c r="B83" i="15"/>
  <c r="A83" i="15"/>
  <c r="O82" i="15"/>
  <c r="L82" i="15"/>
  <c r="K82" i="15"/>
  <c r="I82" i="15"/>
  <c r="H82" i="15"/>
  <c r="G82" i="15"/>
  <c r="E82" i="15"/>
  <c r="D82" i="15"/>
  <c r="C82" i="15"/>
  <c r="B82" i="15"/>
  <c r="A82" i="15"/>
  <c r="O81" i="15"/>
  <c r="L81" i="15"/>
  <c r="K81" i="15"/>
  <c r="I81" i="15"/>
  <c r="H81" i="15"/>
  <c r="G81" i="15"/>
  <c r="E81" i="15"/>
  <c r="D81" i="15"/>
  <c r="C81" i="15"/>
  <c r="B81" i="15"/>
  <c r="A81" i="15"/>
  <c r="O80" i="15"/>
  <c r="L80" i="15"/>
  <c r="K80" i="15"/>
  <c r="I80" i="15"/>
  <c r="H80" i="15"/>
  <c r="G80" i="15"/>
  <c r="E80" i="15"/>
  <c r="D80" i="15"/>
  <c r="C80" i="15"/>
  <c r="B80" i="15"/>
  <c r="A80" i="15"/>
  <c r="O79" i="15"/>
  <c r="L79" i="15"/>
  <c r="K79" i="15"/>
  <c r="I79" i="15"/>
  <c r="H79" i="15"/>
  <c r="G79" i="15"/>
  <c r="E79" i="15"/>
  <c r="D79" i="15"/>
  <c r="C79" i="15"/>
  <c r="B79" i="15"/>
  <c r="A79" i="15"/>
  <c r="O78" i="15"/>
  <c r="L78" i="15"/>
  <c r="K78" i="15"/>
  <c r="I78" i="15"/>
  <c r="H78" i="15"/>
  <c r="G78" i="15"/>
  <c r="E78" i="15"/>
  <c r="D78" i="15"/>
  <c r="C78" i="15"/>
  <c r="B78" i="15"/>
  <c r="A78" i="15"/>
  <c r="O77" i="15"/>
  <c r="L77" i="15"/>
  <c r="K77" i="15"/>
  <c r="I77" i="15"/>
  <c r="H77" i="15"/>
  <c r="G77" i="15"/>
  <c r="E77" i="15"/>
  <c r="D77" i="15"/>
  <c r="C77" i="15"/>
  <c r="B77" i="15"/>
  <c r="A77" i="15"/>
  <c r="O76" i="15"/>
  <c r="L76" i="15"/>
  <c r="K76" i="15"/>
  <c r="I76" i="15"/>
  <c r="H76" i="15"/>
  <c r="G76" i="15"/>
  <c r="E76" i="15"/>
  <c r="D76" i="15"/>
  <c r="C76" i="15"/>
  <c r="B76" i="15"/>
  <c r="A76" i="15"/>
  <c r="O75" i="15"/>
  <c r="L75" i="15"/>
  <c r="K75" i="15"/>
  <c r="I75" i="15"/>
  <c r="H75" i="15"/>
  <c r="G75" i="15"/>
  <c r="E75" i="15"/>
  <c r="D75" i="15"/>
  <c r="C75" i="15"/>
  <c r="B75" i="15"/>
  <c r="A75" i="15"/>
  <c r="O74" i="15"/>
  <c r="L74" i="15"/>
  <c r="K74" i="15"/>
  <c r="I74" i="15"/>
  <c r="H74" i="15"/>
  <c r="G74" i="15"/>
  <c r="E74" i="15"/>
  <c r="D74" i="15"/>
  <c r="C74" i="15"/>
  <c r="B74" i="15"/>
  <c r="A74" i="15"/>
  <c r="O73" i="15"/>
  <c r="L73" i="15"/>
  <c r="K73" i="15"/>
  <c r="I73" i="15"/>
  <c r="H73" i="15"/>
  <c r="G73" i="15"/>
  <c r="E73" i="15"/>
  <c r="D73" i="15"/>
  <c r="C73" i="15"/>
  <c r="B73" i="15"/>
  <c r="A73" i="15"/>
  <c r="O72" i="15"/>
  <c r="L72" i="15"/>
  <c r="K72" i="15"/>
  <c r="I72" i="15"/>
  <c r="H72" i="15"/>
  <c r="G72" i="15"/>
  <c r="E72" i="15"/>
  <c r="D72" i="15"/>
  <c r="C72" i="15"/>
  <c r="B72" i="15"/>
  <c r="A72" i="15"/>
  <c r="O71" i="15"/>
  <c r="L71" i="15"/>
  <c r="K71" i="15"/>
  <c r="I71" i="15"/>
  <c r="H71" i="15"/>
  <c r="G71" i="15"/>
  <c r="E71" i="15"/>
  <c r="D71" i="15"/>
  <c r="C71" i="15"/>
  <c r="B71" i="15"/>
  <c r="A71" i="15"/>
  <c r="O70" i="15"/>
  <c r="L70" i="15"/>
  <c r="K70" i="15"/>
  <c r="I70" i="15"/>
  <c r="H70" i="15"/>
  <c r="G70" i="15"/>
  <c r="E70" i="15"/>
  <c r="D70" i="15"/>
  <c r="C70" i="15"/>
  <c r="B70" i="15"/>
  <c r="A70" i="15"/>
  <c r="O69" i="15"/>
  <c r="L69" i="15"/>
  <c r="K69" i="15"/>
  <c r="I69" i="15"/>
  <c r="H69" i="15"/>
  <c r="G69" i="15"/>
  <c r="E69" i="15"/>
  <c r="D69" i="15"/>
  <c r="C69" i="15"/>
  <c r="B69" i="15"/>
  <c r="A69" i="15"/>
  <c r="O68" i="15"/>
  <c r="L68" i="15"/>
  <c r="K68" i="15"/>
  <c r="I68" i="15"/>
  <c r="H68" i="15"/>
  <c r="G68" i="15"/>
  <c r="E68" i="15"/>
  <c r="D68" i="15"/>
  <c r="C68" i="15"/>
  <c r="B68" i="15"/>
  <c r="A68" i="15"/>
  <c r="O67" i="15"/>
  <c r="L67" i="15"/>
  <c r="K67" i="15"/>
  <c r="I67" i="15"/>
  <c r="H67" i="15"/>
  <c r="G67" i="15"/>
  <c r="E67" i="15"/>
  <c r="D67" i="15"/>
  <c r="C67" i="15"/>
  <c r="B67" i="15"/>
  <c r="A67" i="15"/>
  <c r="O66" i="15"/>
  <c r="L66" i="15"/>
  <c r="K66" i="15"/>
  <c r="I66" i="15"/>
  <c r="H66" i="15"/>
  <c r="G66" i="15"/>
  <c r="E66" i="15"/>
  <c r="D66" i="15"/>
  <c r="C66" i="15"/>
  <c r="B66" i="15"/>
  <c r="A66" i="15"/>
  <c r="O65" i="15"/>
  <c r="L65" i="15"/>
  <c r="K65" i="15"/>
  <c r="I65" i="15"/>
  <c r="H65" i="15"/>
  <c r="G65" i="15"/>
  <c r="E65" i="15"/>
  <c r="D65" i="15"/>
  <c r="C65" i="15"/>
  <c r="B65" i="15"/>
  <c r="A65" i="15"/>
  <c r="O64" i="15"/>
  <c r="L64" i="15"/>
  <c r="K64" i="15"/>
  <c r="I64" i="15"/>
  <c r="H64" i="15"/>
  <c r="G64" i="15"/>
  <c r="E64" i="15"/>
  <c r="D64" i="15"/>
  <c r="C64" i="15"/>
  <c r="B64" i="15"/>
  <c r="A64" i="15"/>
  <c r="O63" i="15"/>
  <c r="L63" i="15"/>
  <c r="K63" i="15"/>
  <c r="I63" i="15"/>
  <c r="H63" i="15"/>
  <c r="G63" i="15"/>
  <c r="E63" i="15"/>
  <c r="D63" i="15"/>
  <c r="C63" i="15"/>
  <c r="B63" i="15"/>
  <c r="A63" i="15"/>
  <c r="O62" i="15"/>
  <c r="L62" i="15"/>
  <c r="K62" i="15"/>
  <c r="I62" i="15"/>
  <c r="H62" i="15"/>
  <c r="G62" i="15"/>
  <c r="E62" i="15"/>
  <c r="D62" i="15"/>
  <c r="C62" i="15"/>
  <c r="B62" i="15"/>
  <c r="A62" i="15"/>
  <c r="O61" i="15"/>
  <c r="L61" i="15"/>
  <c r="K61" i="15"/>
  <c r="I61" i="15"/>
  <c r="H61" i="15"/>
  <c r="G61" i="15"/>
  <c r="E61" i="15"/>
  <c r="D61" i="15"/>
  <c r="C61" i="15"/>
  <c r="B61" i="15"/>
  <c r="A61" i="15"/>
  <c r="O60" i="15"/>
  <c r="L60" i="15"/>
  <c r="K60" i="15"/>
  <c r="I60" i="15"/>
  <c r="H60" i="15"/>
  <c r="G60" i="15"/>
  <c r="E60" i="15"/>
  <c r="D60" i="15"/>
  <c r="C60" i="15"/>
  <c r="B60" i="15"/>
  <c r="A60" i="15"/>
  <c r="O59" i="15"/>
  <c r="L59" i="15"/>
  <c r="K59" i="15"/>
  <c r="I59" i="15"/>
  <c r="H59" i="15"/>
  <c r="G59" i="15"/>
  <c r="E59" i="15"/>
  <c r="D59" i="15"/>
  <c r="C59" i="15"/>
  <c r="B59" i="15"/>
  <c r="A59" i="15"/>
  <c r="O58" i="15"/>
  <c r="L58" i="15"/>
  <c r="K58" i="15"/>
  <c r="I58" i="15"/>
  <c r="H58" i="15"/>
  <c r="G58" i="15"/>
  <c r="E58" i="15"/>
  <c r="D58" i="15"/>
  <c r="C58" i="15"/>
  <c r="B58" i="15"/>
  <c r="A58" i="15"/>
  <c r="O57" i="15"/>
  <c r="M57" i="15"/>
  <c r="L57" i="15"/>
  <c r="K57" i="15"/>
  <c r="I57" i="15"/>
  <c r="H57" i="15"/>
  <c r="G57" i="15"/>
  <c r="E57" i="15"/>
  <c r="D57" i="15"/>
  <c r="C57" i="15"/>
  <c r="B57" i="15"/>
  <c r="A57" i="15"/>
  <c r="O56" i="15"/>
  <c r="L56" i="15"/>
  <c r="K56" i="15"/>
  <c r="I56" i="15"/>
  <c r="H56" i="15"/>
  <c r="G56" i="15"/>
  <c r="E56" i="15"/>
  <c r="D56" i="15"/>
  <c r="C56" i="15"/>
  <c r="B56" i="15"/>
  <c r="A56" i="15"/>
  <c r="O55" i="15"/>
  <c r="L55" i="15"/>
  <c r="K55" i="15"/>
  <c r="I55" i="15"/>
  <c r="H55" i="15"/>
  <c r="G55" i="15"/>
  <c r="E55" i="15"/>
  <c r="D55" i="15"/>
  <c r="C55" i="15"/>
  <c r="B55" i="15"/>
  <c r="A55" i="15"/>
  <c r="O54" i="15"/>
  <c r="L54" i="15"/>
  <c r="K54" i="15"/>
  <c r="I54" i="15"/>
  <c r="H54" i="15"/>
  <c r="G54" i="15"/>
  <c r="E54" i="15"/>
  <c r="D54" i="15"/>
  <c r="C54" i="15"/>
  <c r="B54" i="15"/>
  <c r="A54" i="15"/>
  <c r="O53" i="15"/>
  <c r="L53" i="15"/>
  <c r="K53" i="15"/>
  <c r="I53" i="15"/>
  <c r="H53" i="15"/>
  <c r="G53" i="15"/>
  <c r="E53" i="15"/>
  <c r="D53" i="15"/>
  <c r="C53" i="15"/>
  <c r="B53" i="15"/>
  <c r="A53" i="15"/>
  <c r="O52" i="15"/>
  <c r="L52" i="15"/>
  <c r="K52" i="15"/>
  <c r="I52" i="15"/>
  <c r="H52" i="15"/>
  <c r="G52" i="15"/>
  <c r="E52" i="15"/>
  <c r="D52" i="15"/>
  <c r="C52" i="15"/>
  <c r="B52" i="15"/>
  <c r="A52" i="15"/>
  <c r="O51" i="15"/>
  <c r="L51" i="15"/>
  <c r="K51" i="15"/>
  <c r="I51" i="15"/>
  <c r="H51" i="15"/>
  <c r="G51" i="15"/>
  <c r="E51" i="15"/>
  <c r="D51" i="15"/>
  <c r="C51" i="15"/>
  <c r="B51" i="15"/>
  <c r="A51" i="15"/>
  <c r="O50" i="15"/>
  <c r="L50" i="15"/>
  <c r="K50" i="15"/>
  <c r="I50" i="15"/>
  <c r="H50" i="15"/>
  <c r="G50" i="15"/>
  <c r="E50" i="15"/>
  <c r="D50" i="15"/>
  <c r="C50" i="15"/>
  <c r="B50" i="15"/>
  <c r="A50" i="15"/>
  <c r="O49" i="15"/>
  <c r="L49" i="15"/>
  <c r="K49" i="15"/>
  <c r="I49" i="15"/>
  <c r="H49" i="15"/>
  <c r="G49" i="15"/>
  <c r="E49" i="15"/>
  <c r="D49" i="15"/>
  <c r="C49" i="15"/>
  <c r="B49" i="15"/>
  <c r="A49" i="15"/>
  <c r="O48" i="15"/>
  <c r="L48" i="15"/>
  <c r="K48" i="15"/>
  <c r="I48" i="15"/>
  <c r="H48" i="15"/>
  <c r="G48" i="15"/>
  <c r="E48" i="15"/>
  <c r="D48" i="15"/>
  <c r="C48" i="15"/>
  <c r="B48" i="15"/>
  <c r="A48" i="15"/>
  <c r="O47" i="15"/>
  <c r="L47" i="15"/>
  <c r="K47" i="15"/>
  <c r="I47" i="15"/>
  <c r="H47" i="15"/>
  <c r="G47" i="15"/>
  <c r="E47" i="15"/>
  <c r="D47" i="15"/>
  <c r="C47" i="15"/>
  <c r="B47" i="15"/>
  <c r="A47" i="15"/>
  <c r="O46" i="15"/>
  <c r="L46" i="15"/>
  <c r="K46" i="15"/>
  <c r="I46" i="15"/>
  <c r="H46" i="15"/>
  <c r="G46" i="15"/>
  <c r="E46" i="15"/>
  <c r="D46" i="15"/>
  <c r="C46" i="15"/>
  <c r="B46" i="15"/>
  <c r="A46" i="15"/>
  <c r="O45" i="15"/>
  <c r="L45" i="15"/>
  <c r="K45" i="15"/>
  <c r="I45" i="15"/>
  <c r="H45" i="15"/>
  <c r="G45" i="15"/>
  <c r="E45" i="15"/>
  <c r="D45" i="15"/>
  <c r="C45" i="15"/>
  <c r="B45" i="15"/>
  <c r="A45" i="15"/>
  <c r="O44" i="15"/>
  <c r="L44" i="15"/>
  <c r="K44" i="15"/>
  <c r="I44" i="15"/>
  <c r="H44" i="15"/>
  <c r="G44" i="15"/>
  <c r="E44" i="15"/>
  <c r="D44" i="15"/>
  <c r="C44" i="15"/>
  <c r="B44" i="15"/>
  <c r="A44" i="15"/>
  <c r="O43" i="15"/>
  <c r="L43" i="15"/>
  <c r="K43" i="15"/>
  <c r="I43" i="15"/>
  <c r="H43" i="15"/>
  <c r="G43" i="15"/>
  <c r="E43" i="15"/>
  <c r="D43" i="15"/>
  <c r="C43" i="15"/>
  <c r="B43" i="15"/>
  <c r="A43" i="15"/>
  <c r="O42" i="15"/>
  <c r="L42" i="15"/>
  <c r="K42" i="15"/>
  <c r="I42" i="15"/>
  <c r="H42" i="15"/>
  <c r="G42" i="15"/>
  <c r="E42" i="15"/>
  <c r="D42" i="15"/>
  <c r="C42" i="15"/>
  <c r="B42" i="15"/>
  <c r="A42" i="15"/>
  <c r="O41" i="15"/>
  <c r="L41" i="15"/>
  <c r="K41" i="15"/>
  <c r="I41" i="15"/>
  <c r="H41" i="15"/>
  <c r="G41" i="15"/>
  <c r="E41" i="15"/>
  <c r="D41" i="15"/>
  <c r="C41" i="15"/>
  <c r="B41" i="15"/>
  <c r="A41" i="15"/>
  <c r="O40" i="15"/>
  <c r="L40" i="15"/>
  <c r="K40" i="15"/>
  <c r="I40" i="15"/>
  <c r="H40" i="15"/>
  <c r="G40" i="15"/>
  <c r="E40" i="15"/>
  <c r="D40" i="15"/>
  <c r="C40" i="15"/>
  <c r="B40" i="15"/>
  <c r="A40" i="15"/>
  <c r="O39" i="15"/>
  <c r="L39" i="15"/>
  <c r="K39" i="15"/>
  <c r="I39" i="15"/>
  <c r="H39" i="15"/>
  <c r="G39" i="15"/>
  <c r="E39" i="15"/>
  <c r="D39" i="15"/>
  <c r="C39" i="15"/>
  <c r="B39" i="15"/>
  <c r="A39" i="15"/>
  <c r="O38" i="15"/>
  <c r="L38" i="15"/>
  <c r="K38" i="15"/>
  <c r="I38" i="15"/>
  <c r="H38" i="15"/>
  <c r="G38" i="15"/>
  <c r="E38" i="15"/>
  <c r="D38" i="15"/>
  <c r="C38" i="15"/>
  <c r="B38" i="15"/>
  <c r="A38" i="15"/>
  <c r="O37" i="15"/>
  <c r="L37" i="15"/>
  <c r="K37" i="15"/>
  <c r="I37" i="15"/>
  <c r="H37" i="15"/>
  <c r="G37" i="15"/>
  <c r="E37" i="15"/>
  <c r="D37" i="15"/>
  <c r="C37" i="15"/>
  <c r="B37" i="15"/>
  <c r="A37" i="15"/>
  <c r="O36" i="15"/>
  <c r="L36" i="15"/>
  <c r="K36" i="15"/>
  <c r="I36" i="15"/>
  <c r="H36" i="15"/>
  <c r="G36" i="15"/>
  <c r="E36" i="15"/>
  <c r="D36" i="15"/>
  <c r="C36" i="15"/>
  <c r="B36" i="15"/>
  <c r="A36" i="15"/>
  <c r="O35" i="15"/>
  <c r="L35" i="15"/>
  <c r="K35" i="15"/>
  <c r="I35" i="15"/>
  <c r="H35" i="15"/>
  <c r="G35" i="15"/>
  <c r="E35" i="15"/>
  <c r="D35" i="15"/>
  <c r="C35" i="15"/>
  <c r="B35" i="15"/>
  <c r="A35" i="15"/>
  <c r="O34" i="15"/>
  <c r="L34" i="15"/>
  <c r="K34" i="15"/>
  <c r="I34" i="15"/>
  <c r="H34" i="15"/>
  <c r="G34" i="15"/>
  <c r="E34" i="15"/>
  <c r="D34" i="15"/>
  <c r="C34" i="15"/>
  <c r="B34" i="15"/>
  <c r="A34" i="15"/>
  <c r="O33" i="15"/>
  <c r="L33" i="15"/>
  <c r="K33" i="15"/>
  <c r="I33" i="15"/>
  <c r="H33" i="15"/>
  <c r="G33" i="15"/>
  <c r="E33" i="15"/>
  <c r="D33" i="15"/>
  <c r="C33" i="15"/>
  <c r="B33" i="15"/>
  <c r="A33" i="15"/>
  <c r="O32" i="15"/>
  <c r="L32" i="15"/>
  <c r="K32" i="15"/>
  <c r="I32" i="15"/>
  <c r="H32" i="15"/>
  <c r="G32" i="15"/>
  <c r="E32" i="15"/>
  <c r="D32" i="15"/>
  <c r="C32" i="15"/>
  <c r="B32" i="15"/>
  <c r="A32" i="15"/>
  <c r="O31" i="15"/>
  <c r="L31" i="15"/>
  <c r="K31" i="15"/>
  <c r="I31" i="15"/>
  <c r="H31" i="15"/>
  <c r="G31" i="15"/>
  <c r="E31" i="15"/>
  <c r="D31" i="15"/>
  <c r="C31" i="15"/>
  <c r="B31" i="15"/>
  <c r="A31" i="15"/>
  <c r="O30" i="15"/>
  <c r="L30" i="15"/>
  <c r="K30" i="15"/>
  <c r="I30" i="15"/>
  <c r="H30" i="15"/>
  <c r="G30" i="15"/>
  <c r="E30" i="15"/>
  <c r="D30" i="15"/>
  <c r="C30" i="15"/>
  <c r="B30" i="15"/>
  <c r="A30" i="15"/>
  <c r="O29" i="15"/>
  <c r="L29" i="15"/>
  <c r="K29" i="15"/>
  <c r="I29" i="15"/>
  <c r="H29" i="15"/>
  <c r="G29" i="15"/>
  <c r="E29" i="15"/>
  <c r="D29" i="15"/>
  <c r="C29" i="15"/>
  <c r="B29" i="15"/>
  <c r="A29" i="15"/>
  <c r="O28" i="15"/>
  <c r="L28" i="15"/>
  <c r="K28" i="15"/>
  <c r="I28" i="15"/>
  <c r="H28" i="15"/>
  <c r="G28" i="15"/>
  <c r="E28" i="15"/>
  <c r="D28" i="15"/>
  <c r="C28" i="15"/>
  <c r="B28" i="15"/>
  <c r="A28" i="15"/>
  <c r="O27" i="15"/>
  <c r="L27" i="15"/>
  <c r="K27" i="15"/>
  <c r="I27" i="15"/>
  <c r="H27" i="15"/>
  <c r="G27" i="15"/>
  <c r="E27" i="15"/>
  <c r="D27" i="15"/>
  <c r="C27" i="15"/>
  <c r="B27" i="15"/>
  <c r="A27" i="15"/>
  <c r="O26" i="15"/>
  <c r="L26" i="15"/>
  <c r="K26" i="15"/>
  <c r="I26" i="15"/>
  <c r="H26" i="15"/>
  <c r="G26" i="15"/>
  <c r="E26" i="15"/>
  <c r="D26" i="15"/>
  <c r="C26" i="15"/>
  <c r="B26" i="15"/>
  <c r="A26" i="15"/>
  <c r="O25" i="15"/>
  <c r="L25" i="15"/>
  <c r="K25" i="15"/>
  <c r="I25" i="15"/>
  <c r="H25" i="15"/>
  <c r="G25" i="15"/>
  <c r="E25" i="15"/>
  <c r="D25" i="15"/>
  <c r="C25" i="15"/>
  <c r="B25" i="15"/>
  <c r="A25" i="15"/>
  <c r="O24" i="15"/>
  <c r="L24" i="15"/>
  <c r="K24" i="15"/>
  <c r="I24" i="15"/>
  <c r="H24" i="15"/>
  <c r="G24" i="15"/>
  <c r="E24" i="15"/>
  <c r="D24" i="15"/>
  <c r="C24" i="15"/>
  <c r="B24" i="15"/>
  <c r="A24" i="15"/>
  <c r="O23" i="15"/>
  <c r="L23" i="15"/>
  <c r="K23" i="15"/>
  <c r="I23" i="15"/>
  <c r="H23" i="15"/>
  <c r="G23" i="15"/>
  <c r="E23" i="15"/>
  <c r="D23" i="15"/>
  <c r="C23" i="15"/>
  <c r="B23" i="15"/>
  <c r="A23" i="15"/>
  <c r="O22" i="15"/>
  <c r="L22" i="15"/>
  <c r="K22" i="15"/>
  <c r="I22" i="15"/>
  <c r="H22" i="15"/>
  <c r="G22" i="15"/>
  <c r="E22" i="15"/>
  <c r="D22" i="15"/>
  <c r="C22" i="15"/>
  <c r="B22" i="15"/>
  <c r="A22" i="15"/>
  <c r="O21" i="15"/>
  <c r="L21" i="15"/>
  <c r="K21" i="15"/>
  <c r="I21" i="15"/>
  <c r="H21" i="15"/>
  <c r="G21" i="15"/>
  <c r="E21" i="15"/>
  <c r="D21" i="15"/>
  <c r="C21" i="15"/>
  <c r="B21" i="15"/>
  <c r="A21" i="15"/>
  <c r="O20" i="15"/>
  <c r="L20" i="15"/>
  <c r="K20" i="15"/>
  <c r="I20" i="15"/>
  <c r="H20" i="15"/>
  <c r="G20" i="15"/>
  <c r="E20" i="15"/>
  <c r="D20" i="15"/>
  <c r="C20" i="15"/>
  <c r="B20" i="15"/>
  <c r="A20" i="15"/>
  <c r="O19" i="15"/>
  <c r="L19" i="15"/>
  <c r="K19" i="15"/>
  <c r="I19" i="15"/>
  <c r="H19" i="15"/>
  <c r="G19" i="15"/>
  <c r="E19" i="15"/>
  <c r="D19" i="15"/>
  <c r="C19" i="15"/>
  <c r="B19" i="15"/>
  <c r="A19" i="15"/>
  <c r="O18" i="15"/>
  <c r="L18" i="15"/>
  <c r="K18" i="15"/>
  <c r="I18" i="15"/>
  <c r="H18" i="15"/>
  <c r="G18" i="15"/>
  <c r="E18" i="15"/>
  <c r="D18" i="15"/>
  <c r="C18" i="15"/>
  <c r="B18" i="15"/>
  <c r="A18" i="15"/>
  <c r="O17" i="15"/>
  <c r="L17" i="15"/>
  <c r="K17" i="15"/>
  <c r="I17" i="15"/>
  <c r="H17" i="15"/>
  <c r="G17" i="15"/>
  <c r="E17" i="15"/>
  <c r="D17" i="15"/>
  <c r="C17" i="15"/>
  <c r="B17" i="15"/>
  <c r="A17" i="15"/>
  <c r="O16" i="15"/>
  <c r="L16" i="15"/>
  <c r="K16" i="15"/>
  <c r="I16" i="15"/>
  <c r="H16" i="15"/>
  <c r="G16" i="15"/>
  <c r="E16" i="15"/>
  <c r="D16" i="15"/>
  <c r="C16" i="15"/>
  <c r="B16" i="15"/>
  <c r="A16" i="15"/>
  <c r="O15" i="15"/>
  <c r="L15" i="15"/>
  <c r="K15" i="15"/>
  <c r="I15" i="15"/>
  <c r="H15" i="15"/>
  <c r="G15" i="15"/>
  <c r="E15" i="15"/>
  <c r="D15" i="15"/>
  <c r="C15" i="15"/>
  <c r="B15" i="15"/>
  <c r="A15" i="15"/>
  <c r="O14" i="15"/>
  <c r="L14" i="15"/>
  <c r="K14" i="15"/>
  <c r="I14" i="15"/>
  <c r="H14" i="15"/>
  <c r="G14" i="15"/>
  <c r="E14" i="15"/>
  <c r="D14" i="15"/>
  <c r="C14" i="15"/>
  <c r="B14" i="15"/>
  <c r="A14" i="15"/>
  <c r="O13" i="15"/>
  <c r="L13" i="15"/>
  <c r="K13" i="15"/>
  <c r="I13" i="15"/>
  <c r="H13" i="15"/>
  <c r="G13" i="15"/>
  <c r="E13" i="15"/>
  <c r="D13" i="15"/>
  <c r="C13" i="15"/>
  <c r="B13" i="15"/>
  <c r="A13" i="15"/>
  <c r="O12" i="15"/>
  <c r="L12" i="15"/>
  <c r="K12" i="15"/>
  <c r="I12" i="15"/>
  <c r="H12" i="15"/>
  <c r="G12" i="15"/>
  <c r="E12" i="15"/>
  <c r="D12" i="15"/>
  <c r="C12" i="15"/>
  <c r="B12" i="15"/>
  <c r="A12" i="15"/>
  <c r="O11" i="15"/>
  <c r="L11" i="15"/>
  <c r="K11" i="15"/>
  <c r="I11" i="15"/>
  <c r="H11" i="15"/>
  <c r="G11" i="15"/>
  <c r="E11" i="15"/>
  <c r="D11" i="15"/>
  <c r="C11" i="15"/>
  <c r="B11" i="15"/>
  <c r="A11" i="15"/>
  <c r="O10" i="15"/>
  <c r="L10" i="15"/>
  <c r="K10" i="15"/>
  <c r="I10" i="15"/>
  <c r="H10" i="15"/>
  <c r="G10" i="15"/>
  <c r="E10" i="15"/>
  <c r="D10" i="15"/>
  <c r="C10" i="15"/>
  <c r="B10" i="15"/>
  <c r="A10" i="15"/>
  <c r="O9" i="15"/>
  <c r="L9" i="15"/>
  <c r="K9" i="15"/>
  <c r="I9" i="15"/>
  <c r="H9" i="15"/>
  <c r="G9" i="15"/>
  <c r="E9" i="15"/>
  <c r="D9" i="15"/>
  <c r="C9" i="15"/>
  <c r="B9" i="15"/>
  <c r="A9" i="15"/>
  <c r="O8" i="15"/>
  <c r="L8" i="15"/>
  <c r="K8" i="15"/>
  <c r="I8" i="15"/>
  <c r="H8" i="15"/>
  <c r="G8" i="15"/>
  <c r="E8" i="15"/>
  <c r="D8" i="15"/>
  <c r="C8" i="15"/>
  <c r="B8" i="15"/>
  <c r="A8" i="15"/>
  <c r="O7" i="15"/>
  <c r="L7" i="15"/>
  <c r="K7" i="15"/>
  <c r="I7" i="15"/>
  <c r="H7" i="15"/>
  <c r="G7" i="15"/>
  <c r="E7" i="15"/>
  <c r="D7" i="15"/>
  <c r="C7" i="15"/>
  <c r="B7" i="15"/>
  <c r="A7" i="15"/>
  <c r="O6" i="15"/>
  <c r="L6" i="15"/>
  <c r="K6" i="15"/>
  <c r="I6" i="15"/>
  <c r="H6" i="15"/>
  <c r="G6" i="15"/>
  <c r="E6" i="15"/>
  <c r="D6" i="15"/>
  <c r="C6" i="15"/>
  <c r="B6" i="15"/>
  <c r="A6" i="15"/>
</calcChain>
</file>

<file path=xl/sharedStrings.xml><?xml version="1.0" encoding="utf-8"?>
<sst xmlns="http://schemas.openxmlformats.org/spreadsheetml/2006/main" count="10536" uniqueCount="2859">
  <si>
    <r>
      <rPr>
        <b/>
        <u/>
        <sz val="11"/>
        <color theme="1"/>
        <rFont val="맑은 고딕"/>
        <family val="2"/>
        <charset val="129"/>
      </rPr>
      <t xml:space="preserve">1. </t>
    </r>
    <r>
      <rPr>
        <b/>
        <u/>
        <sz val="11"/>
        <color theme="1"/>
        <rFont val="Noto Sans CJK KR Medium"/>
        <family val="2"/>
        <charset val="128"/>
      </rPr>
      <t>INPUT &amp; OUTPUT DATABASE</t>
    </r>
    <phoneticPr fontId="3" type="noConversion"/>
  </si>
  <si>
    <t>LEGEND (HARDWIRED)</t>
    <phoneticPr fontId="1" type="noConversion"/>
  </si>
  <si>
    <t>COLUMN NUMBER</t>
  </si>
  <si>
    <t>DESCRIPTION</t>
  </si>
  <si>
    <r>
      <t xml:space="preserve"> </t>
    </r>
    <r>
      <rPr>
        <b/>
        <sz val="10"/>
        <rFont val="Noto Sans CJK KR Medium"/>
        <family val="2"/>
        <charset val="128"/>
      </rPr>
      <t>NO.</t>
    </r>
    <r>
      <rPr>
        <sz val="10"/>
        <rFont val="Noto Sans CJK KR Medium"/>
        <family val="2"/>
        <charset val="128"/>
      </rPr>
      <t xml:space="preserve"> : This column shows a serial sequence of the measurements in the list. </t>
    </r>
    <phoneticPr fontId="3" type="noConversion"/>
  </si>
  <si>
    <t xml:space="preserve">           This number has no relation with the signal numbers.</t>
    <phoneticPr fontId="1" type="noConversion"/>
  </si>
  <si>
    <r>
      <rPr>
        <b/>
        <sz val="10"/>
        <rFont val="Noto Sans CJK KR Medium"/>
        <family val="2"/>
        <charset val="128"/>
      </rPr>
      <t>TAG NO.</t>
    </r>
    <r>
      <rPr>
        <sz val="10"/>
        <rFont val="Noto Sans CJK KR Medium"/>
        <family val="2"/>
        <charset val="128"/>
      </rPr>
      <t xml:space="preserve"> : Instrument Identification Number as following NUMBERING METHOD for Instrument Tag and Equipment Tag.</t>
    </r>
    <phoneticPr fontId="3" type="noConversion"/>
  </si>
  <si>
    <r>
      <t xml:space="preserve"> </t>
    </r>
    <r>
      <rPr>
        <b/>
        <sz val="10"/>
        <rFont val="Noto Sans CJK KR Medium"/>
        <family val="2"/>
        <charset val="128"/>
      </rPr>
      <t>SIGNAL NO.</t>
    </r>
    <r>
      <rPr>
        <sz val="10"/>
        <rFont val="Noto Sans CJK KR Medium"/>
        <family val="2"/>
        <charset val="128"/>
      </rPr>
      <t xml:space="preserve"> : Signal Status Number </t>
    </r>
    <phoneticPr fontId="3" type="noConversion"/>
  </si>
  <si>
    <r>
      <t xml:space="preserve"> A</t>
    </r>
    <r>
      <rPr>
        <b/>
        <sz val="10"/>
        <rFont val="Noto Sans CJK KR Medium"/>
        <family val="2"/>
        <charset val="128"/>
      </rPr>
      <t xml:space="preserve"> </t>
    </r>
    <r>
      <rPr>
        <b/>
        <u/>
        <sz val="10"/>
        <rFont val="Noto Sans CJK KR Medium"/>
        <family val="2"/>
        <charset val="128"/>
      </rPr>
      <t>B</t>
    </r>
    <r>
      <rPr>
        <b/>
        <sz val="10"/>
        <rFont val="Noto Sans CJK KR Medium"/>
        <family val="2"/>
        <charset val="128"/>
      </rPr>
      <t xml:space="preserve"> </t>
    </r>
    <r>
      <rPr>
        <b/>
        <u/>
        <sz val="10"/>
        <rFont val="Noto Sans CJK KR Medium"/>
        <family val="2"/>
        <charset val="128"/>
      </rPr>
      <t>nn</t>
    </r>
    <phoneticPr fontId="1" type="noConversion"/>
  </si>
  <si>
    <t>A: Signal Origin</t>
    <phoneticPr fontId="1" type="noConversion"/>
  </si>
  <si>
    <t>B: Signal Area</t>
    <phoneticPr fontId="1" type="noConversion"/>
  </si>
  <si>
    <t>nn: Serial Number (01~99)</t>
    <phoneticPr fontId="1" type="noConversion"/>
  </si>
  <si>
    <t xml:space="preserve">X : Input signal </t>
    <phoneticPr fontId="1" type="noConversion"/>
  </si>
  <si>
    <t>B : Binary Input Signal</t>
    <phoneticPr fontId="1" type="noConversion"/>
  </si>
  <si>
    <t xml:space="preserve">Y : Output signal </t>
    <phoneticPr fontId="3" type="noConversion"/>
  </si>
  <si>
    <t>G: Binary Set Value</t>
    <phoneticPr fontId="1" type="noConversion"/>
  </si>
  <si>
    <t>N: Binary Output Signal</t>
    <phoneticPr fontId="1" type="noConversion"/>
  </si>
  <si>
    <t>Q : Analog Signal</t>
  </si>
  <si>
    <t>SIGANAL</t>
    <phoneticPr fontId="3" type="noConversion"/>
  </si>
  <si>
    <t>PROCESS</t>
    <phoneticPr fontId="3" type="noConversion"/>
  </si>
  <si>
    <t>VALVE</t>
    <phoneticPr fontId="3" type="noConversion"/>
  </si>
  <si>
    <t>MOTOR
(PP, FAN, etc.)</t>
    <phoneticPr fontId="3" type="noConversion"/>
  </si>
  <si>
    <t>ELECTRICAL</t>
    <phoneticPr fontId="3" type="noConversion"/>
  </si>
  <si>
    <t>HARDWIRED INTERFACE WITH DCS</t>
  </si>
  <si>
    <t>REMARK</t>
    <phoneticPr fontId="3" type="noConversion"/>
  </si>
  <si>
    <t>TYPE</t>
    <phoneticPr fontId="3" type="noConversion"/>
  </si>
  <si>
    <t>NO.</t>
    <phoneticPr fontId="3" type="noConversion"/>
  </si>
  <si>
    <t>MOV, ACTUATOR</t>
    <phoneticPr fontId="3" type="noConversion"/>
  </si>
  <si>
    <t>SOV</t>
    <phoneticPr fontId="3" type="noConversion"/>
  </si>
  <si>
    <t>CV</t>
    <phoneticPr fontId="3" type="noConversion"/>
  </si>
  <si>
    <t>AO</t>
    <phoneticPr fontId="3" type="noConversion"/>
  </si>
  <si>
    <t>YQ01</t>
    <phoneticPr fontId="3" type="noConversion"/>
  </si>
  <si>
    <t xml:space="preserve">ANALOG OUTPUT 
INTERFACE </t>
    <phoneticPr fontId="3" type="noConversion"/>
  </si>
  <si>
    <t>POSITION 
DEMAND</t>
    <phoneticPr fontId="3" type="noConversion"/>
  </si>
  <si>
    <t>VARIABLE SPEED CONTROL COMMAND</t>
    <phoneticPr fontId="1" type="noConversion"/>
  </si>
  <si>
    <t>ELECTRICAL EQUIPMENT 
INTERFACE</t>
    <phoneticPr fontId="3" type="noConversion"/>
  </si>
  <si>
    <t>PACKAGE 
INTERFACE</t>
    <phoneticPr fontId="3" type="noConversion"/>
  </si>
  <si>
    <t>MULTIPLE AO: YQ01~99</t>
    <phoneticPr fontId="3" type="noConversion"/>
  </si>
  <si>
    <t>AI</t>
    <phoneticPr fontId="3" type="noConversion"/>
  </si>
  <si>
    <t>XQ01</t>
    <phoneticPr fontId="3" type="noConversion"/>
  </si>
  <si>
    <t xml:space="preserve">ANALOG INPUT </t>
    <phoneticPr fontId="3" type="noConversion"/>
  </si>
  <si>
    <t>POSITION 
FEEDBACK</t>
    <phoneticPr fontId="3" type="noConversion"/>
  </si>
  <si>
    <t>VARIABLE SPEED CONTROL FEEDBACK</t>
    <phoneticPr fontId="1" type="noConversion"/>
  </si>
  <si>
    <t xml:space="preserve">PACKAGE 
INTERFACE </t>
    <phoneticPr fontId="3" type="noConversion"/>
  </si>
  <si>
    <t>XQ02</t>
    <phoneticPr fontId="3" type="noConversion"/>
  </si>
  <si>
    <t>ANALOG INPUT 
(RTD)</t>
    <phoneticPr fontId="3" type="noConversion"/>
  </si>
  <si>
    <t>IN CASE OF DIRECT CONNECTION BETWEEN FIELD AND DCS.</t>
    <phoneticPr fontId="3" type="noConversion"/>
  </si>
  <si>
    <t>XQ03</t>
    <phoneticPr fontId="3" type="noConversion"/>
  </si>
  <si>
    <t>ANALOG INPUT 
(THERMOCOUPLE)</t>
    <phoneticPr fontId="3" type="noConversion"/>
  </si>
  <si>
    <t>XQ11</t>
    <phoneticPr fontId="3" type="noConversion"/>
  </si>
  <si>
    <t>CURRENT</t>
    <phoneticPr fontId="3" type="noConversion"/>
  </si>
  <si>
    <t>MULTIPLE AI (XQ11, XQ12, XQ13, ~)</t>
    <phoneticPr fontId="3" type="noConversion"/>
  </si>
  <si>
    <t>XQ21</t>
    <phoneticPr fontId="3" type="noConversion"/>
  </si>
  <si>
    <t>VOLTAGE</t>
    <phoneticPr fontId="3" type="noConversion"/>
  </si>
  <si>
    <t>MULTIPLE AI (XQ21, XQ22, XQ23, ~)</t>
    <phoneticPr fontId="3" type="noConversion"/>
  </si>
  <si>
    <t>XQ31</t>
    <phoneticPr fontId="3" type="noConversion"/>
  </si>
  <si>
    <t>ACTIVE POWER
(W, KW, MW)</t>
    <phoneticPr fontId="3" type="noConversion"/>
  </si>
  <si>
    <t>XQ32</t>
    <phoneticPr fontId="3" type="noConversion"/>
  </si>
  <si>
    <t>REACTIVE POWER 
(VAR, MVAR)</t>
    <phoneticPr fontId="3" type="noConversion"/>
  </si>
  <si>
    <t>XQ41</t>
    <phoneticPr fontId="3" type="noConversion"/>
  </si>
  <si>
    <t>FREQUENCY</t>
    <phoneticPr fontId="3" type="noConversion"/>
  </si>
  <si>
    <t>XQ42</t>
  </si>
  <si>
    <t>POWER FACTOR</t>
    <phoneticPr fontId="3" type="noConversion"/>
  </si>
  <si>
    <t>XQ61~99</t>
    <phoneticPr fontId="3" type="noConversion"/>
  </si>
  <si>
    <t>OTHER ELECTRICAL 
INTERFACE</t>
    <phoneticPr fontId="3" type="noConversion"/>
  </si>
  <si>
    <t>OTHER PACKAGE INTERFACE 
(IF REQUIRED)</t>
    <phoneticPr fontId="3" type="noConversion"/>
  </si>
  <si>
    <t>DO</t>
    <phoneticPr fontId="3" type="noConversion"/>
  </si>
  <si>
    <t>YN51</t>
    <phoneticPr fontId="3" type="noConversion"/>
  </si>
  <si>
    <t>OPEN 
COMMAND</t>
    <phoneticPr fontId="3" type="noConversion"/>
  </si>
  <si>
    <t>SOV ENERGIZE TO 
OPEN COMMAND</t>
    <phoneticPr fontId="3" type="noConversion"/>
  </si>
  <si>
    <t>YN52</t>
    <phoneticPr fontId="3" type="noConversion"/>
  </si>
  <si>
    <t>CLOSE 
COMMAND</t>
    <phoneticPr fontId="3" type="noConversion"/>
  </si>
  <si>
    <t>SOV ENERGIZE TO 
CLOSE COMMAND</t>
    <phoneticPr fontId="3" type="noConversion"/>
  </si>
  <si>
    <t>YN54</t>
    <phoneticPr fontId="3" type="noConversion"/>
  </si>
  <si>
    <t>PP START 
COMMAND</t>
    <phoneticPr fontId="3" type="noConversion"/>
  </si>
  <si>
    <t>BKR CLOSE 
COMMAND</t>
    <phoneticPr fontId="3" type="noConversion"/>
  </si>
  <si>
    <t>YN55</t>
    <phoneticPr fontId="3" type="noConversion"/>
  </si>
  <si>
    <t>PP STOP 
COMMAND</t>
    <phoneticPr fontId="3" type="noConversion"/>
  </si>
  <si>
    <t>BKR OPEN 
COMMAND</t>
    <phoneticPr fontId="3" type="noConversion"/>
  </si>
  <si>
    <t>YBn1</t>
  </si>
  <si>
    <t>- GROUP START COMMAND  
- PP/FAN START COMMAND 
- VALVE OPEN COMMAND 
- VFD(INVERTER) ON COMMAND</t>
  </si>
  <si>
    <t>n = 0~3 (YB01, YB11, YB21, YB31)</t>
  </si>
  <si>
    <t>YBn2</t>
  </si>
  <si>
    <t>- GROUP STOP COMMAND  
- PP/FAN STOP COMMAND 
- VALVE CLOSE COMMAND 
- VFD(INVERTER) OFF COMMAND</t>
  </si>
  <si>
    <t>n = 0~3 (YB02, YB12, YB22, YB32)</t>
  </si>
  <si>
    <t>YB51~60</t>
  </si>
  <si>
    <t>STATUS FEEDBACK TO LCP 
(IF REQUIRED)</t>
  </si>
  <si>
    <t>EX. LCP LAMP POWER
(PUMP RUNNING, STOPPED, FAULT, etc.)</t>
  </si>
  <si>
    <t>YB61~99</t>
  </si>
  <si>
    <t>OTHER ELECTRICAL 
EQUIPMENT INTERFACE 
(IF REQUIRED)</t>
  </si>
  <si>
    <t>OTHER PACKAGE INTERFACE 
(IF REQUIRED)</t>
  </si>
  <si>
    <t>DI</t>
    <phoneticPr fontId="3" type="noConversion"/>
  </si>
  <si>
    <t>XB01</t>
    <phoneticPr fontId="3" type="noConversion"/>
  </si>
  <si>
    <t>VLV OPENED 
FEEDBACK</t>
    <phoneticPr fontId="3" type="noConversion"/>
  </si>
  <si>
    <t>PP RUNNING 
FEEDBACK</t>
    <phoneticPr fontId="3" type="noConversion"/>
  </si>
  <si>
    <t>BKR CLOSED 
FEEDBACK</t>
    <phoneticPr fontId="3" type="noConversion"/>
  </si>
  <si>
    <t>XB02</t>
    <phoneticPr fontId="3" type="noConversion"/>
  </si>
  <si>
    <t>VLV CLOSED 
FEEDBACK</t>
    <phoneticPr fontId="3" type="noConversion"/>
  </si>
  <si>
    <t>PP STOPPED 
FEEDBACK</t>
    <phoneticPr fontId="3" type="noConversion"/>
  </si>
  <si>
    <t>BKR OPENED 
FEEDBACK</t>
    <phoneticPr fontId="3" type="noConversion"/>
  </si>
  <si>
    <t>XB03</t>
    <phoneticPr fontId="3" type="noConversion"/>
  </si>
  <si>
    <t>MOV INTERMEDIATE 
OPENED FEEDBACK</t>
    <phoneticPr fontId="3" type="noConversion"/>
  </si>
  <si>
    <t>XB06</t>
    <phoneticPr fontId="3" type="noConversion"/>
  </si>
  <si>
    <t>PULSE INPUT</t>
  </si>
  <si>
    <t>XB11</t>
    <phoneticPr fontId="3" type="noConversion"/>
  </si>
  <si>
    <t>MOV TOQ OPEN 
FEEDBACK</t>
    <phoneticPr fontId="3" type="noConversion"/>
  </si>
  <si>
    <t>XB12</t>
    <phoneticPr fontId="3" type="noConversion"/>
  </si>
  <si>
    <t>MOV TOQ CLOSE  
FEEDBACK</t>
    <phoneticPr fontId="3" type="noConversion"/>
  </si>
  <si>
    <t>XB21</t>
    <phoneticPr fontId="3" type="noConversion"/>
  </si>
  <si>
    <t>OPEN 
PUSHBUTTON</t>
    <phoneticPr fontId="3" type="noConversion"/>
  </si>
  <si>
    <t>START 
PUSHBUTTON</t>
    <phoneticPr fontId="3" type="noConversion"/>
  </si>
  <si>
    <t>XB22</t>
    <phoneticPr fontId="3" type="noConversion"/>
  </si>
  <si>
    <t>CLOSE 
PUSHBUTTON</t>
    <phoneticPr fontId="3" type="noConversion"/>
  </si>
  <si>
    <t>STOP 
PUSHBUTTON</t>
    <phoneticPr fontId="3" type="noConversion"/>
  </si>
  <si>
    <t>XB23</t>
    <phoneticPr fontId="3" type="noConversion"/>
  </si>
  <si>
    <t>PP EMERGENCY 
STOP BUTTON</t>
    <phoneticPr fontId="3" type="noConversion"/>
  </si>
  <si>
    <t>XB41</t>
    <phoneticPr fontId="3" type="noConversion"/>
  </si>
  <si>
    <t>LOCAL</t>
    <phoneticPr fontId="3" type="noConversion"/>
  </si>
  <si>
    <t>XB42</t>
    <phoneticPr fontId="3" type="noConversion"/>
  </si>
  <si>
    <t>REMOTE</t>
    <phoneticPr fontId="3" type="noConversion"/>
  </si>
  <si>
    <t>XB43</t>
    <phoneticPr fontId="3" type="noConversion"/>
  </si>
  <si>
    <t>TEST POSITION</t>
    <phoneticPr fontId="3" type="noConversion"/>
  </si>
  <si>
    <t>XB44</t>
    <phoneticPr fontId="3" type="noConversion"/>
  </si>
  <si>
    <t>SERVICE POSITION</t>
    <phoneticPr fontId="3" type="noConversion"/>
  </si>
  <si>
    <t>XB45</t>
    <phoneticPr fontId="3" type="noConversion"/>
  </si>
  <si>
    <t>SWGR/MCC READY</t>
    <phoneticPr fontId="3" type="noConversion"/>
  </si>
  <si>
    <t>XB48</t>
  </si>
  <si>
    <t>SWGR/MCC FAULT/PROTECTION ACTIVATED</t>
    <phoneticPr fontId="3" type="noConversion"/>
  </si>
  <si>
    <t>NOT POWER 
AVAILABLE</t>
    <phoneticPr fontId="3" type="noConversion"/>
  </si>
  <si>
    <t>-SWGR/MCC FAULT
-PROTECTION ACTIVATED</t>
    <phoneticPr fontId="1" type="noConversion"/>
  </si>
  <si>
    <t>XB49</t>
    <phoneticPr fontId="3" type="noConversion"/>
  </si>
  <si>
    <t>UNDER VOLTAGE</t>
    <phoneticPr fontId="3" type="noConversion"/>
  </si>
  <si>
    <t>XB50</t>
    <phoneticPr fontId="1" type="noConversion"/>
  </si>
  <si>
    <t>PROCESS TRIP (MFT, etc.)</t>
  </si>
  <si>
    <t>TRIP</t>
  </si>
  <si>
    <t>X48의 FAULT/PROTECTION의 상황으로 표현 불가한 TRIP SIGNAL</t>
    <phoneticPr fontId="1" type="noConversion"/>
  </si>
  <si>
    <t>XB6n</t>
    <phoneticPr fontId="3" type="noConversion"/>
  </si>
  <si>
    <t>OTHER INTERFACE</t>
    <phoneticPr fontId="3" type="noConversion"/>
  </si>
  <si>
    <t>XNn1</t>
  </si>
  <si>
    <t>- GROUP STARTED FEEDBACK  
- PP/FAN RUNNING FEEDBACK 
- VALVE OPENED FEEDBACK 
- VFD(INVERTER) ON FEEDBACK</t>
  </si>
  <si>
    <t>n = 0~3 (XN01, XN11, XN21, XN31)</t>
  </si>
  <si>
    <t>XNn2</t>
  </si>
  <si>
    <t>- GROUP STOPPED FEEDBACK  
- PP/FAN STOPPED FEEDBACK 
- VALVE CLOSED FEEDBACK 
- VFD(INVERTER) OFF FEEDBACK</t>
  </si>
  <si>
    <t>n = 0~3 (XN02, XN12, XN22, XN32)</t>
  </si>
  <si>
    <t>XN41</t>
  </si>
  <si>
    <t>LOCAL</t>
  </si>
  <si>
    <t>XN42</t>
  </si>
  <si>
    <t>REMOTE</t>
  </si>
  <si>
    <t>XN43</t>
  </si>
  <si>
    <t>TEST POSITION</t>
  </si>
  <si>
    <t>XN44</t>
  </si>
  <si>
    <t>SERVICE POSITION</t>
  </si>
  <si>
    <t>XN45</t>
  </si>
  <si>
    <t>READY</t>
  </si>
  <si>
    <t>XN48</t>
  </si>
  <si>
    <t>- SWGR/MCC FAULT
- PROTECTION ACTIVATED</t>
  </si>
  <si>
    <t>XN50</t>
  </si>
  <si>
    <t>XN61~99</t>
  </si>
  <si>
    <t>XG01</t>
    <phoneticPr fontId="3" type="noConversion"/>
  </si>
  <si>
    <t>HI ALARM</t>
    <phoneticPr fontId="3" type="noConversion"/>
  </si>
  <si>
    <t>XG03</t>
    <phoneticPr fontId="3" type="noConversion"/>
  </si>
  <si>
    <t>HIHI ALARM</t>
    <phoneticPr fontId="3" type="noConversion"/>
  </si>
  <si>
    <t>XG05</t>
    <phoneticPr fontId="3" type="noConversion"/>
  </si>
  <si>
    <t>HIHIHI ALARM</t>
    <phoneticPr fontId="3" type="noConversion"/>
  </si>
  <si>
    <t>XG52</t>
    <phoneticPr fontId="3" type="noConversion"/>
  </si>
  <si>
    <t>LO ALARM</t>
    <phoneticPr fontId="3" type="noConversion"/>
  </si>
  <si>
    <t>XG54</t>
    <phoneticPr fontId="3" type="noConversion"/>
  </si>
  <si>
    <t>LOLO ALARM</t>
    <phoneticPr fontId="3" type="noConversion"/>
  </si>
  <si>
    <t>XG56</t>
    <phoneticPr fontId="3" type="noConversion"/>
  </si>
  <si>
    <t>LOLOLO ALARM</t>
    <phoneticPr fontId="3" type="noConversion"/>
  </si>
  <si>
    <r>
      <t xml:space="preserve"> </t>
    </r>
    <r>
      <rPr>
        <b/>
        <sz val="10"/>
        <rFont val="Noto Sans CJK KR Medium"/>
        <family val="2"/>
        <charset val="128"/>
      </rPr>
      <t>SIGNAL SERVICE DESCRIPTION</t>
    </r>
    <r>
      <rPr>
        <sz val="10"/>
        <rFont val="Noto Sans CJK KR Medium"/>
        <family val="2"/>
        <charset val="128"/>
      </rPr>
      <t xml:space="preserve"> : Service Description of the instruments or devices</t>
    </r>
    <phoneticPr fontId="3" type="noConversion"/>
  </si>
  <si>
    <r>
      <t xml:space="preserve"> </t>
    </r>
    <r>
      <rPr>
        <b/>
        <sz val="10"/>
        <rFont val="Noto Sans CJK KR Medium"/>
        <family val="2"/>
        <charset val="128"/>
      </rPr>
      <t>SIGNAL STATUS</t>
    </r>
    <r>
      <rPr>
        <sz val="10"/>
        <rFont val="Noto Sans CJK KR Medium"/>
        <family val="2"/>
        <charset val="128"/>
      </rPr>
      <t xml:space="preserve"> : Signal status is described only for DI signal on.</t>
    </r>
    <phoneticPr fontId="3" type="noConversion"/>
  </si>
  <si>
    <r>
      <t xml:space="preserve"> DEVICE TYPE : </t>
    </r>
    <r>
      <rPr>
        <sz val="10"/>
        <rFont val="Noto Sans CJK KR Medium"/>
        <family val="2"/>
        <charset val="128"/>
      </rPr>
      <t>Deatail description of signal sources or interface devices</t>
    </r>
    <phoneticPr fontId="3" type="noConversion"/>
  </si>
  <si>
    <t xml:space="preserve"> </t>
  </si>
  <si>
    <t>DGI</t>
    <phoneticPr fontId="1" type="noConversion"/>
  </si>
  <si>
    <t>: Digital Indicator or Annunciator</t>
    <phoneticPr fontId="1" type="noConversion"/>
  </si>
  <si>
    <t>MOV</t>
    <phoneticPr fontId="3" type="noConversion"/>
  </si>
  <si>
    <t>: On-Off Type Motor Operated Valve</t>
    <phoneticPr fontId="3" type="noConversion"/>
  </si>
  <si>
    <t>AIT</t>
    <phoneticPr fontId="1" type="noConversion"/>
  </si>
  <si>
    <t>: Analyzer</t>
    <phoneticPr fontId="1" type="noConversion"/>
  </si>
  <si>
    <t>IMOV</t>
    <phoneticPr fontId="3" type="noConversion"/>
  </si>
  <si>
    <t>: Inching Type Motor Operated Valve</t>
    <phoneticPr fontId="3" type="noConversion"/>
  </si>
  <si>
    <t>: Control Valve (Modulating Type)</t>
    <phoneticPr fontId="3" type="noConversion"/>
  </si>
  <si>
    <t>: Solenoid Valve</t>
    <phoneticPr fontId="3" type="noConversion"/>
  </si>
  <si>
    <t>CV(SOV)</t>
    <phoneticPr fontId="3" type="noConversion"/>
  </si>
  <si>
    <t>: Control Valve (On-Off Type)</t>
    <phoneticPr fontId="3" type="noConversion"/>
  </si>
  <si>
    <t>PP</t>
    <phoneticPr fontId="3" type="noConversion"/>
  </si>
  <si>
    <t>: Pump</t>
    <phoneticPr fontId="3" type="noConversion"/>
  </si>
  <si>
    <t>TIT (TT)</t>
    <phoneticPr fontId="1" type="noConversion"/>
  </si>
  <si>
    <t>: Temperature Element with Transmitter</t>
  </si>
  <si>
    <t>FAN</t>
    <phoneticPr fontId="3" type="noConversion"/>
  </si>
  <si>
    <t>: Fan</t>
    <phoneticPr fontId="3" type="noConversion"/>
  </si>
  <si>
    <t xml:space="preserve">PIT </t>
    <phoneticPr fontId="3" type="noConversion"/>
  </si>
  <si>
    <t>: Pressure Transmitter</t>
  </si>
  <si>
    <t>PLC</t>
    <phoneticPr fontId="3" type="noConversion"/>
  </si>
  <si>
    <t>: Programmable Logic Controller</t>
    <phoneticPr fontId="3" type="noConversion"/>
  </si>
  <si>
    <t xml:space="preserve">LIT </t>
    <phoneticPr fontId="3" type="noConversion"/>
  </si>
  <si>
    <t>: Level Transmitter</t>
  </si>
  <si>
    <t>LCP</t>
    <phoneticPr fontId="3" type="noConversion"/>
  </si>
  <si>
    <t>: Local Control Panel</t>
    <phoneticPr fontId="3" type="noConversion"/>
  </si>
  <si>
    <t xml:space="preserve">FIT </t>
    <phoneticPr fontId="3" type="noConversion"/>
  </si>
  <si>
    <t>: Flow Transmitter</t>
  </si>
  <si>
    <t>HT</t>
    <phoneticPr fontId="3" type="noConversion"/>
  </si>
  <si>
    <t>: Humidity / Moisture Transmitter</t>
    <phoneticPr fontId="3" type="noConversion"/>
  </si>
  <si>
    <t>PDIS</t>
    <phoneticPr fontId="3" type="noConversion"/>
  </si>
  <si>
    <t>: Diff. Pressure Switch</t>
  </si>
  <si>
    <t>ZT</t>
    <phoneticPr fontId="3" type="noConversion"/>
  </si>
  <si>
    <t>: Position Transmitter</t>
    <phoneticPr fontId="3" type="noConversion"/>
  </si>
  <si>
    <t>FS</t>
  </si>
  <si>
    <t>: Flow Switch</t>
    <phoneticPr fontId="1" type="noConversion"/>
  </si>
  <si>
    <t>ZS</t>
    <phoneticPr fontId="3" type="noConversion"/>
  </si>
  <si>
    <t>: Position Switch i.e. limit switch</t>
    <phoneticPr fontId="3" type="noConversion"/>
  </si>
  <si>
    <t>LS</t>
  </si>
  <si>
    <t>: Level Switch</t>
    <phoneticPr fontId="1" type="noConversion"/>
  </si>
  <si>
    <t>YS</t>
    <phoneticPr fontId="3" type="noConversion"/>
  </si>
  <si>
    <t>: Vibration Feedback</t>
    <phoneticPr fontId="3" type="noConversion"/>
  </si>
  <si>
    <t>PDIT</t>
    <phoneticPr fontId="3" type="noConversion"/>
  </si>
  <si>
    <t>: Diff. Pressure Transmitter</t>
    <phoneticPr fontId="1" type="noConversion"/>
  </si>
  <si>
    <t>KT</t>
    <phoneticPr fontId="3" type="noConversion"/>
  </si>
  <si>
    <t>: Key Phasor</t>
    <phoneticPr fontId="3" type="noConversion"/>
  </si>
  <si>
    <t>PS</t>
  </si>
  <si>
    <t>: Pressure Switch</t>
    <phoneticPr fontId="1" type="noConversion"/>
  </si>
  <si>
    <t>SS</t>
    <phoneticPr fontId="3" type="noConversion"/>
  </si>
  <si>
    <t>: Reverse Rotation Switch</t>
    <phoneticPr fontId="3" type="noConversion"/>
  </si>
  <si>
    <t>SWGR</t>
    <phoneticPr fontId="3" type="noConversion"/>
  </si>
  <si>
    <t>: SwitchGear</t>
    <phoneticPr fontId="3" type="noConversion"/>
  </si>
  <si>
    <t>CT</t>
    <phoneticPr fontId="3" type="noConversion"/>
  </si>
  <si>
    <t>: Current Transducer</t>
    <phoneticPr fontId="3" type="noConversion"/>
  </si>
  <si>
    <t>GTC</t>
    <phoneticPr fontId="1" type="noConversion"/>
  </si>
  <si>
    <t>: Gas Turbine Control System</t>
    <phoneticPr fontId="3" type="noConversion"/>
  </si>
  <si>
    <t>PNL</t>
    <phoneticPr fontId="3" type="noConversion"/>
  </si>
  <si>
    <t>: System Panel</t>
    <phoneticPr fontId="3" type="noConversion"/>
  </si>
  <si>
    <t>STC</t>
    <phoneticPr fontId="1" type="noConversion"/>
  </si>
  <si>
    <t>: Steam Turbine Control System</t>
    <phoneticPr fontId="3" type="noConversion"/>
  </si>
  <si>
    <t>INTRF</t>
    <phoneticPr fontId="3" type="noConversion"/>
  </si>
  <si>
    <t>: Interface Signals with External Control System</t>
    <phoneticPr fontId="3" type="noConversion"/>
  </si>
  <si>
    <t>VMS</t>
    <phoneticPr fontId="1" type="noConversion"/>
  </si>
  <si>
    <t>: Vibration Monitoring System</t>
    <phoneticPr fontId="3" type="noConversion"/>
  </si>
  <si>
    <t>INVT</t>
    <phoneticPr fontId="1" type="noConversion"/>
  </si>
  <si>
    <t>: Inverter</t>
    <phoneticPr fontId="1" type="noConversion"/>
  </si>
  <si>
    <t>DMPR</t>
    <phoneticPr fontId="1" type="noConversion"/>
  </si>
  <si>
    <t>: Damper</t>
    <phoneticPr fontId="3" type="noConversion"/>
  </si>
  <si>
    <t>DET</t>
    <phoneticPr fontId="1" type="noConversion"/>
  </si>
  <si>
    <t>: Detector</t>
    <phoneticPr fontId="1" type="noConversion"/>
  </si>
  <si>
    <r>
      <t xml:space="preserve"> I/O TYPE </t>
    </r>
    <r>
      <rPr>
        <sz val="10"/>
        <rFont val="Noto Sans CJK KR Medium"/>
        <family val="2"/>
        <charset val="128"/>
      </rPr>
      <t xml:space="preserve">: The Signal type of the measurements is specified as follows; </t>
    </r>
    <phoneticPr fontId="3" type="noConversion"/>
  </si>
  <si>
    <t>AI</t>
  </si>
  <si>
    <t>: Analogue Input</t>
  </si>
  <si>
    <t>DI</t>
  </si>
  <si>
    <t>: Binary Input</t>
  </si>
  <si>
    <t>AO</t>
  </si>
  <si>
    <t>: Analogue Output</t>
  </si>
  <si>
    <t>DO</t>
  </si>
  <si>
    <t>: Binary Output</t>
  </si>
  <si>
    <t>PI</t>
    <phoneticPr fontId="3" type="noConversion"/>
  </si>
  <si>
    <t>: Pulse Input</t>
    <phoneticPr fontId="3" type="noConversion"/>
  </si>
  <si>
    <r>
      <t xml:space="preserve"> SIGNAL TYPE</t>
    </r>
    <r>
      <rPr>
        <sz val="10"/>
        <rFont val="Noto Sans CJK KR Medium"/>
        <family val="2"/>
        <charset val="128"/>
      </rPr>
      <t xml:space="preserve"> : The type of input signal from the measurements is specified as </t>
    </r>
    <phoneticPr fontId="3" type="noConversion"/>
  </si>
  <si>
    <t>4 ~ 20 mA</t>
  </si>
  <si>
    <t>: Analog</t>
  </si>
  <si>
    <t>PT100</t>
    <phoneticPr fontId="1" type="noConversion"/>
  </si>
  <si>
    <t xml:space="preserve">: Analog signal for RTD (in case of direct connection without transmitter) </t>
    <phoneticPr fontId="1" type="noConversion"/>
  </si>
  <si>
    <t>24V DC</t>
  </si>
  <si>
    <t>: Digital Contact input or output</t>
  </si>
  <si>
    <t>K-Type</t>
    <phoneticPr fontId="1" type="noConversion"/>
  </si>
  <si>
    <t xml:space="preserve">: Analog signal for Thermocouple (in case of direct connection without transmitter) </t>
    <phoneticPr fontId="1" type="noConversion"/>
  </si>
  <si>
    <t>220VAC</t>
    <phoneticPr fontId="3" type="noConversion"/>
  </si>
  <si>
    <r>
      <t xml:space="preserve"> </t>
    </r>
    <r>
      <rPr>
        <b/>
        <sz val="10"/>
        <rFont val="Noto Sans CJK KR Medium"/>
        <family val="2"/>
        <charset val="128"/>
      </rPr>
      <t>CONTACT TYPE</t>
    </r>
    <r>
      <rPr>
        <sz val="10"/>
        <rFont val="Noto Sans CJK KR Medium"/>
        <family val="2"/>
        <charset val="128"/>
      </rPr>
      <t xml:space="preserve"> :  The Normal Contact of Binary signals</t>
    </r>
    <phoneticPr fontId="3" type="noConversion"/>
  </si>
  <si>
    <t>NO</t>
  </si>
  <si>
    <t>: Normal Open Contact</t>
  </si>
  <si>
    <t>NC</t>
  </si>
  <si>
    <t>: Normal Close Contact</t>
  </si>
  <si>
    <r>
      <t xml:space="preserve"> </t>
    </r>
    <r>
      <rPr>
        <b/>
        <sz val="10"/>
        <rFont val="Noto Sans CJK KR Medium"/>
        <family val="2"/>
        <charset val="129"/>
      </rPr>
      <t>PWR SRC</t>
    </r>
    <r>
      <rPr>
        <sz val="10"/>
        <rFont val="Noto Sans CJK KR Medium"/>
        <family val="2"/>
        <charset val="129"/>
      </rPr>
      <t xml:space="preserve"> :  The Power Source for the signal is specified.</t>
    </r>
  </si>
  <si>
    <t>I</t>
  </si>
  <si>
    <t>: Internal Power (from PLC)</t>
  </si>
  <si>
    <t>E</t>
  </si>
  <si>
    <t>: External Power (from outside of PLC, Field equipment / DCS / etc..)</t>
  </si>
  <si>
    <r>
      <t xml:space="preserve"> </t>
    </r>
    <r>
      <rPr>
        <b/>
        <sz val="10"/>
        <rFont val="Noto Sans CJK KR Medium"/>
        <family val="2"/>
        <charset val="129"/>
      </rPr>
      <t xml:space="preserve">FROM / TO </t>
    </r>
    <r>
      <rPr>
        <sz val="10"/>
        <rFont val="Noto Sans CJK KR Medium"/>
        <family val="2"/>
        <charset val="129"/>
      </rPr>
      <t>: ‘FROM’ means the location of the source of measurements, and ‘TO’ means  the final destination of the measurements.</t>
    </r>
    <phoneticPr fontId="1" type="noConversion"/>
  </si>
  <si>
    <t>FLD</t>
  </si>
  <si>
    <t>: Field (or Local)</t>
  </si>
  <si>
    <t>GCP</t>
  </si>
  <si>
    <t>: Generator Control Panel</t>
    <phoneticPr fontId="1" type="noConversion"/>
  </si>
  <si>
    <t>SWGR</t>
  </si>
  <si>
    <t>: Switchgear (or Motor Control Center)</t>
    <phoneticPr fontId="1" type="noConversion"/>
  </si>
  <si>
    <t>GCB</t>
    <phoneticPr fontId="3" type="noConversion"/>
  </si>
  <si>
    <t>: Generator Circuit Breaker</t>
    <phoneticPr fontId="3" type="noConversion"/>
  </si>
  <si>
    <t>IRP</t>
    <phoneticPr fontId="1" type="noConversion"/>
  </si>
  <si>
    <t>: DCS Interposing Relay Panel</t>
    <phoneticPr fontId="1" type="noConversion"/>
  </si>
  <si>
    <t>GSUT</t>
    <phoneticPr fontId="3" type="noConversion"/>
  </si>
  <si>
    <t>: Generator Step-Up Transformer</t>
    <phoneticPr fontId="3" type="noConversion"/>
  </si>
  <si>
    <t>ANN</t>
  </si>
  <si>
    <t>: Annunciator</t>
  </si>
  <si>
    <t>RTCC</t>
    <phoneticPr fontId="3" type="noConversion"/>
  </si>
  <si>
    <t>: Remote Tab Changer Control Panel</t>
    <phoneticPr fontId="3" type="noConversion"/>
  </si>
  <si>
    <t xml:space="preserve">LCP </t>
  </si>
  <si>
    <t>: Local Control Panel</t>
  </si>
  <si>
    <t>UAT</t>
    <phoneticPr fontId="3" type="noConversion"/>
  </si>
  <si>
    <t>: Unit Auxiliary Transformer</t>
    <phoneticPr fontId="3" type="noConversion"/>
  </si>
  <si>
    <t xml:space="preserve">UPS </t>
  </si>
  <si>
    <t>: Uninterrupted Power Supply</t>
  </si>
  <si>
    <t>IPB</t>
    <phoneticPr fontId="3" type="noConversion"/>
  </si>
  <si>
    <t>: Isolated Phase Bus Duct</t>
    <phoneticPr fontId="3" type="noConversion"/>
  </si>
  <si>
    <t>LSB</t>
    <phoneticPr fontId="1" type="noConversion"/>
  </si>
  <si>
    <t>: Local Switch Box</t>
    <phoneticPr fontId="1" type="noConversion"/>
  </si>
  <si>
    <t>MTR</t>
    <phoneticPr fontId="3" type="noConversion"/>
  </si>
  <si>
    <t>: Metering</t>
    <phoneticPr fontId="3" type="noConversion"/>
  </si>
  <si>
    <t xml:space="preserve">EPB </t>
  </si>
  <si>
    <t>: Emergency Push Button</t>
    <phoneticPr fontId="3" type="noConversion"/>
  </si>
  <si>
    <t>PDB</t>
  </si>
  <si>
    <t>: Power Distribution Board</t>
  </si>
  <si>
    <t>TCS</t>
  </si>
  <si>
    <t>: Turbine Control System</t>
  </si>
  <si>
    <t xml:space="preserve">PLC </t>
  </si>
  <si>
    <t xml:space="preserve">LDC </t>
  </si>
  <si>
    <t>: Load Dispatch Center</t>
    <phoneticPr fontId="1" type="noConversion"/>
  </si>
  <si>
    <r>
      <rPr>
        <b/>
        <sz val="10"/>
        <rFont val="Noto Sans CJK KR Medium"/>
        <family val="2"/>
        <charset val="129"/>
      </rPr>
      <t xml:space="preserve"> PROCESS RANGE </t>
    </r>
    <r>
      <rPr>
        <sz val="10"/>
        <rFont val="Noto Sans CJK KR Medium"/>
        <family val="2"/>
        <charset val="129"/>
      </rPr>
      <t>: Process Measuring Range for the measurements.</t>
    </r>
    <phoneticPr fontId="3" type="noConversion"/>
  </si>
  <si>
    <t xml:space="preserve">Begin </t>
  </si>
  <si>
    <t>: Beginning of physical measuring range.</t>
  </si>
  <si>
    <t xml:space="preserve">End </t>
  </si>
  <si>
    <t>: End of physical measuring range.</t>
  </si>
  <si>
    <r>
      <rPr>
        <b/>
        <sz val="10"/>
        <rFont val="Noto Sans CJK KR Medium"/>
        <family val="2"/>
        <charset val="129"/>
      </rPr>
      <t xml:space="preserve"> OPERATING POINT </t>
    </r>
    <r>
      <rPr>
        <sz val="10"/>
        <rFont val="Noto Sans CJK KR Medium"/>
        <family val="2"/>
        <charset val="129"/>
      </rPr>
      <t>: Normal operating parameters of the input and output signals based on process conditions</t>
    </r>
    <phoneticPr fontId="3" type="noConversion"/>
  </si>
  <si>
    <r>
      <t xml:space="preserve"> PROCESS UNIT</t>
    </r>
    <r>
      <rPr>
        <sz val="10"/>
        <rFont val="Noto Sans CJK KR Medium"/>
        <family val="2"/>
        <charset val="129"/>
      </rPr>
      <t xml:space="preserve"> : The measuring units in this list are as follows :</t>
    </r>
    <phoneticPr fontId="3" type="noConversion"/>
  </si>
  <si>
    <t xml:space="preserve">     Unit (SYMBOL)</t>
  </si>
  <si>
    <t>Measurements</t>
  </si>
  <si>
    <t>Remark</t>
  </si>
  <si>
    <t>barg, bara, bar, mbar</t>
    <phoneticPr fontId="3" type="noConversion"/>
  </si>
  <si>
    <t>Pressure (gauge, absolute, differential)</t>
    <phoneticPr fontId="3" type="noConversion"/>
  </si>
  <si>
    <t>℃</t>
    <phoneticPr fontId="3" type="noConversion"/>
  </si>
  <si>
    <t>Temperature</t>
  </si>
  <si>
    <t>Deg. Celsius</t>
  </si>
  <si>
    <t>A, KA</t>
  </si>
  <si>
    <t>Current</t>
  </si>
  <si>
    <t>V, KV</t>
  </si>
  <si>
    <t>Voltage</t>
  </si>
  <si>
    <r>
      <t>Kg/Hr, t/hr, m</t>
    </r>
    <r>
      <rPr>
        <vertAlign val="superscript"/>
        <sz val="10"/>
        <rFont val="Noto Sans CJK KR Medium"/>
        <family val="2"/>
        <charset val="129"/>
      </rPr>
      <t>3</t>
    </r>
    <r>
      <rPr>
        <sz val="10"/>
        <rFont val="Noto Sans CJK KR Medium"/>
        <family val="2"/>
        <charset val="129"/>
      </rPr>
      <t>/Hr</t>
    </r>
    <phoneticPr fontId="3" type="noConversion"/>
  </si>
  <si>
    <t>Flow (mass, volumetric)</t>
    <phoneticPr fontId="3" type="noConversion"/>
  </si>
  <si>
    <t>%</t>
  </si>
  <si>
    <t>Percentage</t>
  </si>
  <si>
    <t>m, mm</t>
  </si>
  <si>
    <t>Level</t>
  </si>
  <si>
    <t>mm/sec (rms), ㎛</t>
  </si>
  <si>
    <t>Vibration</t>
  </si>
  <si>
    <t>mm/sec, micro miter</t>
  </si>
  <si>
    <t>ppm, ppb</t>
  </si>
  <si>
    <t>Analysis</t>
  </si>
  <si>
    <t xml:space="preserve">μS /cm, </t>
  </si>
  <si>
    <t>Conductivity</t>
    <phoneticPr fontId="1" type="noConversion"/>
  </si>
  <si>
    <t>μSiemens / cm</t>
  </si>
  <si>
    <t>KWh, MWh, GWh</t>
    <phoneticPr fontId="1" type="noConversion"/>
  </si>
  <si>
    <t>Electrical Energy</t>
    <phoneticPr fontId="1" type="noConversion"/>
  </si>
  <si>
    <t>kcal/hr, Mcal/hr, Gcal/hr</t>
    <phoneticPr fontId="1" type="noConversion"/>
  </si>
  <si>
    <t>Heat Flow</t>
    <phoneticPr fontId="1" type="noConversion"/>
  </si>
  <si>
    <t>kcal/kWh</t>
    <phoneticPr fontId="1" type="noConversion"/>
  </si>
  <si>
    <t>Heat Rate</t>
    <phoneticPr fontId="1" type="noConversion"/>
  </si>
  <si>
    <r>
      <t xml:space="preserve"> </t>
    </r>
    <r>
      <rPr>
        <b/>
        <sz val="10"/>
        <rFont val="Noto Sans CJK KR Medium"/>
        <family val="2"/>
        <charset val="129"/>
      </rPr>
      <t>PROCESS SET POINT</t>
    </r>
    <r>
      <rPr>
        <sz val="10"/>
        <rFont val="Noto Sans CJK KR Medium"/>
        <family val="2"/>
        <charset val="129"/>
      </rPr>
      <t xml:space="preserve"> : To show the limit values for generating alarm/trip/logic action in DCS from analog signals.</t>
    </r>
    <phoneticPr fontId="3" type="noConversion"/>
  </si>
  <si>
    <t>HIHI</t>
    <phoneticPr fontId="3" type="noConversion"/>
  </si>
  <si>
    <t>: High High</t>
    <phoneticPr fontId="3" type="noConversion"/>
  </si>
  <si>
    <t>LO</t>
    <phoneticPr fontId="3" type="noConversion"/>
  </si>
  <si>
    <t>: Low</t>
    <phoneticPr fontId="3" type="noConversion"/>
  </si>
  <si>
    <t>HI</t>
    <phoneticPr fontId="3" type="noConversion"/>
  </si>
  <si>
    <t>: High</t>
    <phoneticPr fontId="3" type="noConversion"/>
  </si>
  <si>
    <t>LOLO</t>
    <phoneticPr fontId="3" type="noConversion"/>
  </si>
  <si>
    <t>: Low Low</t>
    <phoneticPr fontId="3" type="noConversion"/>
  </si>
  <si>
    <r>
      <t xml:space="preserve"> </t>
    </r>
    <r>
      <rPr>
        <b/>
        <sz val="10"/>
        <rFont val="Noto Sans CJK KR Medium"/>
        <family val="2"/>
        <charset val="129"/>
      </rPr>
      <t>REFERENCE P&amp;ID</t>
    </r>
    <r>
      <rPr>
        <sz val="10"/>
        <rFont val="Noto Sans CJK KR Medium"/>
        <family val="2"/>
        <charset val="129"/>
      </rPr>
      <t xml:space="preserve"> : Drawing number with revision number </t>
    </r>
    <phoneticPr fontId="3" type="noConversion"/>
  </si>
  <si>
    <r>
      <t xml:space="preserve"> REVISION :</t>
    </r>
    <r>
      <rPr>
        <sz val="10"/>
        <rFont val="Noto Sans CJK KR Medium"/>
        <family val="2"/>
        <charset val="129"/>
      </rPr>
      <t xml:space="preserve"> The Revision Number of Signal I/O.</t>
    </r>
    <phoneticPr fontId="3" type="noConversion"/>
  </si>
  <si>
    <t xml:space="preserve"> REMARKS</t>
    <phoneticPr fontId="3" type="noConversion"/>
  </si>
  <si>
    <t>REMARK</t>
    <phoneticPr fontId="12" type="noConversion"/>
  </si>
  <si>
    <t>TYPE</t>
    <phoneticPr fontId="12" type="noConversion"/>
  </si>
  <si>
    <t>SYSTEM</t>
    <phoneticPr fontId="12" type="noConversion"/>
  </si>
  <si>
    <t xml:space="preserve">CABLE </t>
    <phoneticPr fontId="27" type="noConversion"/>
  </si>
  <si>
    <t>CABLE</t>
  </si>
  <si>
    <t>SIGNAL</t>
    <phoneticPr fontId="12" type="noConversion"/>
  </si>
  <si>
    <t>LENGTH</t>
    <phoneticPr fontId="27" type="noConversion"/>
  </si>
  <si>
    <t>FROM</t>
    <phoneticPr fontId="1" type="noConversion"/>
  </si>
  <si>
    <t>TO</t>
    <phoneticPr fontId="1" type="noConversion"/>
  </si>
  <si>
    <t>CABLE ROUTE</t>
    <phoneticPr fontId="1" type="noConversion"/>
  </si>
  <si>
    <t>NUMBER</t>
    <phoneticPr fontId="12" type="noConversion"/>
  </si>
  <si>
    <t>TYPE</t>
  </si>
  <si>
    <t>SPEC.</t>
  </si>
  <si>
    <t>(M)</t>
  </si>
  <si>
    <t>KKS NO.</t>
  </si>
  <si>
    <t>DESCRIPTION</t>
    <phoneticPr fontId="1" type="noConversion"/>
  </si>
  <si>
    <t>LOCATION / DWG NO</t>
    <phoneticPr fontId="1" type="noConversion"/>
  </si>
  <si>
    <t>PJT Name : Turkistan CCGT Project, Date : 2023-03-30, Revision : A</t>
  </si>
  <si>
    <t>FI CS CABLE LIST</t>
  </si>
  <si>
    <t>B1</t>
  </si>
  <si>
    <t>(TCS/TPS SYSTEM)</t>
  </si>
  <si>
    <t>4-20mA</t>
  </si>
  <si>
    <t>1- C5XFE-R /ST/</t>
  </si>
  <si>
    <t>SPEED 3 HP TURBINE - TCS/TPS</t>
  </si>
  <si>
    <t>SPEED 1 HP TURBINE - TCS/TPS</t>
  </si>
  <si>
    <t>SPEED 2 HP TURBINE - TCS/TPS</t>
  </si>
  <si>
    <t>POSITION HP STOP VALVE 1</t>
  </si>
  <si>
    <t>POSITION 1 HP CONTROL VALVE 1</t>
  </si>
  <si>
    <t>POSITION 2 HP CONTROL VALVE 1</t>
  </si>
  <si>
    <t>POSITION HP STOP VALVE 2</t>
  </si>
  <si>
    <t>POSITION 1 HP CONTROL VALVE 2</t>
  </si>
  <si>
    <t>POSITION 2 HP CONTROL VALVE 2</t>
  </si>
  <si>
    <t>POSITION LP STOP FLAP</t>
  </si>
  <si>
    <t>POSITION 1 LP CONTROL FLAP</t>
  </si>
  <si>
    <t>POSITION 2 LP CONTROL FLAP</t>
  </si>
  <si>
    <t>KEY PHASOR ROTOR HP TURBINE</t>
  </si>
  <si>
    <t>LVL.1 IN EXPANDER</t>
  </si>
  <si>
    <t>LVL.2 IN EXPANDER</t>
  </si>
  <si>
    <t>LVL.3 IN EXPANDER</t>
  </si>
  <si>
    <t>PRESS.1 LUB.OIL TO FR.BEAR.</t>
  </si>
  <si>
    <t>PRESS.2 LUB.OIL TO FR.BEAR.</t>
  </si>
  <si>
    <t>PRESS.3 LUB.OIL TO FR.BEAR.</t>
  </si>
  <si>
    <t>PRESS.LP STEAM TO STG - BOTT.</t>
  </si>
  <si>
    <t>DPRESS.COND.SUCT.FT.PUMP 1</t>
  </si>
  <si>
    <t>PRESS.COND.DICH.FT.PUMP 2</t>
  </si>
  <si>
    <t>DPRESS.COND.SUCT.FT.PUMP 2</t>
  </si>
  <si>
    <t>PRESS.INNER GLAND STEAM</t>
  </si>
  <si>
    <t>PRESS.REAR GLAND STEAM</t>
  </si>
  <si>
    <t>PRESS.1 STEAM STG OUTLET-L</t>
  </si>
  <si>
    <t>PRESS.2 STEAM STG OUTLET-L</t>
  </si>
  <si>
    <t>PRESS.1 HP STEAM BEFORE HPSV 1</t>
  </si>
  <si>
    <t>PRESS.2 HP STEAM BEFORE HPSV 1</t>
  </si>
  <si>
    <t>PRESS.1 HP STEAM BEFORE HPSV 2</t>
  </si>
  <si>
    <t>PRESS.2 HP STEAM BEFORE HPSV 2</t>
  </si>
  <si>
    <t>PRESS.1 LP STEAM BEFORE LPSF</t>
  </si>
  <si>
    <t>PRESS.2 LP STEAM BEFORE LPSF</t>
  </si>
  <si>
    <t>PRESS.AUX.STEAM CONGES.GLAND</t>
  </si>
  <si>
    <t>TEMP.INNER GLAND STEAM</t>
  </si>
  <si>
    <t>TEMP.REAR GLAND STEAM</t>
  </si>
  <si>
    <t>VIBR.FRONT GEN.ROTOR - X</t>
  </si>
  <si>
    <t>VIBRATION REAR HP ROTOR - X</t>
  </si>
  <si>
    <t>VIBR.REAR GEN.ROTOR - Y</t>
  </si>
  <si>
    <t>Ele</t>
  </si>
  <si>
    <t>SystemFullName</t>
  </si>
  <si>
    <t>Turkistan CCGT</t>
  </si>
  <si>
    <t>Start object</t>
  </si>
  <si>
    <t>Cable list</t>
  </si>
  <si>
    <t>Description</t>
  </si>
  <si>
    <t>Name</t>
  </si>
  <si>
    <t>Query information</t>
  </si>
  <si>
    <t>DD_240528</t>
  </si>
  <si>
    <t>Working layer</t>
  </si>
  <si>
    <t>QUERY</t>
  </si>
  <si>
    <t>Table name</t>
  </si>
  <si>
    <t>File name</t>
  </si>
  <si>
    <t>Date</t>
  </si>
  <si>
    <t>Project</t>
  </si>
  <si>
    <t>PT_SQL_SERVER_1</t>
  </si>
  <si>
    <t>Database</t>
  </si>
  <si>
    <t>PG112342</t>
  </si>
  <si>
    <t>User name</t>
  </si>
  <si>
    <t xml:space="preserve"> 10.4.1  ServicePack 41</t>
  </si>
  <si>
    <t>COMOS version</t>
  </si>
  <si>
    <t>COMOS system information</t>
  </si>
  <si>
    <t xml:space="preserve">Ladies and gentlemen,
This Excel file contains data, exported via CAE software COMOS. This data can be reimported to COMOS. For a dataflow without any complications, you have to note the items below:
     - Only cells with white background can be changed.
     - Do not remove the sheet protection,
       because this protection is effective only for not editable cells.
     - Do not use sorting, filter etc., you might lose
       very important import information for COMOS.
     - The first row and last column of an exported sheet
       includes important information in XML format; modifying or deleting
       this data causes, that the COMOS import does not work anymore.
</t>
  </si>
  <si>
    <t>User hint</t>
  </si>
  <si>
    <t>COMOS query export
Cover sheet</t>
  </si>
  <si>
    <t>2024-06-17 / Panek, P.</t>
  </si>
  <si>
    <t>-B01</t>
  </si>
  <si>
    <t>B1-VYE-13302-B01</t>
  </si>
  <si>
    <t>001</t>
  </si>
  <si>
    <t>-U01</t>
  </si>
  <si>
    <t>B1-VYE-13302-U01</t>
  </si>
  <si>
    <t>100</t>
  </si>
  <si>
    <t>LOCAL Base Objects|Cable|A30|Z30|0008</t>
  </si>
  <si>
    <t>DSPW/SUPP.VMS</t>
  </si>
  <si>
    <t>Part of sensor 1 x   Coaxial</t>
  </si>
  <si>
    <t>B1-VYE-13301-B01</t>
  </si>
  <si>
    <t>B1-VYE-13301-U01</t>
  </si>
  <si>
    <t>B1-VYE-13052-B01</t>
  </si>
  <si>
    <t>B1-VYE-13052-U01</t>
  </si>
  <si>
    <t>B1-VYE-13002-B01</t>
  </si>
  <si>
    <t>B1-VYE-13002-U01</t>
  </si>
  <si>
    <t>B1-VXE-13302-B01</t>
  </si>
  <si>
    <t>B1-VXE-13302-U01</t>
  </si>
  <si>
    <t>B1-VXE-13301-B01</t>
  </si>
  <si>
    <t>B1-VXE-13301-U01</t>
  </si>
  <si>
    <t>B1-VXE-13051-B01</t>
  </si>
  <si>
    <t>B1-VXE-13051-U01</t>
  </si>
  <si>
    <t>B1-VXE-13001-B01</t>
  </si>
  <si>
    <t>B1-VXE-13001-U01</t>
  </si>
  <si>
    <t>B1-VT-13306-B01</t>
  </si>
  <si>
    <t>B1-VT-13306-U01</t>
  </si>
  <si>
    <t>B1-VT-13305-B01</t>
  </si>
  <si>
    <t>B1-VT-13305-U01</t>
  </si>
  <si>
    <t>B1-VE-13307-B01</t>
  </si>
  <si>
    <t>006</t>
  </si>
  <si>
    <t>-JB</t>
  </si>
  <si>
    <t>LOCAL Base Objects|Cable|A30|Z30|0011</t>
  </si>
  <si>
    <t>Part of sensor -2 pairs</t>
  </si>
  <si>
    <t>B1-VE-13302-B01</t>
  </si>
  <si>
    <t>LOCAL Base Objects|Cable|A30|Z21|0502</t>
  </si>
  <si>
    <t>Cu 2 x 0,5</t>
  </si>
  <si>
    <t>B1-VE-13301-B01</t>
  </si>
  <si>
    <t>B1-VE-13061-B01</t>
  </si>
  <si>
    <t>B1-VE-13011-B01</t>
  </si>
  <si>
    <t>B1-KT-13308-B01</t>
  </si>
  <si>
    <t>B1-KT-13308-U01</t>
  </si>
  <si>
    <t>-TB3</t>
  </si>
  <si>
    <t>B1JBA-1309-TB3</t>
  </si>
  <si>
    <t>002</t>
  </si>
  <si>
    <t>LOCAL Base Objects|Cable|A30|Z21|0505</t>
  </si>
  <si>
    <t>DSPW/SUPP.SKID</t>
  </si>
  <si>
    <t>Cu 12 x 1.5</t>
  </si>
  <si>
    <t>B1JBA-1309-C4004</t>
  </si>
  <si>
    <t>-C4004</t>
  </si>
  <si>
    <t>2024-07-11 / Panek, P.</t>
  </si>
  <si>
    <t>-M01</t>
  </si>
  <si>
    <t>B1-SKD-13201-MOV01-M01</t>
  </si>
  <si>
    <t>B1JBA-1309-C4002</t>
  </si>
  <si>
    <t>-C4002</t>
  </si>
  <si>
    <t>2024-06-12 / Panek, P.</t>
  </si>
  <si>
    <t>HAN 3A</t>
  </si>
  <si>
    <t>B1-SKD-13107-PYV02 HAN 3A</t>
  </si>
  <si>
    <t>LOCAL Base Objects|Cable|A30|Z21|1502</t>
  </si>
  <si>
    <t>Cu 2 x 2.5</t>
  </si>
  <si>
    <t>2024-06-14 / Panek, P.</t>
  </si>
  <si>
    <t>-A01</t>
  </si>
  <si>
    <t>B1-SKD-13107-PYV01-A01</t>
  </si>
  <si>
    <t>HAN 10A</t>
  </si>
  <si>
    <t>B1-SKD-13107-PYV01 HAN 10A</t>
  </si>
  <si>
    <t>LOCAL Base Objects|Cable|A30|Z20|0522</t>
  </si>
  <si>
    <t>Cu 2 x 2 x 0,75</t>
  </si>
  <si>
    <t>B1-SKD-13106-PYV01B HAN 3A</t>
  </si>
  <si>
    <t>B1-SKD-13106-PYV01A HAN 3A</t>
  </si>
  <si>
    <t>B1-SKD-13105-PYV02 HAN 3A</t>
  </si>
  <si>
    <t>B1-SKD-13105-PYV01-A01</t>
  </si>
  <si>
    <t>B1-SKD-13105-PYV01 HAN 10A</t>
  </si>
  <si>
    <t>B1-SKD-13104-PYV01B HAN 3A</t>
  </si>
  <si>
    <t>B1-SKD-13104-PYV01A HAN 3A</t>
  </si>
  <si>
    <t>B1-SKD-13103-PYV02 HAN 3A</t>
  </si>
  <si>
    <t>B1-SKD-13103-PYV01-A01</t>
  </si>
  <si>
    <t>B1-SKD-13103-PYV01 HAN 10A</t>
  </si>
  <si>
    <t>B1-SKD-13102-PYV01B HAN 3A</t>
  </si>
  <si>
    <t>B1-SKD-13102-PYV01A HAN 3A</t>
  </si>
  <si>
    <t>-X01</t>
  </si>
  <si>
    <t>B1-JBAY-1341-X01</t>
  </si>
  <si>
    <t>2024-06-19 / Panek, P.</t>
  </si>
  <si>
    <t>B1-TCV-13652-A01</t>
  </si>
  <si>
    <t>B1JBAY-1301-X01</t>
  </si>
  <si>
    <t>LOCAL Base Objects|Cable|A30|Z20|0502</t>
  </si>
  <si>
    <t>DSPW/SUPP.FI</t>
  </si>
  <si>
    <t>1- C5XFE-R /ST/ 2 x 2 x 1.0</t>
  </si>
  <si>
    <t>B1JBAY-1301-I6006</t>
  </si>
  <si>
    <t>-I6006</t>
  </si>
  <si>
    <t>-X03</t>
  </si>
  <si>
    <t>B1JBAY-1301-X03</t>
  </si>
  <si>
    <t>B1JBAY-1301-C4001</t>
  </si>
  <si>
    <t>-C4001</t>
  </si>
  <si>
    <t>2024-07-12 / Panek, P.</t>
  </si>
  <si>
    <t>B1JBA-1301-X01</t>
  </si>
  <si>
    <t>LOCAL Base Objects|Cable|A30|Z20|0510</t>
  </si>
  <si>
    <t>1- C5XFE-R /ST/ 10 x 2 x 1.0</t>
  </si>
  <si>
    <t>B1JBA-1310-I6004</t>
  </si>
  <si>
    <t>-I6004</t>
  </si>
  <si>
    <t>B1JBA-1301-X03</t>
  </si>
  <si>
    <t>008</t>
  </si>
  <si>
    <t>-U24</t>
  </si>
  <si>
    <t>B1-TE-13052</t>
  </si>
  <si>
    <t>B1JBA-1310-U24</t>
  </si>
  <si>
    <t>B1JBA-1310-I6003</t>
  </si>
  <si>
    <t>-I6003</t>
  </si>
  <si>
    <t>007</t>
  </si>
  <si>
    <t>-U13</t>
  </si>
  <si>
    <t>B1-TE-13033</t>
  </si>
  <si>
    <t>B1JBA-1310-U13</t>
  </si>
  <si>
    <t>B1JBA-1310-I6002</t>
  </si>
  <si>
    <t>-I6002</t>
  </si>
  <si>
    <t>-U02</t>
  </si>
  <si>
    <t>B1-TE-13021</t>
  </si>
  <si>
    <t>B1JBA-1310-U02</t>
  </si>
  <si>
    <t>B1JBA-1310-I6001</t>
  </si>
  <si>
    <t>-I6001</t>
  </si>
  <si>
    <t>2024-07-17 / Panek, P.</t>
  </si>
  <si>
    <t>-U22</t>
  </si>
  <si>
    <t>B1-TT-13908</t>
  </si>
  <si>
    <t>B1JBAY-1303-U22</t>
  </si>
  <si>
    <t>-XA10</t>
  </si>
  <si>
    <t>B1-TCS-1301C-XA10</t>
  </si>
  <si>
    <t>LOCAL Base Objects|Cable|A30|Z20|0505</t>
  </si>
  <si>
    <t>1- C5XFE-R /ST/ 5 x 2 x 1.0</t>
  </si>
  <si>
    <t>B1-TCS-1301C-I6016</t>
  </si>
  <si>
    <t>-I6016</t>
  </si>
  <si>
    <t>-U12</t>
  </si>
  <si>
    <t>B1-TT-13910</t>
  </si>
  <si>
    <t>B1JBAY-1303-U12</t>
  </si>
  <si>
    <t>B1-TCS-1301C-I6015</t>
  </si>
  <si>
    <t>-I6015</t>
  </si>
  <si>
    <t>B1-TT-13931</t>
  </si>
  <si>
    <t>B1JBAY-1303-U02</t>
  </si>
  <si>
    <t>B1-TCS-1301C-I6014</t>
  </si>
  <si>
    <t>-I6014</t>
  </si>
  <si>
    <t>-U29</t>
  </si>
  <si>
    <t>B1-TE-13065</t>
  </si>
  <si>
    <t>B1JBA-1310-U29</t>
  </si>
  <si>
    <t>B1-TCS-1301C-I6013</t>
  </si>
  <si>
    <t>-I6013</t>
  </si>
  <si>
    <t>-U17</t>
  </si>
  <si>
    <t>B1-TE-13091A</t>
  </si>
  <si>
    <t>B1JBA-1310-U17</t>
  </si>
  <si>
    <t>B1-TCS-1301C-I6012</t>
  </si>
  <si>
    <t>-I6012</t>
  </si>
  <si>
    <t>-U06</t>
  </si>
  <si>
    <t>B1-TE-13081A</t>
  </si>
  <si>
    <t>B1JBA-1310-U06</t>
  </si>
  <si>
    <t>B1-TCS-1301C-I6011</t>
  </si>
  <si>
    <t>-I6011</t>
  </si>
  <si>
    <t>-X05</t>
  </si>
  <si>
    <t>B1JBA-1301-X05</t>
  </si>
  <si>
    <t>-XD71</t>
  </si>
  <si>
    <t>B1-TCS-1301C-XD71</t>
  </si>
  <si>
    <t>B1-TCS-1301C-I6010</t>
  </si>
  <si>
    <t>-I6010</t>
  </si>
  <si>
    <t>B1JBA-1306-X03</t>
  </si>
  <si>
    <t>B1-TCS-1301C-I6009</t>
  </si>
  <si>
    <t>-I6009</t>
  </si>
  <si>
    <t>-X02</t>
  </si>
  <si>
    <t>B1JBA-1306-X02</t>
  </si>
  <si>
    <t>B1-TCS-1301C-I6008</t>
  </si>
  <si>
    <t>-I6008</t>
  </si>
  <si>
    <t>B1JBA-1306-X01</t>
  </si>
  <si>
    <t>B1-TCS-1301C-I6007</t>
  </si>
  <si>
    <t>-I6007</t>
  </si>
  <si>
    <t>-U32</t>
  </si>
  <si>
    <t>B1-TT-13408</t>
  </si>
  <si>
    <t>B1JBA-1305-U32</t>
  </si>
  <si>
    <t>B1-TCS-1301C-I6006</t>
  </si>
  <si>
    <t>-U21</t>
  </si>
  <si>
    <t>B1-TT-13972</t>
  </si>
  <si>
    <t>B1JBA-1305-U21</t>
  </si>
  <si>
    <t>B1-TCS-1301C-I6005</t>
  </si>
  <si>
    <t>-I6005</t>
  </si>
  <si>
    <t>-U05</t>
  </si>
  <si>
    <t>B1-TT-13975</t>
  </si>
  <si>
    <t>B1JBA-1305-U05</t>
  </si>
  <si>
    <t>B1-TCS-1301C-I6004</t>
  </si>
  <si>
    <t>B1-TCS-1301C-I6003</t>
  </si>
  <si>
    <t>-TB1</t>
  </si>
  <si>
    <t>B1JBA-1309-TB1</t>
  </si>
  <si>
    <t>B1-TCS-1301C-I6002</t>
  </si>
  <si>
    <t>B1-TCS-1301C-I6001</t>
  </si>
  <si>
    <t>-MCC</t>
  </si>
  <si>
    <t>B1-SKD-13201-MOV13-MCC</t>
  </si>
  <si>
    <t>-XD32</t>
  </si>
  <si>
    <t>B1-TCS-1301C-XD32</t>
  </si>
  <si>
    <t>B1-TCS-1301C-C4082</t>
  </si>
  <si>
    <t>-C4082</t>
  </si>
  <si>
    <t>B1-SKD-13201-MOV01-MCC</t>
  </si>
  <si>
    <t>B1-TCS-1301C-C4081</t>
  </si>
  <si>
    <t>-C4081</t>
  </si>
  <si>
    <t>B1-MOV-13607-MCC</t>
  </si>
  <si>
    <t>B1-TCS-1301C-C4080</t>
  </si>
  <si>
    <t>-C4080</t>
  </si>
  <si>
    <t>B1-MOV-13566-MCC</t>
  </si>
  <si>
    <t>B1-TCS-1301C-C4079</t>
  </si>
  <si>
    <t>-C4079</t>
  </si>
  <si>
    <t>B1-MOV-13565-MCC</t>
  </si>
  <si>
    <t>B1-TCS-1301C-C4078</t>
  </si>
  <si>
    <t>-C4078</t>
  </si>
  <si>
    <t>B1-MOV-13564-MCC</t>
  </si>
  <si>
    <t>B1-TCS-1301C-C4077</t>
  </si>
  <si>
    <t>-C4077</t>
  </si>
  <si>
    <t>B1-MOV-13561-MCC</t>
  </si>
  <si>
    <t>B1-TCS-1301C-C4076</t>
  </si>
  <si>
    <t>-C4076</t>
  </si>
  <si>
    <t>B1-MOV-13409-MCC</t>
  </si>
  <si>
    <t>B1-TCS-1301C-C4075</t>
  </si>
  <si>
    <t>-C4075</t>
  </si>
  <si>
    <t>B1-MOV-13405-MCC</t>
  </si>
  <si>
    <t>B1-TCS-1301C-C4074</t>
  </si>
  <si>
    <t>-C4074</t>
  </si>
  <si>
    <t>2024-07-13 / Panek, P.</t>
  </si>
  <si>
    <t>B1-TCS-1301C-C4010</t>
  </si>
  <si>
    <t>-C4010</t>
  </si>
  <si>
    <t>-XD31</t>
  </si>
  <si>
    <t>B1-TCS-1301C-XD31</t>
  </si>
  <si>
    <t>B1-TCS-1301C-C4009</t>
  </si>
  <si>
    <t>-C4009</t>
  </si>
  <si>
    <t>B1-TCS-1301C-C4008</t>
  </si>
  <si>
    <t>-C4008</t>
  </si>
  <si>
    <t>B1-TCS-1301C-C4007</t>
  </si>
  <si>
    <t>-C4007</t>
  </si>
  <si>
    <t>B1-TCS-1301C-C4006</t>
  </si>
  <si>
    <t>-C4006</t>
  </si>
  <si>
    <t>B1-TCS-1301C-C4005</t>
  </si>
  <si>
    <t>-C4005</t>
  </si>
  <si>
    <t>B1-TCS-1301C-C4004</t>
  </si>
  <si>
    <t>B1-TCS-1301C-C4003</t>
  </si>
  <si>
    <t>-C4003</t>
  </si>
  <si>
    <t>B1-MOV-13409-M01</t>
  </si>
  <si>
    <t>B1-TCS-1301C-C4002</t>
  </si>
  <si>
    <t>B1-MOV-13405-M01</t>
  </si>
  <si>
    <t>B1-TCS-1301C-C4001</t>
  </si>
  <si>
    <t>-U23</t>
  </si>
  <si>
    <t>B1-TT-13602</t>
  </si>
  <si>
    <t>B1JBAY-1304-U23</t>
  </si>
  <si>
    <t>B1-TCS-1301B-XA10</t>
  </si>
  <si>
    <t>B1-TCS-1301B-I6009</t>
  </si>
  <si>
    <t>-U11</t>
  </si>
  <si>
    <t>B1-TT-26022B</t>
  </si>
  <si>
    <t>B1JBAY-1304-U11</t>
  </si>
  <si>
    <t>B1-TCS-1301B-I6008</t>
  </si>
  <si>
    <t>B1-TT-26022A</t>
  </si>
  <si>
    <t>B1JBAY-1304-U01</t>
  </si>
  <si>
    <t>B1-TCS-1301B-I6007</t>
  </si>
  <si>
    <t>B1JBAY-1301-X02</t>
  </si>
  <si>
    <t>005</t>
  </si>
  <si>
    <t>B1-TCS-1301B-I6006</t>
  </si>
  <si>
    <t>B1-TCS-1301B-I6005</t>
  </si>
  <si>
    <t>B1JBAY-1302-X03</t>
  </si>
  <si>
    <t>B1-TCS-1301B-I6004</t>
  </si>
  <si>
    <t>B1JBAY-1302-X02</t>
  </si>
  <si>
    <t>B1-TCS-1301B-I6003</t>
  </si>
  <si>
    <t>B1JBAY-1302-X01</t>
  </si>
  <si>
    <t>B1-TCS-1301B-I6002</t>
  </si>
  <si>
    <t>B1-TT-13909</t>
  </si>
  <si>
    <t>B1JBA-1305-U11</t>
  </si>
  <si>
    <t>B1-TCS-1301B-I6001</t>
  </si>
  <si>
    <t>B1-TCS-1301B-XD71</t>
  </si>
  <si>
    <t>B1-TCS-1301B-C4009</t>
  </si>
  <si>
    <t>B1-TCS-1301B-C4008</t>
  </si>
  <si>
    <t>B1-TCS-1301B-C4007</t>
  </si>
  <si>
    <t>B1-TCS-1301B-C4006</t>
  </si>
  <si>
    <t>B1-PCV-13601-M01</t>
  </si>
  <si>
    <t>B1-TCS-1301B-XD31</t>
  </si>
  <si>
    <t>B1-TCS-1301B-C4005</t>
  </si>
  <si>
    <t>B1-TCS-1301B-C4004</t>
  </si>
  <si>
    <t>B1-MOV-13777-M01</t>
  </si>
  <si>
    <t>B1-TCS-1301B-C4003</t>
  </si>
  <si>
    <t>B1-TCS-1301B-C4002</t>
  </si>
  <si>
    <t>B1-TCS-1301B-C4001</t>
  </si>
  <si>
    <t>B1-PIT-26022B-B01</t>
  </si>
  <si>
    <t>B1JBAY-1304-X02</t>
  </si>
  <si>
    <t>DSPW/SKID</t>
  </si>
  <si>
    <t>B1JBAY-1304-I6009</t>
  </si>
  <si>
    <t>B1JBAY-1304-I6008</t>
  </si>
  <si>
    <t>B1-PIT-26022A-B01</t>
  </si>
  <si>
    <t>003</t>
  </si>
  <si>
    <t>B1JBAY-1304-X01</t>
  </si>
  <si>
    <t>B1JBAY-1304-I6007</t>
  </si>
  <si>
    <t>B1-PIT-26021A-B01</t>
  </si>
  <si>
    <t>B1-PIT-26021A-JB</t>
  </si>
  <si>
    <t>B1JBAY-1304-I6006</t>
  </si>
  <si>
    <t>B1-PIT-13217C-B01</t>
  </si>
  <si>
    <t>B1JBAY-1303-X03</t>
  </si>
  <si>
    <t>B1JBAY-1303-I6011</t>
  </si>
  <si>
    <t>B1-PIT-13217B-B01</t>
  </si>
  <si>
    <t>B1JBAY-1303-X02</t>
  </si>
  <si>
    <t>B1JBAY-1303-I6010</t>
  </si>
  <si>
    <t>B1JBAY-1303-I6009</t>
  </si>
  <si>
    <t>B1-PIT-13511-B01</t>
  </si>
  <si>
    <t>B1-PIT-13511-JB</t>
  </si>
  <si>
    <t>B1JBAY-1302-I6007</t>
  </si>
  <si>
    <t>B1-PIT-13508-B01</t>
  </si>
  <si>
    <t>B1-PIT-13508-JB</t>
  </si>
  <si>
    <t>B1JBAY-1302-I6006</t>
  </si>
  <si>
    <t>B1JBAY-1302-I6005</t>
  </si>
  <si>
    <t>B1JBAY-1302-I6004</t>
  </si>
  <si>
    <t>B1-LIT-13501C-B01</t>
  </si>
  <si>
    <t>B1-LIT-13501C-JB</t>
  </si>
  <si>
    <t>B1JBAY-1302-I6003</t>
  </si>
  <si>
    <t>B1-LIT-13501B-B01</t>
  </si>
  <si>
    <t>B1-LIT-13501B-JB</t>
  </si>
  <si>
    <t>B1JBAY-1302-I6002</t>
  </si>
  <si>
    <t>B1-LIT-13501A-B01</t>
  </si>
  <si>
    <t>B1JBAY-1302-I6001</t>
  </si>
  <si>
    <t>B1-PIT-28001A-B01</t>
  </si>
  <si>
    <t>B1JBAY-1301-I6012</t>
  </si>
  <si>
    <t>B1-PIT-13901-B01</t>
  </si>
  <si>
    <t>B1JBAY-1301-I6011</t>
  </si>
  <si>
    <t>B1-PIT-13651-B01</t>
  </si>
  <si>
    <t>004</t>
  </si>
  <si>
    <t>B1JBAY-1301-I6010</t>
  </si>
  <si>
    <t>B1-PIT-13601-B01</t>
  </si>
  <si>
    <t>B1JBAY-1301-I6009</t>
  </si>
  <si>
    <t>B1-PIT-27011B-B01</t>
  </si>
  <si>
    <t>B1JBAY-1301-I6004</t>
  </si>
  <si>
    <t>B1-PIT-27011A-B01</t>
  </si>
  <si>
    <t>B1JBAY-1301-I6003</t>
  </si>
  <si>
    <t>B1-LSH-13801-B01</t>
  </si>
  <si>
    <t>B1JBAY-1301-C4002</t>
  </si>
  <si>
    <t>B1-LIT-13202-B01</t>
  </si>
  <si>
    <t>B1-LIT-13202-JB</t>
  </si>
  <si>
    <t>Cu 1 x 2 x 1.0</t>
  </si>
  <si>
    <t>B1JBA-1309-I6014</t>
  </si>
  <si>
    <t>B1-LIT-13201C-B01</t>
  </si>
  <si>
    <t>B1-LIT-13201C-JB</t>
  </si>
  <si>
    <t>B1JBA-1309-I6013</t>
  </si>
  <si>
    <t>B1-LIT-13201B-B01</t>
  </si>
  <si>
    <t>B1-LIT-13201B-JB</t>
  </si>
  <si>
    <t>B1JBA-1309-I6012</t>
  </si>
  <si>
    <t>B1-LIT-13201A-B01</t>
  </si>
  <si>
    <t>B1-LIT-13201A-JB</t>
  </si>
  <si>
    <t>B1JBA-1309-I6011</t>
  </si>
  <si>
    <t>2024-06-18 / Panek, P.</t>
  </si>
  <si>
    <t>B1-TT-13216-B01</t>
  </si>
  <si>
    <t>B1-TT-13216-JB</t>
  </si>
  <si>
    <t>B1JBA-1309-I6010</t>
  </si>
  <si>
    <t>B1-TT-13212-B01</t>
  </si>
  <si>
    <t>B1-TT-13212-JB</t>
  </si>
  <si>
    <t>B1JBA-1309-I6009</t>
  </si>
  <si>
    <t>B1-TT-13209-B01</t>
  </si>
  <si>
    <t>B1-TT-13209-JB</t>
  </si>
  <si>
    <t>B1JBA-1309-I6008</t>
  </si>
  <si>
    <t>B1-TT-13207-B01</t>
  </si>
  <si>
    <t>B1-TT-13207-JB</t>
  </si>
  <si>
    <t>B1JBA-1309-I6007</t>
  </si>
  <si>
    <t>B1-TT-13206-B01</t>
  </si>
  <si>
    <t>B1-TT-13206-JB</t>
  </si>
  <si>
    <t>B1JBA-1309-I6006</t>
  </si>
  <si>
    <t>B1-PIT-13223-B01</t>
  </si>
  <si>
    <t>B1-PIT-13223-JB</t>
  </si>
  <si>
    <t>B1JBA-1309-I6005</t>
  </si>
  <si>
    <t>B1-PIT-13208-B01</t>
  </si>
  <si>
    <t>B1-PIT-13208-JB</t>
  </si>
  <si>
    <t>B1JBA-1309-I6004</t>
  </si>
  <si>
    <t>B1-PIT-13205-B01</t>
  </si>
  <si>
    <t>B1JBA-1309-I6003</t>
  </si>
  <si>
    <t>B1-PIT-13234A-B01</t>
  </si>
  <si>
    <t>B1-PIT-13234A-JB</t>
  </si>
  <si>
    <t>B1JBA-1309-I6002</t>
  </si>
  <si>
    <t>B1-PIT-13232A-B01</t>
  </si>
  <si>
    <t>B1-PIT-13232A-JB</t>
  </si>
  <si>
    <t>B1JBA-1309-I6001</t>
  </si>
  <si>
    <t>B1-PIT-13905-B01</t>
  </si>
  <si>
    <t>B1JBA-1306-I6009</t>
  </si>
  <si>
    <t>B1-PIT-13904-B01</t>
  </si>
  <si>
    <t>B1-PIT-13904-JB</t>
  </si>
  <si>
    <t>B1JBA-1306-I6008</t>
  </si>
  <si>
    <t>-U20</t>
  </si>
  <si>
    <t>B1-TT-13915</t>
  </si>
  <si>
    <t>B1JBA-1306-U20</t>
  </si>
  <si>
    <t>B1-TT-13915-B01</t>
  </si>
  <si>
    <t>B1JBA-1306-I6003</t>
  </si>
  <si>
    <t>2024-07-05 / Panek, P.</t>
  </si>
  <si>
    <t>-U10</t>
  </si>
  <si>
    <t>B1-TT-13914B</t>
  </si>
  <si>
    <t>B1JBA-1306-U10</t>
  </si>
  <si>
    <t>B1-TT-13914A-B01</t>
  </si>
  <si>
    <t>B1JBA-1306-I6002</t>
  </si>
  <si>
    <t>B1-TT-13914A</t>
  </si>
  <si>
    <t>B1JBA-1306-U01</t>
  </si>
  <si>
    <t>B1JBA-1306-I6001</t>
  </si>
  <si>
    <t>B1-PIT-13407-B01</t>
  </si>
  <si>
    <t>B1-PIT-13407-JB</t>
  </si>
  <si>
    <t>B1JBA-1305-I6016</t>
  </si>
  <si>
    <t>HAN 16A</t>
  </si>
  <si>
    <t>B1-ZHS-13161 HAN 16A</t>
  </si>
  <si>
    <t>LOCAL Base Objects|Cable|A30|Z20|0523</t>
  </si>
  <si>
    <t>Cu 4 x 2 x 0,75</t>
  </si>
  <si>
    <t>B1-ZHS-13161-B01</t>
  </si>
  <si>
    <t>B1-ZHS-13141 HAN 16A</t>
  </si>
  <si>
    <t>B1-ZHS-13141-B01</t>
  </si>
  <si>
    <t>B1-ZHS-13121 HAN 16A</t>
  </si>
  <si>
    <t>B1-ZHS-13121-B01</t>
  </si>
  <si>
    <t>B1-TT-13101C-B01</t>
  </si>
  <si>
    <t>B1-TT-13101B-B01</t>
  </si>
  <si>
    <t>B1-TT-13101A-B01</t>
  </si>
  <si>
    <t>B1-PT-13101-B01</t>
  </si>
  <si>
    <t>LOCAL Base Objects|Cable|A30|Z20|0521</t>
  </si>
  <si>
    <t>Cu 2 x 3 x 1.5</t>
  </si>
  <si>
    <t>B1-PS-13109C-B01</t>
  </si>
  <si>
    <t>B1-PS-13109B-B01</t>
  </si>
  <si>
    <t>B1-PS-13109A-B01</t>
  </si>
  <si>
    <t>B1-PS-13103B-B01</t>
  </si>
  <si>
    <t>B1-PS-13103A-B01</t>
  </si>
  <si>
    <t>B1-PS-13102B-B01</t>
  </si>
  <si>
    <t>B1-PS-13102A-B01</t>
  </si>
  <si>
    <t>B1-LS-13102C-B01</t>
  </si>
  <si>
    <t>B1-LS-13102B-B01</t>
  </si>
  <si>
    <t>B1-LS-13101-B01</t>
  </si>
  <si>
    <t>-S01</t>
  </si>
  <si>
    <t>CLIENT</t>
  </si>
  <si>
    <t>X41</t>
  </si>
  <si>
    <t>B1-XV-13794 X41</t>
  </si>
  <si>
    <t>B1JBAY-1301-C4007</t>
  </si>
  <si>
    <t>B1-XV-13784 X41</t>
  </si>
  <si>
    <t>B1JBAY-1301-C4006</t>
  </si>
  <si>
    <t>B1-XV-13653 X41</t>
  </si>
  <si>
    <t>B1JBAY-1301-C4005</t>
  </si>
  <si>
    <t>2024-07-08 / Panek, P.</t>
  </si>
  <si>
    <t>B1-XV-13609 X41</t>
  </si>
  <si>
    <t>B1JBAY-1301-C4004</t>
  </si>
  <si>
    <t>B1-XV-13604 X41</t>
  </si>
  <si>
    <t>B1JBAY-1301-C4003</t>
  </si>
  <si>
    <t>B1-VSD-13701-PLC01-MCC</t>
  </si>
  <si>
    <t>-SYS</t>
  </si>
  <si>
    <t>2024-05-29 / Panek, P.</t>
  </si>
  <si>
    <t>B1-SKD-13921-DR02B-MCC</t>
  </si>
  <si>
    <t>LOCAL Base Objects|Cable|A30|Z20|0524</t>
  </si>
  <si>
    <t>FR-CVV-AMS-I/C 8 x 2 x 1</t>
  </si>
  <si>
    <t>B1-TCS-1301C-C4073</t>
  </si>
  <si>
    <t>-C4073</t>
  </si>
  <si>
    <t>B1-SKD-13921-DR02A-MCC</t>
  </si>
  <si>
    <t>B1-TCS-1301C-C4072</t>
  </si>
  <si>
    <t>-C4072</t>
  </si>
  <si>
    <t>B1-SKD-13201-P78B-MCC</t>
  </si>
  <si>
    <t>B1-TCS-1301C-C4071</t>
  </si>
  <si>
    <t>-C4071</t>
  </si>
  <si>
    <t>B1-SKD-13201-P78A-MCC</t>
  </si>
  <si>
    <t>B1-TCS-1301C-C4070</t>
  </si>
  <si>
    <t>-C4070</t>
  </si>
  <si>
    <t>B1-SKD-13201-P73B-MCC</t>
  </si>
  <si>
    <t>B1-TCS-1301C-C4069</t>
  </si>
  <si>
    <t>-C4069</t>
  </si>
  <si>
    <t>B1-SKD-13201-P73A-MCC</t>
  </si>
  <si>
    <t>B1-TCS-1301C-C4068</t>
  </si>
  <si>
    <t>-C4068</t>
  </si>
  <si>
    <t>B1-SKD-13201-H72-MCC</t>
  </si>
  <si>
    <t>B1-TCS-1301C-C4067</t>
  </si>
  <si>
    <t>-C4067</t>
  </si>
  <si>
    <t>B1-SKD-13201-H71-MCC</t>
  </si>
  <si>
    <t>B1-TCS-1301C-C4066</t>
  </si>
  <si>
    <t>-C4066</t>
  </si>
  <si>
    <t>B1-SKD-13201-DR80B-MCC</t>
  </si>
  <si>
    <t>B1-TCS-1301C-C4065</t>
  </si>
  <si>
    <t>-C4065</t>
  </si>
  <si>
    <t>B1-SKD-13201-DR80A-MCC</t>
  </si>
  <si>
    <t>B1-TCS-1301C-C4064</t>
  </si>
  <si>
    <t>-C4064</t>
  </si>
  <si>
    <t>B1-SKD-13101-P03-MCC</t>
  </si>
  <si>
    <t>B1-TCS-1301C-C4063</t>
  </si>
  <si>
    <t>-C4063</t>
  </si>
  <si>
    <t>B1-SKD-13101-P01B-MCC</t>
  </si>
  <si>
    <t>B1-TCS-1301C-C4062</t>
  </si>
  <si>
    <t>-C4062</t>
  </si>
  <si>
    <t>B1-SKD-13101-P01A-MCC</t>
  </si>
  <si>
    <t>B1-TCS-1301C-C4061</t>
  </si>
  <si>
    <t>-C4061</t>
  </si>
  <si>
    <t>B1-GE-13001-EH01-MCC</t>
  </si>
  <si>
    <t>B1-TCS-1301C-C4060</t>
  </si>
  <si>
    <t>-C4060</t>
  </si>
  <si>
    <t>X42</t>
  </si>
  <si>
    <t>B1-XV-13653 X42</t>
  </si>
  <si>
    <t>B1-TCS-1301C-C4040</t>
  </si>
  <si>
    <t>-C4040</t>
  </si>
  <si>
    <t>B1-PCV-13659-MCC</t>
  </si>
  <si>
    <t>B1-TCS-1301B-XD32</t>
  </si>
  <si>
    <t>B1-TCS-1301B-C4068</t>
  </si>
  <si>
    <t>B1-PCV-13651-MCC</t>
  </si>
  <si>
    <t>B1-TCS-1301B-C4067</t>
  </si>
  <si>
    <t>B1-PCV-13601-MCC</t>
  </si>
  <si>
    <t>B1-TCS-1301B-C4066</t>
  </si>
  <si>
    <t>B1-PCV-13531-MCC</t>
  </si>
  <si>
    <t>B1-TCS-1301B-C4065</t>
  </si>
  <si>
    <t>B1-MOV-13777-MCC</t>
  </si>
  <si>
    <t>B1-TCS-1301B-C4064</t>
  </si>
  <si>
    <t>B1-MOV-13772-MCC</t>
  </si>
  <si>
    <t>B1-TCS-1301B-C4063</t>
  </si>
  <si>
    <t>B1-LCV-13501-MCC</t>
  </si>
  <si>
    <t>B1-TCS-1301B-C4062</t>
  </si>
  <si>
    <t>B1-P-13502B-MCC</t>
  </si>
  <si>
    <t>B1-TCS-1301B-C4061</t>
  </si>
  <si>
    <t>B1-P-13502A-MCC</t>
  </si>
  <si>
    <t>B1-TCS-1301B-C4060</t>
  </si>
  <si>
    <t>B1-XV-13794 X42</t>
  </si>
  <si>
    <t>B1-TCS-1301B-C4043</t>
  </si>
  <si>
    <t>-C4043</t>
  </si>
  <si>
    <t>B1-XV-13784 X42</t>
  </si>
  <si>
    <t>B1-TCS-1301B-C4042</t>
  </si>
  <si>
    <t>-C4042</t>
  </si>
  <si>
    <t>B1-XV-13609 X42</t>
  </si>
  <si>
    <t>B1-TCS-1301B-C4041</t>
  </si>
  <si>
    <t>-C4041</t>
  </si>
  <si>
    <t>B1-XV-13604 X42</t>
  </si>
  <si>
    <t>B1-TCS-1301B-C4040</t>
  </si>
  <si>
    <t>-Y01</t>
  </si>
  <si>
    <t>B1-SKD-13107-PYV02 -Y01</t>
  </si>
  <si>
    <t>LOCAL Base Objects|Cable|A30|Z21|1503</t>
  </si>
  <si>
    <t>Cu 3 x 1.5</t>
  </si>
  <si>
    <t>B1-SKD-13106-PYV01B -Y01</t>
  </si>
  <si>
    <t>B1-SKD-13106-PYV01A -Y01</t>
  </si>
  <si>
    <t>B1-SKD-13105-PYV02 -Y01</t>
  </si>
  <si>
    <t>B1-SKD-13104-PYV01B -Y01</t>
  </si>
  <si>
    <t>B1-SKD-13104-PYV01A -Y01</t>
  </si>
  <si>
    <t>B1-SKD-13103-PYV02 -Y01</t>
  </si>
  <si>
    <t>B1-SKD-13102-PYV01B -Y01</t>
  </si>
  <si>
    <t>B1-SKD-13102-PYV01A -Y01</t>
  </si>
  <si>
    <t>B1-SKD-13101-PYV01C -Y01</t>
  </si>
  <si>
    <t>B1-SKD-13101-PYV01B -Y01</t>
  </si>
  <si>
    <t>B1-SKD-13101-PYV01A -Y01</t>
  </si>
  <si>
    <t>HAN 6B</t>
  </si>
  <si>
    <t>B1-SE-13301C HAN 6B</t>
  </si>
  <si>
    <t>B1-SE-13301B HAN 6B</t>
  </si>
  <si>
    <t>B1-SE-13301A HAN 6B</t>
  </si>
  <si>
    <t>B1-PC-13020-EX01-SYS</t>
  </si>
  <si>
    <t>-X91</t>
  </si>
  <si>
    <t>B1-MS-13701-X91</t>
  </si>
  <si>
    <t>-XD33</t>
  </si>
  <si>
    <t>B1-TCS-1301C-XD33</t>
  </si>
  <si>
    <t>B1-MS-13701-I6001</t>
  </si>
  <si>
    <t>-X99</t>
  </si>
  <si>
    <t>B1-MS-13701-X99</t>
  </si>
  <si>
    <t>B1-MS-13701-C4003</t>
  </si>
  <si>
    <t>-X95</t>
  </si>
  <si>
    <t>B1-MS-13701-X95</t>
  </si>
  <si>
    <t>B1-MS-13701-C4002</t>
  </si>
  <si>
    <t>B1-MS-13701-C4001</t>
  </si>
  <si>
    <t>B1-HZ-13303-S01</t>
  </si>
  <si>
    <t>B1-HZ-13302-S01</t>
  </si>
  <si>
    <t>2024-06-14 / Harasta, T.</t>
  </si>
  <si>
    <t>B1-DCS-11001-DO06-SYS</t>
  </si>
  <si>
    <t>B1-DCS-11001-DO04-SYS</t>
  </si>
  <si>
    <t>B1-TT-28002</t>
  </si>
  <si>
    <t>B1JBAY-1304-U22</t>
  </si>
  <si>
    <t>B1-TT-28002-B01</t>
  </si>
  <si>
    <t>LOCAL Base Objects|Cable|A30|Z20|0502c</t>
  </si>
  <si>
    <t>Comp. Cable KX 2 x 2 x 0.5</t>
  </si>
  <si>
    <t>B1JBAY-1304-I6005</t>
  </si>
  <si>
    <t>B1JBAY-1304-X03</t>
  </si>
  <si>
    <t>B1JBAY-1304-I6004</t>
  </si>
  <si>
    <t>B1-TT-26022C-B01</t>
  </si>
  <si>
    <t>B1JBAY-1304-I6003</t>
  </si>
  <si>
    <t>B1-TT-26022B-B01</t>
  </si>
  <si>
    <t>B1JBAY-1304-I6002</t>
  </si>
  <si>
    <t>B1-TT-26022A-B01</t>
  </si>
  <si>
    <t>B1JBAY-1304-I6001</t>
  </si>
  <si>
    <t>B1-TT-13931-B01</t>
  </si>
  <si>
    <t>B1JBAY-1303-X01</t>
  </si>
  <si>
    <t>B1JBAY-1303-I6008</t>
  </si>
  <si>
    <t>B1-TT-13916</t>
  </si>
  <si>
    <t>B1JBAY-1303-U13</t>
  </si>
  <si>
    <t>B1-TT-13916-B01</t>
  </si>
  <si>
    <t>B1JBAY-1303-I6007</t>
  </si>
  <si>
    <t>B1-TT-13912-B01</t>
  </si>
  <si>
    <t>B1JBAY-1303-I6006</t>
  </si>
  <si>
    <t>B1-TT-13910-B01</t>
  </si>
  <si>
    <t>B1JBAY-1303-I6005</t>
  </si>
  <si>
    <t>B1-TT-13908-B01</t>
  </si>
  <si>
    <t>B1JBAY-1303-I6004</t>
  </si>
  <si>
    <t>B1-TT-26021C-B01</t>
  </si>
  <si>
    <t>B1JBAY-1303-I6003</t>
  </si>
  <si>
    <t>B1-TT-26021B-B01</t>
  </si>
  <si>
    <t>B1JBAY-1303-I6002</t>
  </si>
  <si>
    <t>B1-TT-26021A</t>
  </si>
  <si>
    <t>B1JBAY-1303-U01</t>
  </si>
  <si>
    <t>B1-TT-26021A-B01</t>
  </si>
  <si>
    <t>B1JBAY-1303-I6001</t>
  </si>
  <si>
    <t>B1-PCV-13531-M01</t>
  </si>
  <si>
    <t>B1JBAY-1302-I6009</t>
  </si>
  <si>
    <t>B1-LCV-13501-M01</t>
  </si>
  <si>
    <t>B1JBAY-1302-I6008</t>
  </si>
  <si>
    <t>B1JBAY-1301-I6008</t>
  </si>
  <si>
    <t>B1-PCV-13659-M01</t>
  </si>
  <si>
    <t>B1JBAY-1301-I6007</t>
  </si>
  <si>
    <t>B1-PCV-13651-M01</t>
  </si>
  <si>
    <t>B1JBAY-1301-I6005</t>
  </si>
  <si>
    <t>B1-TT-27011B-B01</t>
  </si>
  <si>
    <t>B1JBAY-1301-I6002</t>
  </si>
  <si>
    <t>B1JBAY-1301-I6001</t>
  </si>
  <si>
    <t>B1JBA-1301-X02</t>
  </si>
  <si>
    <t>-U26</t>
  </si>
  <si>
    <t>B1JBA-1310-U26</t>
  </si>
  <si>
    <t>B1JBA-1310-I6007</t>
  </si>
  <si>
    <t>-U16</t>
  </si>
  <si>
    <t>B1JBA-1310-U16</t>
  </si>
  <si>
    <t>B1JBA-1310-I6006</t>
  </si>
  <si>
    <t>B1JBA-1310-I6005</t>
  </si>
  <si>
    <t>B1-SKD-13201-MOV13-M01</t>
  </si>
  <si>
    <t>LOCAL Base Objects|Cable|A30|Z21|0504</t>
  </si>
  <si>
    <t>Cu 4 x 1.5</t>
  </si>
  <si>
    <t>B1JBA-1309-C4003</t>
  </si>
  <si>
    <t>B1JBA-1309-C4001</t>
  </si>
  <si>
    <t>B1JBA-1306-I6010</t>
  </si>
  <si>
    <t>B1-TT-13982</t>
  </si>
  <si>
    <t>B1JBA-1306-U24</t>
  </si>
  <si>
    <t>B1-TT-13982-B01</t>
  </si>
  <si>
    <t>B1JBA-1306-I6007</t>
  </si>
  <si>
    <t>B1-TT-13980</t>
  </si>
  <si>
    <t>B1JBA-1306-U22</t>
  </si>
  <si>
    <t>B1-TT-13980-B01</t>
  </si>
  <si>
    <t>B1JBA-1306-I6006</t>
  </si>
  <si>
    <t>B1-TT-13981</t>
  </si>
  <si>
    <t>B1JBA-1306-U12</t>
  </si>
  <si>
    <t>B1-TT-13981-B01</t>
  </si>
  <si>
    <t>B1JBA-1306-I6005</t>
  </si>
  <si>
    <t>B1-TT-13979</t>
  </si>
  <si>
    <t>B1JBA-1306-U11</t>
  </si>
  <si>
    <t>B1-TT-13979-B01</t>
  </si>
  <si>
    <t>B1JBA-1306-I6004</t>
  </si>
  <si>
    <t>2024-06-28 / Panek, P.</t>
  </si>
  <si>
    <t>B1-TT-13408-B01</t>
  </si>
  <si>
    <t>-X04</t>
  </si>
  <si>
    <t>B1JBA-1305-X04</t>
  </si>
  <si>
    <t>B1JBA-1305-I6015</t>
  </si>
  <si>
    <t>B1-TT-13406-B01</t>
  </si>
  <si>
    <t>B1-TT-13406-JB</t>
  </si>
  <si>
    <t>B1JBA-1305-I6014</t>
  </si>
  <si>
    <t>B1JBA-1305-I6013</t>
  </si>
  <si>
    <t>B1-TT-13917-B01</t>
  </si>
  <si>
    <t>B1JBA-1305-X02</t>
  </si>
  <si>
    <t>B1JBA-1305-I6012</t>
  </si>
  <si>
    <t>B1-TT-13911-B01</t>
  </si>
  <si>
    <t>B1JBA-1305-I6011</t>
  </si>
  <si>
    <t>B1-TT-13909-B01</t>
  </si>
  <si>
    <t>B1JBA-1305-I6010</t>
  </si>
  <si>
    <t>B1-TT-13907-B01</t>
  </si>
  <si>
    <t>B1JBA-1305-I6009</t>
  </si>
  <si>
    <t>-U28</t>
  </si>
  <si>
    <t>B1-TT-13978</t>
  </si>
  <si>
    <t>B1JBA-1305-U28</t>
  </si>
  <si>
    <t>B1-TT-13978-B01</t>
  </si>
  <si>
    <t>B1JBA-1305-I6008</t>
  </si>
  <si>
    <t>B1-TT-13976</t>
  </si>
  <si>
    <t>B1JBA-1305-U26</t>
  </si>
  <si>
    <t>B1-TT-13976-B01</t>
  </si>
  <si>
    <t>B1JBA-1305-I6007</t>
  </si>
  <si>
    <t>B1-TT-13974</t>
  </si>
  <si>
    <t>B1JBA-1305-U24</t>
  </si>
  <si>
    <t>B1-TT-13974-B01</t>
  </si>
  <si>
    <t>B1JBA-1305-I6006</t>
  </si>
  <si>
    <t>B1JBA-1305-U22</t>
  </si>
  <si>
    <t>B1-TT-13972-B01</t>
  </si>
  <si>
    <t>B1JBA-1305-I6005</t>
  </si>
  <si>
    <t>-U08</t>
  </si>
  <si>
    <t>B1-TT-13977</t>
  </si>
  <si>
    <t>B1JBA-1305-U08</t>
  </si>
  <si>
    <t>B1-TT-13977-B01</t>
  </si>
  <si>
    <t>B1JBA-1305-I6004</t>
  </si>
  <si>
    <t>B1-TT-13975-B01</t>
  </si>
  <si>
    <t>B1JBA-1305-I6003</t>
  </si>
  <si>
    <t>-U04</t>
  </si>
  <si>
    <t>B1-TT-13973</t>
  </si>
  <si>
    <t>B1JBA-1305-U04</t>
  </si>
  <si>
    <t>B1-TT-13973-B01</t>
  </si>
  <si>
    <t>B1JBA-1305-I6002</t>
  </si>
  <si>
    <t>B1-TT-13971</t>
  </si>
  <si>
    <t>B1JBA-1305-U01</t>
  </si>
  <si>
    <t>B1-TT-13971-B01</t>
  </si>
  <si>
    <t>B1JBA-1305-I6001</t>
  </si>
  <si>
    <t>B1-ZT-13171B HAN 10A</t>
  </si>
  <si>
    <t>B1-ZT-13171B-B01</t>
  </si>
  <si>
    <t>@30|Z30|A50|A10|A20|A10|A10|A45|A50|0000</t>
  </si>
  <si>
    <t>Silicone 3 x 2 x 0,25</t>
  </si>
  <si>
    <t>B1-ZT-13171A HAN 10A</t>
  </si>
  <si>
    <t>B1-ZT-13171A-B01</t>
  </si>
  <si>
    <t>B1-ZT-13161 HAN 10A</t>
  </si>
  <si>
    <t>B1-ZT-13161-B01</t>
  </si>
  <si>
    <t>B1-ZT-13151B HAN 10A</t>
  </si>
  <si>
    <t>B1-ZT-13151B-B01</t>
  </si>
  <si>
    <t>B1-ZT-13151A HAN 10A</t>
  </si>
  <si>
    <t>B1-ZT-13151A-B01</t>
  </si>
  <si>
    <t>B1-ZT-13141 HAN 10A</t>
  </si>
  <si>
    <t>B1-ZT-13141-B01</t>
  </si>
  <si>
    <t>B1-ZT-13131B HAN 10A</t>
  </si>
  <si>
    <t>B1-ZT-13131B-B01</t>
  </si>
  <si>
    <t>B1-ZT-13131A HAN 10A</t>
  </si>
  <si>
    <t>B1-ZT-13131A-B01</t>
  </si>
  <si>
    <t>B1-ZT-13121 HAN 10A</t>
  </si>
  <si>
    <t>B1-ZT-13121-B01</t>
  </si>
  <si>
    <t>B1-TE-13065-B01</t>
  </si>
  <si>
    <t>340-C-PUR 4 x 2 x 0,75</t>
  </si>
  <si>
    <t>LOCAL Base Objects|Cable|A30|Z30|0012</t>
  </si>
  <si>
    <t>B1-TE-13061-B01</t>
  </si>
  <si>
    <t>B1-TE-13054-B01</t>
  </si>
  <si>
    <t>B1-TE-13053-B01</t>
  </si>
  <si>
    <t>B1-TE-13052-B01</t>
  </si>
  <si>
    <t>B1-TE-13051-B01</t>
  </si>
  <si>
    <t>B1-TE-13033-B01</t>
  </si>
  <si>
    <t>Teflon 4 x 0.22</t>
  </si>
  <si>
    <t>JB1</t>
  </si>
  <si>
    <t>B1-TE-13033JB1</t>
  </si>
  <si>
    <t>B1-TE-13032-B01</t>
  </si>
  <si>
    <t>B1-TE-13031-B01</t>
  </si>
  <si>
    <t>B1-TE-13023-B01</t>
  </si>
  <si>
    <t>B1-TE-13022-B01</t>
  </si>
  <si>
    <t>B1-TE-13021-B01</t>
  </si>
  <si>
    <t>B1-TE-13013-B01</t>
  </si>
  <si>
    <t>B1-TE-13013JB1</t>
  </si>
  <si>
    <t>B1-TE-13012-B01</t>
  </si>
  <si>
    <t>B1-TE-13011-B01</t>
  </si>
  <si>
    <t>B1-TE-13091A-B01</t>
  </si>
  <si>
    <t>LOCAL Base Objects|Cable|A30|Z30|0520</t>
  </si>
  <si>
    <t>TLH KX 1 x 2 x 0.5</t>
  </si>
  <si>
    <t>TLH KX  1 x 2 x 0.5</t>
  </si>
  <si>
    <t>B1-TE-13081A-B01</t>
  </si>
  <si>
    <t>0</t>
  </si>
  <si>
    <t>@50|Z30|A60|A10|A90|A10|A10|A40|A10|D10|ZB08</t>
  </si>
  <si>
    <t>S7 Patchcable  LWL F. S7-400H, 1M (&lt;IPC&gt;)</t>
  </si>
  <si>
    <t>B1-TCS-1301AZB19</t>
  </si>
  <si>
    <t>@50|Z30|A60|A10|A90|A10|A10|A40|A10|D10|ZB07</t>
  </si>
  <si>
    <t>B1-TCS-1301AZB18</t>
  </si>
  <si>
    <t>-XD41</t>
  </si>
  <si>
    <t>B1-TCS-1301B-XD41</t>
  </si>
  <si>
    <t>-XD51</t>
  </si>
  <si>
    <t>2024-07-12 / Kolar, J.</t>
  </si>
  <si>
    <t>-A31</t>
  </si>
  <si>
    <t>B1-TCS-1320-A31</t>
  </si>
  <si>
    <t>++Server room-A200-A01</t>
  </si>
  <si>
    <t>@30|Z30|A50|A10|A20|A10|A10|A45|A50|0001</t>
  </si>
  <si>
    <t>IE TP CORD RJ45/RJ45 CAT 6A</t>
  </si>
  <si>
    <t>B1-TCS-1301A-E8013</t>
  </si>
  <si>
    <t>-E8013</t>
  </si>
  <si>
    <t>-A21</t>
  </si>
  <si>
    <t>B1-TCS-1320-A21</t>
  </si>
  <si>
    <t>B1-TCS-1301A-E8012</t>
  </si>
  <si>
    <t>-E8012</t>
  </si>
  <si>
    <t>++Server room-A100-A01</t>
  </si>
  <si>
    <t>-A30</t>
  </si>
  <si>
    <t>B1-TCS-1320-A30</t>
  </si>
  <si>
    <t>B1-TCS-1301A-E8011</t>
  </si>
  <si>
    <t>-E8011</t>
  </si>
  <si>
    <t>-A20</t>
  </si>
  <si>
    <t>B1-TCS-1320-A20</t>
  </si>
  <si>
    <t>B1-TCS-1301A-E8010</t>
  </si>
  <si>
    <t>-E8010</t>
  </si>
  <si>
    <t>B1-TCS-1301A-A21</t>
  </si>
  <si>
    <t>++Control room-E02</t>
  </si>
  <si>
    <t>-E02</t>
  </si>
  <si>
    <t>B1-TCS-1301A-E8009</t>
  </si>
  <si>
    <t>-E8009</t>
  </si>
  <si>
    <t>++Computer room-P01</t>
  </si>
  <si>
    <t>-P01</t>
  </si>
  <si>
    <t>B1-TCS-1301A-E8008</t>
  </si>
  <si>
    <t>-E8008</t>
  </si>
  <si>
    <t>++Computer room-E01</t>
  </si>
  <si>
    <t>-E01</t>
  </si>
  <si>
    <t>B1-TCS-1301A-E8007</t>
  </si>
  <si>
    <t>-E8007</t>
  </si>
  <si>
    <t>++Control room-P01</t>
  </si>
  <si>
    <t>B1-TCS-1301A-E8006</t>
  </si>
  <si>
    <t>-E8006</t>
  </si>
  <si>
    <t>++Control room-E01</t>
  </si>
  <si>
    <t>B1-TCS-1301A-E8005</t>
  </si>
  <si>
    <t>-E8005</t>
  </si>
  <si>
    <t>-XXX</t>
  </si>
  <si>
    <t>B1XXX-XXX</t>
  </si>
  <si>
    <t>@30|Z30|A50|A10|A20|A10|A10|A45|A60|0001</t>
  </si>
  <si>
    <t>Fiber optic standard cable 50/125</t>
  </si>
  <si>
    <t>B1-TCS-1301A-E8004</t>
  </si>
  <si>
    <t>-E8004</t>
  </si>
  <si>
    <t>-U100</t>
  </si>
  <si>
    <t>B1-CP-13501+ER-U100</t>
  </si>
  <si>
    <t>B1-TCS-1301A-E8003</t>
  </si>
  <si>
    <t>-E8003</t>
  </si>
  <si>
    <t>B1-TCS-1301A-E8002</t>
  </si>
  <si>
    <t>-E8002</t>
  </si>
  <si>
    <t>-P4</t>
  </si>
  <si>
    <t>B1-CP-13701-P4</t>
  </si>
  <si>
    <t>B1-TCS-1301A-E8001</t>
  </si>
  <si>
    <t>-E8001</t>
  </si>
  <si>
    <t>B1-SE-13301C-B01</t>
  </si>
  <si>
    <t>LOCAL Base Objects|Cable|A30|Z30|0001</t>
  </si>
  <si>
    <t>Part of sensor 3 x 0,33</t>
  </si>
  <si>
    <t>B1-SE-13301B-B01</t>
  </si>
  <si>
    <t>B1-SE-13301A-B01</t>
  </si>
  <si>
    <t>B1-LSH-13004-B01</t>
  </si>
  <si>
    <t>MEGAFLEX500 2 x 2 x 0,75</t>
  </si>
  <si>
    <t>B1-LSH-13003-B01</t>
  </si>
  <si>
    <t>B1-LSH-13002-B01</t>
  </si>
  <si>
    <t>B1-LSH-13001-B01</t>
  </si>
  <si>
    <t>2024-06-20 / Panek, P.</t>
  </si>
  <si>
    <t>B1-GEM-13001-CB01-SYS</t>
  </si>
  <si>
    <t>2024-06-12 / Harasta, T.</t>
  </si>
  <si>
    <t>-XP1</t>
  </si>
  <si>
    <t>B1-CP-13701-XP1</t>
  </si>
  <si>
    <t>-XS4</t>
  </si>
  <si>
    <t>B1-CP-13701-XS4</t>
  </si>
  <si>
    <t>2024-07-10 / Panek, P.</t>
  </si>
  <si>
    <t>-U501</t>
  </si>
  <si>
    <t>B1-CP-13501+ER-U501</t>
  </si>
  <si>
    <t>-XD44</t>
  </si>
  <si>
    <t>B1-TCS-1301B-XD44</t>
  </si>
  <si>
    <t>B1-CP-13501-I6003</t>
  </si>
  <si>
    <t>-U514</t>
  </si>
  <si>
    <t>B1-CP-13501+ER-U514</t>
  </si>
  <si>
    <t>B1-CP-13501-I6001</t>
  </si>
  <si>
    <t>B1-CP-13501-C4008</t>
  </si>
  <si>
    <t>-X300</t>
  </si>
  <si>
    <t>B1-CP-13501+ER-X300</t>
  </si>
  <si>
    <t>-XD54</t>
  </si>
  <si>
    <t>B1-TCS-1301B-XD54</t>
  </si>
  <si>
    <t>B1-CP-13501-C4007</t>
  </si>
  <si>
    <t>-X210</t>
  </si>
  <si>
    <t>B1-CP-13501+ER-X210</t>
  </si>
  <si>
    <t>-XD45</t>
  </si>
  <si>
    <t>B1-TCS-1301B-XD45</t>
  </si>
  <si>
    <t>B1-CP-13501-C4006</t>
  </si>
  <si>
    <t>-X200</t>
  </si>
  <si>
    <t>B1-CP-13501+ER-X200</t>
  </si>
  <si>
    <t>B1-CP-13501-C4005</t>
  </si>
  <si>
    <t>-X110</t>
  </si>
  <si>
    <t>B1-CP-13501+ER-X110</t>
  </si>
  <si>
    <t>B1-CP-13501-C4004</t>
  </si>
  <si>
    <t>009</t>
  </si>
  <si>
    <t>B1-CP-13501-C4003</t>
  </si>
  <si>
    <t>Date / User</t>
  </si>
  <si>
    <t>Room to</t>
  </si>
  <si>
    <t>Item to</t>
  </si>
  <si>
    <t>Function to</t>
  </si>
  <si>
    <t>Cable to</t>
  </si>
  <si>
    <t>Connector to</t>
  </si>
  <si>
    <t>Connector from</t>
  </si>
  <si>
    <t>Room from</t>
  </si>
  <si>
    <t>Item from</t>
  </si>
  <si>
    <t>Function from</t>
  </si>
  <si>
    <t>Cable from</t>
  </si>
  <si>
    <t>Proj. max. length (m)</t>
  </si>
  <si>
    <t>Origin key</t>
  </si>
  <si>
    <t>Cable type code</t>
  </si>
  <si>
    <t>Base object</t>
  </si>
  <si>
    <t>Supplier</t>
  </si>
  <si>
    <t>Cable type</t>
  </si>
  <si>
    <t>Output Prokabel</t>
  </si>
  <si>
    <t>Cable number</t>
  </si>
  <si>
    <t>Number</t>
  </si>
  <si>
    <t>ComosSystemInfo</t>
  </si>
  <si>
    <t>F21</t>
  </si>
  <si>
    <t>F20</t>
  </si>
  <si>
    <t>F19</t>
  </si>
  <si>
    <t>F18</t>
  </si>
  <si>
    <t>F17</t>
  </si>
  <si>
    <t>F16</t>
  </si>
  <si>
    <t>F15</t>
  </si>
  <si>
    <t>F14</t>
  </si>
  <si>
    <t>F13</t>
  </si>
  <si>
    <t>F12</t>
  </si>
  <si>
    <t>F11</t>
  </si>
  <si>
    <t>F10</t>
  </si>
  <si>
    <t>F9</t>
  </si>
  <si>
    <t>F8</t>
  </si>
  <si>
    <t>F7</t>
  </si>
  <si>
    <t>F6</t>
  </si>
  <si>
    <t>F5</t>
  </si>
  <si>
    <t>F4</t>
  </si>
  <si>
    <t>F3</t>
  </si>
  <si>
    <t>F2</t>
  </si>
  <si>
    <t>F1</t>
  </si>
  <si>
    <t>22.07.2024 19:08:26</t>
  </si>
  <si>
    <t>C:\Users\pg112342\Documents\cable_list_240722.xlsx</t>
  </si>
  <si>
    <t>A63</t>
  </si>
  <si>
    <t>QU10|A63</t>
  </si>
  <si>
    <t>F22</t>
  </si>
  <si>
    <t>F23</t>
  </si>
  <si>
    <t>F24</t>
  </si>
  <si>
    <t>F25</t>
  </si>
  <si>
    <t>F26</t>
  </si>
  <si>
    <t>F27</t>
  </si>
  <si>
    <t>Cable cross-section</t>
  </si>
  <si>
    <t>Desc_from</t>
  </si>
  <si>
    <t>Location_From</t>
  </si>
  <si>
    <t>Desc_To</t>
  </si>
  <si>
    <t>Location_To</t>
  </si>
  <si>
    <t>@@UU@@C@@AP/kAJrSYQxjHOc50IQhCUISpCFJSlK1JUlKVKSpKVLWpSlLWtTFrWtamLAtQGAWAAAMUwDAMYtYALWADAMWAAFgWwCwAYpS1qWBbGMApa1sYpjAMAAAGAAAAAAAAAAAAAAAAAAAGAAAAAAAAAAAAAAAAAAAAAAAAAAAAAAAAAAAAAAAAAAAAAAAAAAAAAAAAAAAGAYAAAAAAAAAAAAAAAAAAAYAAAi6ZX2w+4x8n9FZ8/+WYVPdn78A+7876UyR+1M/htnBP9P3JomKsJpH8E2TZOZP9U3psn703JuTZOZPyy1TemibJomUHQmifU1TGWLFLmjcqxVibJqn0pomiaJlbbVpR3hSOGFWk46Y6jV0url+b8/6vz/N/d+nrTnT/ZO+nP0cujm5tOjo6O0RddQxOpNE0TIxMJ2ywmmEyUYqxMTRNHexMyYxZMTMS/slX54oc2idqryJoWZDS+WtE/t2/L5uzHDTdvTZMTpYzMMTgmyb01TVNya2uLemhPyWDfk3sVZircoYnZP8cfrbJsmJhMVbiYmJpv9HH83Nq16eCcFXWVVcdOkzH5o3Nhq4xkcI3p86bJvKcszMzN/DWa4zMxmZw002479OPDlQU+W9i6lR+vr0J0+2+nw/U0dj0vIlO/rWet2XPFI/RQmFXqwVbLCLfirudqbtr5hxrH6cZplZHHNMM00rvtfQTWremYJmFmJxTNKb8rTGmDGM/ZH4Y/RTdhOlu0ExpExhhmYzJvrMsEa/RrrT3dMuFYxwTbOxOGsm9vym7WcU15tZ1dPPNd0TnaXCMTNS4+HSnma8/fTobk12+Ldy5JpvG7bR5ePHmtd1NDfXNx4byaDSMZx5bE7xOHPTye9/h9fx/Z97+P2Nvd5p2YWn2eOrdo5vRu3Dh0dPHo6NOnm5+nmp05GbtEp4cqKmkJG0TExkkxMixMV3Yqp38p3ZriTswnXg9jGZUjwZ24UG2fq9Pj/TsmgrVNUW2E+7gmyYqW4miYqtE5k1TQlNhpmiYmJiaKupNRVqmqaIske48kvmV/O91snb7b3WOLE10VU8xV1J86cn0bzknfT4Sp5086fQTd38k/YofA7z7TwR2KspirVN5MdLGNE0rinzE0Tu+jM771ngcU31OZPUn8k2VdbtTfqnyKuAn32qdd4pdaeJV7Ka13nNTUnOVaJxE3J3NS/a+18XrOl5E5J8bi0KniKm7nJqmykdH4XkVbE5J2lWze8VfCq2T0JyKuJNk52iZ5fA8Lmck8pNFXBNCr5E60xORon3+p3OCB7irvp5E1TknK7L6k2T10xOpNE0VYq+SPYeJz8nWniKvG9f1P3Pa6QnHCdKYngTCc6c6ap5k64pbk3JwdxV9eW7oc6eHiT0Jzp9YT6Typ401ryqvvKtU1u+nsIUfg3KtU9ZOuPfToTgKRom1qmV1Jqq5JulWonmTCeh3Jyfd8Blv2tL8Y+G9lzp2pwT2TrVfGmqfUVPhTCpibJ+Iqk9KpaoHrqqfCKmlPtIvUgeN9hNU1VdXuJ8BOZOD+Ux7yB/umqYmC60/90Vap5xiZdadpPM7fQi3UtW6QbCb011RcE2Twpqq24kTYmeZOuVOwTuT/lPURd9Vtbuwmqa1iaxs1enHlTE0ZvihoVYVViZgjCxMK37lVMlpWkGYTTSszNFIxJkUtE03lTQTimibk1E4pwVU8SfjQO3tbKvMTiTgnMn3iL1+5P+OTH3MalWj39E8KeHtTUnU6k17U6E3IvCncmiU6Orfppqnk2TuKvt6bJ4PaifKwnSnTQ7U8KcUDCak9BV2PSncE86ZJ2k+EynnTIqnPhedMVdyZsUW9NS1VF30nqJoVee7ye4nMTyp3Jqnq8jVNmielPvJ5XiJuil6NFWid6Jz1VgTSg+sTvJoVYm9P4pp3iYndedA3u+mthMT2mrwJ7Lwz1lWhMTTjA4KqYq4Ot8SeZV404aE0TTmKpONJ7Tcmj/OxuVXJs3ql3k6dU3bIH9T+smxTiT3qm9NOBMp0OKqmiJqTCbyrcmirsTgq0TXYTFXxp94mvJEtyrMFWJaZE/+wm9zCpvKvxE7Nk8ick6bWnDgnvE+ue2q8b7ZV6Sp6E17Q3p0KqbqTUwnWlHFSMT4FVPhTcnoJ5ydhNXJPgTRO1PAnrJ98RTuTOCeclsi3Oqg98nPU6Xo5qpOROKBp7ick95PXTZOZyoVrQalXBhbg8RibPxJtuTKq5iYnsJ7dPsM0T2VW5NetNU9ZNk4Ddw7taXxtWqdnaTSquDs//cxV1JwelOxOhOlOdNk2T105t2qLnTCroTeJwUOKeATZOSbJ405J3irsTkTROSBwTVPWd5VyTqJp0J05WMTCaJhNCdBO8yhXr8Ocm9O8nCp6nT0Cp2JoVSf9fCq6idKe3LdSeUq3CfE4pvd9Pf6XsuxO8xOlOKbJo/pbFXvKuUGhehF6iLViFGehOkq8Crwentfg+t+QiqH4P+9KkQ/8yoVUfl+5olFU0yqVQfLiqB/ftofzA=</t>
  </si>
  <si>
    <t>20000</t>
  </si>
  <si>
    <t>2 x 2 x 1.0  mm²</t>
  </si>
  <si>
    <t>30</t>
  </si>
  <si>
    <t>TCS I/O and marshaling cabinet</t>
  </si>
  <si>
    <t>B1-CP-13501+ER-X100</t>
  </si>
  <si>
    <t>BOX OF GEN.EXCITATION</t>
  </si>
  <si>
    <t>B1-CP-13501</t>
  </si>
  <si>
    <t>-X100</t>
  </si>
  <si>
    <t>@@UU@@C@@AA80AApOUQpTGOc5jHOcxjmMc6EpSo6EoSlCkoShSQHSlIEJQhCAJQACQKUpSgKApSgAUACgJUBSgHUpSUJAkCgJQBKFKQkAFJApSlIUACVJQlKgAAAAAAAAAAAAAAAAAAAAAAAAAAAAAAAAAAAAUAAAAAAAFAAAAAAAAAAAAAAAAAAAAAAAAAAAAAAAAAAAAAAAAAAAAAAAAAAAAAAAAAAAAAAAABCy/LwdJzifX+P8iebugnrE6fy9VH7b39fMfUZlj7l1mujxhr8ujonV6P78/kvKupLJ5fHL//t+/XTZIoljvQZ9SQD/wAdfb5UIt0gZbRay/DLAK8gl8frrpWM9UxYM3Myg/OUiUoIaYlAeQlKSzkT2ROSY0SAkAYoPMBYJAkimCiCUMEESCVHbiULSLyc9ASEgxMAaRIw4aYm0rnCROzLjrSEOXBbKQHKhTT1aNq5CoTOVlLzdnmtaydWAFw4vPOjcADiBH9w4hOIhZMPaEiURBwQko4eUThG6AkJAnokJPdsAkJ+jtZOtp6wksGiJbaHHuYEKjnsEsFaF7AGoTH3+usvhEg+C/LV4e7sV459Am9k4ajjnnEnVXGjNqrLaaC23ToUPTqx019y/v3asuPFxlsUbgmwJtZdE9JZXit2KekTEhdMKLr8mQTJxXSq7Adm7K7fvmHPmwZATtgUaNrcxR/HiE3YEv0XCZM9GzwRi3YbIEp6DfEjueoTZBMlvVEsE3qxNswb/gEj4vaJWJ7BIE/wTtAl4JVm92Yx7MHpADCJb6+99EyYllArozgl4khM6kwTNME+mVIlImFSDBg9j3tnYE90CUGITdP9E9tVZjEgqaQSsSfyABgEvBIEuE8QkCXVkHx3CagTwCHzxHhTfYdH4fYIoK+8A</t>
  </si>
  <si>
    <t>20001</t>
  </si>
  <si>
    <t>@@UU@@C@@AA80AApMSQpjGMc5jHOc6DGMc5zpSk6DgShCEJOBAEoSBCUIShCAJQkClKUBSgKUoCgAUBQAJUBSgHAlSkJAkCgJQBCVKQBQFKApSlIUACVJQlKgAAAAAAAAAAAAAAAAAAAAAAAAAAAAAAAAAAAAUAAAAAAAFAAAAAAAAAAAAAAAAAAAAAAAAAAAAAAAAAAAAAAAAAAAAAAAAAAAAAAAAAAAAAAAABCxfJx9h1CfV5/5E9PhBPYJ2ff+0/68P9fKfSWLH2rrNc/mDX6MvXNV0/36vwuKs8sPo+zzf/H3a58cieWC5BmzyAf+ADTt9CEbGgDFYLWXXpUivOJdH566FjzyF9bbgkfjKRKUEBREoCIzk0LIm2RJc8DRICQBfg9IGMSBJFEE8EoYIIkyiJ9UShaBefqnCQkF1TIDQJF+/TEzQtLNjxYK0hC90EPQhPP257YWxC+JcTk73un142onoBab3qmr74AcoI/uHKJykLJh3BIlEQccJKOToE5BtgJCQJ0yEm1YwJCfk6cPc7vdElTliW0hzbtKFR1YxMYrOvCBviYODSst4SDcuxVeTw5q8E231icOLkrOabKJNWaM92/WW0zltltWZQp2eKj9PBZ4oy4q8PMYYn74mYTvZMs2yYKy/oz0dgl9CyYJ7O5hwictuzVtO3didzSZLKMIJqAny7Wo/j4BN6BNGTNK0TDkmo08kVb0OOBKOs8YkeDUJpBMVnbE2BPFWJuFPFwiR8PuErE9okCf4JuglwJVZ77DBpg6gAvCbHs4PnmJhMc4rlyAlwkhMikwJZMCfRKgSgS8pBTT7Xg2cwnvgScvibp/onuqrMAkFTQCViTfGAFIlwJAlonjEgS2sg+K0TfBOIQ+aI8nlDjYc2v6xFBXtA==</t>
  </si>
  <si>
    <t>20002</t>
  </si>
  <si>
    <t>5 x 2 x 1.0  mm²</t>
  </si>
  <si>
    <t>@@UU@@C@@AA80AApNSQpTGMc5jHOc5znMdCFIQdJznUlCkIQlAFIShKkJShBwJQBSVAUpSgASoCgAUBQAKUBSgHAlSkJAkCgJQBCVKQBQFKApSlIUACVJQlKgAAAAAAAAAAAAAAAAAAAAAAAAAAAAAAAAAAAAUAAAAAAAFAAAAAAAAAAAAAAAAAAAAAAAAAAAAAAAAAAAAAAAAAAAAAAAAAAAAAAAAAAAAAAAABCwfLydh1CfT5f5E8/eBPUJ2ff+1H68f9fN5PoMix9q6zXR9Ya/Ns9c6+n+/R+GUr2pX/Nkt//7Pu10wYqIv5UGd2QD/wAaNzoQjF2wMGMWwtuSqFecS2Pz10rHlkL6WyD8ZWzJzghpiUJES50JE9Am3MaZASQLsHnAwiQJIpgogllkyIImEqd+JQtQvP1UBISCtgDtiRcii5JpXYCeLDesSELnQR0IUUbdF2DEhdEtylCyIfd6bjdJ0KPpiq56J2bwAagR/cNQmohZMO6JEoiDkhJRy9AnKNsBISBOmQk+7hAkJ+Tov7ebMJKrYiXcQ5t2pCs6sImEVoXjA7wl7v6FlwCQdy3BX4uLZsvT6xOK/y1nNPKJOs2MfDWd3HVSY8WfZUNuNGDh7/H8Fv6YM1mDmMcU74m0Jue5tT0mey7mzU9gl1C2YUW5798TVku+87uS+z0aS3FVeBNIFGXTvn8eMTggTJl1WiX8tOjPVKvghwwFMDVLrOQSPf3hM4Jgx7QmITjvCbhV4fAJHxewSwT1iQJ/gm8CWgleP24y9og6gAuCYvVxeSZMTDQK7GUEtEkJlUmCY5gnzypEpEuKQVVet4s+yJ7YEoLomk/0T2V2F4SCtpBLBJ/IAFQloJAmQTxiQJksIPjyCcIJ4BD4YjxQHhYdjX9Qigr2gA==</t>
  </si>
  <si>
    <t>20003</t>
  </si>
  <si>
    <t>10 x 2 x 1.0  mm²</t>
  </si>
  <si>
    <t>@@UU@@C@@AA82AApTSQpTGMc5jnMgxznMc50KQhCEnSlClIShR1KQhIEJQhCAISBSVAUpSlAUoCgAUBQAKUpIAHApSUJAkClKQBCVKQAAFJApSlIUACVJQlKgAAAAAAAAAAAAAAAAAAAAAAAAAAAAAAAAAAAAUAAAAAAAFAAAAAAAAAAAAAAAAAAAAAAAAAAAAAAAAAAAAAAAAAAAAAAAAAAAAAAAAAAAAAAAABC1vk4+w6hPq+/+RPNvgnpE7Pw9FH7cP9fLi+khY8a6jVR9gavL15519P9/n5LivXlZ5fH9v//dPVFsicsNyDPXkA/8AHb3OhCMW0BZjFwF16VQrziXR+uqkCM0hfO4IPxlIldORDTEoSIl5CRCz2xOegaZASEvwh5gLRIEkUwUQShggiQSo70SgCkXn6qAkJBf14JAbQkX6b82laswTox22YUhCm90S6EKNiqiq3GhWJlKcsRDEL3LOnE2FFILVe/KeDz7oAcoI/uHKJykpLBD7gkSiIOOElHJ0Ccg3QEhIE6ZCT3sQEhP0e5Zs6NkTPO9KJe2h4dFSFZ1WiWitC8IG+Jh7+hZaRINF2tXzcGfBhn1ie7ZyVnNPKJOszY9+sxU0GK3azKEadNen3tjgyVWYMPMWxRuiZhNFuWe2bGC/kz09gl9DJMKMntWWCcmS/3ceFzhubJ3cuO9YCd4CjNo3T+PgE3oEuzXCYctHb8EX96HWgSnrOISNPoE2wSzFriWicOATcKuLwCR8PrEwCeoSBP8E3QS4Erx+zGYduDqAC8Ji9Pf+eZMS2gVzZQS4SQmVSYJjmCfRKkSkS8pBVV6ng284nsgSgvicR/onrrwGESCtpBMAk/jACoS4EgTIJ4hIEyYCD4sgnvgnEIfNEeHxBxsOfV9aigr2g==</t>
  </si>
  <si>
    <t>20004</t>
  </si>
  <si>
    <t>@@UU@@C@@AA82AApRUQpjGOY5zGOc5zHMZJ0oSo50HUA51IUgCQIQlCkJQg4AISBSFKUBSgAUoCgAUBQAKAlSlHUpKlIAkCgJQlKVKQAAFJApSlIUACVJQlKgAAAAAAAAAAAAAAAAAAAAAAAAAAAAAAAAAAAAUAAAAAAAFAAAAAAAAAAAAAAAAAAAAAAAAAAAAAAAAAAAAAAAAAAAAAAAAAAAAAAAAAAAAAAAABCxfJy9h1CfT+H8iePhBPSJ2eL0T/tx/18uT6CFj7F2m2f6w29HXmmweb+/J+Npg7csPR9vh//w/dtoySJ5YbkGbckA/8AGnX0oRZoAxZRai6mV4V/IS6P1++gCPFIXztUH5ykSlbIk0RKAiCUHcQm3ROicaJASAvwp4wMYkCSKIJ4JQwQRIJT78SgCgXo6pwkJBfYAziRTPTM0LcE2TFXUkIU9MHShNuUT5EKRPbuLihmg9zzYZ6KFxtZTMo0RRf1TV+6AGwEf3DYJsJSWCHWJEoiDkhJRy+QTlG2AkJAnlkJN72MCQnnf004s+7oElTmiWpDwb15DAdWQTIKzrxgcIlfFpWXdEgttxYObvZqq5usTew7MBzTXCTdyqqM2XhrLKJyynPmUOLRKvCcHFZgrplzGKJ9Ylwmm26bOblV/g7dHYJfQsmCey7DhE2Zb+qyt1BrzluS9WCbwE92nRrj+PgE34Et7VomG6fd5Iv78OOBKOs74kd30CaATDk3BMYnv1Cai93+MSPh9YlQnqEgT/BN4EtBMFnssK9EHUAFImT08XzTEwmOcV7VwJaJIS5SYEsmBPnlQJQJSpBevep72jMJ7IEnL4nIf6J68FRWJBgaASoSb4wAvCWgkCZROcSBMtRB8WUTgBOQQ54jwc4bGHNt+pRQV9oA=</t>
  </si>
  <si>
    <t>20005</t>
  </si>
  <si>
    <t>B1-CP-13501+ER-X310</t>
  </si>
  <si>
    <t>-X310</t>
  </si>
  <si>
    <t>@@UU@@C@@AA82AApOSQpTGOY5jHOc5zHMdB0JAdCDpSA6UoQpSVKQhCUAQg4AISpIEqABSlAUoCgAUBQAKUpSgHAlSkJAkClJQpKVKQAAFJApSlIUACVJQlKgAAAAAAAAAAAAAAAAAAAAAAAAAAAAAAAAAAAAUAAAAAAAFAAAAAAAAAAAAAAAAAAAAAAAAAAAAAAAAAAAAAAAAAAAAAAAAAAAAAAAAAAAAAAAABCxfFy9Z0ifR4/5E8vACeoTr+/00ftx/18eT5yFj7V2Gyj6g2eTqzzr8/9+b8Livblh8lf2f/9f3bKSCcsFyDPbkA/8AGnV0IRk3AMNothdVK8K84l0frspAjxyF9DZB+MpEpXSJNMSgIiUPOhPSJooGmQEgL8B5QMYkCSQpgoglDBBEglRvxKAKRefpoCQkF9gDcEiqiqbSuYJ5MWCxIQq6I6EJ9mmgyIVCXFxQ9vz4MTZSRTJRvQBFX5Ts090ANYI/uGsTWSksEPcEiURByQko5fMJyjdASEgT85CT38gEhPQ5NOLRu7gkqs/6X50akPBRvX0MB02iWitC8YHAJh4u2su8JBbmxV83Dt2YJ9Ql2HXWc08wk6zat4KzRbepLcm5nUO9VZilRu8NF2CmzmMUUahMwmm7HPQYLL/vW09Yl9C2YUW7eHCJry9+vVlwuoO5oM1t7CCbwFG12tw/jwie5Am/mz3CYc1HazxXvw44Ep6jjEj3fSJugmG3siYxOKwTUXuPviR4vYJYJ6xIE/wTeBLgSu322mDTB0gBUJk9XF8syYmOgV2swJcJITMpMEtmCfNKkSkSpSC9e9bw7ucT2wJQXxOQ/0T2V2GASCtpBLBJ/CAF4S4EgTKJ4RIEy2EHiyie+Ccgh8kR4PgDWw59n0qKCvY</t>
  </si>
  <si>
    <t>20006</t>
  </si>
  <si>
    <t>@@UU@@C@@AA80AApQSQhjGOY5zHMc5zmOdCDoSk6EJSlCFIUlSlAQhKEpQcCkAQACkqABSlAUoCQAUBQAJABIAHAlSVJAlKlKQBKVKOBQFKApSlIUACVJQlKgAAAAAAAAAAAAAAAAAAAAAAAAAAAAAAAAAAAAUAAAAAAAFAAAAAAAAAAAAAAAAAAAAAAAAAAAAAAAAAAAAAAAAAAAAAAAAAAAAAAAAAAAAAAAABCxfNq6jYJ9fk/kTz8QJ6xOr7f2p/Xvf1854TKseNdfh11eINfm6dFFnp/v8fLnMG5Nvm8Xj/+Z1zikmbLkGjRID/wAb2/0IRj0gW5BbC6ubwr9wl0fnrqWPJIvqbIPvmSZzSYihvRRFCwzFEM6RJO3A0yBKt+DzgYxIEkqgpgmGCCJZiCnhiYWoXy7KQkSC+QB2BIArrqigqiFzhRkxYbEhCvoick0+jIhWJcVeg0IT2oK8FHprxtJTeBb9Vd+myrgADUCP7hqE1ELLD2xImIg78JMcv4Cco5oCRIE6JEo4cgEiep3bevp7Ak3tETzfl715DAbMYmMVpXkA3RMPHx9paPgEgxZqsdnNxbeG2ivpEi3VODmp40OvtiVYTRm2WXVUl2XToUNrBV+l3xc/JdbZbUYop4BNsTs5slGU3LL/FtVdQl9DLQFOXRbaJ8d1/fy4XfeCNObJewgnCBTn3uE/j5BOCBLs/v5hLc9W9qjB3IccCVdJ3xI+HuCboJbl3BMYndsE3y93uQSPB7RLBPYJAn+CcIJmBMGX3ZTDvQbAArEyevu/TQUCY6RXazgmYSRM6lAJloBPqmoSoStSC9e9jx7u2J7oEpL4nKf6J7cFhhEgwNQJYJR8oAXhMwJAlwnOJAl1hB4LhOIE5RD6IjnkNTDta/sEUFesA==</t>
  </si>
  <si>
    <t>20007</t>
  </si>
  <si>
    <t>@@UU@@C@@AA80AApMUQpTGOc5zHOc5zGOZBzoQhCEIOhKUISlKgKSlCUJOdKkASoCQKUpSgAUkCQAUBQAKUBKlHAlSkpAlSkqQBKQJQAAFJApSlIUACVJQlKgAAAAAAAAAAAAAAAAAAAAAAAAAAAAAAAAAAAAUAAAAAAAFAAAAAAAAAAAAAAAAAAAAAAAAAAAAAAAAAAAAAAAAAAAAAAAAAAAAAAAAAAAAAAAABCxfRq6TnE+vx/yJ5uyCewTp/H10ftyf19J4StY8S6/Drp+0Nfl6M86vR/f6/laX9mWHy/d9//+L8NdOSRRLDagz2pAP/ABo4eZCK94DFYLUW3ZXBXyCWx6vHSsWyF9LVB+kpEpQZZNMTgMRKUlnJnuidSY0SAkAXofMBjEgSRTBRBKGCCJBKjrRKFpF8nPQEhILxAG2JF27TEymIW0JE8mLBUkIU80ASySo0ZELolh+ZnQuhbo9FzI4Si4C3qcE8HVADUCP7hqE1ELJh4BIlEQdyElGnziaRsgJCQJzSEnxYwJCel2bd7Ht7u2JK9niRy8NKF458gmQVoXjAxiVdn1b6z7AkE7MV/l+LNVgn0CdvDqvz5aONDazCXMF2M+XnoLKaCyivczqHyZs2nt797ky4qqO8ZIo4hNkTgs2J1m5Ve7WenpEvIVzCivaw4RPjsvcNeB4uI3YMuS5gBOuBRbo2z+O+JwwJZbYJgy8FO9oi/14ccBuQNzoNIkfD6xN4Ex2bQlYnJUJ1C5p7gkfL7hKhPaJAn+CdYEygl+v31mDfg5wAuiZPZx/VMmJjoFdi0EyiSEtUmCVzBPBKkSkS6pBcue1493MJ74EoLwmk/0T3X6jAJBfaQSoSfzgBcEygkCWCd8SBLKiD5rBO0Cd0Q8ER3k7rDsa/sEUFfg</t>
  </si>
  <si>
    <t>20008</t>
  </si>
  <si>
    <t>B1-CP-13701-C4006</t>
  </si>
  <si>
    <t>B1-TCS-1301B-XD52</t>
  </si>
  <si>
    <t>B1-CP-13701-XC4</t>
  </si>
  <si>
    <t>BOX OF GEN.AVR, SYNCHR.AND MEAS.</t>
  </si>
  <si>
    <t>-XC4</t>
  </si>
  <si>
    <t>-XD52</t>
  </si>
  <si>
    <t>2024-07-21 / Panek, P.</t>
  </si>
  <si>
    <t>@@UU@@C@@AA9KAApaUQpTGOY5jGQg5zmOc50IQhB0JOlAEHAhKAKUlSUnQhSEKABQFJUpQEgSpQFASACQAUBSgKQpIEoQpQFJSpSVKQkClKApSlIUACVJQlKgAAAAAAAAAAAAAAAAAAAAAAAAAAAAAAAAAAAAUAAAAAAAFAAAAAAAAAAAAAAAAAAAAAAAAAAAAAAAAAAAAAAAAAAAAAAAAAAAAAAAAAAAAAAAABC1/k4+s6RPD9nh/kT7e2J78CekTr8f7Ufrxf13/l+cyLGFfr8nNT9Ac3P1bU7Px/vy+TKeLblr9H1Wf/9M+aIKJxZjQZ7UgH/gAwaNPmQjDnA18QtFpf2r874rziY4/PNSseOQvndaD75SJSgySaYnAREuckQsTzidExpkBJC/An3AYBIEkUwUQSvyZEETCVPaiULeF6OmgJCQcJAG6JFVFU2kDKE8WG2xIQqPMhuT3KKb9QmQouiIEuQ7Pnqa6YokC3qss7++AHICP7hyCchCyYbhIlEQcUJKOPyicY3QEhIE/CQk9/ABIT3vydOrBLbM+4JK/sbUp7yHDpqQ3jpxiYxW9SvdA0e2Jre7NZcIkHLljBXy7Ndmx1CatbVXP3OWnMJTitNGGUzDu5VCrVer2K8vc7mtdbVvYqJGtonXf0iVCdinNPObNFWKjrEqQsmFHoyb1dol36cGzbv3YHJ3s+l34ySqwInZA2NFl7+PhE7UCZinEJZdj2tFfBDggNu2Q1W9RxiRw5xN0Ew3bIlwndtE3i9xahI73rEsE9QkCf4JpBMYJXi9mIt7EHoACoTD6e34JkxMFArlyAmMSQmRSYJimCfNKkSkSpSC9e9Toz5hPZAlBfE1H+ieuuwtEgraQSwSfxgBeExgkCXCfAJAl1hB8VwnACcQh4Ijv+AONhzc3iRBFfaA</t>
  </si>
  <si>
    <t>20009</t>
  </si>
  <si>
    <t>B1-CP-13701-C4008</t>
  </si>
  <si>
    <t>B1-TCS-1301B-XD42</t>
  </si>
  <si>
    <t>-XD42</t>
  </si>
  <si>
    <t>@@UU@@C@@AA9KAApaUQpTGMYxjnOc5znOdB0nQhCEJQk6knUhJwKUlAFHQhAEqABIFKUpIFKAgClASBQFKAoAEoAhSkoAkCkpSBKQJQBAEqApSlIUACVJQlKgAAAAAAAAAAAAAAAAAAAAAAAAAAAAAAAAAAAAUAAAAAAAFAAAAAAAAAAAAAAAAAAAAAAAAAAAAAAAAAAAAAAAAAAAAAAAAAAAAAAAAAAAAAAAABCv+Di6zoE8PN4f5E8ndE+aBPYJ1/n+1Hr4f6+vk+4yrGFeU5aPxDl5+rPO30f35v0yn37Mr/Pb4v//LxTogicXMiDPPIB/4AMHZ7fnQjDtgX8QtF0s2bJ2CvjEyR6s1KxzSF9Leg/WUiUoMsmmJwERKDxoRPcE55jTICS2QHkAwCQJISmCiCUMEESCVG/EoWkXn6KAkJB3GAN0SK6K5tK39gKMWG9dSELDzIap7dFNlYmUulLjQ0eittpIokCFVexOzSAHGCP7hxicZCyYe2JEoiDXCSjh8onCOOAkJAnnkJPTgAkJs+l068Eto3NsSVnYiWhDVt6a0NB0ZBMgrXSvygfGJe4NCy1CQerYjBb3s9tzsdQmu9rtKqPk71WYSqnFdMESMG5lUODgs6cWHpqqz3bdGODi0U74lIm9hvz3TDXsT6xKkMUwspz6J3BI7Wb4tqi58OK+5Po2yve2skNk8KJ3AM29dp/j5xNUCXinEJcx5PXvW78OCAuQNW1d6jjEjVuCboJhx7ImMTXeE0FXFwiR9PuEuCe0SBP8E0gmQEtxe/EXezB0gBWJh9nd5JkxMFArsZQTIJITKpMExTBPtlSJSJWpBVV7Xd3MwnvgSgsE1n+ie624XRILWkEuCT8AAVCZASBMYnfEgTHcIPqxib4JwiHJEfZ3w4mHNzfgiCK/AA==</t>
  </si>
  <si>
    <t>20010</t>
  </si>
  <si>
    <t>B1-CP-13701-C4010</t>
  </si>
  <si>
    <t>@@UU@@C@@AA9KAApbSQpTGMY5zHQcxzmOc50HShCEoSlCEpQhKEpAhIEoOdSEqAACVJABKlKUpQFASBSgKUACgIUlSlIAkCgIUpKlISpSlKApSlIUACVJQlKgAAAAAAAAAAAAAAAAAAAAAAAAAAAAAAAAAAAAUAAAAAAAFAAAAAAAAAAAAAAAAAAAAAAAAAAAAAAAAAAAAAAAAAAAAAAAAAAAAAAAAAAAAAAAABCw+PV0noE8nl8n8iebhE9uBPSJ0/V+1H66f6974fjMqxiXkOSj5g5OXo0Tv+f++b68p8nVlh5YP/+f6OSiDDRFmRBnokA/8AFu32fuQjFsgW2i0YC91b07wr9gmSOfPSseWSB+DrQfbKRKUEZYKYnAREoJbInLPliEhhgpmBJb0HmAtEgSRTBRBKGCCJKSo34lCw0i8vompISDtsAdYSK6K5tK5gnjxYLEhCs5kJbE6Kq6xODKZCtuQ3PPecBOlR54rvZ5394AOMEf3DjE4yFkw9oSJREGmElGrmE1DkgJCQJ98hJ71oEhNf8Xe02y2Tb2hJXteJbqHc3qkOwbdwlwrVSvfA7omDvbm4s+ASDnzRis8GizBr9AnFrcXesK6eHwV6BKqbtYxRIxdbOobEadH56MPFxWYL+7dBq3ae2JSJu5tE7TZr159IlSGOYUXZ7LBN3Nv7Fnax4XJ7m0de7eK4LUTgApz9jJg/jwiVdyQlLTjEsuoyfp17/BDbAVQNVnQcYkd3ZE2gS3HoExiacAm4Ve1qEjxesSwT1CQJ/gnZBMgJfx+zGYNuD8gArExenh+CZMS2gVzZQTIJITKpMExzBPilSJSJWpBVV6nh2s4nsgSgvCcR/onrv2GASC+0glgk/dACoTICQJcJ4RIEusIPHcJvgmkQ8UR7+kTN9PyogivUA=</t>
  </si>
  <si>
    <t>20011</t>
  </si>
  <si>
    <t>B1-CP-13701-C4011</t>
  </si>
  <si>
    <t>-C4011</t>
  </si>
  <si>
    <t>@@UU@@C@@AA9KAApcSQpTGMcxzHQc5znMc6EIQlB0IShCEIOhKEKUhSkoOhSEKABKQKABSkgSpQFASBSgJAACgIUlSlIAkCgIUpKlISoCVKApSlIUACVJQlKgAAAAAAAAAAAAAAAAAAAAAAAAAAAAAAAAAAAAUAAAAAAAFAAAAAAAAAAAAAAAAAAAAAAAAAAAAAAAAAAAAAAAAAAAAAAAAAAAAAAAAAAAAAAAABCv/Hydh6BPH5fH/Inm4hPhgT1Cdn2ftR+uj+vD8vzmRYwrznPR5A5+jr1Z3fP/fT9uQ+jWlf6PIf/H1c8oL8ostQZ6sgH/gAwbO7+CEYdcC/iFovFetXOsV+4S2OrTpWPLIX8nSg++UiUoIaMkpwEROCWuJ0TDoggCKZgSWuDzAYBIEkUwUQSskyIImsqd+JQtQvR6KBZCQd1gDYEita6a6GpcoTvYa7EhC4dKEu3Oi5UJctMZU8GNDb891vE6gW5XlnX1ZwA5QR/cOUTlIWTDvCRKIg0Qko5OkTkG2AkJAn4yEnnwgSE1Pzc+jBLMbOYSVermlPcQ4c9xDaM1olorVSveA9wS9722suASDqyxvYbObWsvavWJx3+O6VUe7zVaglVOO8YIkYNjKod/i3O97+7o4539KyrHBc3aeASkTct1J9w7dzSn2CVIYZhRrb1lgm76eHNZv4r7br5jax1b5giATYWUU6e1Z/HgEp4ZCadOIS9jtp9Pcu92HBAUkDVKzrOYSOHXEzAmDFqiYhOTSE2yrl+ASPi9glgnrEgT/BN0EtBLuL24i9swfoAFwTD6uLxTJiYKBXLkBLRJCZFJgmKYJ80qRKRLikFVXreLNpie2BKCsTjP9E9l2wvCQXWkEsEn4QAqEtBIExieASBMdhB8mMTOCaBDvxHikGhhy/X9KIIr2g==</t>
  </si>
  <si>
    <t>20012</t>
  </si>
  <si>
    <t>B1-CP-13701-I6001</t>
  </si>
  <si>
    <t>@@UU@@C@@AA9KAApeSQpimMc5zGQcyDHOc50nSlCEoQhB0JShSFJUlCkIOdSlKUACVKABKlASBQFASoClKAACgISpSVIAgCQJUBKQIQoCVKApSlIUACVJQlKgAAAAAAAAAAAAAAAAAAAAAAAAAAAAAAAAAAAAUAAAAAAAFAAAAAAAAAAAAAAAAAAAAAAAAAAAAAAAAAAAAAAAAAAAAAAAAAAAAAAAAAAAAAAAABCw+DV1HQJ4vw8X8ic3eE+OBPUJ1fj+0/10/19B9RjWLV5Dkn9wcnL09ejB5/783kxn155YeX7cn/y+/klbIlKzIg0XpAP/ABb2tH5oRr7AGG4Wdhf7F+i+K/kJjjnzUrHjkL6HWg8spEpQWkmmMk5TWGUTglsCSOWFnICQt+DmAtEgSRTBOCUMEESZRBPtxKFpF8nRNJCQc1sEgNkSAL9/BelNqW9lCcrb1aQhenEteU50iXHMZkKmm5Db8+s2FFQL7mCvLPBvABqBH9w1CaiFkw6BIlEQcUJKOPyicY44CQkCeaQlHbtAkJp9D0b+nXltG52hJYM8S93fpQ3Cy4S4VqpXiA0CV8O2suASDnxxbg3s2CvLvdInFPDxVk+f4qffQziVVY8JdEi7ZzKEbGL3u7r9jh4dbWs3ckHHhp3xKRN3Jno2zs2X+vPqEvIXUBPs71lgmj07+WvuYsLk+XaNGKrCicC7JEFObRX/HfEp7khM1NwlmLH6dzBwQ2wFcDVX0nwiR3dgTZBLbs4lwmmwTdKvg1CR83sErE9YkCf4JvAmMEwXe24s2oP0AC8Jr+rh8NBQJbMVy5ATGJITIpQCXUAn0ypEpEvKQVVet72zmE9sCTL4mk/0T2YKywSDA0glYlHzgBUJjBIExCfIJAmKsg8GITfBNIh4YjvyDUw5fH9iIIr1gA==</t>
  </si>
  <si>
    <t>20013</t>
  </si>
  <si>
    <t>B1-CP-13701-I6002</t>
  </si>
  <si>
    <t>@@UU@@C@@AA9KAApeUQpTGMc5zHOc5zHMhB0nUo50IQlCEIUcCUgUhSEHOdSlKAACkpABKlKUBQFASoCgJUACgIUpSVIAgCQJUBKQIQoCVKApSlIUACVJQlKgAAAAAAAAAAAAAAAAAAAAAAAAAAAAAAAAAAAAUAAAAAAAFAAAAAAAAAAAAAAAAAAAAAAAAAAAAAAAAAAAAAAAAAAAAAAAAAAAAAAAAAAAAAAAABCw+DZ2HUJ4fw8P8idHGJ8cCekTs/H9qP11/18x9RasYl5jmo8Qc3P19qd7zf35fHafXmlh57fF//2/dzU45FEsG2gzpkA/8AGPd4fzQizQBhyC0Xy77l2d0V/ITajp7VKxlkL53BB5JSJSghojanLGQwspUQSzic81okBIAuwdAGISBJFMFEEoYIIkEqOKJQtIvj6qEkJB0MAaBIuXJFMpNK4NsJrXTZTOtIQpIxynQJTYdBlQqaLEN7zTMDfKKlGiLt7ane4AA2Aj+4bBNhCyYd8SJREHLCSjV5BNQ2wEhIE8shJ8OJdUTE1+d93VjluG9uCSu5uqU+7pqQ3SrIJkFaqV5QOASv3+2su4JB02xivZst6vb6xOWeDl01lPT8VXIhmEqqtwlkSLNGVQ5KpbhTx8nJnrub+SDVwU6RKROC3NPtme5bPsEqQsmFHt8VdYnD6NOivTZhbe9unDkqwoncAzlMGXfr/j5BKuKQmWmwS/kt9G9e7sOKArgaq+s+ESPeziaATFZmEsE13xN8q+DYJHf9YlYnqEgT/BOEEtBL1nssL+7B+gAXBMfp4/omTExUCu3tAlokhNpSYJZME+mVIlIlxSCqr1PHoyieyBKC6JqP9E9d6sviQXmkErEn8oAVCWgkCZBO8JAmSsg8GQTSCaxDvxHz6w2MOX7/sRBFfa</t>
  </si>
  <si>
    <t>20014</t>
  </si>
  <si>
    <t>B1-LS-13101-C4001</t>
  </si>
  <si>
    <t>Cu</t>
  </si>
  <si>
    <t>2 x 2 x 0,75  mm²</t>
  </si>
  <si>
    <t>20</t>
  </si>
  <si>
    <t>JB HPH FI</t>
  </si>
  <si>
    <t>LEVEL 1.2 IN CONTROL OIL TANK</t>
  </si>
  <si>
    <t>@@UU@@C@@ABAmAAshSQpjmMY5jHOY5jmOc50HSA6UoShKVIQdQFKSlCEHOBCAJUlSlKApCgAAoClKAAAEJUpSQKUoCUJSBKVJUpIEpSoCgKAoCkJUACFJQlKgAAAAAAAAAAAAAAAAAAAAAAAAAAAAAAAAAAAAUAAAAAAAFAAAAAAAAAAAAAAAAAAAAAAAAAAAAAAAAAAAAAAAAAAAAAAAAAAAAAAAAAAAAAAAABCs5Pi6e/H3eoTl+z5f6Ep3wToEl0zcHPSfS8i9/yR4Yfr8U0/KHg9f4S2sH6f3XtZDxc0rMfL9v/y+/wSxSIkZUGNEgH/gEr8vmQyxixAYaBa28K+FTzzL+Nm5ML+ugCCqDySQkSlBnJPNF+9JC8sMovQSxiSL8KwBAsQeMAxQJCEiiC9BJCGCCKpmaIvxOYJSWkWlDm9E4SEg4AgA2xIAx1VUQXmgd0LLa0cQlE8S/NCy9Nnno1XxLspBO6PH2N25wE1AIU11TYsfcATYCP8BsE1kLJhxiQSg55SIgNflE2DkgJCQJ5pCTb1oEhN9tMPa8+nj9KE01/avze8hK/u7dVolorhTXwgcUhMXBaksAkHoyd23BljNgnq1nrE19uvVRdXnEw5J7soEXtXe6tM56buHH3qM+Ht681nZqsKZIV1R6tNOy/ZqEziXWy0kqNvpE0kg6xl4c+dDessE05498DJ1abt7VuITaCbrZbATAs8aiaDTi/n5hMqHwSE6+b98gmDNZPhq7sPYhcgEOjnOMTuCZQTaEsEoE7RxbBPn9omgT2CQJ/gm4CYgTRb7rTbs/YBKROjGdAlm+K5AS4T5BMqkwJIE+q6cScSlSCj2fDpzie6BLxSJqP9E9tRWJBfLwJUJ9ACWiZASBLhOISBLqyDkuE2AnCI/HEccg32HN+XKoIAHUA==</t>
  </si>
  <si>
    <t>20015</t>
  </si>
  <si>
    <t>B1-LS-13101-C4002</t>
  </si>
  <si>
    <t>@@UU@@C@@ABAmAAseUQpjGMY5znMY5znMc5znOhCEIQlSUHShIAAUpCUHQhKQKSlQFKAlAAKApSlKAAAEIApSQJAoCEJSBKVJUpIEpSoCgKAoCkJUACFJQlKgAAAAAAAAAAAAAAAAAAAAAAAAAAAAAAAAAAAAUAAAAAAAFAAAAAAAAAAAAAAAAAAAAAAAAAAAAAAAAAAAAAAAAAAAAAAAAAAAAAAAAAAAAAAAABCs5O/180fh7BOX7/o/oSrgBOoSXXN3Omo+t5F5vNHPD93kmo5Q8Xtjx57/6f3ez2nk6JWYrdv/+b8fFRhkROZUGJ5AP/AJe8/oQyRgwAV0i3mcV51PTMvjs7Ewv66AILsHmkhIlKCHniVUkOghhZpTwSxCXJlYAgAiDygGCBIQkUwTwSQhggi7MFyegvyktQtSHR6qAkJBshABuCRiu3ZimRJpHUElsw3kcAk5+aFk2aejfnqEyFpS39Hl3dWNsJqgQuV3psHygJxAj/AcQmshZMOESCUHTKREBr84nEOOAkJAnokJN2sAEhOB269PZ9O13vWhNNd0S3kKtVWETCK3k18IHHISvuY8Cb09YkHqyfNVisyRmspvVaz2ia5tN+m29nEryb9NuYCKN/wZ7lB67ePL4Kc9em5bPTlvlUkJp49mx2OG5XqEzCY+KW2Spx9Ym0SC00beVDcrrE2MsdoDHoqr3tW6hkzk2zTYCX1oiWoNjB/P0iZEO3ITay/vctEv5bKaLvfh3IDvQ5AIdPSd0TfEygmgTAJSJ2Tj1ieH3iaRPcJAn+CfGCYATTh+GE3bP2ASoTqxHUJZwCtoJjE+cTIpMCSBPtx0CUCVKQU+75NnMJ8IEnKhO2f6J77peEguE4JdE5AEwiWgkCYxO6JAmO8QeHGJxgmsR+yI+rjDhYc35cqggAfE</t>
  </si>
  <si>
    <t>20016</t>
  </si>
  <si>
    <t>B1-LS-13102B-C4001</t>
  </si>
  <si>
    <t>LEVEL 2 IN CONTROL OIL TANK</t>
  </si>
  <si>
    <t>@@UU@@C@@ABA0AAsiSQpjGMY5zIOYxzmMg5zoOlCEpOBAEHSlIFAUlB0nQpSAKSlQFKSpKgAAkClKAAAEJAkCQJAoCUJSBKVJUpIEpUgAAKAoCkJUACFJQlKgAAAAAAAAAAAAAAAAAAAAAAAAAAAAAAAAAAAAUAAAAAAAFAAAAAAAAAAAAAAAAAAAAAAAAAAAAAAAAAAAAAAAAAAAAAAAAAAAAAAAAAAAAAAAABCs8Hd6fFHj/cTk/L7P6Eq4QToEl0za+eo8L4F8XpjzQ/j55qOQPJ748ufa/X+68955+WVmTk8f/yl5JWSIlXegyzyAf+ASv1etC+LbQLKRaycV8ynsmXy2aZhf2zgQYYPTJCRKUHKSeWJsEkJ1hmieCWQSQLgQhiD0AFsCQhIpgngkhDBBGGZmiMFBKFpFpQ5fbQEhINYQBoEgDGYKIJgogCE1Bitwo2CUn6IYps09HZqEvKbil3PRp1XOImpBCrarms7YCcQI/wHEJsIWTDjEglBzykRAbPUJxDdASEgT1yEm7FoEhOF3sW/7N7Lx+5CefDRKAOBCrVVaJaK1ps7gH0SExa6MSTViQe3J9VtXD2JZsVNew94mDt16Kbq8wmK+mm7bAiifs96/BSe66rmzU/XGezaydcnoy2FUkMFEc1WnuYMPAJmEu4pbvViJqr+kS8kG3vZUM+LEJoyxqA136MFPBq0obe4Tb19oJYtES1Bu5P574mVDtSE612/eJtZd22myvvQ9eF2wIdHOcQnzCZQTcEtEpE3zZrE+74iaBPgJAn+Cb4JaCaMfyxmmzmASoToyHQJZwit4JcJ3RNtSYEkCfhdQJQJUpBT8Pn3cwnygScqE7R/onxwlYkGAnBMInfATGJeCQJcJxiQJdWQfbcJ9IJsA4wIE8MR98g1sOb8+QRQAOoA=</t>
  </si>
  <si>
    <t>20017</t>
  </si>
  <si>
    <t>B1-LS-13102C-C4001</t>
  </si>
  <si>
    <t>LEVEL 3 IN CONTROL OIL TANK</t>
  </si>
  <si>
    <t>@@UU@@C@@ABA0AAsjSQpjmMYxzHOYxznOcyEHQlB1IQhSEKQhCFAAhCEHQlSgAUgCgJUlSQAAkClKAAAEIApSQKAkCkIUpSAJUpIEpSoCgKAoCkJUACFJQlKgAAAAAAAAAAAAAAAAAAAAAAAAAAAAAAAAAAAAUAAAAAAAFAAAAAAAAAAAAAAAAAAAAAAAAAAAAAAAAAAAAAAAAAAAAAAAAAAAAAAAAAAAAAAAABCs+n5u46Pt9YnP9nh/oSjiBO0SXdNx9njPI+Nej84/CH6+qafnDy+yPvz4P0/uvPlOrplZj6Mn/y+7yytkRLpuQZZ5AP/AJg6/OhdGLEBZQLWXhXpU9Ey+azamF/XWAgvwdckJEpQdRJ4ImqkheWGaL0EsYkgWpCGIPyALYEhCRRBegkhDBBF+ZmiKpyULQLQh1emcJCQcgQBtCQBiqngmZ4QhN4J8Nt9GwSnfjQhZe1b1G1UJmMpO61X47W7mcJNSCFWCuazhATlBH+A5RNJCyYcYkEoOyUiIDT1ico5ICQkCeeQk29aBITjfgw7fo0fL6kJpqtWUbqFO5TaJaK0AVpy6QPkkJh5KElWJB6cfBbglGauarSbvsE5OGujHXcJhyT48oEXrea2mc9WPg39HNTqWWTYMee60p2JkK5Vy9eHZn479m4JqiZtMtBVNTrmx3CXEg19jUQv4cIme6PiAyZ6bdvc0IZtUm18toJhWeJbgd/F/PhEuQ3pCaLtTk/ea4SzPiptwc0OzC3AQ19h4BPjEuBM4lglAm2cvIJ4vcJrCe0SBP8E+EEtBM+L34jZs/YBKRO3GdolnEK5QTIJzCZlJgSQJ9WScScSlSCj28OvqCe+BLxSJvn+ie6+ViQVF4EvieIBMQmUEgTIJpEgTJWQfRkE8AJpAzAQJ5Ij55BxMOp5ucRQAO8A=</t>
  </si>
  <si>
    <t>20018</t>
  </si>
  <si>
    <t>B1-LSH-13001-401</t>
  </si>
  <si>
    <t>MEGAFLEX500</t>
  </si>
  <si>
    <t>Generator JB</t>
  </si>
  <si>
    <t>LVL.WATER LEAKAGE GEN COOLER - TE</t>
  </si>
  <si>
    <t>-401</t>
  </si>
  <si>
    <t>@@UU@@C@@ABAgAAsRUQpjGOcxzHMc5jGOdB0HSlCjoSpSEIOlSUqSlCEHUhAEgUhQAKUhCgAAoCgAUoCVAUBIEpUpSUoABSkJUpSFJSgAAAUBQFISkCkqOlSgAAAAAAAAAAAAAAAAAAAAAAAAAAAAAAAAAAAAUAAAAAAAFAAAAAAAAAAAAAAAAAAAAAAAAAAAAAAAAAAAAAAAAAAAAAAAAAAAAAAAAAAAAAAAABCxc3x+PWeL0ifX66P5E74J/QnJrm4OvmPoeZfN+XiSbFPLwhb6v08mbDR66vJcTylhxfVT/8vs+2U8iJFqDGWQD/wCYNno50PL+dlgGOkWvoigV8qnTMt3jusnF/XOBBhgskhIlKD75MRK/ICYCAmiUEtAn4E86DJYGmDnALIEhCRRBPBJDbkyIImZRDORC0C6fROEhIO+wAdoSALb9EExREDvOC2ALIqRvFKE2eafnvCe7lMhefNnutcNcT3gKYBacM3nn2O8AmoEf3DUJwkLJh3BIJQR1yZQ6vxE+JcsMhIE6JCTdvZsAmE6Q4e5j0dPw+lDuTT4OzKv4L9glgrUm1qAgSrgwpLAJB+3ot7tWOiRN7+avUYvUJlx6rLyF2Pfw5hLL94DBN3sVBXdXPiz8mGbN1V244wYqe7OhNt5+SRFW/RuiYRLurRduWz00axNok8dujYQlXiElvZWNIGOJ81d29pyZjsoTbuWwErAj3trTKD+PlE2UPBIS3FaJVk5NzsYJoduFyAQ9jrOITSJoBM4lYnLfE3Di1CcvtEziaxIE/sTdBLATPwVXf5cdqfqASkT2XHsEx8IrlBMgnyCbCkwJIE+nJQJQJfUgvGvg0bIm1Ak5bSJ2z/RKqvbBISDATglQnKAlomUEhTIJviQJkqIPmyCcYJxCPgiPnkHGw7H3eEAQAPc</t>
  </si>
  <si>
    <t>20019</t>
  </si>
  <si>
    <t>B1-LSH-13002-401</t>
  </si>
  <si>
    <t>@@UU@@C@@ABAgAAsSUQhjGOdBzGOc5jnOc50HQlCTpQBAEIQpSVKQlCEHUhKlAShSgKUhAAAAoCgAUoCQJABIEpUpSUoABSkJUpSFJSgAAAUBQFISkCkqQlSgAAAAAAAAAAAAAAAAAAAAAAAAAAAAAAAAAAAAUAAAAAAAFAAAAAAAAAAAAAAAAAAAAAAAAAAAAAAAAAAAAAAAAAAAAAAAAAAAAAAAAAAAAAAAABCwc3g8nYeP1Cfb7Kv5E7wJ/QnJ2UcPXzH1PMvn/LxpRgpnwhi9f6eXPZV7K/LjKZmzB9ni/+fFRNkkTlxoMzID/wCXtfo50PN+dtoGHWFv9EVCvmU6aFx+THbSL+ugCCyC2UJJmCH74m7KFEMAUTME6RPwKaQCVhXWg5wC2BIQkqgpgnBAEsEEUMxBSRC1C73ppCRIO8wB3BIAxXZqkkqiB3WQMVaFsVo06IvIU6KKue6Js5jKXHz5sTWTSBcgFsu10+jeua++AmoEf3DUJxELLDnEgmCOuWYdX4ifGuaGRIE6JEo9/btAoE6Q4u7h7nT8XqQnRTes7VE/BdtEtFa02dQFkiWcN9JrEg/b04vhstqkoozWai/6xMuDVhuIY6+CzOJhu3AL1G/gqL+K/s73a5L+DYz6L2LJbbeoQnT3YPB1RZv3NwSwS/1bWm2i7T2CaSXv7WVDDZfEz5GNkDDnu7m7jzG2hRVuY8AJYBG3VsTm3X+PoEzofLImt27cgl/LyaL0w6YXKBDo6zjE3hO2CbAlgnLdE2zj1CcvuE0CdgkCf2JugloJr8VeP/MZtU9QCawntxntEw8ArlBMgnzCZlKASQT68lQlQl1SC4dm9p1xNmBKTFrCbx/oldfugkSC8UglYnKAmITKCQpkE4BIEyVkH05BOME4wOECBPkiPnkO+w5/u8IAgAe8</t>
  </si>
  <si>
    <t>20020</t>
  </si>
  <si>
    <t>B1-LSH-13003-401</t>
  </si>
  <si>
    <t>LVL.WATER LEAKAGE GEN COOLER - EE</t>
  </si>
  <si>
    <t>@@UU@@C@@ABAgAAsQUQpjGMcyDHOc5jmMc5zoOdCjoUpCUoQpSQKQpKEnQhKVJUpIAASpCgAAoAFAUoCkAUBIFIApSUoABSkKUpSFJSBAAAUBQFISkCkqOlSgAAAAAAAAAAAAAAAAAAAAAAAAAAAAAAAAAAAAUAAAAAAAFAAAAAAAAAAAAAAAAAAAAAAAAAAAAAAAAAAAAAAAAAAAAAAAAAAAAAAAAAAAAAAAABCw8vx/bsPJ6BPB9Xqp/kTugn9CbJcXZynzvKvm/HyJNgnl9YWen9OfNfo9VfPaTylfw/TL/5c32SvyIlzWoMssgH/gE2tvp6EPL+ePGBZULg6YoFfKp1TLdz2lk4v66AIL8FkkJEpQQ5YlCF6GaaAJRBLUJ95POrJYAKoOgAsgSEJFEE8EkIYIIkyiCYiFnF7nnnCQkfCwBuiQBZeoiaIKIgd9lZWhiitGcSpCbPNP0UiblxaUvmz2NZKcCmANMAl6uf8p83CAmsEf3DWJ3iFkw7wkEoI7JModf4Cca5IZCQJ0yEm97esAmE6g4u5i1dWn0ISmq5NPBPh9+rGJjFb6e3rAgTBxYEltCQft57cldOKmY+D4s+GnjMXpEy3+PHShdVnv5xLL1IG1Nw4aDBbgqwafk3J+uvVPRitow1TIS23r2+GNdHbErEt693c3bJ6qNgmok5PBoyoV4MIlORjgAxZvc3+C7MbyE3buwgl8De0xwP8eMTMh4ZCadWLRcJhy+Kc0VzQ7sLkAh0dhyCb4moE0CYBOW8J2jk1icvsE0CbBIE/sTfBLATb71dv+Wnuz9YCVCeu09YmLiFcgJcJ4hMqkwJIE+i6gSgS8pBSbO1qzibkCTmOoTgP9Err9kEhINonBKxPlATGJkBIUuE7okCXVkHjuE74JyAfMBAnhiJSDvsOX7uYAQAPa</t>
  </si>
  <si>
    <t>20021</t>
  </si>
  <si>
    <t>B1-LSH-13004-401</t>
  </si>
  <si>
    <t>@@UU@@C@@ABAgAAsRUQpTHMc5zHOc5jGMdCEHOlCEoUhAFIShKkAUlCEoQcCEASBAFAUA6gKAoAFAUoCkqUBIFIApSVIUACUqSpSUJUBAAAUBQFISkCkqQlSgAAAAAAAAAAAAAAAAAAAAAAAAAAAAAAAAAAAAUAAAAAAAFAAAAAAAAAAAAAAAAAAAAAAAAAAAAAAAAAAAAAAAAAAAAAAAAAAAAAAAAAAAAAAAABCyavF93aeT9hOX6vZT/InCCf0J2y4uzUfO6l/HzeRJ46JfWFfr/To18V72VdFpRKWLJ9J/8eP7ZYpES+y1BlrSAf+ASrP5+lDy+iywCvALj88XhXyqema3dFtdAv66AIMUFckJEpQQ/hEoQvwyiYkEtsTYKKFZLABgg6QCuBIQkXoKIJemAJMEETZYZSLxELSLweqgJCRo4WQHviQBbgpgm3oge824rYQxI0uBCeidEAflSJ3bDMXnp0VtRKgCmAWnDP0Ua/gATkBH9w5BOMhZMPwCQSgjskyh5PMJpW6GQkCfnISff3KwJidQeHgy7XV8XwoSng0aZ4+/frErFak2eMCBMXBjSWESDq9Vl1VOWmZwXa2TjMvrE1sXH1230M1fFjziWX6QKp3+HwV3zLmyRcc+Pbs4qtNlE8d+aEtD12T594TCJZPr29nw5aMN7tE2iTzbu1mQlkyib+ZjOBl19He37s5uIT3rsgJiA3O5G+fx8gktdDxTE28mzaJjzc+xnqnDtwGzDrAQ9yfYcom0JUCaBMYmrAJunLpE1e4TQJ2iQJ/Ym8CVgmfiqt/y03aOsBMAnttPaJl4hXMCXCfGJrKTBJAn0XXhLwl9SCk7e73dgTZgSgswCb5/olVXugkJBhKASoT5QEsEzAkKXCcIkCXVEGq4TSCaQOYCBOaI+aQcrDr/f4wBAA94</t>
  </si>
  <si>
    <t>20022</t>
  </si>
  <si>
    <t>B1-LSH-13236-I6001</t>
  </si>
  <si>
    <t>B1JBA-1309-TB2</t>
  </si>
  <si>
    <t>Junction box IOS</t>
  </si>
  <si>
    <t>B1-LSH-13236-B01</t>
  </si>
  <si>
    <t>LVL.COLLECTING OIL SUMP</t>
  </si>
  <si>
    <t>-TB2</t>
  </si>
  <si>
    <t>@@UU@@C@@ABA4AAsoUQpTHMY5zHOY5znOc51IQg6EqOhJ0qQhKUIQpB0IAhClASpQFIUpIAKAoAAAApAFAUpKlKQBSkJSBSkAUlCQJQAAAKAoCkJUACFJQlKgAAAAAAAAAAAAAAAAAAAAAAAAAAAAAAAAAAAAUAAAAAAAFAAAAAAAAAAAAAAAAAAAAAAAAAAAAAAAAAAAAAAAAAAAAAAAAAAAAAAAAAAAAAAAABCs8nH3HWJH9Cc26J98Cdondanv9nKfU3l+1/OH9/NOjmDy+uPx6PRd/uvnxF79pWYPsxf/L7vLKLIiJ5EGimQD/wCdPR50L9+wCu+LdNEWhX9FPT+FCxTJX0e+BBOCySEiUoKyTzxOEJrjkziiCWwJJVtweYAsgSEKZkQUQSQhggiTKInpiULaFjn00BISOroZAaBIAt1WVSouoQVR3pDc0Jiw4L6MIXkLlUTxSnapElSdF6OlCp8FAHfwt0lbpBC355zKpb4CcII/wHEJwELJh0iQSg7JSYh4f1E4kxQkhIE6ZCT3O/hAmJ1N7Y8WdDqnTHpubtPJYJYK1jo2wIEu6s4y8QkFmG3fj1Y69R6xNvVXQh8SFWUSvDvYcOMCumdMHju4d7FK5v5uDe4N6/Ky3fmhPr+DxmaU8F+nbEzCZOuWeVqrR3CbJnmmbayod6ywTi2skeEDX1/B8M8usbKFGbHYiVgVbn8/OJpTKhuTEy8nhwYxLMma5uw6IDPDlAh1pdhyCbomyCbAl4SoSzScfEJHL7RNcT2CQJ/gm0CYASvB7sBtXvUAlQnbGE7RLNQrjBMQnzCZFJgkgT68VoS0JUpDTP2cGfMJ7oEobYnGX/9E9t0vCQXCgErE8gCYRMYJAk8YnyiQJ9GS6QR9OQTUCfGBwgQJyxHLIPkYdb8uYFQAPeA=</t>
  </si>
  <si>
    <t>20023</t>
  </si>
  <si>
    <t>TPS I/O and marshaling cabinet</t>
  </si>
  <si>
    <t>BOX OF DC STARTER</t>
  </si>
  <si>
    <t>@@UU@@C@@AA8sAApPUQhTGOc5jnOc5znOc6EHQpSEHSoCDpQhCkqQlCUJShKAKApIEpABSkgUBQEqAoCgASpQAJSpQEpQlIEqUpClIQlQFKApSlIUACVJQlKgAAAAAAAAAAAAAAAAAAAAAAAAAAAAAAAAAAAAUAAAAAAAFAAAAAAAAAAAAAAAAAAAAAAAAAAAAAAAAAAAAAAAAAAAAAAAAAAAAAAAAAAAAAAAABCwfJxdJ9HOJ9v8iebfE+mBPUJ0/d+1X69n+u+eAyLH2Pgh8U+avwh4uTRPRd5f7+/yZidE3+Tw/X/85fHOCSZ05kGmiQH/gA07amH3gL2IWw/GKxXyiZI5vHWsZpF/Jsg9EyTMHkJa4pFFyy0iqCdkSTkgapAlW5B5wMIkCSVwVQT1ZZIIozEFe7EwtoXy89QSJB5wgDbEgC3brigVj+euGOvLkwX0hCw0oTsUqrEuHKaxW9bmzoapphbxVaEK4Et2aKWXbdvcADjBH9w4xOMhZYdQkTEQcUJMdv8BO2OaAkSBOWRKb2QCROZ2r/u84kVkU2ttDftRuXNfAJgFbQ8IHXEwb3B740oJBvY8FmDLZd6/QJZxZbN34sWcSrHv+nCUJzibF3cKfH1rNiysT9O5m4cSFJLWoTKJ1NaumnRb006RMchkq2OoXromrscOTav7nVzUza6EaXVmw24BMIGLY0YNH8d0TSG9IlzVmEv5s+tc3Yb8CVdB2RI+DUJsgl7FoEwCcF0TUWuHsCR3vYJdE9YkCf4JqBMoJZj9uMvbUHpAC2Ji9XB81CgmGoVz5gTKJImZSgJjoCfPNYlYltSC1a9bwbOsJ7YEqLgm8f6J7LLpeEgsawS6JTvABaEygkCZBO4JAmS6Qd3IJ8IJ2hDvxHyyHaYc/j+oUQV9wA==</t>
  </si>
  <si>
    <t>20024</t>
  </si>
  <si>
    <t>@@UU@@C@@AA8sAApLSQhjGMc5zHQc5jnOZCDnSlKEIUlR0IShAFKQhCUKQhAFJAoCUgApQFAUBQEqAoCgAUBAAJQpIFJQlSlJAhSkqQlQFKApSlIUACVJQlKgAAAAAAAAAAAAAAAAAAAAAAAAAAAAAAAAAAAAUAAAAAAAFAAAAAAAAAAAAAAAAAAAAAAAAAAAAAAAAAAAAAAAAAAAAAAAAAAAAAAAAAAAAAAAABCxfJx9Z9HSJ9n8iebeE+mBPUJ1+T9qf1+D+vlPEZVjlfFD4581X1h4+eNHVZ+P9+f7bidE6nPm5f/5buarHJTOzqoNFUgP/ABs6VMfbAw2i4DoioV8omWPz5qljySL+Tgg/CZJmCGmJjOZpZWiaYJ1xOegaZAlAvwfcBjEgSSqCmCduWSCKAmrciYWsXy9NISJB0feEgbQkX78lcyFQ+jQFC03ZcWokIVF3uIUdqmqsT3rxkM5W03IacTYTUC1389F7BtgByAj+4cgnIQssOkSJiIOKEmOPzicY5oCRIE6JEo3LQJE9D062xj7XSJF6uJp2NKFW8Xu7gpxiYxWoeEDfExbvBf7g00iQbuTFZiusw7/UJx5r+58NuUSnJkzxiKD06olXZNXet1t/RZgE/T4r/DkQooK9IlwmzoqottvW0dYmSQoz7JZgE08NvZ4cOjTmoza6Edt93NjvQCYwLdGfFn/jwCbL3YkS/3LhNS7Wz4NuHUgSnqOESNzaE2ATDboExCb9gmkr73AJHh9glgnrEgT/BNoEzAmDJ7chh2IPSAF4S31b/zUFAmOkV1bgTMJIlylAJkoBPnmoSoS8pBXX63g19YT2wJSXxN0/0T2YLDCJBgagSwSjwgBWJmBIEyid8SBMthB4MonvgnEId+I+PvBxMOtzfUKIK9g</t>
  </si>
  <si>
    <t>20025</t>
  </si>
  <si>
    <t>@@UU@@C@@AA8sAApJSQpTGOc5jHOc5znMc5znOABzpQlJ0oShAFJUhCTpSdAEgUACUgABIEgUpQEqAoCgAUBKgJSlQFJQlQFJAlKkpQlQFKApSlIUACVJQlKgAAAAAAAAAAAAAAAAAAAAAAAAAAAAAAAAAAAAUAAAAAAAFAAAAAAAAAAAAAAAAAAAAAAAAAAAAAAAAAAAAAAAAAAAAAAAAAAAAAAAAAAAAAAAABCv9/d0H1cwnl/kTz/KJ9cCe4To+/9qP17X9eD6PCWLHifDD45een7Q8fLGnnr9X9+j8MpLTK9y+LJ//3ZPJTBgojeyoM9MgH/gA3usph1AXsQtR6YpFfMJZHs8tKxZIX82qD8pSJSghoiUY4fMTlJaJE9YnLMaJASQLkH4gYBIEkUwUQS68mRBEwlTwxKFtC8vNQEhIN4IA2CRbotzCkfXnCZRZivXUhClDpoS0zot5bYkHqMxafkyIbLjWSpBbVzPO3VvgByAj+4cgnIQsmHYJEoiDtwko3egTcNkBISBPTISfBhAkJ63Ve0+wSKdESo1dVDsFvfq5sAmAVpHaBxCX+Hj6gzmJBw4rt+u/Tkru8VznEnunZXwT7mKQlF7FP23yZLIJo+bJ2qcF/s6K6xP0r2mJCUqdglgmu9TPVnt459AmGQTzayuoTZtw6a9nVxzx6kI1O3eswXIBMAGHRnwZ/47onX6YSEzVdTMJfzZ7VW/DegSjnNokcGwTWCXcOgS+JxVibC12eMSO98BKxPeJAn+Cb4JYCVYvjiLuuD2gBbEw+7i+eZMTBQK5cgJYJITIpMExTBPplSJSJbUgtWve8erMJ8YEoLgnCf6J8Kqy6JBU0glYk+8AFoSwEgTGJ3BIEx1kHdxidgE3CHgiO+nbYcvk+wUQV6Q</t>
  </si>
  <si>
    <t>20026</t>
  </si>
  <si>
    <t>@@UU@@C@@AA8sAApKSQpTGOc5zGOY5zmOc5zoUdSEIQpCEIQhSkAOlKUJUg4FAAlSkqApQFAUBQEqAoCgASBQAISlQEqQlIEpAlKkpQlQFKApSlIUACVJQlKgAAAAAAAAAAAAAAAAAAAAAAAAAAAAAAAAAAAAUAAAAAAAFAAAAAAAAAAAAAAAAAAAAAAAAAAAAAAAAAAAAAAAAAAAAAAAAAAAAAAAAAAAAAAAABCs+nl6j7egTwfyJ4tQn3QJ6xOr8f2o/Xtf19R3S1Y/B7sPNLxU94ObnjY6avP/fl8OUlsSwc/ex//KXflgkSltZEGeiQD/wAbW6pZpArwi3zzRSK/kJjj081Kx4JC/m34PJKRKUFZJpicTWC2JxRBL3xJHPA0SAkreg8YGESBJFMFEEt+TIgibKIKeGJQtwXw9FASEg8YQBuiQBdu0xMKR9GgKMmPBWkIXiMkp0CaMp5yPITQuPHlQ3rGslSC3b2id2rgADWCP7hrE1kLJh3RIlEQfHCSjl8onKOSAkJAnmkJPixASE9Ds4NPpEikie173GXOC90WCWCtI8gHwCWcXX3BnMSDhx2X7Ml+rV0icuS9w/Jiw6kM4lyLdVWGiKD1TziabddWXN8PY04K6xP07ddaESi5viZxNzTTPbz3dufUJjkE8WQqvib/Ji03auDftnbuIRsuzbhuwCYQMWjPyYdH8fMJvQJthft3cwmHNo2KuKGyBKOk7QkfFvCbYJXbpEsE7FQm8XOTsiR3PaJUJ7BIE/wThBMgJfx+7GV7cHqAC6Ji9fX+uZMTDQK5soJkEkJlUmCY5gn2SpEpEuqQXLnsezs5xPdAlBeE4z/RPbfqKxIL7SCVCT+cALgmQEgS0TtiQJbUQdy0TUCaxD5Yj6JBrYc3f+8UQV6w=</t>
  </si>
  <si>
    <t>20027</t>
  </si>
  <si>
    <t>B1-PI-I-5201</t>
  </si>
  <si>
    <t>200</t>
  </si>
  <si>
    <t>B1-TCS-1321-X11</t>
  </si>
  <si>
    <t>BOX OF VMS</t>
  </si>
  <si>
    <t>B1JBX-1321-X01</t>
  </si>
  <si>
    <t>JUNCTION BOX VMS</t>
  </si>
  <si>
    <t>-PI-I-5201</t>
  </si>
  <si>
    <t>-X11</t>
  </si>
  <si>
    <t>@@UU@@C@@AA78AAoiSQhjGMY5jnOc5zmMdCToSg6EqOlKUIUgCkoSlCUJSpKlKUBSkqUBSgASAAAAAlQEqUhSkgSpSkAUpKVAUpSEJUoAAKAoCkJUACFJQlKgAAAAAAAAAAAAAAAAAAAAAAAAAAAAAAAAAAAAUAAAAAAAFAAAAAAAAAAAAAAAAAAAAAAAAAAAAAAAAAAAAAAAAAAAAAAAAAAAAAAAAAAAAAAAABCyfN7vQcX7Cf0J+O+Cc4k+Pop7fN8uPwwsH0/bEQx4yn6A4rvTODL+f9+byXHnIx/f4vq/+eL65yyTMXoMaZAf+ADz5OrGMQy7QGPMLiPyioV+5Tk+ykCK5Fzfo0Qe1MkzBD5YmGmJiiCdQlJQsLC1wcYBiEgksgpgmGCCJZiKirciiAKxfLy0hJHVEgCuis40MJUEiXBly4UyFeiJ0TTiQrE2bDbAuOMwOvesq0WXuQnAC222ZAKb+yAHACP8BwCcBMrBDcJExEHNMj3PwE4RvgJEgTzSJRubBmAoE/Vx7XIJXNR155NJq63o96lzCZhXGncA23fEy9fetSjOJBuaM+LYtw9n0id7v+4hvoaRMO91M/TApnJBy0iX21W7VFlZQ6Pfr/cwUUFGjat7AnUE73oZ024LNRk6BLpDZQsqjTjxCX326+tpLjPlptBN0Dar3P5+MTRAnd3d6HRiN64Sb9Bs68ftw7cCVaQL3FzHdE7Am2CahMoloms4eATwesTUJ6hIE/wTOCZQTZzezMa8nKAFgnPnOcTJ2hW8EuE+ATQpQCSCeG6oSoSxSCv1dvV0xPZAlJYJwn+ieu0wiQYCkEtE+QAMwl4JAlwnwiQJdhIPBcJ2gTdA+cSIj4pDvsOx5PEKqi9I</t>
  </si>
  <si>
    <t>20028</t>
  </si>
  <si>
    <t>B1-PI-I-5202</t>
  </si>
  <si>
    <t>B1-TCS-1321-X12</t>
  </si>
  <si>
    <t>B1JBX-1321-X02</t>
  </si>
  <si>
    <t>-PI-I-5202</t>
  </si>
  <si>
    <t>-X12</t>
  </si>
  <si>
    <t>@@UU@@C@@AA78AAoiSQpymOZBzHOY5jmMc6DpQg50pUlCUKUdSkoUhCDqShSVKUkAFKSpSgAUoAAAABAEqUlIFIApSEgUpKVAUpSEpQoAAKAoCkJUACFJQlKgAAAAAAAAAAAAAAAAAAAAAAAAAAAAAAAAAAAAUAAAAAAAFAAAAAAAAAAAAAAAAAAAAAAAAAAAAAAAAAAAAAAAAAAAAAAAAAAAAAAAAAAAAAAAABCr+ji6jxc4n9CflvAnSJLw9U9/o8GL6oWD7PviIY8JPjDxW+mWxj/T+/L91p5iMXLbV//H9vjookTlFyDE5AP/AB5sWmMIhXtAYsYuE/OKBX8FObxzAi/IWz9W9B2JSJSgh5IlDOJRegltiSWZAQsN+DyAGESCRTBOCUMEESCgo7cUQBfF5PPMJEVaRJUwTpOVDCTCQloSXHgqSsmRdK9UhQJ140gZDlKXyaqbqdq5rqieAFqqorAnd3AA4AR/gOATgJSWCHGJEoiDolIeH8RNY3QEhIE8shL27mLFwxMSX7MbfMJflQbkubOaO16O9NsEsFcScIGneEgx7mrAl7IJBu5cmHNgw9z0id34feQ3kM4lXXszAXpYoPPMTnv/B+9eHYpNLm+SkxSx672jB7YmgTHzsrNrhp0lnUJlkG0hPJs14hL2a2WDc7faLii3HRUCagOxTT7n8/KJlgT3btQcWItEi7KZ/aw6odECUZwLnoOITdE0gmgSsTYE7J3dYnzesTbE9QkCf4JYCYwTPZ7LDs1+gAKROnIdIlfvitwJaJ3xMql4EkCfXbQJQJSpBf9W/o2RPZAkykTWf6J68BUJBsEwTAJ84AWCXAkCWid8SBLaiDwWib4J8QHxiREfTrDvMOzycYqqL1g=</t>
  </si>
  <si>
    <t>20029</t>
  </si>
  <si>
    <t>B1-PI-I-5203</t>
  </si>
  <si>
    <t>B1-TCS-1321-X13</t>
  </si>
  <si>
    <t>B1JBX-1322-X01</t>
  </si>
  <si>
    <t>-PI-I-5203</t>
  </si>
  <si>
    <t>-X13</t>
  </si>
  <si>
    <t>@@UU@@C@@AA78AAogUQpzHMdCTnQc50HOc6UIUhCEpQlKQISkCgJSlKEpSlSFASAAFJSBSgASoAAAABAEqAgClJApSVKAlSVAUpSUpSoAAKAoCkpUACVJSlKgAAAAAAAAAAAAAAAAAAAAAAAAAAAAAAAAAAAAUAAAAAAAFAAAAAAAAAAAAAAAAAAAAAAAAAAAAAAAAAAAAAAAAAAAAAAAAAAAAAAAAAAAAAAAAAjy/R3Pc5fSj+keTqkexFvD7ruv6u/s+CpKfX91VUrwruQ5fXptsZv0/v8vt0PKrZ8fJy//4eXBdmsutt6oTBawn/A8uXnVsoZt0Zc6TI/OsKSffI832XCr7JM/6zBTn2stalTXVql1WrBS26i0i5SpKvp+AZEUsxUupapSlWMOHpVhoXpPF57iyt9FX4rsTxwxryyNBZmzZIyrobltWC7JC9F/j5wzLMU/bqYdqZFsJJw7Gx+Nsow6eqDiIn8HEjiWtJSp0EVaqp6rWTs+RHaTVRZFI8tkYOnzWcYEeabO950Vc6VrvPu7jh6Xo47ptI2kkyx2h10Z+fw0+TmRdpRTh0zaya8eTretHy/N1YdeG2jHuZ9YwW2aei5F/c7b98eK9vzXzr2S2O+707HCjdRx3S2vcv3WX3I2rG3C7Nt7ORHP1asfQ6PA0tGe7GRwjfv4f5+dGukaupq6ZgyNvQi2m7ua1+Dg2enU36RftjTPU7aOijfI3kZ0bCOB2uJHe96N5HtRSP8RnIzEfHn+GdwZfQDEj2bT2Iy9ZJNJGhHdRqkYCLEfVowowoxSKX+3sb3NR8KRcxI7L/Ue/mMaKbC4jmI74M6NJFI0I7qKRoxqd7QjsEcY8CKqvpjjlTX4uRJJIk+I</t>
  </si>
  <si>
    <t>20030</t>
  </si>
  <si>
    <t>B1-PI-I-5204</t>
  </si>
  <si>
    <t>B1-TCS-1321-X14</t>
  </si>
  <si>
    <t>B1JBX-1323-X01</t>
  </si>
  <si>
    <t>-PI-I-5204</t>
  </si>
  <si>
    <t>-X14</t>
  </si>
  <si>
    <t>@@UU@@C@@AA78AAofSQpimOY5zmOc5jGOhCEIQg6TnQhSEpShKgJQhCjpQhKlIAkClKSpSgASAAAAApSUqSlQEAAlSlKUpKUAUoCEKSAAAKAoCkJUACFJQlKgAAAAAAAAAAAAAAAAAAAAAAAAAAAAAAAAAAAAUAAAAAAAFAAAAAAAAAAAAAAAAAAAAAAAAAAAAAAAAAAAAAAAAAAAAAAAAAAAAAAAAAAAAAAAABCx/Tx9Z5/WJ/Qn6d4E6hJeXrnwdPixeOFg+30REMHln9gee72Sv5P1/v08tx6iMX4eSX/+TzfdTkkTl5tRBo2JAP/AB6smiMghZmAyWi1nNFIr96nPyzAi9bQLb+zODblIlKCGmJQE5SoglmEkjMiFvSPxAKxIJFUE4Jc8mRBFAXr3bimAKhfR0TCRGDm2xKL9N8/JDEUshNQMVFtuNLCYRqyoha0KRNrQBgNsvPdnY4SUwWn86qwJ274AaQR/gNImklJYIdwSJREHTKQ9/0icQ5YCQkCc0hKO5q2AUCc7i2egSJm5Lo193c9fJMLBLBWtO+BwCY93Q72BJ2iQdrLbXh1K5b/sEq8HyfCh3kNcSmuMGxZqgUyxwb8xPi4NHFtZL9RnDJyaTHK6MV08HbE7InH+5LZqsqzmTrEnINpCdVm1irEy2Ydjd7XwGUy2zwgmYDPe7n8/KJrQJ3cu8GEsEi7KbHg0V70OeAzXSG/rgUM+k4xN0TOCZhLBMAm4cWkT5vcJmE9okCf4JaCZATZs99ht4+gAKhOq06hMe+K5QS4TwiailAJIE8d1IlIlSkF728ObWE98CTKhNJ/onuwGESC+TBMAn0ABYJlBIEuE8IkCXYSDxXCcIJ84HIJER9XCHxsOty/WKqi9gA==</t>
  </si>
  <si>
    <t>20031</t>
  </si>
  <si>
    <t>B1-PI-I-5205</t>
  </si>
  <si>
    <t>B1-TCS-1321-X15</t>
  </si>
  <si>
    <t>B1JBX-1324-X01</t>
  </si>
  <si>
    <t>-PI-I-5205</t>
  </si>
  <si>
    <t>-X15</t>
  </si>
  <si>
    <t>@@UU@@C@@AA78AAohUQpzHOdCDnQc5zmOlCEoSlCUIQkCUnUlKQIShSkKSlSlKApSUgSpQFASAAAAApIEqUlQEgAlSlAUpKUgUkCkJSAAAKAoCkpUACVJSlSgAAAAAAAAAAAAAAAAAAAAAAAAAAAAAAAAAAAAUAAAAAAAFAAAAAAAAAAAAAAAAAAAAAAAAAAAAAAAAAAAAAAAAAAAAAAAAAAAAAAAAAAAAAAAAAjzfV2fa8HoR/KP04iPWi3f9t3H6e5td2pKfb4qqpTv3d48F/qtsZ/1/rx+G95FbX49/vf/X3ffdnsut4OZCYN2wn/A8mfgrMho3hn0pMry1hST8JH7eG4Visk0eaYKcNrLWpU8VWoutbBS3QRZJdDFZ+QZUUsx0upapSlWlVhw66w0MSTxctxZXAisWDE34ZGGWRy6jRoyxizqxVnwczBdhs2oY0c7DwDZYpN9U6l3mvm0wYSTF+exmF2rrg5CJ+5yI5FrSUqdFFWqqem1k+Lxo7CaqLIpHlsjB7+3oGBG5Orm3uVFYXSty7uvpej5bjSjSkmWOQcaM2vh61NmLtKKa9WnLt5MvX9SOzzfk4occN1GXnadwYLac9nn1YkbfN4uTiz7ONvm181PhZ8F/P+C6/J1EcCOn51uhw7uPotPtRt2N+F1+/m2kbl+z09ede3r9GHIR1B0cfS/jtI26R1tWsyNKKv1Obw5OrU3qNemyY9wYJ6XZRrR0COejOjYRwuxyI7fuRz0exFI/tGgjORu6P80ODNygxo9el60Zuukmoi9Hzo5kjARYju34UYUY5FMXs497cR/lIuY0cj/Ue7ZZEU2FxGyj6QaEaiKRej6EUi/Ip3L0cZHaH1oqq7dHxypt+H7EkkiT3g=</t>
  </si>
  <si>
    <t>20032</t>
  </si>
  <si>
    <t>B1-PI-I-5210</t>
  </si>
  <si>
    <t>Part of sensor</t>
  </si>
  <si>
    <t>1 x   mm² Coaxial</t>
  </si>
  <si>
    <t>VIBRATION FRONT HP ROTOR - X</t>
  </si>
  <si>
    <t>-PI-I-5210</t>
  </si>
  <si>
    <t>@@UU@@C@@AA88AApHUQpjHQdBznOdCEHQhCEIQpCEpQpKUoSlKUJQpKEpSkAEpSBIFASlIFKUpQAAABKgKAlIFIUpSVJAkCgJUpSUpSlQAKAoAEpUkAEKSlSgAAAAAAAAAAAAAAAAAAAAAAAAAAAAAAAAAAAAUAAAAAAAFAAAAAAAAAAAAAAAAAAAAAAAAAAAAAAAAAAAAAAAAAAAAAAAAAAAAAAAAAAAAAAAAAjzd/387jf/60fc8b2I4UfipHIj4dxdk9ve+vvyU+nwqqVnX+A8X9atv148fuxceo/ZWXzV4NXV+3w4MtlXtWErDYT/gbLzazL5UNLbGlpJMvKrAkn4SPPdJ4tSwc2aNPJay1qVOOrUYLWupblIuXJNCnjDIKUsvpfS1SlKsi6rllVJhYEnN9FxglSrlc6OWi2K/RYIXyo1JmzYWONDKr0Sratr96YYywqP03hqPyaMyX1qTIuvEvo3dDyaOYYNPgBxET+DqIrqLSWVN5FLU9lRZXF5UdOTXqWRSPzsi7f0hZG1PlZfj849S2hXSb9+RGRHDRGjHEMKMXK3IthRT05uczY/Sz5MT2o1eC50IcEOe2EZOBn1xwthc9N4quj0enl0Otm9bGuy9RoXu1vo1kdjD6t7b3FL2Oy/3o/dnum5D5N3Fts2kjUX52su0V2TuMLY5/Q5+zs6t+EjK6Q6TrtJa38/MjYbVkbPLnDOW7e02EalqY9Te5jd0sVTHRtqTW2h2fY7SPdkRmI3UZ0d3Gjnu32UX/BG6j+0UjkRvkaZG5p/5puZm9YMKPq5M7kRpd7rpJrkayLka8i4ixGLPgRgRhkU0Nvq6+5SP8pF7Cjff6j4YmNFNFeRiR9ANNGqRSM6OwikZ8ar/nzo4iO6OqiqrrdhGv9/2JJCSfEA</t>
  </si>
  <si>
    <t>20033</t>
  </si>
  <si>
    <t>B1-PI-I-5211</t>
  </si>
  <si>
    <t>VIBRATION FRONT HP ROTOR - Y</t>
  </si>
  <si>
    <t>-PI-I-5211</t>
  </si>
  <si>
    <t>@@UU@@C@@AA88AApGUUpjHOc5znOdBznOdB0IQlCEISpKUKQpQEISlKFJQlSVKUpSgASpKlAUpQAAABKkgUpIFJSBKkqUoCkgUpSUpUgCgKAoAEJUkAEKSlKgAAAAAAAAAAAAAAAAAAAAAAAAAAAAAAAAAAAAUAAAAAAAFAAAAAAAAAAAAAAAAAAAAAAAAAAAAAAAAAAAAAAAAAAAAAAAAAAAAAAAAAAAAAAAAAjydv07/ff/yo+597mR1EeFRHOj1fGsxef5fq7clH0fapSUzre4d7+9Ff17+H0YO/mXVMXjy9zPXu/ZXHVSrPCU7tRP+BsPHpY/xQy7QyZkmPdpcSTwSP2sk72aqTpy/R4q1VrRSbFK0Lla2UV2UWLEl2jwhiFFFVtFtFfZrKqKWS2ksVUpJcSdLy2zDSgsVvxuorfktvrkLZSM0w5MlWKLuBTySldFfKXL0Y4Uj9OiMzxL8szTCrYSW/hdwi3W1uEHGRP5OsinWVkqpN5FFaOakVU4/yRxSaaSqKI/OqLN/KKo2Jl6rJteQfureu19xv3MaMaOpQjBHGLyMPV3IreRR5tbhZMPYaMWB50aauCHDDU10YeLiZ9cdbUseW0ZdHQ2+HLf6+blY1m04121xdNGyjk83R3NKjZYarfSjlaLJvQ2d7B0GTWR0mhqVvrMXxLrg9vg1as9t0jE3h0WNT+vkRoaqo08k3pwzdfDsNSM1dt2f407l1lwUmGhwNtVNXQGPme+j0X0ZCN1GdHawo9p8HZRb6kbqP8RRHOjgIykbOX15W/k5QXkfTz53OjW7XIkmuRpRYjXkWEVIwZ7iLiL0ii7te7r7dEeuiLV5HYf6j1YGFFF9aRgR84MqNBFEZ0e8iiM+FS35s6OuR2h10UpTkqdmUmv4PrSSEk9gA==</t>
  </si>
  <si>
    <t>20034</t>
  </si>
  <si>
    <t>B1-PI-I-5212</t>
  </si>
  <si>
    <t>2 x 0,5  mm²</t>
  </si>
  <si>
    <t>VIB FRNT RAD BRG - H</t>
  </si>
  <si>
    <t>-PI-I-5212</t>
  </si>
  <si>
    <t>@@UU@@C@@AA8GAAooUQpjGMY5joOYxjmOc6EHQhCEpShCEoQhSAAShSEIQgCEKQBSgKSpQEgAACQIAAAEoAlSlAUlSkqSpSkpSACUKQkAAKAoCkJUACFJQlKgAAAAAAAAAAAAAAAAAAAAAAAAAAAAAAAAAAAAUAAAAAAAFAAAAAAAAAAAAAAAAAAAAAAAAAAAAAAAAAAAAAAAAAAAAAAAAAAAAAAAAAAAAAAAABCs+zm5+3y8/UJz/P/QnzCflAnYJ+vbNw9fi8fiWC1yQx0eijyB9vu++Wlh9f9157zzemVkr+j/+jy/dRbIicyoMTyAf+ADDqenuaNvoEMesBdWLZ6ooFfOp7Jl/C+6YXaa4NeUiUoIfxiUBTKU0Eu6JNMLTB+YBiQgiRPBPBKGCCJBVNORC0C7vTOFCExLbDXElVgKJFdKFDC3hStllOgk5UdJE82Wbz6hVgbEIX164F5slb+nezU5m0lSC1VYMQE+PeADiBH+A4ROEhZMOwJBKDrlJIji/YTjHJASEgT1SEm3M1wEwmd4LN3V9iHVXNg3ZR07Wr3sHJy5BMgrhsHjAuEt7+S20Z8YkH75aC/QwZtCVFfuEmJbiHgQo0RK/BbeBNvTZCD6b6UOrV1OTgpurwUXHtxTY66suyJmE5cZbRnq1J+0S+QaaE9mnlxWCbF8S3uSK82e3Z7+waWjlnxAlm2BTtfz4RM2eQmvpd03DJB3LebMJKjSz4/l1rq4cMBpwODTA6ziE2xNQE1hLhKhNk4d8T6/gJrCe8SBP8E0gS0E07vjcbFntACoTsxnYJZviuQEvE5hMqkwJIE8d9AlAlSkFPv4NXRE+MCTlQnGf6J8KzCJBgJwSsTwgBcJkBIEvE4xIEvwkfVeJvgn0AcAkRHLwhyMOj5vIoAK/IA=</t>
  </si>
  <si>
    <t>20035</t>
  </si>
  <si>
    <t>B1-PI-I-5213</t>
  </si>
  <si>
    <t>SHIFT HP THRUST BEARING</t>
  </si>
  <si>
    <t>-PI-I-5213</t>
  </si>
  <si>
    <t>@@UU@@C@@AA8kAAozUQpjHOdBzoOdCDoQc6UoShB0oSgCUJUpSUoUpKEpShKVKApSQJSBQFASAAAAApSgJAkCgIAlSgJSBQEgUpSUpSkAAKAoAEpUkAEKSlSgAAAAAAAAAAAAAAAAAAAAAAAAAAAAAAAAAAAAUAAAAAAAFAAAAAAAAAAAAAAAAAAAAAAAAAAAAAAAAAAAAAAAAAAAAAAAAAAAAAAAAAAAAAAAAAjzfZ7+Hxv/9aLPYjrEcyPyfC7W9ve8Hfkp9vhVUryr/uPF/Xkt+3Lk92PlzvGrL5vw2dvb8PiwZrKuaITB4bCf8Dzb7L5UNndGTOk1+jWBJPHI/e6T8dmyTLNanktZa1KmirUYLWupbUiyS5hs/MNcUpZfS+lqlKVaXVS6pL0nL6LzGuVJbdjUi1+JfC6UmeY2bNla8XsTzzDa4bdvRMWtGWFRj/XojO8mNVS7PNda4kv8uHWF+vxA7BE/g40VxrSWVN9FLU9lRZXY/RHVk26lkUjzWRdw7AsjnTjZdzzj1Ldtitw366NdGGiMUdcdZGP5t6LYkU9ObLMfxs+Se1HccmDsKyus+WHFDnIy+lixtrSNKzt9f14Bo0ZNzFsY9WbItrONg4EaUc71b2jDb3ozti6bkNXQ3eeysyK3m2rd4GXM6XBwadDc0cTbVizkZ31NThF17P/PdRz27ZGHU359Dpz6d10EZrdTs6elsa1Tdo1KTf1DJ7HaR7t5HTI4EYUd7Gj5HJ2UX/BG+j+0UjmR1SNkje2f82XUzeoGJHg5tpzI2Pr5Ek0kaEXI0yLiLEY9rAjAjFIph6Ha071I/ykXsSOJ/qPhjZEU1l5GNHfBso2yKRtI5EUjayKv720jskd0dpFVXzx3JU08v3oQknxA</t>
  </si>
  <si>
    <t>20036</t>
  </si>
  <si>
    <t>B1-PI-I-5214</t>
  </si>
  <si>
    <t>2 pairs</t>
  </si>
  <si>
    <t>SHIFT HP STATOR</t>
  </si>
  <si>
    <t>-PI-I-5214</t>
  </si>
  <si>
    <t>@@UU@@C@@AA7yAAoZUQpTGOYxznMc5jnOc50HQk6EJOc6VIQlSVKUlCEAQlQEqQBQFJQBQEgUAAAAABKUqUgAEJSlQAKSpSVJABKEoSAAFKABKUqAlClJSlQAAAAAAAAAAAAAAAAAAAAAAAAAAAAAAAAAAAAKAAAAAAAAAAAAAAAAAAAAAAAAAAAAAAAAAAAAAAAAAAAAAAAAAAAAAAAAAAAAAAAAAAAAAAAAABCwfh+fSJ5fYJ2hPHAnUJ+3wn3vb+PKsHf/IiGPD+tPgDm93o5557/93efES88rJeHxf54pc1F+RFHNkQZaJAP/gB/G5lweYQxaQLcYtmqKRXyqema8+KQu81wapSJSgh8kSgKZSnBLUJIW5BR+gBfQgiZOCiCUMEESCqgohaRfJ0UBkmXCcLvBrEnXTBepQoYHG38OG5YlBUWV9DOhyykuhuhgQgbt30agMZg1l91bss1WZxEqAWqq7YBRe+kAO2CP8hwCcBCyYdYkEoPbKSRHD5hOJckMhIE/eQk9/NaBMTQ68Gn0odNc6p88+jb3ae5aJaK304gO2JZsvJLAJB6sX0Yb0as189wn2dmz6u0h9aG0JZ07mTOBRjnnIOmdKFJjyabK7mGvuQeuydvFX84mUTN6zTo621Xpp5BOtmm6UKba8+DCJsyRlL+vZrM245c2SyqAT7t8C27vH9feJlw6JibK+u5ey4eTOJKja3Lm7pMF2HbgSrbA9hxidW+JqBOuJaJWJ2Dj4hOX4CaRL4kCdQmwEwgm3b8bTZg9QAVCe/Efb7xMPCK5QTIJSJlUmCSBPlQJQJcEgp/3h05xPlAlBUJxmj/hPjTeK74kiRSCXhOUALRMgJAmMTjEgSy8d7GJwAnIBwiREd3vh3WHx+BBVF+Y</t>
  </si>
  <si>
    <t>20037</t>
  </si>
  <si>
    <t>B1-PI-I-5215</t>
  </si>
  <si>
    <t>-PI-I-5215</t>
  </si>
  <si>
    <t>@@UU@@C@@AA80AAo+UUpjGQc5zmOdBkHOg6UAQg6koQpKUpSpAEoSBKFJUlCUgSACVKUlIAKUkAAAABIFJUpSgJUkCQJSkCVKABKkgQoAAKAoAEpUkAEKSlKgAAAAAAAAAAAAAAAAAAAAAAAAAAAAAAAAAAAAUAAAAAAAFAAAAAAAAAAAAAAAAAAAAAAAAAAAAAAAAAAAAAAAAAAAAAAAAAAAAAAAAAAAAAAAAAjz9/39L//4R5HsR6XEixRHMjyvhZk9v2eDvSUfb5/xrSUzLvCfl/fnro8d/uyePQxKX+nP4tOnxfhdnqpNMJd99RP+B+v7M3oQw3Rn2kl/PpcknkkeqyT88KpM0x0eatVa0Un6UrQurWyivPRVJsUWvKF4oosWUW0VpKKKeqyW0otpJck8nrtKqZYb0b6LLcS2FkpGia8MNlfGdjbMpXbrl9ctY4zwpGO8YLpPMyTNdhMytqSXcGPXlF2Tqg4yJ/J10U66slVJvoorR7KKqHH6EcMm3SVRRHpqizpbIqj956mbe9Y5VdjjV6dt6L0dqhGM4x1kZdfyxXEijl2eRny77TL+H2o2+JncMKw1Iy3sNI01OXEtFu11Nu7FybTuK6VnEu4EaUdnd5dzH9C5jtcUxe9HRbVkva4bjd158+wjf3W8biuJZm2HzdDXub3RabsRHQdIXti1/XdRzm5VGrnMfBKdTt0m2i/Vd3cOTua5hfSdGhvKJk3R3HT9jkR7rEdAjgRpR9eVHzu12UW/BHAj/EURzI4SMCOfh8cHUz8oMSPu5tDmRs/V2kk1EbaLEapFhFSMmi5FyMUijY3erq10R8aItYkdt/qPhkZUUY1pGRHfBgjSRRGhHWRRGjKpb3tCOwR4B9KKUp3aHYlJq8fhRIST5A==</t>
  </si>
  <si>
    <t>20038</t>
  </si>
  <si>
    <t>B1-PI-I-5216</t>
  </si>
  <si>
    <t>-PI-I-5216</t>
  </si>
  <si>
    <t>@@UU@@C@@AA84AApFUQpjHOdCDnQc50HOhCEJQBCEASlKUJQpSUKSlSEqQkCkgApKlASpQAKSoAFAApSlASkAEoUoCgJSBQEgAlSUJUkAAKAoAEpUkAEKShKgAAAAAAAAAAAAAAAAAAAAAAAAAAAAAAAAAAAAUAAAAAAAFAAAAAAAAAAAAAAAAAAAAAAAAAAAAAAAAAAAAAAAAAAAAAAAAAAAAAAAAAAAAAAAAAjy/X7uDlf/6kWetHEjlfosjnR0fOux+zv/b9UlPs8KqlZl/3ni/vXt5/Hj9ur49d+6tbzflqadN3hq+yvxaYTBawn/A23m2GTyoZtwZc6TW36wJJ+cj0XSeLXsk881KeS1lrUqctWowWtdS2+i0lypMNP1DIKUsvpfS3TWllKul9UuqTAk63NeWVjhwR6Ooi+YNRghdKjTM+fKyRlYnNKts26sxRrQqMWTz9UaGPyVWOWkv15rZquwEmHy6mQX4vjB2yJ/JxorjWksqdRFLU9dRZXb/ZHak01LIpHmsi7hzCyNudhxsu7zDgWxai3E6+DWRrI7VEasdsYkY/k3otiRT05uFrs2SmnJ7EYOnkfDDih2GyjJxNfYGws5rhsZfV2dZi3rsuNdhdlh6aNCOT07uXpNLUuX+5HqaLp0oaN7cx7bNnRh5G06zbXY2Fgw5bnV627t7em/CRwDMyK7T+voRbYbdyNnfm87vxTu7TaRr2pwdLhpvZsdTJRv0mzuC7P63Ij25EdQjfRoR9ORHXdz5UX9CN5H+IpHOjhIzkbuf353Bl/gGJHg59DnRm73IkmyRsIuRsyLiLEaujAjAjFIph3N7Z3aR76RexI7j/UdGqxopqLyNVHfBnRpIpGhH3IpGjGq/v6EcZHeHCiqrk8B80qbXL+BJCSfAA==</t>
  </si>
  <si>
    <t>20039</t>
  </si>
  <si>
    <t>B1-PI-I-5217</t>
  </si>
  <si>
    <t>VIBRATION REAR HP ROTOR - Y</t>
  </si>
  <si>
    <t>-PI-I-5217</t>
  </si>
  <si>
    <t>@@UU@@C@@AA84AApGUUpjHOc5znMg5znQc5zoQBKUJQpKEoUBSkKQBB0qSlIAJAoCVKSlQAKUoAAAApSlJUkAEoApQFJAoCQASpSUpSkAAKAoAEpUkAEKSlKgAAAAAAAAAAAAAAAAAAAAAAAAAAAAAAAAAAAAUAAAAAAAFAAAAAAAAAAAAAAAAAAAAAAAAAAAAAAAAAAAAAAAAAAAAAAAAAAAAAAAAAAAAAAAAAj3Pq9vW53/+lFXqRyI535qo6Ee751mP1937e9JR9f5KUlMq37jwf3nr+/hx+zF4c6+pk8f49/d3e/ZbdVT8G7CX61E/4Gx49K7xIZt8Zc6S7gpeSTnkfxZJ4M9UnkmGj9a1VrRSc9K0L1a2UV30VksUkv0foGQUUVW0W0V4VZVRSyW0ospJeScXmtKqY4daOFFktwLYWSkaJly3McXMDyyldNfNMEXQpGDyfCM7xMMzZF66smebi22+SZcPFjuF69yA2kT+TmRTmVkqpOFFFaPVSKqbf2RyyaaSqKI8dUWceUVRvz43M3NnT8o9CuGnI47evlRlRzUIxRaMCMXNwRXAijz5eVnZcnZabtT1owXPkhyw2NaMnK0ahqVeawbcF/5exkw8F2RX0tu1f4kbqMfn4Ne+zsNi32o9LRZN+HU14t5uZUbzW42xZiXl66rr8fxcezp72m9hI6ozL9yv9dxGlsqi/q4J804Hb5Jk2NaM9dXDd0rzNjpMlC8om7sHqdlHsvo6hHSRmR9OJHWdrsIt9yOmj/EUR0I3iMxGvN78zq7noBgR9nRodCMvc66SaiNKLEapFhFSMWi8i8jBIov7/Nq6VEe+iLWBHE/1HuxMaKMK0jEjvAzI3SKI0I+hFEaMalvd0I5iO2NqKUpt7R2JSa+f7ySEk+A</t>
  </si>
  <si>
    <t>20040</t>
  </si>
  <si>
    <t>B1-PI-I-5218</t>
  </si>
  <si>
    <t>VIB REAR RAD BRG - H</t>
  </si>
  <si>
    <t>-PI-I-5218</t>
  </si>
  <si>
    <t>@@UU@@C@@AA8GAAopSQpjGOcxjIQYx0GOc5zpQpB0IUhCUAQpKEKQk6UoOdAEASBQFASBAEgAACQJAkCVKUlSlAUhSlJABKUgQoCUKQkAAKAoCkJUACFJQlKgAAAAAAAAAAAAAAAAAAAAAAAAAAAAAAAAAAAAUAAAAAAAFAAAAAAAAAAAAAAAAAAAAAAAAAAAAAAAAAAAAAAAAAAAAAAAAAAAAAAAAAAAAAAAABCs5fD5ez0eXpE5P6E7wnN5pCdYnq7JuLq8fk8awWuGGPtso84ej3/hLJXz/3VjuPy9crJUy//z/d99BBGQwoNEpAP/ABTr+vNjs9Ihg2AMFQtnsigV/RT2zL+N3NrTi/s1wbcpEpQQ/nEoCIvzSJtoSSzQt6D0gFiEESJ4J4JbcmRBEwTk0LQLv9E4SIrQ3ncEmvzyomKEKp2S4gttorTVL/QQZpss367JU2oQtXPl7gGEkVPtnw4my0ie8CzLf9VWoBRhzgBpBH+A0CaCFkw7okEoOqUkiNPsE4xxQEhIE55CTb+TABMJrujvW8Oz0IdMqeGUfvscF7huEuFaax0gaomrv6gysEg6cH04dbUuxavvEvGpwIZ0K8glefBhAm15sRB9dCFM/F3+DTZVTLaqKpeDBnpxbomMTj9xs0aNinao7BLpBmQnptzY7LRLN7dxynK8ngwRvfRvGXLjnrBNwCi2z+fEJi7chO7k2TDm+e3w8AZBJr1Hb1+7sz5tbUh1YCeBp+YDqOMSgTKCZhLRL4ncNPEJ4viJsCfASBP8E3AS0E18HywG5Z7gAvidesdYlmcVwglwn1CYlJgSQJ5LqBKBL6kF74bexkE+UCTl8TQf6J8aisSCknBKhOUAMAmEEgS4TzCQJdWRy3CZwTkA74kRHJoDjYcnN9igAr2g</t>
  </si>
  <si>
    <t>20041</t>
  </si>
  <si>
    <t>B1-PI-I-5219</t>
  </si>
  <si>
    <t>SHIFT HP ROTOR</t>
  </si>
  <si>
    <t>-PI-I-5219</t>
  </si>
  <si>
    <t>@@UU@@C@@AA8AAAoiUQpjnQc5znOdBznQc6EIQhCEpShSkoUBIEqSlCFJSkAEgUoClJUBSlASAAAAApSgJUkAFISpSlJSoCkgUpSUpSkAAKAoAEpUkAEKSlSgAAAAAAAAAAAAAAAAAAAAAAAAAAAAAAAAAAAAUAAAAAAAFAAAAAAAAAAAAAAAAAAAAAAAAAAAAAAAAAAAAAAAAAAAAAAAAAAAAAAAAAAAAAAAAAjzfP7On//oR+L0o6qPvUjnR7bYfV3O780lPp7yqleJe+o7/9eG37c2P14ubQsrJ4/t0aa71zHStLTCX/ssJ/wPHwsniQ2d0Zs6TJw1fSTwSP3uk7+eyTLMNPytZa1Kn3Vaiqv3WXcCLJLmxZ+AZBSll6l6lsfRXS5Sr0v+C1l6pMCTm8t4srLDHvR0UXr+FehdKjamjRsskZmDySltdvLKYIywqMH69IaWpgl2iY1rhNFGXYrw4cYv578nVBykT+DkRXItJZU6SKWp6aiyuX80dWTXUsikfpZF3HnFkbsycm/5B51tiveuxoxo7VEYI5R8CMXX4YtgRTzbOXFydZpyXU9SOzcyK6kOtDUjH5mfaG0s81wwdPfu9+9sdvkr0MDCv8SNKNPn39fYYLLvYjUz3Tchy9Dex7bNqzo6Cyt6Zbzi93i19dtq4tWxhI43QcIzOPe/n5Ebbgsjc6U+LcdTdRouuZbcHBkw1N2kaNwavS7CPXcjokcCMyO5iR03Z+FF72o30f2ikc6OMjORv5/8zuLN5wYEd3n0udGz8fYSTWRqRcjXIuIsRi030X0YJFNje4tfBSP8pF5gR2X+o9uJjRTCvEYkdwGdG0RSNKOVFI041Xvl0o65HbHIiqrtfQdqVNvm+sBJPcA=</t>
  </si>
  <si>
    <t>20042</t>
  </si>
  <si>
    <t>B1-PI-I-5220</t>
  </si>
  <si>
    <t>-PI-I-5220</t>
  </si>
  <si>
    <t>@@UU@@C@@AA8sAApDUQpznQc5zoOc50HOg6EIOhKkpSlKDpAlSkpAhCFJQhSgASBSlKSpQFKUAAAAUkAFKSBQEpApSVJUoClJUpSUpUkAAKAoAEpUkAEKShKgAAAAAAAAAAAAAAAAAAAAAAAAAAAAAAAAAAAAUAAAAAAAFAAAAAAAAAAAAAAAAAAAAAAAAAAAAAAAAAAAAAAAAAAAAAAAAAAAAAAAAAAAAAAAAAjyfN69fgf/50eF6EdkjmRz9tcw+n5Pp7klPn+xVSsy79R3v7/C37d/F6sPf2n7qx+Ou7o0fX3r2OyrrRCVfsJ/wN1+m2x/ihl1DLlSY9DdeO5fST7pHkuSfbolknBMVPFay1qeBaVVqKq9csudJFg2KeENkUpZsUu0tUpSr5clS7a6sqpLyTg8t0srFrVU6iLn33sGJVSbEL0qM2eY2LNji/seWWbG5a/e4JgjJCow/rwDK2mKXMe1Mi5dJL3iv4Rd06OwDjIn8nEiuJaSyp1EUtT0VFlcf5I4ZNupZFI/OyLmvMLI3ps6vIP4WvV7rVrvbKNlHDRGGPeGBGLi9uLX0U82XWyYvI9xwtvJwvSjI4+xDhhhbqMefSNKzNcHn1dfsaseDkyVMDhXcbqo0I5PN0dydpgsuetGW03odLVg3WzjRxdNtNtbCuY+26TX1utucG3d1ZiMjrydNVZXX/r4Ubrfsje2Zuui07rcRtW6sswcu/wMWTFU2aRn3h6HKj1YUaiOgjOj48KNb3+RF3nRvo/xFI5kayMxG/m9mZ1MnmBfR9HNncyMvxdpJNJG2i4jTIuEWIw57yLyL8imxq49PQpHspF1fRyP9Rz4WJFMC6RhR8oMyNBFIzo5UUjPiVd7mdHZI+AcaKquTlRp7/dSIST2gA==</t>
  </si>
  <si>
    <t>20043</t>
  </si>
  <si>
    <t>B1-PI-I-5221</t>
  </si>
  <si>
    <t>VIBR.FRONT GEN.ROTOR - Y</t>
  </si>
  <si>
    <t>-PI-I-5221</t>
  </si>
  <si>
    <t>@@UU@@C@@AA8sAApAUUpjHQc5znOY5znOdBzpQhCkpSlKEJUkCUKAhCFJOpIAASBSlKSpQFKUAAAAUkCQJUBQEqUpSkpAoCUgUpSUpUkAAKAoAEpUkAEKSlSgAAAAAAAAAAAAAAAAAAAAAAAAAAAAAAAAAAAAUAAAAAAAFAAAAAAAAAAAAAAAAAAAAAAAAAAAAAAAAAAAAAAAAAAAAAAAAAAAAAAAAAAAAAAAAAju+f2cX3P/9CPyelHvkc6Pb21mH1fL9Xcko+jvqUlMy36z7P68Nf18GL14fBnbimPyZu7or3u/XJVTvNMJbWon/A2PHqZPEhm3hdnSZNTY8ll9JPvkftZJ9umqThmKjw1qrWik3qVpVSVpesqs30VDco/EMYooq3KLaK0lFFKyy/WlVtJLyTq+a0qpwx00VvyUW31kL0LZSM8/DLjZccX/LLKrddfNLYuhSL+r9OEZlzDL1tN/RMi28SbniwYhbr4wcxE/g5UU5VZKqTKiitHppFVOb80ckmmkqiiPHVFnFlH72I6E6ll2/5hYruU7Ditxoxo5KEYI+AXr6MPLwRXAijz3ca7H5XSaeRdyPUi5zdiHLDkbqLtOsa1WewYevx8Hu5MHZupPQ5ltzhRpRt8/SzzawVZrfYjNWdCHT3sOxkuR0WdqVwLNeTtui63vdbZ1dVuUi51xc2fz8SNrW3q2I2dKdFq1t1GavHMuLi4NxdhpMVDhUTBsF96Xwo9d9HQI30Z0fJiRxO1tRb7Ub6P7RRHOjhIzEbM3+ZnUu84L6Pp59DnRl+PspJukakWI3ZFhFSMOi8i8i/Io3N7m3eCiP8oi1fRtf6j24WJFGBaRhR8wMyNJFEaEbUURoxKW9zQjlI7Q5kUpTkqbZSbvg7qRCSe4</t>
  </si>
  <si>
    <t>20044</t>
  </si>
  <si>
    <t>B1-PI-I-5222</t>
  </si>
  <si>
    <t>VIBR.FRONT GEN.BEARING - H</t>
  </si>
  <si>
    <t>-PI-I-5222</t>
  </si>
  <si>
    <t>@@UU@@C@@AA8SAAouSQpjGOdBjnOY5jmOc5znOlCEJQlKEIQhKTpUhCEoQhCUqQpQAASlAAAAoCgKAAClJUlSQKUlAFKSpAEKSoCkKSgAAKAoCkJUACFJQlKgAAAAAAAAAAAAAAAAAAAAAAAAAAAAAAAAAAAAUAAAAAAAFAAAAAAAAAAAAAAAAAAAAAAAAAAAAAAAAAAAAAAAAAAAAAAAAAAAAAAAAAAAAAAAABCq5OP6uz0e0Tl8n9CbgJ1ic3ZNvdXJ9HIsH2tkMcvro+sPT7vvlkuez+6fwsOXnlVKzz//5/R6aL8iPuoxoMUSAf+AC7p8+TuV/mIWaoGCkWrPl/Sa2K/ip+0y+rFZML327BzSkSlBDliUBEWppE2sJJJoQtQesAvIQRIngnglDBBGlMk5PC0C6OidJEbbriStXiiRIoQhblDMtgTgXar11It7PQS2InzS/LVKXAhC3P12QL5dKWbC3SUyDnho5rdIE+O1ugBwgj/AcAnAQsmHYEglB1SkkRw84nEOKAkJAnskJNt1gSEytfyVZ+hD2y0aVva0Ubn76Kd3uYRMIrfHhApEv79sZVCQceHw3y58+vmvYMvuElVwx4UN9CrKJVa38OQCeWQgsnE4sWnG5VbtYNasuyK+nJPwUy2RMgmDp1MtOCVOGjsEokGdCe1Xnx3qhMeqY5U4c1/x/Lr7GuZtrPlox2AlffXVimv+fKJm05CeDt090y61/byiSn8Aaepcw6tdyG7AYoHSzgdRwibQmcE1BMAlsTZODxCeb4CagnvEgT/BLAS+Cduv41neq6QAtideA6xKvEK4QSwT5hMSkwJIE+mygSgS2pBa9/Bp5BPjAk5bE4j/RPhSXBINInBKRPMAFYmEEgSwTyCQJZcI8tgmgE8YG8JERx7wbrDk9X2IICva</t>
  </si>
  <si>
    <t>20045</t>
  </si>
  <si>
    <t>B1-PI-I-5223</t>
  </si>
  <si>
    <t>VIBR.REAR GEN.ROTOR - X</t>
  </si>
  <si>
    <t>-PI-I-5223</t>
  </si>
  <si>
    <t>@@UU@@C@@AA8oAAo6UQpjIQdBzoOc5znOg6EoShKUpSlCEpSBKkAUk6EpSpSlKABIFJUBSgKUAAAKApSVJABSQJUACQJAoCUgUlSEqSkCgKAoAEpUkAEKSlKgAAAAAAAAAAAAAAAAAAAAAAAAAAAAAAAAAAAAUAAAAAAAFAAAAAAAAAAAAAAAAAAAAAAAAAAAAAAAAAAAAAAAAAAAAAAAAAAAAAAAAAAAAAAAAAjyfV7ep4X/+lFnqRxEcqPd867a9f0fZ3ZKfX+KqlY1/3Hf/vxW83gxezD4M79lY/L9+bTp73f2MllXtyErvWE/4G88m6yeNDPvjLoSY9TmvLdgST85HJdJ+WmyTzTFTx2stalTeq1FVsXWXdJFklzZs8QbYpSy+l9LVKUrPdL656zYqTZScPnvLK2I6aLXbK+GOF8tGiXMuXbYoweeVsyVfu24J4rNqMkKjD+vCMTAwS7NMS1xJf49naF+riBxkT+TWita0llTfRS1PVUWVx/ojsSaalkUjyWRd1Mosjdnwse9yD0LbNcTp8PX6uDKjKjsURtx2RhxIx69voxdhRT98/Wa2DPk5HE5mXNxuT1ozsfxQ1wxOajJucwfNvLmi8ZuhzM7Hgvx1PS7K/hRpR8mHFuY2Cy72oyWmqG/u7Wht40bzU4W4uwvlbGSzg4eDV0dN+QjqjXOtjZ/67iNTesjd6E4HQat1uoz268s0YP44XPy4qm3SNO8PU7aPZhR0iOejQju4UdR8faRf7kc5H+IpHKjqkZiN/N78zgyegGBH28uhyoy9ztJJqI3EXI1SLiLEYdGwjYRgkU2ebx6udSPfSL2BHbf6j3YWJFNpeRhR9IMyNJFI0I66KRoxKv7uhGsjtDjRVV241ypq8P4EQknwA==</t>
  </si>
  <si>
    <t>20046</t>
  </si>
  <si>
    <t>B1-PI-I-5224</t>
  </si>
  <si>
    <t>-PI-I-5224</t>
  </si>
  <si>
    <t>@@UU@@C@@AA8oAAo5UQpjHOc6DnOg50IOg6EKQlKUpAhKUISkCUAAlCEJSlKkqAACVJUpSlKUAAAKApIEqAoCQIABSkqApSQASpSUpSkAAKAoAEpUkAEKSlKgAAAAAAAAAAAAAAAAAAAAAAAAAAAAAAAAAAAAUAAAAAAAFAAAAAAAAAAAAAAAAAAAAAAAAAAAAAAAAAAAAAAAAAAAAAAAAAAAAAAAAAAAAAAAAAj1/p92/yv/9SLPWjhI5ke/5V2P2fN9nfkp9XhVUrMv+4/D+/zt+/iye3W8Wwwqy+T7/Bp028N+ayvA0wmG1hP+BuP22mbxoaN0Z9hJm2m48l2JJOWR/F0n46bJPLMlPHay1qVOWrUVWC6y7noskuYbPyDKKUsvpfS1SlKtLqpdUl6Tqee8srfjeRay7CtDLC+WjYmvr5WSMPmlY1X6rXSeeYouZoWjH5emMTqTFLtEyLXEl/6YcYv2uEHGRP5OJFcS0llTeRS1PXUWVx/qjsSaalkUjyWRdv5xZG3OuzfH5h6VsNcK/fwZUZUdiiMEcgxI1uLrdCLsaKejPwuJozeZvNWfi0cb2I0MuB14cUOw3UZ9rcGZZsXDA9F2ru5MWHo5anqcjB1EaUdz062bV22Oy73Iz2m3Do48eplzI5zccDaXazusGvZwdXf1b2m/XI6wyM/9d5Glt2R2uGm30Z0G1qakaLcM4Oru7/QxNjJUy0b6k2+cMb1u2j24kbxHSRpR38iOB3O0i/3o6SP8RSOZHWI0Ebmj4aHBr+kGJH282y5kZ+92kk1EbSLkapFxFiNbZwIwIxSKYd3k1c+kfCkXsSO2/1Hv1mRFMa8jWR9ANCNJFI2UdNFI2cir/n2UcZHZHIiqrs/WfJKm3y+AiEk+IA==</t>
  </si>
  <si>
    <t>20047</t>
  </si>
  <si>
    <t>B1-PI-I-5225</t>
  </si>
  <si>
    <t>VIBR.REAR GEN.BEARING - H</t>
  </si>
  <si>
    <t>-PI-I-5225</t>
  </si>
  <si>
    <t>@@UU@@C@@AA8QAAotSQhjGMY5jHMYxjmMcyDnOhBzoSBCDpShAAHQhB0oSdKUpSkAAJSBAAAAkCQJAlIEAQhAEpSlKUgQBKUgSkCUJSgAAJAkCUJSACEpQlKQAAAAAAAAAAAAAAAAAAAAAAAAAAAAAAAAAAAASAAAAAAAEgAAAAAAAAAAAAAAAAAAAAAAAAAAAAAAAAAAAAAAAAAAAAAAAAAAAAAAAAAAAAAAABDo3u54ujh+Yjz9r7CNsEc4j2dEGfm3vBvJMcCrZN6aYvIHF9/K9s3v/EvmrPR7Xoerg/+/w8UVLjcUVqBNhcBf4AJ9T24NW9xiCzIBXKJUaeH3QSCS9SR8YEvPfrgEvgrrHsdx3YZetnYGaOByDWEOJQRucYBOgYZyFiFh2TDDOF6EhZKISzckION01lEPHCxCglnIhkmgSsCmmi6ho7+fkJYZo70Bx4yIuq8gZK7P8OoBGgykwNBfU48IJQ7EdwCG3OAGgEL6BoEaBknTLKIYdjmd0M3Y9wjsisYHEMI97iINmkBxGks20UafIg+b5rmaDc+WLNcz5LBFgkqBaAJhFG7IJ6RDHdr2tiraafbsxU/cRfKZsD5kHWQU4RFGi5u24QIooMIxZBEgvTSV5MdM1yWyOUncqn5aevdyiLRGty5ME0mOHoEWuGmghq08E9AjS1LXuZDLhjp18uuYO1gtiqBHVAjm+vfEW4XEa+DVK8exRpWiHi2QwYsTalUrK6wX2FJhA5jdEdURqgjGIqESCNY624I7/7EYxH6EMI/IisEUgjFV/KjWo5QAkEc945xFG4JKwEViO2IvpEAIcEeGuIREIkSGI/1n1NIR/GEQkgjrn9EfuUmEMXCEESiO8AFQiwEMIrEeMQwiuYbvViM4I3AM4hmbbYNCZW+jfAQCS6Q=</t>
  </si>
  <si>
    <t>20048</t>
  </si>
  <si>
    <t>B1-PI-I-5231</t>
  </si>
  <si>
    <t>B1-TCS-1311-X11</t>
  </si>
  <si>
    <t>BOX TPC/OPS</t>
  </si>
  <si>
    <t>B1JB10-13311A HAN 6A</t>
  </si>
  <si>
    <t>HARTING Speed OPS</t>
  </si>
  <si>
    <t>-PI-I-5231</t>
  </si>
  <si>
    <t>HAN 6A</t>
  </si>
  <si>
    <t>2024-07-20 / Panek, P.</t>
  </si>
  <si>
    <t>@@UU@@C@@AA8EAAomUQpTGMY5jnOc5jnOc5zqQg6DoUg6UpSpSlHUhCEHAlIAJUBSkqUpQAKUoAAAApKQKUoCVJAlSQJSoCEoApClJQoAAKUBSkoUACVJQlKgAAAAAAAAAAAAAAAAAAAAAAAAAAAAAAAAAAAAUAAAAAAAFAAAAAAAAAAAAAAAAAAAAAAAAAAAAAAAAAAAAAAAAAAAAAAAAAAAAAAAAAAAAAAAABCwfR2uo6BP6E/b4BO/AnpE5eqfD6PmPqwLB9q99n9gfd+PT4J3Pz/vl8OI8xF/x96z/5ff4JUSJSyZEGeaQD/wAebBfi+IYNAGCkW6c0UivjE8sfr+FKxXJW3nZwY5SJSgh8USgIiicie6JIWqDygF8SCRVBRBKGCCJMREUa4ohd2oXxeekLhMlc61Yk6Vssrg8iFLAmULcN9LTBeksrhGamZeQrEnqArPIVMc2fXVib1UTrBZ/lZdAow7AA2gj/AbRNpCyYeASJREEeiQ8fKJyDkgJCQJzSEn2MzpxAUCc72+e3Vq/QSVZGvdex1ujGJjFbF2gcIl7jurL3xIPPiwWZSzi2dInDTsvdziQ0IZxL+irMBv0bXRSRqioTPpvcdOHHRZcO5XG/7c6euJvCdrFo1FdPBc36eoS2QbmlCyrTRnMN8TNkovaNeKZkM2Ki5dROuBvZ53v5+MTPAmO0Sq33dPZDLKzsw70CXacwHScgn7iboJuCYRKxPcOTiU7vrE0CeoSBP8EpnrBMIJuW+y03sHQAFYn04j0iW7BW0ExifEJlUmCSBPrx0iUiVqQVerZpzieyBKCsT3j/ROD13S8JBYUgl0T5QAxCZQSBMgnbEgTJdIO7kEwgnyAfCJER88g2sObw94QAV9oA==</t>
  </si>
  <si>
    <t>20049</t>
  </si>
  <si>
    <t>B1-PI-I-5233</t>
  </si>
  <si>
    <t>B1JB10-13311B HAN 6A</t>
  </si>
  <si>
    <t>-PI-I-5233</t>
  </si>
  <si>
    <t>@@UU@@C@@AA8EAAolSQpTGMY5jHOY5znOg5znUhBzqQhCAAQpSkoUlCEoQlQFJAlIFAQpSgASBQAAAoCAJUBKgJUpSQJSoCEpAlKVJSgAAKUBSkoUACVJQlKgAAAAAAAAAAAAAAAAAAAAAAAAAAAAAAAAAAAAUAAAAAAAFAAAAAAAAAAAAAAAAAAAAAAAAAAAAAAAAAAAAAAAAAAAAAAAAAAAAAAAAAAAAAAAABCu+ztdR6xP6E6OuJzQJ7ROfqn2PZyneuWDvrzM/vD8P06fxne8/98/hxnlIweLm8H/9/wToukUStyoM88gH/gA8uG6LhDDpAw0i2nmikV8Qnkj9vDSsVyVxehnB8cpEpQQ54lARFE5E9kSQtUHkAMAkEiqCiCUMEESSjdiiF0VC/n6qQvEyV7erEnZZVB40KGBNOYLTHiuS6jGShbCazzzMCFYlesC8eMqdzz6asjfJVAtZ+tloFGHgADjBH+A4xOMhZMO6JEoiCPZIeLnE7I5YCQkCeaQk9/M4gJiel9F21r9OoSdf0xLc3dp35+vIJkFbV4wOES/xWrLriQerLdZmLOLpE4aODhv9vhQ0IZxMGirMBPkc9BGzGioTozWd3kvZMN+w7ht/FRviaxLcluoo268dHUJhkGTShTpnoLr4n0a66Z2729imZDNVmx1YETfAq1571OD+fqEzwJsYxKsfybgbGos34dUCUZwOk5BP3E1AmyJcJWJtnJ2VOX3iaBPcJAn+CUz3gTCCacXwxGq7oACsTvYz2iYuAVxAmQTuibCkwSQJ92SkSkStSCr3djazifCBKCsT5j/RPl99pfEgsKQS0T6wAxibAJAmUTtiQJltIOXKJhBO4B84kRH2p2mHN+XMIAK9YA=</t>
  </si>
  <si>
    <t>20050</t>
  </si>
  <si>
    <t>B1-PI-I-5235</t>
  </si>
  <si>
    <t>B1JB10-13311C HAN 6A</t>
  </si>
  <si>
    <t>-PI-I-5235</t>
  </si>
  <si>
    <t>@@UU@@C@@AA8EAAomUQpTGOY5jnOYxzIOc6ToOhCEnSlKUoSlSEpUlJ0nShKgKSpAFKSpSgKUoAAAApSVJUoCQIABKFAUkCEpApKUpQkAAAUBSkoUACVJQlKgAAAAAAAAAAAAAAAAAAAAAAAAAAAAAAAAAAAAUAAAAAAAFAAAAAAAAAAAAAAAAAAAAAAAAAAAAAAAAAAAAAAAAAAAAAAAAAAAAAAAAAAAAAAAABCs+vf5jkE/oT19cTwQJ7ROPmn2fZ3z7rFg8K+Bn+Afn4+XxTv/v/fHw3HlIxcXhl//5fp4qbJFEuLKgzzyAf+ADy24osELdAFtIuA80Uiv6iWR6eGlYqyTVu87RBplIlKCHxxKAiJUSJ7Ykhb0HF+wBaJBMvwUwShggiSUdSKIXcvC8XqpC+TJX92oSddd6DGhQwJmC7HiTDii5C+aJ550kYkL4l/SBWXlyFT6oz3rnCSoBb3krwAUYOwAGsEf4DWJrIWTD0RIlEQR7JDq4xO2OSAkJAnmkJPdzOMCYnofPZtej0iSvEaelofm6vU9cbAmwK4V1gdoSzVhWXXEg5MlleYr1conao+XBq72pDZQziYs9WYCe+86g0SKRKqeDu6+j3LMNZ8509FHWE0id23Z0lHTq6FHMJbING0hTnnslmETTOvq7tsy4y5cdOBE6wGm9mow/z9AmaBOfktlcJfu3qN4MstzD8cO5ATgac4HKb4nSE2wTbEtEqE6B3O2p9PvE0Ce4SBP8EpntAloJox/DGc+zkACoT7bj2iY+wK4wTYE4BMqkwSQJ9+xSJSJUpBe93ybfOE+ECUFQm8f6Jve/AYRIKykEwCfUAFwmUEgTIJ3hIEyYCDv5BLQTgA7IkRH2QG+w5uH8RABX4g=</t>
  </si>
  <si>
    <t>20051</t>
  </si>
  <si>
    <t>B1-PI-I-5236</t>
  </si>
  <si>
    <t>B1-TCS-1311-X12</t>
  </si>
  <si>
    <t>PUSH-BUTTON CONTROL ROOM</t>
  </si>
  <si>
    <t>++Control room</t>
  </si>
  <si>
    <t>-PI-I-5236</t>
  </si>
  <si>
    <t>@@UU@@C@@AA8MAAouSQpjGOY5jnOY5zmOdJ0HQpBzpQhCEHAlKUgQpKlHQdCAIUhSlKSBCQAUBQAAAACVJAlAEqUAClISBJ1KSpQEKQoAAKAoCkJUACFJQlKgAAAAAAAAAAAAAAAAAAAAAAAAAAAAAAAAAAAAUAAAAAAAFAAAAAAAAAAAAAAAAAAAAAAAAAAAAAAAAAAAAAAAAAAAAAAAAAAAAAAAAAAAAAAAABCr5tXaejqE/oTxCc8Cdgnr7Zvj6/J5frvrB5/xieGPt6LXmDn9vplku+z+6vuxHq1yr6PR5//iXpiCuaOfGgzbMgH/gA/Kvpi8hrhDBmAv4Rbx7IoFfUJrjp/ChYpkLZ+rNBuykSlBD3YlAREp5E2cSQk8Bag1gF5CCJE8E8EvDJkQRM6IKPBFELSL0ZZwtzEqqnpNG8JRdpulKE7C5AlZhvVpgLELW3E2WV2wlU1oQtWTcAul71xFtomWi43SW3aBaddVwCerxgBqBH+A1CaiFkw7wkSiIOuElGr8xOIccBISBP0kJN38mACYT9m9s8iHVKgjNu5dGjft4BMArdTfA4BK9y6MrgkHDhrqvWXOD2icWnHyZEJIVCXODBjA092Y6pTocPyZ8Xirqpt/N88pfvctT7WgTOJsZ8WyU7s027c26e0TFILeLMhazT3qq74mTizbEqb9VO/ZPjK/ixUUgm0B3rk2iur+fqEy5aJhMmHLncYl6eY3O+acsje49rB4IduAn5OWYau8BQdZxiUibAJuCYhLYmg4uETye8TOJ7hIE/wTwgl8Ez4PhgN+vqACkTswnYJXpFcQJYJ9AmNSYEkCfZZQJQJSpBa93j2sgnwgScpE4z/RPfUXBILZOCVCeUAMAmIEgSwT6RIEsuEHNYJwgnKBpEiI+XmDlYcn3+YUAV7g</t>
  </si>
  <si>
    <t>20052</t>
  </si>
  <si>
    <t>B1-PI-I-5237</t>
  </si>
  <si>
    <t>PUSH-BUTTON STG TRIP - MACHINE HALL</t>
  </si>
  <si>
    <t>-PI-I-5237</t>
  </si>
  <si>
    <t>@@UU@@C@@AA8iAAo9SQhimOYxjHOY5jmMg5kIQg5zpQlB0IOlCEpQlCEHOhKEgShIEpSBKUpAlIAASACUpSlKUJSBIEoAA6UgSBSkKQoAAKAoCkJUACFJQlKgAAAAAAAAAAAAAAAAAAAAAAAAAAAAAAAAAAAASAAAAAAAEgAAAAAAAAAAAAAAAAAAAAAAAAAAAAAAAAAAAAAAAAAAAAAAAAAAAAAAAAAAAAAAABDo8G/7Og5RHm4P8EbYjiYRziM/q6Ib3N4PH5akmPWomTenjj9AV/Xieuf6f7N7qjj+T0fH2aH69Xt4o2KYNavoFE7gL8gBg+d3kahBnZBexAU1CVBstGJLjEZ25PhGk0jpL9k7GN3Hdhlxs7AzPY5FqiHSgyVpjOAXEDDOQYgw7JhhnRFY0GSjEm7FkAkiH6q5DYxiITxvamiQRJktuwKr1yhFJUgml03hpPC4xMoqEDpTQ6gE5nJFpUEbJTq2RRglaxyzgQl3AAzAhf0GYRmGSdMtYQzszHMyHbN8xG+KtgcQwj6OIiyX6QIhH7rk613BlQcryDdPG+pk15Lwi8JKcWUDYEXN2cT7Ihjarquz/xft7n1EV8Ga7m0u3qIHQZdQRThns0wHy29SM7jyyIMG9Lu6fYvW9aa/w/zdebD2ZtoRKIwX7NbFklx4o+gRRfiCXQ1UEurC/bpvCMljR2slHVre+XKqrlpgRsga1NyGFpv77wjR0XES06OEKxE8IuGzYXbxvFgo67LEwbfWcVrCBzHaEa4jGCOoIrESCNc4N8R3/uIxCPsIYR/wjaBF0EYqfxSa9HKAEgjnvHOIo3hJVgioR3RGgkRAhwR5aoxEYiRIYtfbcwWCPwwiBII7J/4j7zE4hiUgCJhHiACkRWCGEVCO+IYRVOMeGoRmBHeAyiGZt3yBwplZ7/OgECS6QA==</t>
  </si>
  <si>
    <t>20053</t>
  </si>
  <si>
    <t>B1-PI-I-5241</t>
  </si>
  <si>
    <t>2 x 2.5  mm²</t>
  </si>
  <si>
    <t>B1-TCS-1311-X21</t>
  </si>
  <si>
    <t>-PI-I-5241</t>
  </si>
  <si>
    <t>-X21</t>
  </si>
  <si>
    <t>@@UU@@C@@AA7oAAoaUQpTHOY5znOY5jHOc5zoQhCEoShKUISlKToQk50pSpCgAUpSFKAhIAAUpSgAABAEKUpSgKUBCVJApKVAShSkpQAAAKAoCkJUACFJQlKgAAAAAAAAAAAAAAAAAAAAAAAAAAAAAAAAAAAAUAAAAAAAFAAAAAAAAAAAAAAAAAAAAAAAAAAAAAAAAAAAAAAAAAAAAAAAAAAAAAAAAAAAAAAAABCq8nx9fQJyfX/Qm+CdQnn65+Dp4/o41g5Xmhj6uW1yB9p93s8vpv/358+M5vRKqfL9n/y+/8JRgiUoxoMa0gH/gA1qsUYBDDrgYKxb9/9ZWxXmE80fvQv5XJK87KDblIlKCHPEoCIlfkTsEkLbg8wBgEgkUwUQS15zZkEXZv5xERSWoWkWPL6t20F2glpe1gEneW7b7sqULTC5kjDZUlZbzRjK4WjPRluOFCFnd7IFwsKHP39jDTPG1E6RGiC5nvXwKLLegANQI/wGoTSQsmGwSJREHTKQ6v0E8KZISQkCeiQk97NYBMTnbKu3z7WX9hJzuEbszXp7frsEsFbw6gOHgEq03xloEg9WPDey3ei5o9gnxZqKzgQmhlEv14wIl4zgy0HR4aRNzg29Oe1huyPkNyfcEyibxixZ+1T2NvrEwyTd4tpC3tUbNVYnDO93MMrDhN6u1dBMi2o3J7X8/MJkgSzfrEprv2aEq7FWDvQ7MCU5AOk4RN8TXBNYSsSkTbPh8Qnz+4TYE9okCf4JuAmEE2K/fWdmr1gBSJ1WHUJVviuMExCfKJkUmCSBPpxWhLQlKkFv26NnMJ74EoKRNR/onuul4SC4UAl0TyABWJjBIExCcQkCYrxHHiE1AnEBpEiI45BpYcv48gIqL8A=</t>
  </si>
  <si>
    <t>20054</t>
  </si>
  <si>
    <t>B1-PI-I-5243</t>
  </si>
  <si>
    <t>-PI-I-5243</t>
  </si>
  <si>
    <t>@@UU@@C@@AA7oAAoUSQpjGOY5kGOY5jHOZB0IQdIEJQdKTpSgAEJSk50pQBAEpUoCkpAhQAAUpSgAABAEqSlSgKApCQJApKVAUhSkpQAAAKAoCkJUACFJQlKgAAAAAAAAAAAAAAAAAAAAAAAAAAAAAAAAAAAAUAAAAAAAFAAAAAAAAAAAAAAAAAAAAAAAAAAAAAAAAAAAAAAAAAAAAAAAAAAAAAAAAAAAAAAAABCs+n5urnE5Pt/oTugnSJ6+qbv9HH9XGsHmeWGPs81HIHnPR7/T+tf9+vaynL7JWTfd5//9H3/hRFkTyi9BjckA/8AG5jyxYIW5wLLha6/0lgFeUT1R+86/lhkrzMoN6UiUoIc0SgIiVcia4SQuCD1AGISCRTBPBLPNMzEEVTJnpKIWkWPT7d2gKpyWp0YhJsNG/LAhOwuZMRjusS0pKFpsyIUbWC+pxoQs2xvAYSsnc25Rc1kqAXB3MNQE+PgADWCP8BrE1ELJhxiRKIg6JSHV+YmtMsJISBPZISbTs2gTCczi0c2ftfsJNNTxRLTnnowxp91wlwrWPgA4u+Jj14rBm4BIPbfRdXs7HPVwU+8TVtUXHeQmQzCYrrwIlwnDmnOfAJfRX89WbFVh4YwG7VRpEyCdkuov7FN2PqEtkmj6NtDBtz7dlomm2evtWynOI0W0VAl60Rnm7f8+QS+BLuzaJTbXdvpZu2YtMPXgSm8DoPCJvibgJtiWiUidg8GoTy/ETOJ8BIE/wTQCYwTPb8rTes9wAUidNx0iWd0VygmQTxiXqTAkgT68lAlAlKkGD4cHXzCfKBJykTWf6J8ajYEgwk4JUJ5QAtEygkCZBPEJAmTYI8mQTWCeMDUJERxpqYdn8eQEVF6w</t>
  </si>
  <si>
    <t>20055</t>
  </si>
  <si>
    <t>B1-PI-I-5245</t>
  </si>
  <si>
    <t>-PI-I-5245</t>
  </si>
  <si>
    <t>@@UU@@C@@AA7oAAoVSQpjGMY5znMY5jmOc6DnOhCUISg6UqSlSUoAk51JSpAFKSpIEpAhQAAUpSgAABAEqUpSgJABClIApKVAUhSkpQAAAKAoCkJUACFJQlKgAAAAAAAAAAAAAAAAAAAAAAAAAAAAAAAAAAAAUAAAAAAAFAAAAAAAAAAAAAAAAAAAAAAAAAAAAAAAAAAAAAAAAAAAAAAAAAAAAAAAAAAAAAAAABCs+fxdXOJx/X/QnACdIno6pu/0cX0cSweZ5IY+rzUcYfafd7Px/XD/foz5Dk9MrJt0//7Pv/CeK4nlGRBjRIB/4ANFl0ViGLSBZaLhw/pKkV5BOWP3nXz3pK8zKDelIlKCHkiUBESwyJsYkhaYOUArEgkVQTwSz+qZmIIwUJy3iiFvCx+V6cL0xLcd/eEmqo7kqUJ2F2ksx4UxFJXchNnny3YYvuJCFowZAMBShO5tFEY2smoBae3ei+BPb3gA2Aj/AbBNZCyYcQkSiIOiUh1/mJsTJCSEgT0yEm7Oa0CYTma9+Obb/YSUqSNWmrV68QmIVwDrA+OvgEsl36xm+ESD1XW4cmDnvd32CcPizxRccCE6GcSunHmAibwk/h2qDnnqEl48unRtYr948fgiqftCZhNRddn7FXX3eoS2Sas24hTuT7dlonDNg7OKWM4TTbRfBMq0RvTfB/PkEywJj1WiVW4cfcSzdsr7cO5ATQNWUDoPAJ3RNIJoEtEqE3j4tYnl9wm2J7RIE/wTfBMQJt2++07FnrACoTpxnSJZwCuQEuE+UTKpMCSBPpuoEoEqUgp9ve3NoT3wJOVCbD/RPdfMAkF4nBL4nlAC0TICQJcJ8wkCXYCPJcJsBPkA1iREcUBrYc3n4wRUXrA=</t>
  </si>
  <si>
    <t>20056</t>
  </si>
  <si>
    <t>B1-PRP-13701-C4001</t>
  </si>
  <si>
    <t>B1-TCS-1301B-XD53</t>
  </si>
  <si>
    <t>B1-PRP-13701-XC7</t>
  </si>
  <si>
    <t>BOX OF GEN.PROTECTIONS</t>
  </si>
  <si>
    <t>-XC7</t>
  </si>
  <si>
    <t>-XD53</t>
  </si>
  <si>
    <t>@@UU@@C@@AA9IAApVUQpTGMdBzHOcxznMY50HQdB0oQpSEpSlSkqQpKUnQdSAAUBSVKUpSQAUoCgAUBQFKABIFIUpSUJUgClJSBSVKQBIEqApSlIUACVJQlKgAAAAAAAAAAAAAAAAAAAAAAAAAAAAAAAAAAAAUAAAAAAAFAAAAAAAAAAAAAAAAAAAAAAAAAAAAAAAAAAAAAAAAAAAAAAAAAAAAAAAAAAAAAAAABCxfJs6TnE+j7v5E5uEE84nT9/7Uebuf13j5zIsd9eU5KPrDk8PRnnf/P+/F4LTToli/D6u//8pcksUiUq7UGe3IB/4AOpZ40Is0gYcYtZVolUK8omWP1+ylY+2Qvka4PxlIlKDwEmmJxNYZRO6RPUJI8MDTICSu1BzAWCQJIpgoglDBBEmUQUdeJQtIvLz0BISDmgDUJAF69TE2lDOE8lmCtIQvHiQlonuVCSlVaYLilyob/kscBOkFtvX81F/gADYCP7hsE2ELJhyiRKIg1wko4vyE4htgJCQJ45CT6tgEhP0cGnd3BOtOrNEvXQ3N859eMTGK4F7QGo9oTDwzWXYEg47sVlfHnrwcPQJ28Wzs8c9sTDZlx4pGPVmEvaqjWZ+3f97aQqIqNVEEZaPLevdUS0Te29c9GDy7x1MFOijpEmhdMKN3d3tKGOwSWi6tT2LrqYLrcdN+sE64F08N/rfx3ROxAmXd4LRMV3FVh9kPNwYdyG2BKug2CR2cgmoEx26RMoncrE4Cri1iR8PpErE9AkCf4JvgloJfyerIYN+DnAC8Jj8/a+WZMSygVzXAlokhLlJgmSYJ80qRKRLykFVXofc1ZxPVAlBtCaz/RPTfrMAkF9pBKxJ/GAFQloJAmUTuiQJlrIPiyie2CfAIe/Ed6Qe6w5uT6QQRX1g</t>
  </si>
  <si>
    <t>20057</t>
  </si>
  <si>
    <t>B1-PRP-13701-C4002</t>
  </si>
  <si>
    <t>@@UU@@C@@AA9IAApVUQhTGMdBzHOc5znMc50IQhCEKQpSUISlSlKQpKUIQdSAAUBCgKUpSQAUoCgAUBQAKUBSlIAlSkKUkClJSBKVKQoClJApSlIUACVJQlKgAAAAAAAAAAAAAAAAAAAAAAAAAAAAAAAAAAAAUAAAAAAAFAAAAAAAAAAAAAAAAAAAAAAAAAAAAAAAAAAAAAAAAAAAAAAAAAAAAAAAAAAAAAAAABCxfDq6zpE+XvfyJ3+EE8onX9nkq/bi/runyGVY+leg56vnDn+7q00v+L+/B9txtbE4vvu+r//o+vnrySVTh0INK5Af+AD08nhQjJtgYcotpZszYK9Al0fnz1rHekXxtsH4TJMwQ1RMdBDCzNM8lN0TaoNcgSga0HfAxiQJJXBVBMMEESE1dmJhaxejpqCRIO/AG4JF69JXMtaGkJWmXHgtSEKzwITsU2bBJmy4zlThzIb3jxuApYC3a1/RVf7AAagR/cNQmohZYcwkTEQccJMcn4icg3QEiQJ4ZEpv4wJE/JwbW3sicFLNET6iGzvHTx5BMgrgXtgbh64mHhos9oSDlz4sdvLptwcPUJ3MWr2OWmuJhx5smKTJuaBO37mT9Mt+a795CojUbjOtXXviZhN2vjph07ZtW1Z6usSiGWgXV7Gvt7KGTGJr61WvophU3tGiyCs39Gay3CCcAGmmK3f/jmE7MCZ8wmC7j9XBZ2n9Y7GDahzQJe6jkEj1vIJugmW7aEuE4rROAs5OMSPe84lonmEgT/BN4EuBL+X0ZTBvQdIAXhMnl4vioUEx1CujOCXCSJnUoCZaAnxzWJWJeUgss8z3NzSJ6IEqNYTUf6J579pgEgvtYJaJT4AAsEuBIEzCcwkCZrSD38wnsgnuiHNEd32g9th08/zAgivpAA==</t>
  </si>
  <si>
    <t>20058</t>
  </si>
  <si>
    <t>B1-PRP-13701-C4010</t>
  </si>
  <si>
    <t>B1-TCS-1301C-XD55</t>
  </si>
  <si>
    <t>B1-PRP-13701-XS1</t>
  </si>
  <si>
    <t>-XS1</t>
  </si>
  <si>
    <t>-XD55</t>
  </si>
  <si>
    <t>@@UU@@C@@AA9IAApWUQpTGMc5zHOYyDnMc6EIQhB0nAlCUpQlCVIUlKVIOdKkgUACVJUpKlAApSgAUACgJABSgIUlSlJQhSkpSpSlIQpIFKApSlIUACVJQlKgAAAAAAAAAAAAAAAAAAAAAAAAAAAAAAAAAAAAUAAAAAAAFAAAAAAAAAAAAAAAAAAAAAAAAAAAAAAAAAAAAAAAAAAAAAAAAAAAAAAAAAAAAAAAABCs8GroOYT5vF/InJ7QJ6BOj6/2o/X2/6+E+UxrH0L9pyUeEOLj59eeD8f78v2XG3sys5Iwf/4fp4qaZFEuPKgz2ZAP/ABot/BCLdwCywWsq2pVCvjEyRy8VKx4pAH5NcHklIlKCGiJQERK6RPOJxz8YwwwVTAkBfg+4C0SBJFMFEEvNJkQRNSVO/EoWCoXj5pqSEg++AOoJF69TE2lDYCeTHhrSELxoQltT26hJSqzGUodu5Dp2NetE6gW6/g16MHUADUCP7hqE1ELJhyCRKIg4YSUafIJpHLASEgTzSEn1rQJCfm4dvlE68qSOluoU7XT5tNolorUvbAznAJZ2ZrLfEg7t1ltfLmrw9rnExdzsdju0bAmK3Jpska2YTbq09LW8/DZFeBDCR2zQ8M/PVVvCZRN3LfnboM+CeijoEmhjmGem7Y0biErbBN6jYy96xTrZpU5jRr3VV4gTEBLFf7+/s/x3xPZgSnLFwmK73KMXAG7XtQ2QGGBq5zuCRwbwm4Ca2TaEyCcNYnVKtWkSPf9QlYnpEgT/BNAJcCYMfrxmHRB+gAXhNb0dr45kxLaBXNlBLhJCZVJgmOYJ8kqRKRLykFVXpezn1xPXAlBfE0n+ierBWYRIMDSCViT8AAVCXAkCZBO8JAmSsg+DIJvAnvCHuxHxahM31fOCCK+wA==</t>
  </si>
  <si>
    <t>20059</t>
  </si>
  <si>
    <t>B1-PRP-13701-C4011</t>
  </si>
  <si>
    <t>@@UU@@C@@AA9IAApZSQpTGMc5zGOcyDmOdB0oQg6FHQhB0qUhKEgShIEIQdKlAApSVKApKlAUoCgAUBQFKABQEoAlSlJQhSkqSpSlIQAAFJApSlIUACVJQlKgAAAAAAAAAAAAAAAAAAAAAAAAAAAAAAAAAAAAUAAAAAAAFAAAAAAAAAAAAAAAAAAAAAAAAAAAAAAAAAAAAAAAAAAAAAAAAAAAAAAAAAAAAAAAABCxeHV1nSJ8/j/kTn7oJ6BOv7PPR+3F/XxHzGNY+tfuOej6g5ebqzTwfn/f4/bkNrYli5/p8X/y8U5YpEpc2VBnsSAf+ADRb+SEW5wMOsLWVbMqhXyCXR0ctKx45C/o1weWUiUoIaIlAREskie2JzTDyRAEVTAkBfg+8C0SBJFMFEEr3mmzIIoGVXbiULeF5umhGQkH4QBpEi+t+/VFDUh2Qndjv1pCF40IS2Z9zPeEnOd7MZilz5UN61sJUguW6/g2KcHaADUCP7hqE1ELJhuEiURBxwko5PKJyDlgJCQJ5pCT9q0CQn6tmfoE7cqSNGlCna3unVaJaK1LxAbZ3RMXemsuASDfyYtOtZ0ZrMPe6hMXfr4Pco7ImG27DBbwa4m1721o1+H3dXHhrE4i0reOiqqnfE1xNPfvzz7puYJ7tHWJNDDMKMG3n3vYQlRhE2d3NlwqezllRlMu5dVYCWAW2X9/N/HgE4IEyXCWXdqzTwO5Xsw4oCimQ1S6jUJHc84mcEtu2RMYnHYJpKtXIJHweoSsT0iQJ/gmgEyAmDH68ZZog6QAvCa3o4fkmTEtoFdfKCZBJCZVJgmOYJ8sqRKRLykFVXpeHbzCeuBKC+Jxn+ierBWWCQYGkErEn4QAqEyAkCXCeASBLqyD4bhOEE98Q9uI+OQamHX5foBBFewA</t>
  </si>
  <si>
    <t>20060</t>
  </si>
  <si>
    <t>B1-PRP-13701-C4012</t>
  </si>
  <si>
    <t>-C4012</t>
  </si>
  <si>
    <t>@@UU@@C@@AA9IAApbSQpTGMc5zmMcyTnMc6EIOhCEnShSAJQpCUKShCkIOdSkgApClAUpSgKAoCgAUBQAJABSgIAlSlJQhSkqSpSlIQAAFJApSlIUACVJQlKgAAAAAAAAAAAAAAAAAAAAAAAAAAAAAAAAAAAAUAAAAAAAFAAAAAAAAAAAAAAAAAAAAAAAAAAAAAAAAAAAAAAAAAAAAAAAAAAAAAAAAAAAAAAAABCxfHq7DqE+jx/yJ0eAE9AnZ9nno/bj/r5D5zGsfUv3HRR4g5ufr1p4Pz/v8ftuNnYli6Lpf/4vr5qbZFEufMgzpkA/8AGi38kIt2gLLRcJVnlUK+QTJHTzUrHjwzF/Rrg8spEpQQ0xKAiJXSJ7YnPNPIhFUwJAX4PvA7YkCSKYKIJeaTIgiYSp34lC1C8/VQjISD8LJAbokX7+AvSobyF7YCpacmOdaQhfvRoQnlnRs3hIvZjMVBs15UNy1sJVAuW/g16L+6AGoEf3DUJqIWTDkEiURByQko0+UTSN0BISBPNISfetAkJ+rXs9InsypI0bqFOfb6tNolorUvtgbZ7QmLhmsu+JB4bsVuHpzYa+LrEs9zi7/ho1xLLclkFuUTOeDg08GPPx4cCFZHEaHjnmqq3hMwm5bfni0G3gnoo7BJoY5hRs59G0hLFYJvUa12ixTdyypynvZslWGwEsA7s8WDe1/45RN+BMtwll3sV92/sQ1wG4EDTh6zSJG/5xNoEtx5xMYnHWJulWnkEj4PUJhE9IkCf4J3AS4EwY/XjK+5B1ABeE7fo4flmTEtoFc2UEuEkJlUmCY5gnzSpEpEvKQVVel4dvWE9cCUF8TkP9E9WDCViQYGkEwiT+IAKhLgSBMgnKJAmTCQfDkE7wJ74h7sRy8AamHW5vpBBFe0A=</t>
  </si>
  <si>
    <t>20061</t>
  </si>
  <si>
    <t>B1-PRP-13701-C4013</t>
  </si>
  <si>
    <t>B1-TCS-1301B-XD43</t>
  </si>
  <si>
    <t>-C4013</t>
  </si>
  <si>
    <t>-XD43</t>
  </si>
  <si>
    <t>@@UU@@C@@AA9IAApaSQpTHMZJzGOc5znOY50JOg50IOBKlJSlKlKQBJ0pQc6EgApQFKABKQKApSgAUACgAQBQFAOpQEoSpIFJSpSVKQpSlJApSlIUACVJQlKgAAAAAAAAAAAAAAAAAAAAAAAAAAAAAAAAAAAAUAAAAAAAFAAAAAAAAAAAAAAAAAAAAAAAAAAAAAAAAAAAAAAAAAAAAAAAAAAAAAAAAAAAAAAAABCv+DZ0nOJ8/1/yJ9vECekTp+z0Uft3f68J8xiWPpXxbt1zlDdzZuidf4f35fFaaM8r/j5eX/4+rdRgkUSstQZ55AP/ABqw+ZCMOkC/iFrKc8qRXmEyR+W64sWyF87XB90pEpQQ0RKAiJZJE9AnjmnMhFMwJAdWDyAYBIEkXIKIJYJMiCJuOJ09qJQtQvNz0DISEPIQBpEiqq5E24BvBdKMmOdaQhUQvmQi/PPSJbVlMpSFdzIhq888DeKKhCiBLbte9RX7QAbQR/cNom0hZMNokSiIOOElGzyibBtgJCQJ98hJ9jABIT8WVmjTvidmdWWJddDPwHP3sImEVsXuAae2Je4prLtiQd+2/gr5N6uzi6BNd/Zd786swlFN/FgvSMGi0TXxS97gso18NdSFhHe4WVFHtiZRNVndnn4DPdnmo6RJoYphRv5+DQhfvCStx1qdfHjuQfBp05cdV4E7IF/NGCzf/j3xO1AluQSy3jr/TVd60OGA9wP1kNXQbRI930CcIJhyb4mMTjrE7BTt2CR8XrErE9QkCf4JqBMgJdxezEWaoPzACoTD6dfyTJiYKBXLaCZBJCWqTBMUwT5ZXBLglSkFNPqdenMJ7IEoOqJsP9E9d2ssEgutwErEn4QApEyAkCYxPhEgTHWQeDGJ3ATkEOSI+NNrDl3fQCCK9QA=</t>
  </si>
  <si>
    <t>20062</t>
  </si>
  <si>
    <t>B1-PRP-13701-C4014</t>
  </si>
  <si>
    <t>-C4014</t>
  </si>
  <si>
    <t>@@UU@@C@@AA9IAApYSQpTHMc5zHMY5znOY50KOk50IQlKgJShSUgQhCEoSdCEgApQFKABSVAUpSgAUACgAUlQFAOpIEoSpIFJSpSVKQpSlJApSlIUACVJQlKgAAAAAAAAAAAAAAAAAAAAAAAAAAAAAAAAAAAAUAAAAAAAFAAAAAAAAAAAAAAAAAAAAAAAAAAAAAAAAAAAAAAAAAAAAAAAAAAAAAAAAAAAAAAAABCs+HX0nOJ8/2fyJ9u+CekTp8Poo/buf13z5jGsfUvi2bLn0hs5s/ROr8P78vitNOiVnj8Gb//B9ey5ikUSrzIM70gH/gA3cXmQjFqAsxi1FOiVIrzCZY/LZcWPDIXztUH3SkSlBDREoCIllkT1CeOaaCIWmYEwL0HkAwiQJIuQUQShggiQSo3olC3BebnoCQkOSAPIQBqEi9e2rsqGkDaCeXJZWkIXSDzIRVOWiFpEpzFpSGVDd89djWUUguW9fz0VbXtgByAj+4cgnIQsmHMJEoiDuwko1+UTWNsBISBPvkJPsYgJCfi4q9OrSJ2Z3c92U+uhPq7Zz8eMTGK1rwgbe8JZvzWXuCQd7NZhq5dqrBv9AnFZrv96d3OJRTZjw1yMOq0Tt6uDgv1bnDwV1IWEce6yoo7ImcTrW4p6Ns0X55KOkSaGOYUdW3b0oWViStyVKdfJkuQe9qtx04ATeArzRZV3dP8e6J2oEtyiV27mD9N2/7UOOA7QQNP69ByiR2/QJuAmLLpEyCa8AnYKeXkEj4PWJUJ6hIE/wTrAmUEv4/ZjMG7B+YAXRMXp4vkmTEw0Cua0EyiSEtUmCY5gnyyuCXBLqkFNPqeLVnE9kCUF4TWf6J679RgEgvtwEqEn8QAUiZQSBMgnviQJkqIO/kE4QTlEOOI+PuByMOfZ9AIIr1A=</t>
  </si>
  <si>
    <t>20063</t>
  </si>
  <si>
    <t>B1-PRP-13701-C4024</t>
  </si>
  <si>
    <t>B1-PRP-13701-XS4</t>
  </si>
  <si>
    <t>-C4024</t>
  </si>
  <si>
    <t>@@UU@@C@@AA9KAApaSQpTGMc5zHOc5zmMc5zpOdB0JQpKUqShQFJUhKEHQdSVAUkAFAUpSQKUACgAUoAAKSpSlIUpSkJUgClJSBSVJQBQFJApSlIUACVJQlKgAAAAAAAAAAAAAAAAAAAAAAAAAAAAAAAAAAAAUAAAAAAAFAAAAAAAAAAAAAAAAAAAAAAAAAAAAAAAAAAAAAAAAAAAAAAAAAAAAAAAAAAAAAAAABCw/Dt6TnE+X7f5E5vaBPOJ0/d5qP24v67+P5CFj6V5Tko+cOTw9Ged78/78X32mrqyw/h4PB//0fVyU45FEsGZBnpkA/8AG9k8aEZNYGGwWsq1SqFeUTLHl+ykCM8hfI1wfjKRKUENESgIiVsiesTwzGmQEtKELdg5gMQkCSKoKIJbvZmzIIoCVXaiUAXBeXnoCQkHNAHWEi5RcmDSh1Q00ZbcF9IQumU8SE7tG4UrcEuSMpSFiHX8mFrJ0iGGBLbt7RRX64AbQR/cNom0lJYIbRIlEQbISUcf5CcY5YCQkCeOQk+1iAkJ+jf1bmoTfnVmiXrIadRz8eMTGK314gNZ2xMHc7dCz9gSD2c2KrHf7ui/g4LnQJxYuGjuz0CYMVmPDIx68wlsT3cF/T3L1xCsjYe7UzvVVdgSwTdz8U9FhqvTzUdIk0LJhRbo3NKGHAJnnZWpvWWVQaLcdNYJmAv5YwXuv/HeE7MCe3bYJgt2X4/XrV6IckBvhA3Og4xI3/MJrBMVuoTIJxVidgq49gke96RKxPQJAn+CbwJaCXsnqyF/eg8oAXBMfn4PimTExUCubKCWiSEyqTBMkwT45UiUiXFIKqvQ8GvOJ6oEoLomw/0T03qy+JBeaQSsSfwABUJaCQJYJ7gkCWVkHv2CcAJ3hDhiO/whtYc/1/MiCK9Q</t>
  </si>
  <si>
    <t>20064</t>
  </si>
  <si>
    <t>B1-PRP-13701-C4025</t>
  </si>
  <si>
    <t>-C4025</t>
  </si>
  <si>
    <t>@@UU@@C@@AA9IAApXSQpTGMdBzHOdBzmOc5zoSc6EIQdKkJSgCUqUdKEpOdBwAAoAEKABKQKUoCgAUBQAKAhSgIUpKkoUkClJSBSVKQpQFKApSlIUACVJQlKgAAAAAAAAAAAAAAAAAAAAAAAAAAAAAAAAAAAAUAAAAAAAFAAAAAAAAAAAAAAAAAAAAAAAAAAAAAAAAAAAAAAAAAAAAAAAAAAAAAAAAAAAAAAAABCveLX1nSJ8v1/yJ5veBPUJ1+T9qP18H9eM+QwLH0L5Tno+cOfo6sk7f4f35/swmbcle+3m5v/5vp56b8iiV3Ggz7MgH/gA4MHoQjBugXrBayrNKoV8omKPy+qlY8khfS1wfdKRKUENESgIiWGRPeE6JjTICWcghYTag8wG2JAkiqCiCUMEESCVHFEoWkXo6aAkJBv9qQG8JG1tVRMGpDKE7MF24kIWjc86E5TzYy0JK1NDCUhhQ0em81k6QXDa2slFu/wgBrBH9w1iayFkw2CRKIg8MJKNX3iahxQEhIE9EhJ9u+BIT8W5mz5hO5OrJEtCGbKdPhviXxW4vGBuneEu6ZrLiEg2Yr23XsyV3NPUJ4L2nTx7KNwS9R+mDFOy/Mso38onTpyUfndy6rltC6RyHAyqpp4hMYmjNrnn3y3bnlo6xJoX5hRnzcG6heuiYp2Vqe5ZZVBy4b9NYJ3QLmKLtvi/jlE7sCWcPcwiXsWy7o4Lm5DZAd4IGrqNgke72xN4E28WcTAJqrE4Srk1iR8HsErE9YkCf4JoBMIJbwe3AXNEHSAFoS/6u/8UyYm3QK48QJhEkJiUmCYJgnxypEpEtKQVVet7+7kE9sCUG0JqP9E9lusuCQW2kErEn4wAqEwgkCWCcokCWVkHisE4wT3xDjiPhgORhx8/zAgivYA=</t>
  </si>
  <si>
    <t>20065</t>
  </si>
  <si>
    <t>B1-PS-13102A-C4001</t>
  </si>
  <si>
    <t>PRESSURE CONTROL OIL - PUMP 1</t>
  </si>
  <si>
    <t>@@UU@@C@@ABA4AAsnUQpjGOYxzGQY5jmOc50oQg4EoQlSUIQhSVIAhSEHUhKAKSlAFAUlKQAABSlASBQEAUpSlKApSFIABKVJUpAEpUgAAKAoCkJUACFJQlKgAAAAAAAAAAAAAAAAAAAAAAAAAAAAAAAAAAAAUAAAAAAAFAAAAAAAAAAAAAAAAAAAAAAAAAAAAAAAAAAAAAAAAAAAAAAAAAAAAAAAAAAAAAAAABCt8fg5ez7o8v7icvl/oSnw8AJ1idkuHq8h875F+vzRkh+nnmo5QzeuPv/Oz9f7r1ch9XNK3HPsf/L7PtlbIiX5ZUGWrIB/4BLNHn9CGaMeMDFSLYTivMp0TL+GLUmF/bVAgwwXyQkSlBzEnmiaEJlhlE1UibGJJRqQhiHnAMUCQhIpgngkhDBBFdc7ZRKLKSULULUh8HpoCQkaAgDtiQBXVRBMDQO0GpdhRtEwYo86Fs+efclUJVlMhgDV59m9wkqADagEpswzW7wCaQR/gNInCQsmG4SCUHVKSRHD5hNI5ICQkCfpISbcuuAmE6HU7tAHRo4/UhNNVRLbQp3KbRLRWtNPCBxSE1OC1JViQbvpvxWX0ZLPkr0nrEwbe/ZgvrziW5L8oETS8M856runPlwVYZY+PBfZT3+T4ZY5unXn+Oq3bE1RMvFLQVTU7HYJk0EwaO3mQp4+0hbigTWzxugbJrU54w7O1tzoZ9cm7mbFjxgly0xu3/z8wmdDvSEur2NzIJbR4LS7FZyQ6IDeCHMBDr9R3xN8TtAmsJcJgE2zi0ieL2iaBPYJAn+Cd0ExAmvd7rj37ekBKROvGdYlukVyAl4nIJlUmBJAn0X0CUCUqQYPZv6M4nugScpE7x/ontwlYkFROCYRPGAlwmQEgS8TiEgS+sg8V4nACaQN4CBPiiPlkHAw5/x5QVAA94A=</t>
  </si>
  <si>
    <t>20066</t>
  </si>
  <si>
    <t>B1-PS-13102B-C4001</t>
  </si>
  <si>
    <t>PRESSURE CONTROL OIL - PUMP 2</t>
  </si>
  <si>
    <t>@@UU@@C@@ABA4AAsmUQpjGMY5zHQYxjGOdBzqOlCEqUA6kIQkCkpAlKDnUlSkpSgCgKSpKQAABSlASACkASBSkgApSFIApKVKUpAEpSkAAKAoCkJUACFJQlKgAAAAAAAAAAAAAAAAAAAAAAAAAAAAAAAAAAAAUAAAAAAAFAAAAAAAAAAAAAAAAAAAAAAAAAAAAAAAAAAAAAAAAAAAAAAAAAAAAAAAAAAAAAAAABCs8He4+k+/xekTj8X9CVcXCCdAnTLXz+E+p8K+PyxhD9nLNRxht+uPJ+WT9v7r9/KX8krL/t8f/yl90rJESryoMskgH/gEr0+b9UMsXXAW1C5CcV/FTmmXyW7Uwv75wIMcH5yQkSlByEnkiaEJlhlE2KRNeJJRxIQxDygFsCQhIqgngkhDBBGOZmiMdBKFpFpQ63noCQkZe0EgNIkAX44pkTBRAEJvBZdWjaJSeZCybRPwVCVZijKUhhy/De0kqAQ3qsmOezsAJsBH+A2CayFkw3CQSg55SSI1+UTYOWAkJAn6SEm4LQJCczk1c25m+b0ITz4qJQBvIVb9VglgrWmzWB1+3MJZw2JLIJBT58LcndozZJsc+w9Ykuzjo4L69sTawvygRNxTzHou7PpzU476cPVVPXT89sUfBtU5NQm2JZslaSp6nSJu6CYM/c3MyGL5c6FlsCbmLd0RvgT6cUs9U1dur4p0M+kmq6u3dhgCXrijfy/z3xNCHWkJfX1aNWYSynu2XW7XFDuwHxhDtgQ7nOfIJ2BNAJpEuEpE3zZwifT7RN0T2CQJ/gm8CWgnUu91xqs9QCVCdF50CWaxXKCYCd4TMpMCSBPrwoEoEqUgp9na3M4nugScqE65/ontxlYkGInBMYnfAS4TKCQJgJ2xIEwrIPowE1gmwDuAQJwxHgkGthz/hxgqAB7w</t>
  </si>
  <si>
    <t>20067</t>
  </si>
  <si>
    <t>B1-PS-13103A-C4001</t>
  </si>
  <si>
    <t>DPRESS.CONTROL OIL FILTER - PUMP 1</t>
  </si>
  <si>
    <t>@@UU@@C@@ABBCAAsrUQpTmOY5znOYxjmMc50oQlCEJQBKEIUlKUIUBCDoUlCQKUgCgKApCAAABSlAUBSkgUpAEKApSFJABKUqUpAEpSoCgKAoCkJUACFJQlKgAAAAAAAAAAAAAAAAAAAAAAAAAAAAAAAAAAAAUAAAAAAAFAAAAAAAAAAAAAAAAAAAAAAAAAAAAAAAAAAAAAAAAAAAAAAAAAAAAAAAAAAAAAAAABCq5Pj5+znj1CePm+r+hJcfACdYnZLT1cp87yr9vli2H6c06PsDm9fPL8sf6f3i1Lj6+iVWW9l/+X3c0qpH4ynmQY7UgH/gEx9vzfmhnjLlArpFx0RQK9CnTNfvryTF/XUAgxQXSQkSlB0EnoicITWGUTwSJ5RJAuBCCIfIAVwJCEimC9BJCGCCMM3HelGK+ShaRaUO96KAkJG+EAdwSAMWCiCbQO4GSvCjUJfU8yGSfavbNIlNxaUBq0+TZysyVAhtwIU48M6t4BOEEf4DhE0kLJhsEgkQdUpDp8onCN0BISBPPISfv1VgTE6XJ3aAOnW8XpQnPBoltob2HdwWCWCuNOHSBxSEq4K0kbwkHozV4t3b4NTJ8WMznrEv7+Oi3DoEquvVW5gIo478z02b+nNfw5+LRxZc9VOHjoj1Xtripq74mqJdbLWJX9jsE2dgmHb7liE9XQhkqgTYzkd8Ci6Kdk1drboQz5NGoUU2V0WAla0x3djvXfz8omhDwSEv3ZP3nnEronVZVi3YdmA494JOgCHX1eo8QngE1ATWEtEpE3Di+ET5vaJriewSBP8E3ASsE17PdYbVX7AJSJ15TrEq0itwJaJ8gmZSYJIE+i2gSgSlSC/7ODW0Ce6BLxSJvH+ie3CYhIMBeBMInKAlglwJAlonhEgS3EQclom2CeED4AIE3YjkkHAw6Pw8aAIAe8A=</t>
  </si>
  <si>
    <t>20068</t>
  </si>
  <si>
    <t>B1-PS-13103B-C4001</t>
  </si>
  <si>
    <t>DPRESS.CONTROL OIL FILTER - PUMP 2</t>
  </si>
  <si>
    <t>@@UU@@C@@ABBCAAsvUQpjGMc5zHOYxznMc5zoShCEKSo6UIQhCjoApSEIQpCFKSlSgAUpCAAABSlAUACUgUpAEAApSFJApKVKUpAEpUgAAKAoCkJUACFJQlKgAAAAAAAAAAAAAAAAAAAAAAAAAAAAAAAAAAAAUAAAAAAAFAAAAAAAAAAAAAAAAAAAAAAAAAAAAAAAAAAAAAAAAAAAAAAAAAAAAAAAAAAAAAAAABCr5fD0dx0fuJ5Of7P6El4t8E7RO6XB2cx9LzL9vmjFD9eSajxhz+rol+N/9f7q1LTF0yrxeOr/5fdzynkVSmtQYvyAf+ASrvef9ELYw4QLLgt+iKBX8FOqZeizBML+2YCCqD8pISJSg6ST0xNCEywyiaLsTYhJAt1CCIfKAWQJCEi5BPBL0QBJggiqdmiKqSULcFpQ3btASEj4QgDVEgDDdiiRM0DshgsvI1iUqedDBNnnz1bd4Sa9kLS4He8vfxuBlQCGzcwXp8O8AnCCP8BwicBCyYcIkEiDslIeDzCcI2wEhIE/OQk25YBITqb/g6te3k9KE893NKkDaQu6btglgrfTh4AOOQle/YkjeEg9FtlW9ub+fB8l80nqEp37+7TbVnEsyT25QIn8Wmmc9OLBTbTe69GY48mCm78uOOva47le6JqCW8ktYlT3+4TRsEwanu5EJtGZDBXAmxlI1QKLYuZdnanQyX9BqFGthswgli0xo9/H/PziZUNMhMexs5RK5/BXhrq0w+9AU6Qk5QIdfFR4ew5BPgEzgmqJjEvCbZx8Qn0ewTXE9YkCf4JtglgJr4fbhNFfWAlwTtxHaJXwitoJjE+YTIpMCSBPqx0CUCXFIKfXwa2YT2wJOXBN4/0T2XioSC6Tgl4TmATCJaCQJjE4hIEx1EHLjE4wT4gPjAgTciOWQcTDm+/yIAgB7gA=</t>
  </si>
  <si>
    <t>20069</t>
  </si>
  <si>
    <t>B1-PS-13105A-C4001</t>
  </si>
  <si>
    <t>B1-PS-13105A-B01</t>
  </si>
  <si>
    <t>DPRESS. CONTROL OIL FILTER 1</t>
  </si>
  <si>
    <t>@@UU@@C@@ABA2AAsqUQpTGOY5zHMZBzHMdCEKQhAEoQlKEJOpKkgSlJ1HQhCEgUlSUqApClAAoClKABSVKAlIFKApSEJABSUgSBAEKSoCgKAoCkJUACFJQlKgAAAAAAAAAAAAAAAAAAAAAAAAAAAAAAAAAAAAUAAAAAAAFAAAAAAAAAAAAAAAAAAAAAAAAAAAAAAAAAAAAAAAAAAAAAAAAAAAAAAAAAAAAAAAABCt4/j6vxjh9Qnj8n2f0JLvAnSJ1S0dHGfS8a/fyxyw/XmnT4w8vr/CXLj9P916959vJK26jyf/LyzlZI/OU70GNeQD/wCV+f0IXxqagFuAWispFeRTmmue3cmL6dcCCuC+SEiUoOQk8kThCawyicGGdwkxXCJD5gDUgSEJFUFEEroAkwQRXQ2USjHUShcItSHJz0hISJd4JAdYSAK8OCCbSODeCzJNG0TBKPOhZRkopz1CTQ7uYvMFAbPm6+VxkqVHrQhPDZXRqdnuAJpBH+A0iaSFkw3CQSIOiUh0/oJvjmgJCQJ6JCT7W5cBMTmbN6kDm2+/zoTnhjOhV8GC0S0VxJv6QOKQmPsbYyKxIOfLbX2/10a1k6zfPWJGDRKi7DqiY/VfTlzARTRIpxbOQpq0dv4dvYy2VYvAeGunHuiaomTa35++Sqo6hNgkHBt3IT270LLBODRVmJa4FV8Yt3emhfZrG4U7F1twJatUbme7+flEzIdqQnD++qJZq9e3JbX4IdyE3SDVAhkbXydB3xO6JrgmyJcJUJ2Ti4BPm9om0J7BIE/wTOCagJtZPdkOxb+wCVCdNx0iW6RW8EyieITMpMEkCfVlpEpEqUgwezRtawnugSgqE4j/RPbiKxIMJQCYhPoATIJeCQJlE4BIEy1kHz5ROIE4QO4BAniiPDIPiYdb8vuUUAD3gA==</t>
  </si>
  <si>
    <t>20070</t>
  </si>
  <si>
    <t>B1-PS-13105B-C4001</t>
  </si>
  <si>
    <t>B1-PS-13105B-B01</t>
  </si>
  <si>
    <t>DPRESS.CONTROL OIL FILTER 2</t>
  </si>
  <si>
    <t>@@UU@@C@@ABA0AAspSQpTGOY5zHOY5zmOZJ0JSk6UnQkCkIUpKUnAhCUIOpCUgSBSVKApCgKAoClKAACFKAlIEqApSEJApSUgSBAEKSoCgKAoCkJUACFJQlKgAAAAAAAAAAAAAAAAAAAAAAAAAAAAAAAAAAAAUAAAAAAAFAAAAAAAAAAAAAAAAAAAAAAAAAAAAAAAAAAAAAAAAAAAAAAAAAAAAAAAAAAAAAAAABCs4fF0n4esTi8n2/0JLcBOgTplu8/CfU8K/fyRyQ/ZbOniDy+zzS5MPq/uvYzGXjlZl4pf/LyeWVkiuU8yDGGQD/wCYPR6ULYx4wLLwtdMUiv5Kcs181mjTQL6tgCDDB+ckJEpQcZJ44nCE1hlE4ME7RJit8SHzgGSBIQkVQUQSQhggjBNnEYKSULeFvIcfNSEhIu3QkBoEgDLgi9Im0jthZkrRxiXj0IWTsouqEkhVmLSU2uV3Xo8+zTa4idKBRAnZhCuzFPJtagE3wR/gN8TeIWTDaJBIg55SHe/QTfHqwEhIE9MhJ/FkAkJyuHa5dPweDmQoovxSB8KFXeqsEsFa0394DgkJi7ekZGoSDmzY6+7t93YxfrhN89gl7v0W384mLNRbcBFGGmZ657nay3r/ZjV36suGm/4j5Kqa9sS4THo1z2CVVHSJ1iQfLpyoT05kMWITTvXEdwDBVmjBtbc0M2LORR1slmyZQTGt+L+z3Lf5+YS5DvSE/e4TFdiyYb+qHtQtwEOrrw+Ha5zwCbgmcE0CZRMAm0cGsT5/cJ2BPaJAn+CbYJjBNGT35Dt2fsAlQnRlOgSzeFcwJaJ4xLlJgkgT67aRKRKlIL3t3dGcT3wJQVCcB/onuwFYkF8oBMAn0AJkEzAkCWiaxIEtrIOG0TWCfGB4QIE8cR9Mg1sOf8fuEUADqA=</t>
  </si>
  <si>
    <t>20071</t>
  </si>
  <si>
    <t>B1-PS-13106-C4001</t>
  </si>
  <si>
    <t>B1-PS-13106-B01</t>
  </si>
  <si>
    <t>PRESSURE CONTROL OIL IN FILRATION CIRCUIT</t>
  </si>
  <si>
    <t>@@UU@@C@@ABA+AAstUQpTnOYxjHQYxzHMc6DpUg6UJQpCkIUhQEoSBCEHApKQASpIFKAlKQKSBSgIAACkqUlSgJAoB0pApSUqUBAEKSoCgKAoCkJUACFJQlKgAAAAAAAAAAAAAAAAAAAAAAAAAAAAAAAAAAAAUAAAAAAAFAAAAAAAAAAAAAAAAAAAAAAAAAAAAAAAAAAAAAAAAAAAAAAAAAAAAAAAAAAAAAAAABCs8Hd6jycvqE+ufL5P6EjiBOkTqlx9HhPpfCv2641w8vmnh+wM/r8ss+P9P7r0Xno80rLvGf/H3ffKyREp3oMtEgH/gEq9P5oXxZYBXiFrMArrU5pr5bNyYubZAgqg/GSEiUoNZJ1xOEJrDKJwUzuEmK0kEAR5wC2BIQkUQYIJIQwQRVNnuylXiJQtAtGuAOfCExI4ggDsCQBdThgm4Rz74W3Vo2iUHoQsnTgoupEleZcMVyU60efcyaMrYYMSj14Qrt2J3Wb3CAmoEf4DUJyELJhzCQSg6JSSI5PyE1DngJCQJ6ZCT4LgJCczd79m9zbnc50Jzqpl8SHBOmVFdolorjTVyAduQlm7uDLGJBXz3248Bmr/Wo1HrExcWDJTmEruwYe1xZaMwEqaZHqt7PZsvoq4djP1tvNbRV3a5S72rFh3xNAl/XyT2jHOnD1CZiQfNmuQxab0LLBPh488cAFW3l7GnHoize35oaNonVs5L7wTBctEbptmb+fnE2UPjkJk2P3vEtvsusr+WHTC3gQ6N4N/oO2JwiaATaEyCUib58moTv+0TSJ7BIE/wTbBLQTaye7IfBZ+wCUCdNx0iWahW8Eyid4TMpMEkCfVlwiYRKFIMXs7WnZE90CYCgTuH+ie2orEgpMAJUJ4AEyCXgkCZROMSBMtZB38onGCagPoAgTxRHikGph2fw8aqgAe8A==</t>
  </si>
  <si>
    <t>20072</t>
  </si>
  <si>
    <t>B1-PS-13108A-C4001</t>
  </si>
  <si>
    <t>B1-PS-13108A-B01</t>
  </si>
  <si>
    <t>PRESSURE 1 TRIPPING OIL</t>
  </si>
  <si>
    <t>@@UU@@C@@ABAsAAsfUQpjHMYxjHQYxzmOdB1HQhCEoQpCVJQhSQIUhB0IOoCgASlSQIUpKgAAkCkAABSkqABSlAUoCDqSACUpSBAEKUoCgKAoCkJUACFJQlKgAAAAAAAAAAAAAAAAAAAAAAAAAAAAAAAAAAAAUAAAAAAAFAAAAAAAAAAAAAAAAAAAAAAAAAAAAAAAAAAAAAAAAAAAAAAAAAAAAAAAAAAAAAAAABCt8fg7eeP1E+vn/oT7OIE7BObtm0dfjPI/Sv29EdEPPqmweUM3r/CWrD6v7sz5D8+iVuP38v/y+775XSIl0a6DKmQD/wCWef0IZYuuAtoFsJxXUp0zL+NvwTC+rOBBXBfJCRKUGok6omhCZYZRNBVNjEmFaoYQ8wBdAkITFME8EkIYIIrmcM8osoJQtIuqpDqwBMJGgIA3BIAsq36JE7QO+FuKxG4SjNHoQunnn1qRMheV4HPHm3cbYSnQdEKdyENiy3WnxcQCaQR/gNImkhZMN4kEoOuUkiNPnE+QdeAkJAnpkJNwcOICYTpeW3foA6d3l6kJpq4+JCnBaJaK1JpsA+WQlm73u4M3CJBvdWSjFrZKNfW/TDVpPWJnqn4uOKcuHOJdr015cwEYNmiY8WOijJLNgt4PDbZTROeKvko7omUS63lmyUT9omYkGjHuW3oVbGBC3WE2drLHeAr26tqyXd+GSGbOTY8tuPGCXLTG2bk/88wmRDgkJX+94lN+G3DX4YdiFvAhzd8MXWaRO+JtgmcTEJUJvHLoE+j2ibInsEgT/BN4EuBNnF7sRu2/sAlInZjOwS3jFcgJeJ4BMqkwJIE+q/AJgEpUgo9nDtZhPdAk5SJpP9E9tZYJBUTglYnzgJiEyAkCXicYkCX2EHNeJoBOQD4wIE8kR80g5GHN+XlFEAD3gA==</t>
  </si>
  <si>
    <t>20073</t>
  </si>
  <si>
    <t>B1-PS-13108B-C4001</t>
  </si>
  <si>
    <t>B1-PS-13108B-B01</t>
  </si>
  <si>
    <t>PRESSURE 2 TRIPPING OIL</t>
  </si>
  <si>
    <t>@@UU@@C@@ABAsAAsfUQpjGOYxjHOY5zmMdB0nQhSUIQhSkJQpQEJShR0HQlSgAUhSQKSlIFAAkCkAABSkJABSlAUoCEKSBSUqSBAEKUoCgKAoCkJUACFJQlKgAAAAAAAAAAAAAAAAAAAAAAAAAAAAAAAAAAAAUAAAAAAAFAAAAAAAAAAAAAAAAAAAAAAAAAAAAAAAAAAAAAAAAAAAAAAAAAAAAAAAAAAAAAAAABCt8fy9nJH6ifVyf0J9fACdYnh7JtPVOeR8a+Xmjmh5OeajlDW9X3S58Pp/uztXn480rcvL5f/l9n2yxyIlhzIMtEgH/gEw+f0IZoyZALcAthOK8ynRMv327kwvp0AQVwflJCRKUHOSdETQhMsMomgqmyiTCtUMIeYAxwJCExTBPBJCGCCK5maIroJQuAXnpQ6aAmEjSEAa4kAZCqiCZoHuBvW5LEcYlJ6ELZu1PFVIl5cUVwaI823lbCU4IduEKsNk1uTR3gE4gR/gOITUQsmG4SCUHVKSRGrzicQ60BISBPzkJNvZQJCdDw4t3o2uDh6UJ564oA+BCnBaJaK1pqpA+OQlm5tDLfEg2em7HhvozYf0s1HqEpp4O7gusziYr8FNV2YCMFGCY+bHPv619fgx9vu0ZMVPHijwbdPDTuiaBKtnVNowT9glxIL8u3bchV8VCFuITRta0bwFe1Vs2S3e5JDPoJqMua3LlBMa1RTrz+8fz84l6HwyEs/e8Sq/FjxV8cOvC3gQ598N7qO+J3hNkE2BMglQnvnFwieL2CbAnrEgT/BN0Exgmxk9uQ3Lf2ASkTrynWJbpFbwS4TjEzKTAkgT6bqBKBKVIMHr3/dzie2BJykTvn+ieyssEgqJwSsTxAJkEvBIEuE0iQJdYQeG4TSCagPkAgTyRH0SDUw5/w5RRAA9wA==</t>
  </si>
  <si>
    <t>20074</t>
  </si>
  <si>
    <t>B1-PS-13108C-C4001</t>
  </si>
  <si>
    <t>B1-PS-13108C-B01</t>
  </si>
  <si>
    <t>PRESSURE 3 TRIPPING OIL</t>
  </si>
  <si>
    <t>@@UU@@C@@ABAsAAsfSQpTmOYxjnOY5jmOg6DoOlCEpShCEgQhKQIUlCEIQhQAASlAFKUhSAAAoCkAABSkpUBSlAApSEJAkCUgQBKUqUoCgKAoCkJUACFJQlKgAAAAAAAAAAAAAAAAAAAAAAAAAAAAAAAAAAAAUAAAAAAAFAAAAAAAAAAAAAAAAAAAAAAAAAAAAAAAAAAAAAAAAAAAAAAAAAAAAAAAAAAAAAAAABCs+nx9hzfqJ9nN/Qn2+IE6xOTsnvdXKfU8q+bnjnh5uidHlDN7vxl0Yen+8GplPPzysyeb7v/l9/4SxyIl0ZkGWiQD/wCYfT6kM0W2gWXxcBeFehT1zX87NiYvToAgrg9MkJEpQZyTtROEJrDKJwVTyCTFaoYQ9ABjgSEJlMF6CSEMEEVzZxFdBKFvi+elD20BMSN8IA7wkAW1UQTaB2goxY60bBKTb1kLL2ej136hJXtIyl/BBoj0a+VqJXgQ7kIVYsE8fiATiBH+A4hOEhZMNokEoOqUkiOH1CcQ5YCQkCdMhJ7eMCQnsdfgs7+37O9wa6E54I3vAhVftEtFaAK04JAfLITBr90ZeESC323Y8N4zYP0r4D3CZ6d2jJXmEw3X6cmUCKKJHHZqWZKqqr3bzYsNPyeOI48O5e3qdkTOJdq789OqmjsE0Eg+a7u25UKuKhDHYJiz5o2gK+5rV6uGWz35IZ9BO7NjuuBLVpiyf8/OJsmVDbmJX+9wlV2GzFX5IdELcBDp+EL/UcQm4JrAmoJjEqE2Dh3xOT4CaBPeJAn+CbAJjBNFvxtNez9gEpE68h1iWborlBLhPIJpKTBJAn13UCUCUqQX/fuaumJ8YEvFInCf6J8KzAJBUXgSsTkAS0TKCQJcJuiQJdgIPouE3QTfA0gIE44jlkG8w6f5eUUQAO0A</t>
  </si>
  <si>
    <t>20075</t>
  </si>
  <si>
    <t>B1-PS-13109A-C4001</t>
  </si>
  <si>
    <t>PRESSURE CONTROL OIL TRIPPING SYSTEM 1</t>
  </si>
  <si>
    <t>@@UU@@C@@ABBKAAsuSQpTHMYxjmOY5zmOg50HShCUqQpKkISgCVIUlCToQpSAAQpCgKApKkgUBSQJUACkqSpSlAUkCkoAlSlJSpSVKSoCgKAoCkJUACFJQlKgAAAAAAAAAAAAAAAAAAAAAAAAAAAAAAAAAAAAUAAAAAAAFAAAAAAAAAAAAAAAAAAAAAAAAAAAAAAAAAAAAAAAAAAAAAAAAAAAAAAAAAAAAAAAABCu7fH0eCO95xPn739CfVvifRAnOJPonq5u4d17i/T98fdD83LPB4Az+j7ZeK3y/3h05jv+KV2Wja/+X1/ZK6REvFrIMtMgH/gEt/DyIa0ZMgF1IuEoFeVT85r4bvZmL+WkCCyC+SEiUoOUk8sThCawyicFc8okxWuHxgGOBIQlNCKoJQSQhggiybbRKMNJKFqF5a0P0wBMSNkIA6okAYa8EE3AO2GLHYjcJSeRDFPRR1yoTMXlFkFOnxz2q8rSToBCvDhnihD3AE90Ef4DhE4CFkw5BIJQc0pJEavxE4BvgJCQJ5ZCT3M2MCYm/5m7rUgebp8X6oTnZp457iFnXryiZRW1OHgA4pCXasaSwiQdnk1vbyYtunXxcdvCegTZq0b8Yqta2gS7WqrzZwIwbFMzkyXUY4vstpt3vPRbTyNFe1qpt3BNAl3BLHfE6up0CaSQaM3Dr350LPYpQyZBK9OvG6Bs1aLKpyy+1t0IZ+mTqvz4+K+9EyrZE92jN/Pwia6HY2yYlfV/fQJh0XZcdvvw9SAthzgQ7O8HMcQm8JrgmwJkEqE2z3uET4vUJsCekSBP8E3ATGCbGT15DrXfsAlQnPlOcS7UK5gS8T4BNZSYJIE7t+ATAJUpBT6e1s6BPXAlBUJ2D/RPVYYRIKygEsE+MBMgmYEgS8TsiQJfhIO3eJugmoDeAgT5Yj5JB2mHR4e+iCAHSA==</t>
  </si>
  <si>
    <t>20076</t>
  </si>
  <si>
    <t>B1-PS-13109B-C4001</t>
  </si>
  <si>
    <t>PRESSURE CONTROL OIL TRIPPING SYSTEM 2</t>
  </si>
  <si>
    <t>@@UU@@C@@ABBKAAstUQpTnMY5joOY5jHMc6DnOpBwJUBCUoQpSVJSpKDoQpCUqUlCgKApKkgUACAJUAClJSpIFASoCkIAlSVJSpSVKSoCgKAoCkJUACFJQlKgAAAAAAAAAAAAAAAAAAAAAAAAAAAAAAAAAAAAUAAAAAAAFAAAAAAAAAAAAAAAAAAAAAAAAAAAAAAAAAAAAAAAAAAAAAAAAAAAAAAAAAAAAAAAABCr7nx9B4O96BPq739CeHsCd+BOcSfRPXzd043ur9n4R98P08s7/gDN6fFLk2PN/eHRcW8kq7e/4f/lL7ZVyIlhuQZbEgH/gEw+TyoZIx4wK6BcJeFeRT85r4q+lMX8tkCCqDySQkSlByknlicITWGUTgwTtEmK4IfGAY4EhCU0IpglBJCGCCKps4iq+ShaBeWlD9L4TEjWEAaRIAswRfkTb49QMWOpGsSg8qGKeze3aRLiWQvVQaPHL3KrWCUwQpwVTxQh1wE+EEf4DgE3yFkw4xIJQc0pJEa/xE3xyQEhIE80hJ7lYEhPOb0Ytvz7Wjs/qhevVRoigDqIbdW5VaJaK4k39YHDITHvWJLCJB1+3lssxRfzbHxYd89Immn4KqMmHZExXU4MmUCL/FRM4rN6q/dVl4c3WswYqc3bfRsbfBTj3RNIl10s5KjV0Ce2SDTdVqsyoVaaEKKxM2aN0DPRlwSjVt9O8hm0E7astfattRLFqim9w+9Rd/PyiZ0OrISnBunS/e9nE2M87LrMXFDqgK4c4EOrrBzHZE6omgE1CWiUibhw8AnzesTUJ6hIE/wTdBMYJtWeyw6df7AJSJz2nOJXrFbgTIJ8gmVSYJIE48l8S+JSpBR6te1sieyBLxSJ75/onrqMIkGAvAlQnzgJYJcCQJkE7AkCZMJB3MgnugnAB2gIE44j6JBrYdn7vrRBAD2g</t>
  </si>
  <si>
    <t>20077</t>
  </si>
  <si>
    <t>B1-PS-13109C-C4001</t>
  </si>
  <si>
    <t>PRESSURE CONTROL OIL TRIPPING SYSTEM 3</t>
  </si>
  <si>
    <t>@@UU@@C@@ABBKAAsxSQpTmOcxznOY5kGOc50IOg6EASgCEJQhKUpQpCjnQhCAAUlKQAUlKkqAACQJUAClJQpSlAUpSkoSpKkqSpSVKSkAAKAoCkJUACFJQlKgAAAAAAAAAAAAAAAAAAAAAAAAAAAAAAAAAAAAUAAAAAAAFAAAAAAAAAAAAAAAAAAAAAAAAAAAAAAAAAAAAAAAAAAAAAAAAAAAAAAAAAAAAAAAABCq7/xdJy+L1CfP4v6E+rgE8cCdAk+mejn8B4XwL9Pmj8Ifm5p0coZPZ9svJf9H93tbEePySq1OWz/5fX9ksMiJc2RBlrSAf+AS/+X5oZIrrAqti3i0K8yn6zX76tqYv6ZgILsHnkhIlKDyknXicITWGUTgpnqJahLQrTD5gDDAkISmhFEEoJRAEMEEXZs4i7QShbYvluIftQExI0hAHVEgCumiCbQO60YMM7qNQlwzoYJ5bW9tXRJYzEUN7Nc/G1tYm+SmgShQpt3Z1QhvgJxAj/AcImkhZMOESCUHPKSRGjziaRsgJCQJ6JCT3agJCel0YNv07HJ+6E506ss+6hT1qaxKxW2BfTh0gckhKtHZrSeASD4O3j37KsFvVq7GXBpPYJr08GC3fv5hKslynFlAijuW5ncryeqjJd9e1onx14J901Yv3tziuVbwmYSzjlqkrePpE1yQa2LYrxoU7VCFVQnFlyxmA2bmS7KNve69pDLmJ2ZKtiyxErWmJ7lqz+fjE1UO1IS5s7puZBL2Tcw2V4O3DswFuqTlAhz2uy85yCb4msCZxNQSkTdOPhE73uE2BPaJAn+CdYEwgmev31m3V6wEuCdGodAlWkVxAlgndExqTBJAnhsoEoEuKQW/b8OfKJ74EtFwTtH+ie66XhIKS0CXRPkASsTECQJYJwCQJZeIO/YJ1wTSBjAgTvRHyyDQw5fu+hEEAOoA</t>
  </si>
  <si>
    <t>20078</t>
  </si>
  <si>
    <t>B1-PS-13110-C4001</t>
  </si>
  <si>
    <t>B1-PS-13110-B01</t>
  </si>
  <si>
    <t>DPRESS.CONTROL OIL FILTER 1</t>
  </si>
  <si>
    <t>@@UU@@C@@ABAiAAshSQpTGOc5jHOZBjnMdCDoQBCEnSpCkqQhKjoUlCDnQpKgASpSQKAlAAAAkClKABSVKAlIEqApSEJApSUgSBAEKSoCgKAoCkJUACFJQlKgAAAAAAAAAAAAAAAAAAAAAAAAAAAAAAAAAAAAUAAAAAAAFAAAAAAAAAAAAAAAAAAAAAAAAAAAAAAAAAAAAAAAAAAAAAAAAAAAAAAAAAAAAAAAABCs5O/1/hHrE8fk+z+hJd0E6hOuXD08h4nkX7+aOaH67p0+MPL7PNLmw+r+681x9vLKzHRV/8vJ5ZUSL0p5EGNiQD/wCU+j0oZIssAxXha6YpFfyU55r5rJZ4F9WwBBXB+ckJEpQcpJ5YnCE1hlE4ME8YkwKIUIiIIwSfOAa0CQhIogogkhDBBFU1MNEorvEoWd8Xl6JgUhUhQJI4QgDsiQBXVTBNpGMNnbDCjhEpfQhinmoN7AJcZChq2vPPtY2uuJ0AhuVU10WX+ABNQI/wGoTSQsmG0SCRB0ykOn9BNQ3QEhIE9MhJ71oEhOdw7vFz7nzdCE54I+JC/ovWCWCtSatIHekJh+DOMjQJB0Xd+3Dwdzi2bP1xHGewS9RxRTdgzCYstF2uBTKmmR67PnstvVaeHu8W3lsv1YTwV04d8TXEt3OOeQlfo6xNkkGfPjQnnuQxYhM+/lI7gF67blV8PbmhlxZijatstBLFvRn38f8/SJrofHISX77xlExZcWtir0Q54W4CHapn0neE0CZQTMJYJgE3T5dQnh9wm0J7RIE/wTdBNYE2bffaZ7P2AS+J1YzqEs4RW4EyCfQJlUmCSBPqyUiUiX1IL3t4NvYE98CUF8TjP9E91RWJBgKASoTkAS0S4EgTIJoEgTJWQeHIJqBNIHyAQJ4ojwSCbDr/j9yAgAdgA=</t>
  </si>
  <si>
    <t>20079</t>
  </si>
  <si>
    <t>B1-PS-13211-I6001</t>
  </si>
  <si>
    <t>2 x 3 x 1.5  mm²</t>
  </si>
  <si>
    <t>B1-PS-13211-B01</t>
  </si>
  <si>
    <t>PRESS. LUBE OIL EOP DISCHARGE</t>
  </si>
  <si>
    <t>@@UU@@C@@ABAwAAsoUQhTHMc5zHMZBjnOdCDoShCkJQhCEgUpKAKUhCEoShSlAUpQEpApAAAUoAAAABAAKSoCQIAkCFJAoCVAShSFISAAAKAoCkJUACFJQlKgAAAAAAAAAAAAAAAAAAAAAAAAAAAAAAAAAAAAUAAAAAAAFAAAAAAAAAAAAAAAAAAAAAAAAAAAAAAAAAAAAAAAAAAAAAAAAAAAAAAAAAAAAAAAABCu5fr7jz+wT8qfV/QnNwAnaJ3VU4ezl5fveVfxcsPr9NKuYL/b55/Ozp/uznzmH1Tbfzeb/581JukiJzIMasgP/AJ+vRcJdaBkuFqscAr6FOqi7t0i9OqBBjgtlCSZgyEu1FIQosMxSDDTXEoK1YpJiOgAumRJQmhEFUEoQwQRLMRFDcpK4BefcqCxCgk7G+yBjA+MSQMdcGRChXGzI25b90MmojCGLbic86uEScx6D1IUccG3GZxlMNSIdGKKUM874CcAI/wHCJ8xCyw7wkEwdkykRwekThHNASJAn6SJT5d3KBQTpdb16mxyfuh+1JxT1cPgurvEvFbB3PCBAmTi8PfGkiQWXZeqaWV9fi025z2iVHXxIV6olmbJflzgYJwQZrslWph4uCd/Y2tm3Bf7OO2Jsr3hKxL75049HeyY89XcJXrlAw7OVDF486F+oJxeO+PkAr1753vBSiGtk1dcrnRbqAloFv8+QTQhub1BOPyGgSzPbh+mHvQGxDmAh09h9Am0JsgmkS0SsS7bOTjEjy+8TSJ7hIE/wTeBLwSy/4Xnft6wEwidsZTtEu+cVzgmYT7RNClASQT8M2ATAJhUhrp7uDZ1hPhAlTiE8Rqf6J78haJBjKgSwTlATKJnBIEpnE3xIE8ujIQR92gTkBOQR+yI4pDkYdPPzAKAB8Q=</t>
  </si>
  <si>
    <t>20080</t>
  </si>
  <si>
    <t>B1-PSH-13213-I6001</t>
  </si>
  <si>
    <t>B1-PSH-13213-B01</t>
  </si>
  <si>
    <t>DPRESS.LUBE OIL FILTER 75%</t>
  </si>
  <si>
    <t>@@UU@@C@@ABA8AAsxUQhTmOc6DHMc5zHMc50JSdIEISlCEAAhIAIShCDgSpQFJUACkqUA4AKUBQAAABCgJAkClJSBKEgSBSVAUhSUJUACgKAoCkJUACFJQlKgAAAAAAAAAAAAAAAAAAAAAAAAAAAAAAAAAAAAUAAAAAAAFAAAAAAAAAAAAAAAAAAAAAAAAAAAAAAAAAAAAAAAAAAAAAAAAAAAAAAAAAAAAAAAABCx7Po7DzfsJ5af0JzeAE6xOy9Tj6tmz7XYvkeeH9M1L3MGX3fhPpr6P7r81xs9c47eaf/nyeWccm3M50G9tyA97/gE/Pn9SFttoGS0WwqioV9Cnsov45c1BejtAQVwZJQkmYLCXRFIQosMxSDDTUJQVww+kAyQJCGCkREF6CQYYIIlmIocEytQvn4LwV0EgCe0wBuCQBgqgrQoVRbI3d6zHmtngykMKShgr9Fl4Cm/Oim3z4hNBtHrQvtmXe0OImrDAIYa6UMkTxAJygj/AaxOMhZYd8SCSDqmR5fUJrHNASJAn5SJTh4MoFBOhmzV83Sh+tJwX9V72Urv2CWCtY7vfAgTFy6hk7okFdlsTtcO5x6LK8XIe4S/KHGhgziYrfnrzXAVTVB015cOXDw29Oc1clmDDxe3XbE8mDgE0CXZJ7e5fsnsE1EhdahO5chZiE067iN8C/oje36Z69JfQquyYsYJiA3dX8+MTOhe36CZhMOPumK/uw9yA7cNoEOnqNYn7iagTSJjEviZN018gkfX8BNInvEgT/BN4EygleX45Tcs9oCYBOuLTrEx8QrcCZhPEJnUoCSCfdmqEqEwKQ36e/wdzSJ8YEvOETlMn+ifDEWCQbReBKxPqAS0S4EgSlwnfEgT6c+Igjx5xPCCeEDxAQJ9kRMh8rDt+f7xVAA+QA==</t>
  </si>
  <si>
    <t>20081</t>
  </si>
  <si>
    <t>B1-PSH-13214-I6001</t>
  </si>
  <si>
    <t>B1-PSH-13214-B01</t>
  </si>
  <si>
    <t>DPRESS.LUBE OIL FILTER 100%</t>
  </si>
  <si>
    <t>@@UU@@C@@ABA+AAswSQhTGOc6DmMc5znOc5zqShKkIQlKTqSlAAAQhCDoQBSgKUkAFKSpCgKUBQAAABCgJUkCgIUpSUqUpSFAUhSVIUACgKAoCkJUACFJQlKgAAAAAAAAAAAAAAAAAAAAAAAAAAAAAAAAAAAAUAAAAAAAFAAAAAAAAAAAAAAAAAAAAAAAAAAAAAAAAAAAAAAAAAAAAAAAAAAAAAAAAAAAAAAAABCwcnwdnNH7CeWf6E5d4E6xOyqm/1cnJ8zyL5HzQ/nkpVyhi9P1T57/R/d/mynJzzgx8p/8eTyzgk+mZzINWmQHY/4BPy833oYsWIDDeFsK4rFftU9FF5sN2ivRpAgpBglCSZgsJe7FIQosMxSC7TZEoK3ofOAYIEhC7QiCqCUYYIIlnRM1GqZW4LT7NVYSJZMAbzIG2JAF6uCxChXFkj+N/Hiw4DwBCkobGqJMuqlANF4TKd050Ljf71WZsKV3YBCv7qUM87wCawR/gOITgIWWHUJBJB1TI6/wE4hyQEiQJzyJTd1YwKCdDb2/e/VD9KTcn0dy/XaJaK7A7W6BAl/Xi2RoeESCzBji5S/4dvfz4LL3CekTXdqmpDgQvaBLcvv2Zc4Fc1wcF/p05L2nw3benh123tjgtuYYnhu+4JlEyWz28ly2ewTSSG3jQnbyoW2CZ+HizEbYF3RHf1Uz2aS4hXmxWYQSwDa8H8/CJnQq79BMgl7BuFlzch9uA2YcYEOjqOMT9xNkE0CYBLgmHcOPWJHj9YmgT1CQJ/gneBMQJfxezEbVvSAl0TrjGdYmDeFcoJkE8QmZSgJIJ8+SsSsS6pDcp6t/uaBPZAlTeE1mH/RPXYWiQbBUCXxPjATGJlBIEplE3RIE+LNYQR48wnGCcYHyAQJ8sR4pD3WH2vr+hVQAO0A=</t>
  </si>
  <si>
    <t>20082</t>
  </si>
  <si>
    <t>B1-PSH-13224-I6001</t>
  </si>
  <si>
    <t>B1-PSH-13224-B01</t>
  </si>
  <si>
    <t>DIFF.PRESS.JACKING OIL FILTER DICH.JOP</t>
  </si>
  <si>
    <t>@@UU@@C@@ABBUAAs3UQpTHMY5znOYxjnOdB0HSk6UpOpRwIQdIEgQhCEIAdSAKSBKgKAo4FAUoAAAABKlKUlIFJSBSUpUoCEgUgCUpUACgKAoCkJUACFJQlKgAAAAAAAAAAAAAAAAAAAAAAAAAAAAAAAAAAAAUAAAAAAAFAAAAAAAAAAAAAAAAAAAAAAAAAAAAAAAAAAAAAAAAAAAAAAAAAAAAAAAAAAAAAAAABCr29/rPJ+wnin/Qn3cAJ1CddE+Hp27frdq/e+aH9cc6PCHj9v4y89/o/u/5chh55V2/bj/+X4eOVkjxSluINFUgH/gE9Pn/NC22wCu0XAXKc86hXzKeqa+W2QvRnAgwQWSQkSlBWSdMThCawyicFU9AkxW7D6ACuBIQqmRBRBJGGCCJMoiZqlJbgv5aqAkJHAwBpEgCntXJF9CtC4VRTIb9tleE0hCkkLpelinqoAy3RNUz4znQqb/yZHASoqgEKvROZll3gE4wR/gOQTgIWTDvCQSIOmUh4v0E4xxwEhIE55CT16sQExOh6K9HN60KJ0x6u3K/ThEwit4adYECXuTXK7p0DOgSCu2K8GvFwZLOKMHIe0TXVND19jiQxYNwS2eamymvLugd69xXZ3L0Hfttpr49zDs4MWeqmrDdn7OS2JT5ad8TMJjxy7NdlV6fWJiLJh3NONDPPKhbYJy6cxHYApwxvb881/OUoXMuPBWCYAO5zd3+fnEzIb9yYmQS9ZvGGrPD2oDsw4wId3pNgn7iaATdErEpEs0mzlEj6PeJmE9wkCf4JqBLQS/b8LTt4fYAlQnVGI6hK+EVyAmMTwCZVJgkgT7MdwS4JUpDTP3cOjMJ8IEobonKWf6J78BhEgvFAJfE2gJiEyAkCTyCd0SBPly4CCPpyibATYB8wECeCI+qQczDn8nhERAD4g=</t>
  </si>
  <si>
    <t>20083</t>
  </si>
  <si>
    <t>B1-PT-13101-M4001</t>
  </si>
  <si>
    <t>2 x 2 x 0.75  mm²</t>
  </si>
  <si>
    <t>PRESSURE CONTROL OIL</t>
  </si>
  <si>
    <t>-M4001</t>
  </si>
  <si>
    <t>Cu 2 x 2 x 0.75</t>
  </si>
  <si>
    <t>@@UU@@C@@ABAUAAsXUQpjmOY5zHMYxzHOcyDoQdCEJQlCVIQlAEKUk6UKQdSgASlAFASpCgAApQEqABSVJUpSlAUoCEpABSkqQlAEpSACgKAoCkJUACFJQlKgAAAAAAAAAAAAAAAAAAAAAAAAAAAAAAAAAAAAUAAAAAAAFAAAAAAAAAAAAAAAAAAAAAAAAAAAAAAAAAAAAAAAAAAAAAAAAAAAAAAAAAAAAAAAABCr5e91nh9Qn1+H+hPu7gJ1CdctPTyn0PKvi/T7eaH6vLNf8YXev8ZeSrn/unXzGfmlXb9nj/+X3/hKyREjMgxsSAf+AT9edDNz47AKsYuKIvCvkU6Jl/OyQvaq1wIMMG7JCRKUHMSc8TQhMsMomgwTWiTGGBYAgWIfKAWQJCEiiC9BLchSTBBFN5miKYvkQtAt9Dm9E4SEjSEAG4JAFuCeCZnHzG1XbSb7CmMTAedCybYvcGATozlxOz07Wjo7Rc1EsCIYcNM3Bj0gJqBH+A1CcZCyYbRIJQdMpJEav2E+NcsMhIE88hJuG60CYTWat70bXH6UJpqNeUX+C/WJWK4Q1b4HwSExcWIJUiQae3bwXW17tF1fp71frE1FFWKfLTnErzZbgIm5Nme8d2zi7891PDonqy4r9XGhflHFLd+KjFXvCZxMm1LQSo3OsTQSd3Rt3IUas6FdYmC3Wi4DbozRhn9/ezZyW3mqx4wTEhYuCN+r+flEuQ7EhKdn98olddVldPyQ7ELlAhz9JqE4RLgTOJWJfE7Jx8Qng9omwJ7BIE/wTsglgJr4/djNyv1AJQJ1WnUJX8IrlBMgnfEzKTAkgT6ck4k4lCkF/2cOzrCe6BLxQJ2z/RPbhKRIMBeBMInzAJjEygkCZBOQSBMlJB4MgncBO6I8kR88g0sN35eIRAAPeA==</t>
  </si>
  <si>
    <t>20084</t>
  </si>
  <si>
    <t>B1-SE-13301A-I6001</t>
  </si>
  <si>
    <t>3 x 0,33  mm²</t>
  </si>
  <si>
    <t>@@UU@@C@@ABBaAAtCUQpjHSc6EHQdB0HOdCEoOlKFIShKEIAoCQISkCEIApQEgQoAAKSlSgKUoCVAUBQEgSBSQASlKkgUBKgASBSUpQpQAKAoCkJUACVJSlKgAAAAAAAAAAAAAAAAAAAAAAAAAAAAAAAAAAAAUAAAAAAAFAAAAAAAAAAAAAAAAAAAAAAAAAAAAAAAAAAAAAAAAAAAAAAAAAAAAAAAAAAAAAAAAAjyfT2+8933OdHzv6R2SPYjmeJ7r+PoyfZO7Jkk8r67vvM/r/L8dS/z/3q+HYeZWt5NP4f/bv+C1Nd4miEv8FhP+EY+q/TZRsbHUGvhSY92sCSeKR+uJfJ4cuS5J59IpjpntCy1qZFpvVdULpKlqupiu3EXC9FJGKp5ETKiy+l9LRKlKVaY11qvVUmBJw+m8sipHA9FWG8ihfhWl8mrdlyXI1G1KFVPHkRqPjtnuxemkaHXb8ME1evTLNRdfEOl5cV2XiEcZE/g40capLSpwIpanRUWVyfmjlTNRZFI81kXdjSyj1Xo9E7Poy4Ruc6Kw8S3yX8LXRrpJjeqTgG+jHybsluyinbc+flRbG4mbJwtvX5ex60adhzckOojHrNHTGbp3Oe25rV1tbZYdrCwLaG6wb6M6NPPk39xhr3I/dluMTpbW3wTbRgyIy4d5nVYYmzbW3+CzRKRtaGbBkIxCmm5Z/PcRnR1rI0bLZ2EYsvLtanBUzVJnFTZ3nQ5UcyOqRpRkRhRuuXjR3fejSj2opH+I65GuRt5fhldbJ+wjCj2bD2IycSSZyMyOZGiRcRYjvZsCMCMMinS9vD1dpHwpF7Cjjf6j36jVRTEvI1EdwRlRnIpGZHzIpGbVV9GZHaI7Q5BSPtqvqsfLKm14+/EiA+I</t>
  </si>
  <si>
    <t>20085</t>
  </si>
  <si>
    <t>B1-SE-13301B-I6001</t>
  </si>
  <si>
    <t>@@UU@@C@@ABBaAAtAUQpjnQc6DnSc5znOdB0oQpCUoSlCUpQoCUqSBCEIAoCkpUBQFKUlIAKUoCVAUoAEgUpSgKSpKUgUBKgASBKUpSlQAKAoCkpUACVJSlKgAAAAAAAAAAAAAAAAAAAAAAAAAAAAAAAAAAAAUAAAAAAAFAAAAAAAAAAAAAAAAAAAAAAAAAAAAAAAAAAAAAAAAAAAAAAAAAAAAAAAAAAAAAAAAAjydnrdp7PseZHyv6R1SPUj5Hcey9xejJ9U7EmSTvvpu+00+nvfjds+H+8X5Z3gVyu792b/7dv77UyMTTCXubYT/hGPcftqRnz7Yy4EmPmVfST85Hiwr0n4ZslyTw7Ypjp37QstamRac6rqhdJUtV1MN3MRcLyKSMNTuomZFl6l6lkVKUotLVVyqkvJOj5LxZFSOa8dWG6ihnX8K6X5NzHez5bkY0cupU7mZGJWm3k3tlG07zoQ2Jj380xLXohsd/Ddm+ERxET+DiRxKktKnSRS1PRUWVx/qjkTRRZFI8FkXdTKLI8Ux7e68yLX9x03jvbA+DB0GRGRJOF5JN8b6MvBvSW6aKfG8u1xoxuo29OWlsnH6UbnUzOvxQ3EY8bTrGnXct5dWrkw4r+7r2cGJ51tbmr/RRqRlwebl7rBXsR+7LcYWnTomtF7IjeZ9K3AMLa5W/0LNUpGxy9TRsZCL4pXRuXP5+hGlHOsjBq2m1dnRs5uDXi6VTRUmkVNrnvQ5EdBG6RuIyIwI3nHwo7HtR76PWikf4jfIykbeb3ZnPyecRgR6s71IydVJNJGhHXRqkXEWI7Wi+i+jBIpsevg3daPdSLzAjif6j27LEimFeI2UfOIzI0kUjQjrIpGjEr5tCOEjhHxCkfXVdmxySpr/TtxIgPe</t>
  </si>
  <si>
    <t>20086</t>
  </si>
  <si>
    <t>B1-SE-13301C-I6001</t>
  </si>
  <si>
    <t>@@UU@@C@@ABBaAAtAUQpjHQg6DnOdB0HQdKEoQhCUJSlCUISpCVJSpKUJSlSkpABIAASlIAJUACVASAClKUBKgASlSUpApSQASBKUpSkAAKAoCkpUACVJSlKgAAAAAAAAAAAAAAAAAAAAAAAAAAAAAAAAAAAAUAAAAAAAFAAAAAAAAAAAAAAAAAAAAAAAAAAAAAAAAAAAAAAAAAAAAAAAAAAAAAAAAAAAAAAAAAjy9vrd18fvetF7+kc8j3o67wPjf0fbh+6dmTJJ43cu7xn93i792p5v7xfprP3Vk/Xvfh/9rfnamR4WvCX/lYT/hGLbeXQjNm2hq6aTHu1gSTwSPPhXyd/NluSebZFMdPJaFlrUyrTl1dULpKlquphu5CLheikjDU8SJmRZfS+loVKUqLS1VcqpL0nB6byyKkb70Vq3DlooYMK0wSYtZfrat6McTYPDmRiVr29OFGhyvG34aUx8zNMS18Q0vJqXZugI4iJ/BxI4lSWlTfRS1PbUWV0/2R1Ez0WRSPLZF3O1RZHnmPa9aKv4Ft16ObpcxkRkSTSH1vTJvDeRl6W7Jb6UU6z1aOJGN9TXy9ds6vOdO73I3OfnYelDcRjyNHHGjj3PVd9mLP1/t9fU2cW1kexbbcpg4UcdG7l2+S0q+KMzVuNNs7fBNtF+RG8zq4RnwuNk4ObZolI2NDPgykYxThuWfz2Ua6N+yNHGa+sjDmycisGxi4amejBU1xU43MX+11UdhG4RtIzIwo5Lq9NHa+SNtHwRSP8RvEapG3m+eZy8vsEaaPfrPejLz0k1yM6OwjRIuIsR3c+BGBGnIppfDm7mwj50i9po6T/UfLUYkUwryNRHbEZka5FIzo6yKRnxK7WdHRI6A0Ckd2q7ljhlTY8P4xIgPoA=</t>
  </si>
  <si>
    <t>20087</t>
  </si>
  <si>
    <t>B1-SKD-13101-PYV01A-C4001</t>
  </si>
  <si>
    <t>3 x 1.5  mm²</t>
  </si>
  <si>
    <t>TRIPPING SOLENOID 1</t>
  </si>
  <si>
    <t>@@UU@@C@@ABCYAAt2SQpjGOcxjGOY5jnOc6DoShIDpOg6UpSACEIQpCkHUpClAQlSkgUpCgAUpKlAABCQAAlKgKUBCVKApSlKSA6lJSACgKAoCkJUACFJQlKgAAAAAAAAAAAAAAAAAAAAAAAAAAAAAAAAAAAAUAAAAAAAFAAAAAAAAAAAAAAAAAAAAAAAAAAAAAAAAAAAAAAAAAAAAAAAAAAAAAAAAAAAAAAAABCt5uXxdfpE5/q/oThE8cCdQnXLi6fm+h5lw+aOiH6cM1HOHk9UfX5rPP/f4WZDn6JW4p8X/y8nllBaS6MqDLyyAf+ATPYhk/O6YClDBcLJnFehTZMv2WyF8+cCCmDFJCRKUHQSdMTQhMsMomgvzXCTFKEDsQgUlD94BhgSEJFME8EpW6pgJ2CCPxtvB3qJRhqkhE8pLWLSh937Sz3gkTiRISr3QkBqEgCiokzjRNgyVozobAi/EXIWTdmfbpEzmQna9zt6bmsleRDRTqrnw3cACawR/gNYnGQsmHEJBKDplJIjj/ITWOWAkJAn6SEm3u1iAmE2ODVQBsyaP19CE81US7yEUU3rRLRXXQkWoboHJMJg06BlviQejLhsLKuKn1CfD73BPddVlEs3r9OLIBFHEX6pyZDwRe4e3vbebThssq5S9E3cEzCWFu5q2809NHWJAfHdow68SFXdQuEz8d2MDNVg7ndzbbOhNdgyQCVrejv7X8+ETMhlkJLlQ/fEJZdYaMFfwQ2wF5CHEBDmp4Ok5BOETcBM4lYlIm6e/rE+T2CbgnrEgT/BN0EwgnZu9txpt9ICXxOrEdQlvuCuQExifEJlUmBJAnix0CUCX1IL3r3+1tCe2BJy+JrP9E9lRWJBSTglQnMAlwmQEgTGJ4RIEx1kfLjE5ATWBwgQJ88R4JBvsO19vjBQQDsA</t>
  </si>
  <si>
    <t>20088</t>
  </si>
  <si>
    <t>B1-SKD-13101-PYV01B-C4001</t>
  </si>
  <si>
    <t>TRIPPING SOLENOID 2</t>
  </si>
  <si>
    <t>@@UU@@C@@ABCYAAt0SQpjGQYxjGOcxznOc50oShCUIOlKEISlKjqQBCUIQpCkAQoCUgUBCQKApSVAABKFAAlSlAUpCAKUoCkqSA6lJSACgKAoCkJUACFJQlKgAAAAAAAAAAAAAAAAAAAAAAAAAAAAAAAAAAAAUAAAAAAAFAAAAAAAAAAAAAAAAAAAAAAAAAAAAAAAAAAAAAAAAAAAAAAAAAAAAAAAAAAAAAAAABCv8vJ1+X1ieb6f6E3ROaBOoTrlvdPk+d5Vv9Ec8Plumo8wef2R9nRb6f7/K3Gc3PK/h+qz/5ef65QTkrMaDK2QD/wCZbEMPoumAqQvXCyZxX71NMy/bfkL6coEFUH4yQkSlBzknPE0ITLDKJoKZsAkxUhA6UIFJQ/gAXQJCEiqCeCV/uyAmYIIvUBNEXqZIRtyktYtKHR+2bUCYSJwhDeCANcSAK6KyZoGV7FYjfQ0hFJ6EL03anlq1CS7JjKGyfWzyubM8T0ohsV+C2e74QE4AR/gOATfIWTDhEglB0ykkRv/mJwDkgJCQJ+khJvguAkJpbdrTs7Hb/X1IUT1xQBuIbVFdMrhLhXgtSLkO6BxTCXdzZGXgEg9WXBaW171XsE4+HLPgwV5RLdSnBiAifeNFc5Mh8kduyrRor1/DdevVch2Ym2xMom0YdfFq5p6qOsSA8Piw7ODhxIWbiGESui7CBkmt29zJ3mdCa63FAJYupHfqy/z4xMiGOQkuRD98Il7D3r+xdbxw3QFKEOMCHNVX0nxibomsCaolglQmc4uET5fcJrCe0SBP8E2QS4E7WD34DPf9YCUidWE6hL+6K4wTEJ4hMikwJIE+jFQJQJSpBqe3Rr5hPfAk5SJvn+ie6ssEgqJwSsTyAJgExgkCYhPGJAmKwjlxCfECcAHEBAnHEfNINDDm+7mBQQDsA==</t>
  </si>
  <si>
    <t>20089</t>
  </si>
  <si>
    <t>B1-SKD-13101-PYV01C-C4001</t>
  </si>
  <si>
    <t>TRIPPING SOLENOID 3</t>
  </si>
  <si>
    <t>@@UU@@C@@ABCYAAtzUQpjHOcxjHMYxjmOc50IQlCUIShKEISpClAOpIEIQhKVKUpKQKApCgKUpSVAABKAAAlKgKUBCAKUkAEgQBCEqSACgKAoCkJUACFJQlKgAAAAAAAAAAAAAAAAAAAAAAAAAAAAAAAAAAAAUAAAAAAAFAAAAAAAAAAAAAAAAAAAAAAAAAAAAAAAAAAAAAAAAAAAAAAAAAAAAAAAAAAAAAAAABCs4/n7PJ6xPL+H9CaROSBOsTsl3+r6/ueNbOaOWHyWzYPKHm9kfjzY+f+/RjymTllZk5PN/8vPNKCwlzZkGXnkA/8AmpUhl9NswFCFdosmcV5VOiZfyskLz6gEFEHokhIlKDmJOrE0ITLDKJoMU1wkxQhA9CECkof1ALYEhCRRBPBLozSAmYIIrwBNEV4pIR3pSWkXEh+nq1MITCROEIb4QBtCQBPQSZxlTXfUjYh0hFBsIVzdqfX1qRNUzGBx4e5c0ksAhVCho7lO9jwW4tICcII/wHCJwELJhyCQSg6pSSI4PSJwjngJCQJzyEm+K4CQnS3V7fTs7Hq3kJ5qaJR3kNynFaJaK4QN/GkWobIFnFOJbNtX7Iz/CJB+0+Ssrq00ewTw7+mfJdToEx4cV2UCJ++UTEkPojThL+3XprqqxWfMZ4n2xMondLtU7uponowdgkB48me3bvQp3ELhN+3IBnox7m7m3WdCa3HfAJUuGK9fP/PjE4c6GaYSXyofvlEsvs2LKvDDbAYUIcoEOpu09R4BPjE7YJrCVCUCbRxcAn0+4TtCe0SBP8E2wS0E1rvfcbVnrATEJ15DrEs+QVygl4niEzKTAkgT778AmATEpBh9unX0Ce+BJzEJwH+ie6kqEgoJwSkTjAS4TKCQJeJ4hIEvqI+q8TwAnEBmAgT7Yj7JBvMOj8+QFBAPgA==</t>
  </si>
  <si>
    <t>20090</t>
  </si>
  <si>
    <t>B1-SKD-13102-PYV01A-C4001</t>
  </si>
  <si>
    <t>SOL PopV TST HPSV 1 PARTL STROKE</t>
  </si>
  <si>
    <t>@@UU@@C@@ABDuAAuoSQpjHOc5znQdB0IOdB0oQlCUoUhKVAAoCUpSlCkpSBKQKQpQFKSBKgASoAAAABIAJUkCVJAlKUgUpSgASpKkoSoAAKAoCkpUACUqSlKgAAAAAAAAAAAAAAAAAAAAAAAAAAAAAAAAAAAAUAAAAAAAFAAAAAAAAAAAAAAAAAAAAAAAAAAAAAAAAAAAAAAAAAAAAAAAAAAAAAAAAAAAAAAAAAjz9zj8j3+pHlf0j6nUR4Ske1GN77uL19zuzuSd+eWp31ru8eD2ea34ZPP/f6ZtpiVmz67f/bv+C1Nh423CX/fYT/hG5mR589hhRmzpMkwJJ45Houk8OLRck6G4KZKbVoWWtTxLTm1dULpKlqupju3kXDhRQZEUlU8iJoRaY6X0szULSlKujhXWrAutaTCkwI8Xp1sJcipF50iw4EUL6RjVL0tt6Mjn1Izo/UxvyhdzLt3GjW5a+ZN3PMa15DB5sVzT0RHERP4OJHEqS0qc9FLU9dRZXF+KPnTbosikfnZF3zbrQLkeib7PgG+5nIisVcMPUw9DDnRnSTsp+2yjrCyNjiy+ngS+3TRZyasrFo2Ls1/sRxdXM2cWlGTPtDEw3LIs5LWdVvX8f0ZNPNy9TAvu4UbSPkbOxh0y5iu96KMTd2tKP3Y+FGEnXzjl8vVldBw8/VzmzTEi/g3GrK0MKiNtoGts3L38/WjWjXZGbC9zjRuIyZ+y52XtVNNGBFTUKm9qex2EfSjgI0oyIxI4XY6yO38EbyN1FI9yPlI2SN3R8dDgz8gjEj27T2oz9NJNJG2jjRqkXEWI+7bwIwIxSKYf86O/rR8aRe32NHSZH+o+GZcimReRlR2xG0jURSNKO0ikacqvs0o6pHXHWFI7tV9tjoypr8XekiSByg==</t>
  </si>
  <si>
    <t>20091</t>
  </si>
  <si>
    <t>B1-SKD-13102-PYV01A-C4002</t>
  </si>
  <si>
    <t>B1-TCS-1311-X31</t>
  </si>
  <si>
    <t>-X31</t>
  </si>
  <si>
    <t>@@UU@@C@@ABC8AAuJUQpjGOYxjnOc50GOc5znOc50pSpCDoUoCEqOBKEHQoCVAQlIFKQBKQAAgAAAABQFKSBSVJUBKUKSlSkpSACUpQAAAKAoCkoUACEqQlKgAAAAAAAAAAAAAAAAAAAAAAAAAAAAAAAAAAAAUAAAAAAAFAAAAAAAAAAAAAAAAAAAAAAAAAAAAAAAAAAAAAAAAAAAAAAAAAAAAAAAAAAAAAAAABCveDk8vX0Ceb+hO/sE8ZAnUJ+1fXPw+/wcz4V8Tzw/j4pp/wD8un85fr67n9+m5YU+qV3z2aP/jx+SeL0Tyx4kGaiQD/wCZMqF8vyAtIXL4tc3rlaFecT0R7J1/SqSv0ZgIJoLJISJSgh8sShDzEMLKU0F6bUJMOtCFK0IRiDzgGCBIQk1QTwS9OqQEzBBE4b+qRSUQtQsWkOf26LQTziSEknC78wGsSKoLUIXZpNpYXHhuI3hNKUGlCbVNopEzGcndNvJfayVAIWvRVMY9gCbQR/gNom0hZMOsSJREHvhJRxfuJtSyEkJAnqkJNwYs+4BOJ7HVfoA1ae70ISqIp3kPs0b+9VYJYK3BwIbQO2Jf4fbdGJuASD3ZK8FyVvg6ROPP3Iu8m5jEuUYMIFRNppoJ0JdFEs1M/HZkyYtV2rk+eKZ94TGJulmHTmJuzVqo6xMEkt5KNEs2FDLd3UKlPrsApu1696yfEdiyCZDRjnrvVWpAmC8B2cs9+iX8/aJkQxyEoPh3kMYlV7Fk7vaufTDlgKUIcwENOPpOMTvidgE1CViUibpx8QnL8RNAmcSBPgJrBL4JnwfLAdq97gEpE6tw6hL2wVwglgnIJiUmBJAnNZQJQJSpBa/zZpyCfKBJzTUJ9RX/onxuEwkFZOCWxOUBNwTECQJhE7wkCYbZH3YRO4CbAOICBOaI8PKHbYcvk+8VRAPmA==</t>
  </si>
  <si>
    <t>20092</t>
  </si>
  <si>
    <t>B1-SKD-13102-PYV01B-C4001</t>
  </si>
  <si>
    <t>SOL PopV TST HPSV 1 FULL STROKE</t>
  </si>
  <si>
    <t>@@UU@@C@@ABDqAAurUQpjnOcxznQdCEHOdCEIQo6EoQhKQAABKUpSlCUASpQFAQoCVKApIAKSAAAAApIAJAlSkpUBKUgUpSgASpIEJUAAAKAoCkpUACUqSlKgAAAAAAAAAAAAAAAAAAAAAAAAAAAAAAAAAAAAUAAAAAAAFAAAAAAAAAAAAAAAAAAAAAAAAAAAAAAAAAAAAAAAAAAAAAAAAAAAAAAAAAAAAAAAAAjz97n8r3/ujneZ/SOyj8Cke1F733cvr73fnek8M81TwrXeA8Xs89vHk9H9/rm22NWbPv+D/7eHxWpnZWiEwY7Cf8I1ZUejPYYkZs6TJMKSfjI9N0n347JOnqFL6ee0LLWp5Fpw1dULpKlqupju4EXDkRkWCkUlU8qJsotL6YKW3tmwulKVgnIutWJda0mNJgYUeToxG6uRaJgOuWGtFDhw2RlVMKW1aMsTMj9jjvfnDBru+W9G+4GCZdrPL1tGEhi899zB1hHKRP4OVHKqS0qdRFLU9dRZXL+SO2miiyKR+lkXdXZFkemZtetwa3qRbHVw5IU6eHYRsJJ8yenOjrCyM3a4Ut1kU6NN7obOa7Le9iObs3M+LQi/PtDGxXLIs6LWYZ6rc7R2r8re11VdjBxo20cTZ4uDclzJfg96KODt7yNxfxozk3Nkbu5kcXHp0NimJGDpaWjIzsSiNpnHJZc/nuo1I1WR3WJ7nOjcRk2M3Sy/PU0UYUVNIqb/scyPpRwkb6L0YkcTm5UfX8EcCN5FI9yOoRskb218dpxZ+gRjR7dt7UZ+ukmkjQj6EapFxFiO/owowoxyKYv86uvdR8aRga16OVkf6j4ZlyKZGAjKj6hG2jURSNKOwikacqu7pR2SOYdwUj7ar7LHclTd8f3REkD5AA==</t>
  </si>
  <si>
    <t>20093</t>
  </si>
  <si>
    <t>B1-SKD-13102-PYV01B-C4002</t>
  </si>
  <si>
    <t>@@UU@@C@@ABC6AAuMSQpTGMcxjmOc50HOc50IQc6AIUdCEIUpSVJOoCEHQpKlAQpQFKSpKQAAlQAAAAClKQBSVKUpSUKSlSlJSoCkpQpQAKAoCkoUACEqQlKgAAAAAAAAAAAAAAAAAAAAAAAAAAAAAAAAAAAAUAAAAAAAFAAAAAAAAAAAAAAAAAAAAAAAAAAAAAAAAAAAAAAAAAAAAAAAAAAAAAAAAAAAAAAAABCv93l+/r6BOXw/0JqE8BAnUJ+NnXRxeju997y8zzw/TzTo+gPq6frl+Hlt/v87cRc8kr3ixc3/7vg+ymMEUSvZEGdMgH/gEzbSGEwyAqQtwi2T8sqhXnE8cfrQv3VyV9raAgnBuyQkSlBDsxKEPCQwspTgvz3BJjwIWSUhCEYg8QBhgSEJNcFEEv00yAmwQRQ8MFRRC3BYnShz+aoJ7dAk1JvEwXZgbokWQVQhbOTcWF05MV5G+JnSozoT0T4M9Ym0bZS6Lb+FukqRC7Ahc8dkzNqATWCP8BrE1kLJh4BIlEQeiElHH+QmtMcJISBPJISfZy4QJieZvbmfc9/oQncIoA9jgQlt8O/XsCbAraOBDjA5BMHFaMvbEg1ZK/OYbZ3ezZ0ia5fBjErv7AHEZ8dBNCXniqrP+23cqv02W1mo1Zqd8TEJpL2K8S3t2vPo6xMUkyaack8uVD97++hjUs97IBXO/d4MU8pSyQjTkx13q7kgTBeA3LtHDTL+fjEyoZJCb1R6fhQyiWYL2bet9mHNAVIQ7IENXScgnxCbgJoErEqE0nJxidz1CbYmyJAnpE3wTACbOH14Tdv9ACXBOrYOoS/7orjBMQnKJkUmCSBPmxUiUiXFIKv87WjMJ64EoNFYmss/0T1WkxILCgEuidwBNgTICQJjE7QkCY7pHyYxNQJ7gHbAgTvxHe+UO2w7P2/OiogHYA==</t>
  </si>
  <si>
    <t>20094</t>
  </si>
  <si>
    <t>B1-SKD-13103-PYV01-C4001</t>
  </si>
  <si>
    <t>SERVOVALVE FOR HPCV 1</t>
  </si>
  <si>
    <t>@@UU@@C@@ABC4AAuPUQpjnOg5znOc50nQdB0IShCUoSpCEpUpIEpQkCUJSkAFJSlQEqSlQAAUoAAKUpKgJApSgJUpSkqApSUgSBKUpSAAAKAoCkpUACVJSlKgAAAAAAAAAAAAAAAAAAAAAAAAAAAAAAAAAAAAUAAAAAAAFAAAAAAAAAAAAAAAAAAAAAAAAAAAAAAAAAAAAAAAAAAAAAAAAAAAAAAAAAAAAAAAAAjzfP2Pb+ivQj635P6RxEetHtt0vT3H0TuSd6eKp3lru6Z/V4PwuxeP+9WTkPqVlz3fZ/9vt71stlWaYStVhP+EY/DkR481h9yMuBJjX0k78jy3Sffm5dyTyaxTFTwWhZa1Na0zVdULpKlquphu5KLnxKSUKkYkVKlPzRNCLTDS9S0PFaWUq10zL1ql9VSYEmBF5+PmwGtci3RMBYN9FDHjwUumBKRp0Y4mRHkL+it/94X929+uJFmttrTJ4MeiYlr5DBiw3NXEI4yJ/Bxo41SWlThRS1PTUWV1P2R1U00WRSPDZF3PziyObN5l3m76EVg+O3BDgc3BwM6M6SeZPLoR0xZGbpb6W56Kann2tGToOC7NlxvUjbsz39SMePPyB0WxcvI81bGXs9Tc2qw7z5FvhRpRk39za67YyL3tRR6HT3tvcRl4UZ0cl8vOhbXtOHm6+s2mnYRf5WrMRlGFu/z2kakbNkX87row7LhX+W1Izab20qsvYqa6L6KmoVMnpdZHMRukbiMKMCOY6vGj5vcjdR7EUj/EcojORt6PfoczN5xGwj18h60ZuJJNkjSjso1SLiLEfTpvovo2JFMHs4t7Wj30i82Ec5/qPdiY0UwrxGJHcEaEbJFI0o6yKRpxqdvSjqkdBE7dV2rHTlTa7/dJIgfA</t>
  </si>
  <si>
    <t>20095</t>
  </si>
  <si>
    <t>B1-SKD-13103-PYV02-C4001</t>
  </si>
  <si>
    <t>SOLENOID PopV HPCV 1</t>
  </si>
  <si>
    <t>@@UU@@C@@ABCqAAuFUQpjmQc6DnOc50HOg6EoQlCUqQhKVJUACVKQhKEqSlSgAQAAFJSpQFKUoAAJSBSQJUBQEqApKQKUpQAKSlKkpSoAAKAoCkpUACUqSlKgAAAAAAAAAAAAAAAAAAAAAAAAAAAAAAAAAAAAUAAAAAAAFAAAAAAAAAAAAAAAAAAAAAAAAAAAAAAAAAAAAAAAAAAAAAAAAAAAAAAAAAAAAAAAAAjzfPy996/Miz+kfAjtqR6Ueu3F5/m+mdmTFO/U7i13bO76PBb7tnw/3+mTadpWXPdvf/bud21MruNUJgtYT/hGvGj9c1hzEZM6THL0k70jx3Sfbmsk8WsUxU8FoWWtTvLTLV1QukqWq6mG7eRcJ7ypQ2UWlU/BEzosuVipalsWLFcMEpSr50F1qwrrWkxJL0d7YeTYNbAi2TnGFcOeikX42BdL0oXUjaz44mRHiL35Qu3btz3cSNDcXzHflmJbAQv8GG5op0xHGRP4ONHGqS0qcKKWp56iyup+KORNNFkUj87Iu9/NJ4auR4pl3295UVfXDDedC/gZkZkk8b9krMjkFkZePnpbpop5NWvRklsmP0I6mNll+lGLLnHycUw4FkeSuTPxc7zcXNxseQrhRpRiZeDd5W5gYsHrRR+7f+LmIw9FGYnV2s2gadXQ6O3um1ejBw623nIyDpfz8qNaNuyM71OBGlGPRrxfHU0UcGvYRdNQqbmD0OsjlRzSN1GyjCjgdbqo7HsRvI3UUj1I5pGcjd0e3Q5+byiMKPTtPSjN8KSaiNKOVG3IuIsR9em9F6MMimx/nFv7iPbSMDfYkcjZf6j2ZFyKbLARjR2RG0jbIpGpHaRSNWNXZ1I65HSHYFI+qq+ix15U3Pv+yIiB7gA=</t>
  </si>
  <si>
    <t>20096</t>
  </si>
  <si>
    <t>B1-SKD-13103-PYV02-C4002</t>
  </si>
  <si>
    <t>@@UU@@C@@ABCSAAt4UQpTHMc5zmOY5znMY5zoOg6EIQpCEKAhSUJShR0KSpIFKSpKAKAhIAAUoAAAUpKlASBKgJABCkoApSVKUBKVISoAAKAoCkoUACEqQlKgAAAAAAAAAAAAAAAAAAAAAAAAAAAAAAAAAAAAUAAAAAAAFAAAAAAAAAAAAAAAAAAAAAAAAAAAAAAAAAAAAAAAAAAAAAAAAAAAAAAAAAAAAAAAABCr8Pf5+z1CS/oTiE+uBOsT8uyfH6+b6XmW+/hD9v3To8QePq8kvN+tX9+erKfZ+cq/NZ4//uy++iMMUSnYgzlIB/4BM2hCsrkB5EKsQuDB+krorzidEemhfLekr6NAEE4NySEiUoIa4lCHOQwspTgrnqEmgcMMAQt9CGIOgAxwJCEicXoJQSzZZATYIIoeCCkohbosXEOe5+1IUbFwSfG78gN4SL8Nyqd4KCIurlkA22YUaxMaXKY0oUbM6Ni8JJ3dguOzRVcxt8lSCF3ouzMkdsBNYI/wGsTWQsmHfEiURB64SUa/xE5EywkhIE88hJ/DbiAmJ6HDq0+n1ISpI3N9DVp4N69TkEyCvJhHGhrAmJi4sIy4RIOm3pyVEqsHD1CclXy4rRMGLIB8Rs00E0On5qc3a3dePubWHDfwGiJ8Alom+ZL2Xkrov7uDa2+wTJuTTe/enanjzIV/AhapltAp04uCyWc7rJDgz204QSoD35cP88olqFkhLcfs76FgmDLZm26u1DmgKUIc4ENPUd4T5xNQJsiXhKRN473dE+j2iaRNAkCewTSCYgTRj92M26+kBLonXkOsSvjFbATKJ4BLVJgkgT6stwS4JdUgp/zt6s4nugSg1XhPjL/+ie2omJBfKATAJ4QEyCWgkCWCcokCWYCOawTuAnEBygQJ4IjlmHyMOfy+JBBAPeA=</t>
  </si>
  <si>
    <t>20097</t>
  </si>
  <si>
    <t>B1-SKD-13104-PYV01A-C4001</t>
  </si>
  <si>
    <t>SOL PopV TST HPSV 2 PARTL STROKE</t>
  </si>
  <si>
    <t>@@UU@@C@@ABDuAAuuUQpjoOY5znQc5znOhJ0JQpKEqQhKUqAlKVKQo6VKSpSgKSoCQKSBIEqSAAAAApIAJUkCkqAlSVKUBSgASpIEKSAAAKAoCkpUACUqSlKgAAAAAAAAAAAAAAAAAAAAAAAAAAAAAAAAAAAAUAAAAAAAFAAAAAAAAAAAAAAAAAAAAAAAAAAAAAAAAAAAAAAAAAAAAAAAAAAAAAAAAAAAAAAAAAjzdvsevxvMjxv6R2XIj7ikelF713bfP2+7O3J3546nfWu7x4PR+NvDj8n9/rl0r1Zc3e7//2+3wWpmeJrhMHDYT/hGzKjyZ7Dwo3dCTJNxJPFI8t0n35rJPf3xTFTTaFlrUyrTn1dULpKlqupfd7sb9RgHQRURkRVU/BE0ItMdMFLWfldcKlKVdLVWB0bWkwpNxHi5b2E32BFpHIUONFDIwZFzGqmFLtenLEyo/YxEzwu4Lt+9HMbGCY+LpVuZpjXYQwURfzbrmm3VEbSJ/BtRtVJaVOgilqeeosrb+aOsmqiyKR+lkXdPgaRcjyzTws+EcLnfuisVcPHC90cOdGdJPlTy6EdYWRu6nxa0u6aKcufGz5bcuWvQjrZG7h1IxbugcjDcsizlss5HTx8HVw4+fk+dXGjQjgX+9zd6XL7vWii9wasyPMxcSMJPpzDZqxt5xcevomFF2bbx8xvZWhiURqaBsaLmB/PZRsRssjcep9CNiMW7w4vmqaqMCKmsVODD6HXR2Ec8jmoxovRxOv8aPq9iN9GxFI9SOkRnI2aPbocOblEXo9Ol6UZvgSTWRqR2Eb0i4ixHd1biNxF8imH/OpztiPbSMDnMSOoxv9R7Mq5FMbARkR2hGlG8RSNaO4ika8iu1rR8JHXG0Uj66ruWPklTZ4fskiSB7gA=</t>
  </si>
  <si>
    <t>20098</t>
  </si>
  <si>
    <t>B1-SKD-13104-PYV01A-C4002</t>
  </si>
  <si>
    <t>@@UU@@C@@ABC8AAuMSQpjGMcxzHOcxznMc6DnQc6UJAhCDpSpCkqQlJ0nSBSlJUpSkKUBAAAUpQAAAAClKQBSVJUpSUKSlSlJSBSkgOBQAKAoCkoUACEqQlKgAAAAAAAAAAAAAAAAAAAAAAAAAAAAAAAAAAAAUAAAAAAAFAAAAAAAAAAAAAAAAAAAAAAAAAAAAAAAAAAAAAAAAAAAAAAAAAAAAAAAAAAAAAAAABCwcvwfh1bRPH/Qnx8YnhIE6RPyu9U+v01fO8q8zzw/XzTT/UH2dH2y/Hz3v7/S9jLnmlf8mO7//N4fFRFETyy5EGaiQD/wCbmZCwskB4kL+EWuvzyuCvOJ5Y/adfvqkr7W6BBNBbJCRKUEPjiUIWEMLKU0EsHXEmHUhCpdQiIPIAYYEhCTVBPBKX635gOChkQRQlJNC3BYnQ5/RTSE+egSYTW9mQGoSOKuRTNNM1XIIGCS5cl9G+JoShTQhNpmx7tQmc3Sh0XuDE1yiKAQp8tUxi4wE2Aj/AbBNhCyYdQkSiIPTCSjvfmJsTHCSEgTzSEm9vJoxATieh3rKAN7T721CVWeJVakLtB2eGrEJiFbw2Id4DviWY9d9ZuISDbhu0Yb01e04qegTXf9zIJXZjA7potnJkJbYz023K/BRl03qqDJNviYhN0w37SWm5hwdQlkkrw0ZZW40P3v9hCpTud+1CrBXwcFs+U4WSG/uZbtlVMgTFgA3s+qjDTL+eQTOhmkJQer4UNwSqzLm36+1DmgKUIc4ENPQbBPiE3gTriVCUicJs1ifL6xM4mYSBPUJqBLATNh9mE3sG0BLgnTiOkTB3BW0ExieATIpMCSBPox0CUCXFIKf849O4J7IEnNNQnbLv+ieu8TCQXScErE+QBMQmQEgS0T3xIEtrI5LROME7YHdAgT5ojl5A91hzfd9IqiAdY=</t>
  </si>
  <si>
    <t>20099</t>
  </si>
  <si>
    <t>B1-SKD-13104-PYV01B-C4001</t>
  </si>
  <si>
    <t>SOL PopV TST HPSV 2 FULL STROKE</t>
  </si>
  <si>
    <t>@@UU@@C@@ABDqAAunUQpjHOdBjnOdCDoQhB0oOlKUoQlKVKAkCkpUlKEAUlKlJSoCVKApIAKSAAAAApIAJSpSUgSBSUqAlSQASpIEJUAAAKAoCkpUACUqSlSgAAAAAAAAAAAAAAAAAAAAAAAAAAAAAAAAAAAAUAAAAAAAFAAAAAAAAAAAAAAAAAAAAAAAAAAAAAAAAAAAAAAAAAAAAAAAAAAAAAAAAAAAAAAAAAj0dzte/yP2R9TyP5R8yPCUj2oyPfd1vX3O7O5J355KnfWu7x+Hs8tvFh6P68+bSyKzaO94P/t4LrUzsGmEv5thP+EbuVHo0WH4oz7KTLMSSeOR6bpPDosk6O8KbFPLaFlrUzLTm1dULpKlqupbJrRcOeiojBFVT8kTZRabFL6Wsy+a4XylKvlqrE6FrSZEmJHj5MjGal6LSOoUOYihlX5V0xJgXZ9OaJmR+psE/SF2u7lZEbzUvmHDnmwteQrF+eS/ZrpiOIifucSOJUlpU6CKWp66iyuLzI4026LIpHnsi7paBZHpmblt/lvUi2Orhww+R0cedGdJOwnp0I4hZGfq81LdJFOTc2GjLbDkfRg9iOPP2da2JtZd1GfFp2x1l2S9ciz1Wsxrq2tOHK6uFzDst2/hRpRtsfBv6pcyXe9FGvj5SNLJwIzk5egb+7g53Bt8JiRdn39xt4NDIojaaJNVc+5e/jto3kb1kceDI9zso1Iy6Odl7FTcovRU3RU1+xxo7SOcRrRsIxo4XH1kfZ8Ea0akUj3I+MjZI1bX+bTg0cgjIj26XtRo6iSbhG2j6Ubsi4ixHd28SMSMkimP+/l5mpH+Ui9zGwjiYP9R8My5FMF5GVH1iNKN0ikbiOmikbmVXb3EdQj5x1xSPuqvtsdeVNXi++IkgfEA</t>
  </si>
  <si>
    <t>20100</t>
  </si>
  <si>
    <t>B1-SKD-13104-PYV01B-C4002</t>
  </si>
  <si>
    <t>@@UU@@C@@ABC6AAuLUQhjHOc5zHMg50HMc6DnUc50IQk6UJAlCUgQlCEnQACVJSoCVKApIAAUkAAAABQFKQBSVIApSUJSpSlISACVIQAAAKAoCkoUACEqQlKgAAAAAAAAAAAAAAAAAAAAAAAAAAAAAAAAAAAAUAAAAAAAFAAAAAAAAAAAAAAAAAAAAAAAAAAAAAAAAAAAAAAAAAAAAAAAAAAAAAAAAAAAAAAAABC2PN5Py7OkT5/T/QnAJ6CBOsT9L3ZTxe6rzvmXkeaH7uSin7Q+/q/CfV7L/9/tfxFznmv14p//k9HLajYimb9iDRakB/4BMmVDAYJA5UK8AtVXsm4K8wn5x7aV/G6SAd3MBBRBuShJMwQ+mJhDAQwszRBOkScEJvIQqXkIiD1gGGBIQkuwUwTPqz0AUsEEUpaKIW2LE0oc3726QpzWhKBOJ3pA3BI36pLdFFDbW6krjsrRrEzpaUzoUaKPluCbRmKXPVwatlqJ57gIXc9VGLwAJrBH+A1iayFlh7gkTEQe6EmNf6icaWQkiQJzyJR38mECgT2te3o28/ShRcIpA3d5DTn7nbvYhMQrWOFDvAaxMPDfGd8SDoyXcFU3ujvRe6hNfj0UzjEqwYgOI046ShCenJNy9dxUU+Hjy7deC/V45jJNreEsExlmPITc03c+jsE2ZTcpxTtWIbtfaQxKZrALld7tbNGM1Moasdl2u7bkEwVgaaO3TP8+UTIhjkTVbPf5EN/aEqwZMuqvfhywFtCHMBDb6jWJ3RNsE0iXRLYmo8PCJ9PwEziZhIE94m8CYATLh+OE3djoAS4J17J1ibHCK2AmIT5hMalAJIJ58VoS0JcUgt/5waNoT4wJSaLonGXv9E+F8oEgvFIJUJ9ACbImMEgSwTgEgSyojy2CeAE74HiAgT64j6vIHiYcvL9iKiAfIA==</t>
  </si>
  <si>
    <t>20101</t>
  </si>
  <si>
    <t>B1-SKD-13105-PYV01-C4001</t>
  </si>
  <si>
    <t>SERVOVALVE FOR HPCV 2</t>
  </si>
  <si>
    <t>@@UU@@C@@ABC4AAuNUQpjnOdBzoMc6EHQc6EJQhCUJShKEqUpSlAShKkJUlIFJSBQEpAlIAAUpQAKUBSQJUACgIUpSkqApSVKSBKUqSkAAKAoCkpUACVJSlSgAAAAAAAAAAAAAAAAAAAAAAAAAAAAAAAAAAAAUAAAAAAAFAAAAAAAAAAAAAAAAAAAAAAAAAAAAAAAAAAAAAAAAAAAAAAAAAAAAAAAAAAAAAAAAAjzdzset+Dyo+l9z+UdIj0o9duPz9t8s7cnen6VO8td9Rn9Hf+y7J4f606+yzqvz/Q/+u73rX2VZohKyWE/4Rk8GVHhvsOei/EkysKScsjx3SfXm5tyTxahTJTv2hZa1OVactXVC6SparqW3kWx17istRLCkl0in3omwizWpgpayhaUpVpZVS5VSYElsCOXyYmA22BFv1bZYOcihta9MVl0wplNGzfEvR4jG/OF27d+NIxo0ttdMnf6GxMi2EMtEY8uS7P0hHIRP3ORHIqS0qcSKWp56iyup+SPiTaosikeCyLveziyOGdFfvt/yorFXDDyN7o4uFnRnSTEnjzo+EWRfx5+BLvdRTaftp2b/fXWzX5HoRx2Z8OlGPNsj4GK5ejyVvNzRdm5PNh18nNfHrVdz0bSMG9uX9dj3mD1oo8zg4OZsov6CM6MW6+TdFrtvU4eht8TUxIwY9HFpzkZhkb38dlGpGmyNh10aXE4GpGbT1dya/YqcyjCipqFTX87qI4Uc0jdRrIxI4XJ00dr2I3UepFI/tG+RnI3Nj/Nhzs3lEY0enZelGbjSTaI0I66NMi4ixHz6MKMKMcimL1dPf20f5SMDGj23+o9mRlRTWYCMiO0I2EbRFI0I6yKRoyqdnQjrEciJ81V3LHVlTV9vdJIge0A</t>
  </si>
  <si>
    <t>20102</t>
  </si>
  <si>
    <t>B1-SKD-13105-PYV02-C4001</t>
  </si>
  <si>
    <t>SOLENOID PopV HPCV 2</t>
  </si>
  <si>
    <t>@@UU@@C@@ABCqAAuCUQpjHQc6DnOc6EHQdCEoShCkpShKEqApQEJQpSEJUhSlASlSgKSlIAKABIAAQACAJUBQEqUpSQKApCgKUlKkqSpQAKAoCkpUACUqSlKgAAAAAAAAAAAAAAAAAAAAAAAAAAAAAAAAAAAAUAAAAAAAFAAAAAAAAAAAAAAAAAAAAAAAAAAAAAAAAAAAAAAAAAAAAAAAAAAAAAAAAAAAAAAAAAjzd3s+rwvKin9I4EcqkehHqtw+bufRO3Jin3VOZa7lO/5/Db6tX8/758mu5VZc/Lf/9ubv2plYGiEvtYT/hGnVR+WWw6iMmZJjmBJPBI8d0n05rJPFpFMVPDaFlrU8C06VXVC6SparqW6KLTFURi6y0oVLSKfaiZ0WYqX0tg571wvlKVaWqsDftaTCktgR9fkwrzoL0W2ih00UMapfjWmBNUsLtGvkiZEeI1OeueF+5dt0jEjZdBdMe9mmJa8hg+/DdrdcRxET+DiRxKktKm+ilqeaosrj/BHYTRRZFI/GyLveziyPFMm42/1RWCt6HTb+CzIjIknjfolZUcYsjJ8G6lvdRTyaM+OY9Xr+dFcWNlmpoRiy5xvcLDesjgrr+Xscf7ZdzGx9krqo0I3mbe3O06F7Ff6kUYX7uls7aMW+jMS2XENfR1d/RyF6LursNGjMRkHW9z+fnRpRpsjBrPS7SOpf29lGbTf8nUy9mps0aiKm0KnR8740Z0e2RuIxI1Ebz4vhR3PWjcR0UUj0o3SM5G3rezWdPN5RGFHo13oRm4Uk2CNCPlRpkXEWI72jAjAjDIpqf57+7tI9lIvbrEjjar/UevIuRTVXkY0d0Rro0kUjYRwIpGxjV3NhHIRyDhFI71V81jklTa+zmiIge0A=</t>
  </si>
  <si>
    <t>20103</t>
  </si>
  <si>
    <t>B1-SKD-13105-PYV02-C4002</t>
  </si>
  <si>
    <t>@@UU@@C@@ABCSAAt2SQpSnMc5zHQc5znMdKEHQc50JOlJ0JSA6UgSlCTpOlQAAQBQFKSlSgAUkAAAUBKkqUpSgJABCkpUBKUqUBKVISoAAKAoCkoUACEqQlKgAAAAAAAAAAAAAAAAAAAAAAAAAAAAAAAAAAAAUAAAAAAAFAAAAAAAAAAAAAAAAAAAAAAAAAAAAAAAAAAAAAAAAAAAAAAAAAAAAAAAAAAAAAAAABCv/Rx8nR7RJf0J2hPrgTnE9HRPue7w/U+Fbr+UP2eSdPGH3c34S8363v79N7GYfVK/5qeT//t+/8bUX4pKeRBnKQD/wCbuVDAYJAakL2EWuv9JWxXkE88eyi+W5JX15QIJwaZISJSgh3olCHIQwspTgloElggA1wwBC3YYEg84BhgSEJFyCkEjNdpMCjBBEktE4WoWJUQ5P2qoFMtoSfppldVAOsJFeuTclObUttkAZMF8pCl8SWZKjMhTPPfhC4JumUm5r29hbpK0CFX53L1MHbATYCP8BsE2ELJh1CRKIg90JKNnoE7yWQkhIE9UhJ6+nhXvxQT1t/Rn9ntQlURp4UIzdfVbpiExCu28OBDvATEv93cGWsSDlsw1ld3Xy8wkbb3HgyCV4MQGw36qE0NlrR3+11JcWiuu5xlkT4RLBKzBh29Oem5n0dAmKSda9+9WamTIhucKGNTFWBVucOKVhvskOrksqvAlYHBLr/z8wliGOQlmH36ULBK8dmTVr03+xDvQFOzdQm74EN21zG0T5ROAE4BLolsTUbdgng+AmgTMJAnvE0AmAEzYfjhOrf5QEtic+I5xL/EK2AmMTjEyKTBJAnix2hLQltSCr/O5n3RPjAlDPcE2l3/RPheJiQXSgJWJ4AExCZASBLBOyJAllZHz2CcQJ2wOwBAniiPpmHyMO75fGgggHSA=</t>
  </si>
  <si>
    <t>20104</t>
  </si>
  <si>
    <t>B1-SKD-13106-PYV01A-C4001</t>
  </si>
  <si>
    <t>SOL PopV TST LPSF PARTL STROKE</t>
  </si>
  <si>
    <t>@@UU@@C@@ABDmAAulSQpjHQc5zoQc50nOdCEISlCUpShCVJUBKUoUBKUJAhKlKSkAFKAlKgAAkAAKApKQKSlIFKUlKlKUpSQASpKVJSoAAKAoCkpUACUqSlKgAAAAAAAAAAAAAAAAAAAAAAAAAAAAAAAAAAAAUAAAAAAAFAAAAAAAAAAAAAAAAAAAAAAAAAAAAAAAAAAAAAAAAAAAAAAAAAAAAAAAAAAAAAAAAAjy9rr+30I8T+kdxwI8BSPWj8ntu6fp+jtztSd6ffU7y13dPB6vwtox+T+/Hr8dhVr5fq7v/2+vv2pleFphL+/YT/hG1ro8maw15GZJjl6SeGR5bpPs2LJPg2hTFTPaFlrU1LTlVdULpKlqupbkItMVRvIqIx1UiniRMyLMVL6W83PsLpSlXxaqwOda0mFJbAj7v2wrzbXotI4ChvIoXY1pemK7ToyRMiMHlKmKqfpC/k3X7mJFtlt4EVUyb2WY1ryGD8cN2LgEdQifwdRHUVJaVOcilqemosrh/NHVTRRZFI8dkXdDcZxcjzTdZcA3XJ9CKw1+u9Dmt/WzIzJJ8KebOjhFkbHT5iW6KKefViZcluiyepHocOXW0IxbGcZGzhvXIsutZqZNGv8XQ4Ohy9jbfGtvouRvM/N5OWXMN3tRRhbunbbaMXNRrE7GUbmDRjb7e39POaylIu39TT++RnSNhmRtM1y9/PzI2UbNkex8qNlGHTyOVi61TVRgRU2RU5HW9TiR10cwjdRjRhRvOLqo+f3I3EbiKR7Ec8jMRuZ/fncvL5xGFHr471oy8CSaSNCOwjVIuIsR29GBGBGGRTW/zpbu0j30i9usSOkxv9R7tdcimNeRkR2RHHRqIpGlH0opGnIrs6UdMjiHCKR16r5LHFKm19vckJIHGA==</t>
  </si>
  <si>
    <t>20105</t>
  </si>
  <si>
    <t>B1-SKD-13106-PYV01A-C4002</t>
  </si>
  <si>
    <t>@@UU@@C@@ABC4AAuLSQpjGMcxjnOc5jmMc5znQk6EJOlCUoAlSUIQBSEJSgCgJQkCgKSlSQAUpQAAABIAKSlSQJUBKkJSlIEqSBSFJQAAAKAoCkoUACEqQlKgAAAAAAAAAAAAAAAAAAAAAAAAAAAAAAAAAAAAUAAAAAAAFAAAAAAAAAAAAAAAAAAAAAAAAAAAAAAAAAAAAAAAAAAAAAAAAAAAAAAAAAAAAAAAABCxfbx9PMJ6P6E8e8J+RAnQJ7PX0z8Hw8X4PiXyvJD5PLNP+Iebnul6fdg/v24LS9+ssPqt63/+TzeeiMcTyz5kGaiQD/wCaNKFhZIDAJYLXX7pUivIJ645Z1/OqSva2AIJoLZISJSgh9EShD9CGFlKaCW0JLHCbiEANakHqALIEhCRVBPBL067ZgJ2CCKBpJoW8LEp0OT96Zwn00CTCa3syAwCRXBR9E0zSsLluwo4RNhMTTBFiE/Vm0xUJmNEyEQ7FeDrysb5NSgTwoXtFc05vAJwgj/AcInCQsmHbEiURB8ISUcHsE4UthJCQJ7ZCTdrLsZAJxOVt2bKQNnV+31cyE18iqrsoberclVcJcK4ByIcAHcEx8vBhGbtiQe/JXZglv4N3nE5ju2ceYS/juAwGrLOTISqjRTr3dnf26Otg6s3eMs+4JQJeLMmYlrvatnpExyS/lo0yz6bkMO2hUp3bQL2GvR2LZ8puSghDr5steKqASzEhbnnx0S/n6xMyGaQlHx40MwlV2XPtX9yHPAUoQ6AIaec4hO+JsgmoSoSkTWcXcE+z5CaRNAkCfETsAmME0WfOw2sXvAS8J0ZDoExborcCWid8TKpMCSBPvtoEoEvKQU/5vas4nzgSc1VCdsr/0T5YCYSCsnBL4nhATIJlBIEuE7wkCXXyPBcJvgm6B9IECfdEeHwBxMOjz+MFRAOoA==</t>
  </si>
  <si>
    <t>20106</t>
  </si>
  <si>
    <t>B1-SKD-13106-PYV01B-C4001</t>
  </si>
  <si>
    <t>SOL PopV TST LPSF FULL STROKE</t>
  </si>
  <si>
    <t>@@UU@@C@@ABDiAAugUQpjHQc5znOc6ToOdCFISdKAIQlCgKAoCVISA6UqSBKlASoCkqSBKgAUkAAAUpSlKSpIAJSBKkgSpSgASpKlISoAAKAoCkpUACUqSlSgAAAAAAAAAAAAAAAAAAAAAAAAAAAAAAAAAAAAUAAAAAAAFAAAAAAAAAAAAAAAAAAAAAAAAAAAAAAAAAAAAAAAAAAAAAAAAAAAAAAAAAAAAAAAAAjz9vsevzI+h4X8o5Ud4pHpR43ru2+f5u5O3J3Z99TurXfWd70eK2vH5P6/LLpYVZc/0/Z/9rfdamZjaYS/7bCf8I15EeTPYZZGdJjl6SeCR5bpO9msk5NYpip4rQstanfWnDV1QukqWq6luei0xVHRRSRjJTwomhFmKl9LfrxWF0pSr4tVYHJa0mFJbAjwYsK8316LSPDylhwooX5FpeltW7kiZEfmYcxX4Qv2XcGJG8u9ukVUydHPMS15DBu4bs3SEbSJ+5tRtVJaVORFLU89RZW3xo6ibtFkUj8bIu97QLI8sy7HBscyLbmu1444eZfyYc6M6SddP00I6osjPtycKXdJFObXjbmjLd0mXG9COp5mjDqRj0aRlblyyLOa1mBnu+LTwbOnkzN1hct/Gi9HEy48uuXMN3rRRo26WtGHjRmJ8Gcb2vG3+Lj1cDcUpF2bh1tX7ZXOSNxoHuWXP47KN5G9ZHZep2EbyMWrM48fw1NVGBHFabwqbNnodZHxo4iOgjIjCjkdbqo7XsRsRz0Uj1I90jQRz+d/nOcefmEYUenS9KM/TSTURuo7CNci4ixHc3cCMCMMim5/fv9DfR/lIvdBiR0WN/qPZlXIpjXkZEdoRpRrIpGpHKikasivl1I2kdYdcUj56r5LHUlTf7/1QSQPaA==</t>
  </si>
  <si>
    <t>20107</t>
  </si>
  <si>
    <t>B1-SKD-13106-PYV01B-C4002</t>
  </si>
  <si>
    <t>@@UU@@C@@ABC2AAuGSQpTGOcxkHOc5jnOc6DnOg50HShCEIApCgIQpSDqQlKgKShQFKSBSQAAlQAAUBQAKUhSVJApSkKSlIEqSACVIQAAAKAoCkoUACEqQlKgAAAAAAAAAAAAAAAAAAAAAAAAAAAAAAAAAAAAUAAAAAAAFAAAAAAAAAAAAAAAAAAAAAAAAAAAAAAAAAAAAAAAAAAAAAAAAAAAAAAAAAAAAAAAABCvfV4O3qE+z8/6E4hPwIE7BPR5+2jk9ni+t8S870Q/fzzo+4PJ15Jfr6rn9+m5hLf7Su+bD5P/5/x8tMX4oldxoM6ZAP/AJs5kLCyQFwSwWuv1StCvQJ549dC/lVJX4MwEE4NUkJEpQQ/pEoQ6CGFlKcEtsSV+E4EIAaxII8wBZAkITKoKIJYtUgJsEEUDSThbQsUIdFH72pBRlpEmJyO/IDbEiuCnhnNtLvSXJjvI3hNCU30jQhRpntVCZTPQhEOiLm7gayVAIWrKp3uIBNYI/wGsTWQsmHUJEoiD2Qko5PQJrTDCSEgT0yEnw47AJietu6M+jv9SE7ZFAGreQ+Xa4N6vCJhFbo2IawK+USzkujLhEg6cld+y7PiufDv3OsT5J9RHzZRLk8GQC6T05KShCXTFu3XRsWbPVpuX8Ox3iunfEpE3TBhxktVvPo7RLJJpowSzZsSFzcQwKd7CBbu17uCeI3pQQhtY8VV2qAS/dAwaKN+mX8/QJkQySE7tr28yGyJXjyZcFndvcEOWAqQhzAQ1dZyifOJtgmkSoS0JuHLrE8PuE0CZxIE9om+CXwTPZ77DcvdICWxOzAdgl7jFcQJhE8AmNSYJIE8eGkSkS2pBa/zj0bInvgSg0VCayv/RPdcJiQVlAJsCeEBMAmMEgTEJ8QkCYtgj6cQnxgnGB3wIE8cRzcwa2HL5ftUUQDuA</t>
  </si>
  <si>
    <t>20108</t>
  </si>
  <si>
    <t>B1-SKD-13107-PYV01-C4001</t>
  </si>
  <si>
    <t>SERVOVALVE FOR LPCF</t>
  </si>
  <si>
    <t>@@UU@@C@@ABCwAAuHUQpjnOdBznOc50HOdB0JQlCUIQhSUqApKgJQlSEqSACUpUBSVASBQAJAoAFKApIEgUpQFJSBSVAApKlJSpSUpSAAAKAoCkpUACVJSlKgAAAAAAAAAAAAAAAAAAAAAAAAAAAAAAAAAAAAUAAAAAAAFAAAAAAAAAAAAAAAAAAAAAAAAAAAAAAAAAAAAAAAAAAAAAAAAAAAAAAAAAAAAAAAAAjzfR8vsedH1u+/pHSI9SPZbk9HadudqTuz9andWu+wz+nwffdi8f968m2wqyZvqxf/bud216yrNuErVYT/hGLw40eLLYfcjLgSY19JPwkeS6T7c3OuSftsFMVPBaFlrU7y071XVC6SparqW30WeRWOolhSTFSpH4omhFzapepaFSlKtLVUuVUl5J376L3lo2MJfRdZ4uQq4ONFDVkw0umBNO3kiY0fuYM29Ut4YX+bdf2ka2xeiY/y9/RMV+rrEMGLauy8gjqET+DqI6ipLSpz0UtT0VFlfJ+aOqmmiyKR+lkXdHOLI450GXfc3zorBXHDgcLn4MyMySeVPJnRyiyMvT4Et8KKanm158nxK6ObLsZHpR09GDWjFo0jIwXMqPLXwYsHY1XsfMv4r2hvuxdVXuJF9GXXu6+uw7y97EUaHN0bqOHLxIzo3m7xi27scXHsyNbAi9xavPmIyjBtNFb/89lGtGuyOsjW5jnNxGfNsmLr1NlF5FTcFTH6HKjhRvkbyNpGBHC+PkR8/tRuo9aKR/iOeRnI2aPdocGbzCMKPVtvUjN0kk1EaUdZGuRcRYj6dN9F9GGRTB6+Tf2I91IvMKOg/1HtxMaKbS8RiR2RGhGoikaUdVFI041Pm0o5SOVE7dV1rHVlTc73cEiB7wA=</t>
  </si>
  <si>
    <t>20109</t>
  </si>
  <si>
    <t>B1-SKD-13107-PYV02-C4001</t>
  </si>
  <si>
    <t>SOLENOID PopV LPCF</t>
  </si>
  <si>
    <t>@@UU@@C@@ABCiAAt+UQpjnOkxznOc6EHOdKEJUhKUpQhKEgABKkoSpSEJSBSgKQoAFKQpQAKAoAAJSBSUqAlQFJUpSVKAlKgKShSkpSAAAKAoCkpUACUqSlKgAAAAAAAAAAAAAAAAAAAAAAAAAAAAAAAAAAAAUAAAAAAAFAAAAAAAAAAAAAAAAAAAAAAAAAAAAAAAAAAAAAAAAAAAAAAAAAAAAAAAAAAAAAAAAAjz/Rx+vzI/J/SOsjtqR6Ueu3X8/z/TOSS+fjU7i13bPs9Hgt9uPx/34suyxKy5+13f/t3brUzO40wmC1hP+Ea8aP1zWHeRlzpMkwpJ90j9rpO9nsk5eaKX08FoWWtTvrTo1dULpKlqupbcRaX1EdRUoVMdKR+CJoRa5fS1LfnksLpSlYJaqwt+1pOYk+/EjB5KNtewous4Cw3kUjBjWmBKFtOnHEvRymLKV4YbOH3cG5zsiMLac1iiZt7YmRbAPFUSYst92jgEcJE/g4UcKpLSpvopannqLK4vCjsJqosikfpZF3V0CyOWZeg3PKisNdOHTbzfxZkZkk5X7pWdHELIzfB0Et1kU8mrPkmTHqehGbf4fK2JfqRk0Xj32K5ZHXq7Fj83V5zCv5rjLbqLkdJl17fyM/vYWPD60Ua2Hc7G0i/po0ExZtA03at3e1cRgRdu62rpZyMw6n8/KjWjVZGv1PjRqRk2ejf8VTZowIqaRU2/Q7KONHPI20XoxI3XZ4kcnsRto2kUj1I3iNBG1se3YdDP5RHMR6dl6UZ+BJNRGlHGjXIuIsR9WnCjCjmSKYv84OftI9tIwOevRwsb/UezKuRTGwEZEcgjZRrIpGpHaRSNWRXJqRwEdgfMKRyVXw2OzKm13/rgiB7g</t>
  </si>
  <si>
    <t>20110</t>
  </si>
  <si>
    <t>B1-SKD-13107-PYV02-C4002</t>
  </si>
  <si>
    <t>@@UU@@C@@ABCOAAtxUQpTHMcxzmOc5zHMc50nQhB1IShKEIUpKFKShCEHQpKVAQBSgKUhIAAUoAAAUBKkgUpSlJABKUJABSUoUBSEpQAAAKAoCkoUACEqQlKgAAAAAAAAAAAAAAAAAAAAAAAAAAAAAAAAAAAAUAAAAAAAFAAAAAAAAAAAAAAAAAAAAAAAAAAAAAAAAAAAAAAAAAAAAAAAAAAAAAAAAAAAAAAAABCw+Hk7OkTm/oT5BPugTrE/Xsnv+zl+x5VvPmh+/xzo8Qfh1flLm/av+/RXkKvTLBzZJf/4/x/O5GGKJTtQZykA/8AmbtIYTDID9EK8It+/zyuivlE88dFC+SqQB++gCCcGzJCRKUEPliUIeYhhZSnBL4RJJigHuwwBAl6CEPOAY4EhCZVBRBLopkBNggihLhOFlSLLmuIeqkJRou3BJy4XdmBuCRehp3pzaVhW3JgRviayXMKRrIUa89FQlGxnNBS68IYO5Y1kqAQpqqnh598BNQI/wGoTUQsmHcEiURB7ISUavQJxpbCSEgTnkJPezWATE6HBp2PVvISpI7e4hty193cqsEsFdWAcaHEBMTFwVjLZ7okj15sdZXfzb3UJxdJ4LMwl/FaBwldNBNDpuS0cHHpr037+i/yFkUbglwTuGKzjzT2qtjT2CWSTPouZZ5cqFe2hkUx5AKcG3ZK0+Zkhw7WbLdwAlYGW7P4v5+kSrKhbMS7l9vIh89GYTBbloz7OD44c8BdQh7QENPUeATdE0gmcSoSkTaO/xifV7hNcTWEgT2ibYJiBNGP34zt4fWAl0TrsOsTD3hW0EyCfQJlUmCSBPtyXBLgl1SCn/O9sZxPfAlBsVCcRe/0T3VkxILxQCXxPCAlgmUEgS0TkEgS2+Ry2icAJ8oH1gQJyRG/MO+w5/J4lQEA+AA==</t>
  </si>
  <si>
    <t>20111</t>
  </si>
  <si>
    <t>TCS/TPS CPU and PWR cabinet</t>
  </si>
  <si>
    <t>@@UU@@C@@AA/kAArKUQpTGMY5zmOc5zHOc6EIQdJ1IQlCEIQhCUASpSEIOlCEqABSkgABKlAUoClKUpQFKUBQEIAlKFJSoCUqSpKVJUoAFAUBKFKApKkpSlQAAAAAAAAAAAAAAAAAAAAAAAAAAAAAAAAAAAAKAAAAAAAAAAAAAAAAAAAAAAAAAAAAAAAAAAAAAAAAAAAAAAAAAAAAAAAAAAAAAAAAAAAAAAAAABCwd3o84n1fT6BPD+3ZE7cCekT1/l4aOr53urfXn5yf2pz4/x/qd3yf3h72I+jLLB0/WTj7/wvzkRLv5AGf3SAf/ATD4ttDxxf6wGDELRZc1rk7gr0qeWuhc3RIX9GyDJKRKUGUk0xOJrDKJwSziSOmE1IpQgW5B4ADCJAkiiCiCXTJkQRNlBBSRC0i9/zUNMExIE8DsiSAnXJoWWLDWhcTMEq7GIlrT8dYmwBaWlLju2VeTC2E9xC4CFN29eugU3tsBOQEf4TSJpIWRDtiRKIg9EJKOPxCcY5oCQkCfnISe9nxATE5PK72vilouARnEi4R2NyjvbaHLFolorXUvYA4xLPf2llYJB5sfChLFe5tS9Zm6hOIwcme9Rk/X4NcSm/l1AK+1RQY9BUp8Pvdens8XLpneuoburBVu4SrfEqE1dWWTX2ivZl6hK7ZhRn3ymyxSzP++xbfzb/BOwTNHLu9eMteJE2ANpDWvU/z8QmDhkJq1WiWVaOaWbm2rOGHFAUX5DVlAowdR2xI0Ce6CW6wmITtWCbhTzcokdz1iZxP9EgT0ibgJjBLtvstLNmPOAlYn+fLjJCYOIVyAmMTMJlUmCSBPbQJQJUJBTT6ji62oJ7YEoLgm+f8J7LxYJBcKAS6JP5AEviYwSBLRO4JAmi8fHjE4AT5gN4DSJKI4JBpYej7BBVX3A==</t>
  </si>
  <si>
    <t>20112</t>
  </si>
  <si>
    <t>@@UU@@C@@AA/OAArBSQpSmMcxznMY5znOg6EnSdCDpSlCUgUhAFJSdSUIQhSFIABAFAAlIAKABQAAUpIFAUpSkJUlKUpSoCUqSpKUqUAClAUBKFKApKkpSlQAAAAAAAAAAAAAAAAAAAAAAAAAAAAAAAAAAAAKAAAAAAAAAAAAAAAAAAAAAAAAAAAAAAAAAAAAAAAAAAAAAAAAAAAAAAAAAAAAAAAAAAAAAAAAABCu7ne/UT6vWJ5P27AJ7BPd+Xkpz/S9tfuXm5if2JzZPF/U7/n/vF38ZZmlb4e6T7v2/fdVIpPwZgGdUgH/wE8vVQ80YdIFuIXBkvSrFfCp6L9F/DvSF/RwQZZSJSghpEozEMLKU4JaRPBNM8VISkAWQeMAxCQJIqgpBKGCCJBKhELQXv+miVTEkJYeKUtQkiqKrPHNrW9JaY8ViGBM4SrveaWIKaJ1UsEr1AZSorfPhqx4nCT66F4EL1l+y+BVbuAJvgj/CcAnAQsiHcEiURB64SUb/lE3xzwEhIE/OQk/i04wJieh1XVAbegSKyOPcp+NiHHFwlwrUu6B2hMOvprLAJB6cm8hiwcfZz4bZ84nyF3Ff4OTk0CU0bHq6IGG/8uSszai8pHDrx9jXq4c2HAh2i6IJ7omgTNsS0bXUL2Ppz9olmOYUx6Sq21TpacmDN1uvO+pxbZsZK7QTeAp1ENneK/55RLt6QmXPlEur2oq1Fm7DdAlMYHOcQkfuJpBLdkS0TgvidUq4uESPn9wnRE/0SBPYJuAmUEv5PfkMO3HqAS8J/n0ZSQl2sVzAmUTOJsKTBJAnwoJQSsSCqr2nZ2tkT4QJQsE6x/wnvwGESCwoCXxJ9wBLRMoJAmQTlEgTbwHbyifGCcoGsDfElEfNyBwsPN9aoKr0A==</t>
  </si>
  <si>
    <t>20113</t>
  </si>
  <si>
    <t>@@UU@@C@@AA/OAAq+UQpSmOY5znOY5znOc50HQlCDoSlJ0qShCkqUhKVHOhSkASpQEgAlIAKABQAAUoClKAgCkIApKUqQkCUpSpKUpUAAFAUBKFKApKkpSlQAAAAAAAAAAAAAAAAAAAAAAAAAAAAAAAAAAAAKAAAAAAAAAAAAAAAAAAAAAAAAAAAAAAAAAAAAAAAAAAAAAAAAAAAAAAAAAAAAAAAAAAAAAAAAABCs73N6hPu9YnP+/ygnsE93i56dH2vdXkXl5fHT8k5v1/rLO75v7w9/EXMsr/h/En+HJ+dlUik/BkAZ8kgH/wE8mpDyxf3QLMIt3HXK0K+FTz3KLzZJC+duwY5SJSghpEoDISlJZyJ9ITwTTNFSEAFuDnAMAkCSKQUglDBBEglQiFoL3/RRKpiSEtm6JKdcikQsVROy/RC2mQJWux5ZAWU2pM4tic+kDGSKmL1JWNsnqQrrUbXikh+06UuAVXtQCawR/hNgmwhZEOoSJREHrhJRs8gmwc0BISBPNISe/t4QJieh3rKgNzQJFojT1afpbQ4438AmAVtLMDtCXuHeWV0SD04uBDr4b3H82e/ZPoE7ODiua/p0CT7e3m9XybYF+79GOsy9OtTZ2pZ+zLXsy3aIVl6IJ8AmgTFklos6ZXm0z9olvDMKYdBVfvqbWjFdydb453FOr0suK1fBOACm8hn4C1T+frEs35CY82fIJgr3ItZdJd68OKBKsAHQcQkdwTcBLNAlgmu4J1Cri2CR3PcJtif6JAnsE2gTGCXMXvxF7THpASsT/PsxkhLOEVyAmMTMJlUmCSBPhQSgloSCqr2mrczifCBKFsTUf8J77peEgtlAS4JPvAJfExgkCYhPqEgTdundxidgE7YHCB84kojjTWw8v3qgqvxA</t>
  </si>
  <si>
    <t>20114</t>
  </si>
  <si>
    <t>FO 50/125</t>
  </si>
  <si>
    <t>Generator monitoring</t>
  </si>
  <si>
    <t>@@UU@@C@@AA/CAAquUQpTGOc5jHOY5znMcyEIShB0oShCUISgCUpSlADoQBKVKUkCUqQBSgKAoAAAUACQKUpSAKQpSlISpSQKSkCToUoAAAUpIEKUBCkoSpQAAAAAAAAAAAAAAAAAAAAAAAAAAAAAAAAAAAAKAAAAAAAAAAAAAAAAAAAAAAAAAAAAAAAAAAAAAAAAAAAAAAAAAAAAAAAAAAAAAAAAAAAAAAAAABCs+X7ugT2ift3QTqE6/Rz0dXT9ByLH1ry+ko86cvP/XNOr1/3k+/Ke26VnP9RPz/Zy2UyJez8rgG/9sgH/wE9W8Ji0AWZBavXFIrzqasFC834SF1NUGWUiUoIaIlARFpOFkT0CSS2KUIAL8H5gFgkCSKIKIJQwQRIKCcLQL+PRQkkKZCejbElRfkUEQvsnjswIVJnDAziLpWBC3hMm0BlNBSzrxNRPtoXy8CGPBP9KgKcVNG4AnECP8JxicZCyIe0JBKCO5JJRxekTSN0BISBP1kJPf2cwExNTmspA2tcSL1Mo3ObtIeON8xiYxWtZgeETD3ttZViQdGXgQx18GfD3ekTv6TFx6wlc7QOHPM+Hx6Lwngq1di6jb04cAnCWE8W8J2RLrLtBfj3CYpBkzbpgqrU1rMd+vLubs61P328lOIE3wNCGfYp2NH8+QTHvyEu182wZxMuDaj4zNjxb0NsBhgdnXA6TiEjyiWgmTZEyCebTWJ2y9x8QkebrE0Ce4SBP8EuBLQSrcqt99pPdg1AJgE6rvnzl6gTJwitwJnE1xNZSYJIE/2gTPSJfEgvXo62fB2dgTLAlJgzECdw/4SquPfIkJBUUAlYk+QBLBLgSFMVonxCQJmwnyWieEE8oGkDyCSiPm5A8TDy/SgCq/AA=</t>
  </si>
  <si>
    <t>20115</t>
  </si>
  <si>
    <t>Location / rooms (G F0 - KKS Main systems)</t>
  </si>
  <si>
    <t>++</t>
  </si>
  <si>
    <t>TCS SERVER CABINET</t>
  </si>
  <si>
    <t>@@UU@@C@@AA/0AArSUQpjGMcxkHOYxzGQg5znOhB0JQlCEIQBKEgSpKEIQlSUqSBAEpABIAAQAAAAAlSkpAkCkpUpSEqABKkASlKUAAoAFKABSUqUhKlJSlQAAAAAAAAAAAAAAAAAAAAAAAAAAAAAAAAAAAAKAAAAAAAAAAAAAAAAAAAAAAAAAAAAAAAAAAAAAAAAAAAAAAAAAAAAAAAAAAAAAAAAAAAAAAAAABCs8XV9nv/H9hPv7350CfWJKBPiJ8pfDwUy5jEseVfUYp/Gnm/r0+euf1/3l9F50c0rOfyE3j8vmtokSvq1QHB5JAP/gJzbkfrtiW6QMeEXD0RVSK/kp7NNC/h575hdDhg/SUiUoIaIlAREsqEibrCSTBFAEAGCDnALBIEkTwTwShggiQTk0LOL2fdOkkIogDTtISnqqyzlJEL7NFF2PCBiSMwVks901gRPGATrAUEy85DE1ePPY4SjeQqArIBa5enUAns7YCcQI/unGJwkLIhuEglB74ZQRHJyCcg60BISBPVISbf9uMCYT2nrifWt0gaZ0IwQdne64nTPaJaK1AcAnGJqb21tLNYJB03cCFN2Hv8P25rcXDX8BOirvz9zQJZbq5QMsjltuo0wJlyU57NjtcWKtCJrLJZ5ifRuiUiZuvt6KtUlXLuiWyDNo3MOIS26MVfun3N3TepXq5LqZwTdr3gMm0hr8ez/HKJ2IEz6DZ18wl2jNfqdiG+BNjOB/JxiZ98S0E2BLBKahNs8PHwiS+QmgT/BIE+ImUEuRM13zuNmzpATAJ3eqV51CX4+2K6wJrCViUAzAkgT6TiTqTxSJ/siaUt3g1/pnEiiQkUspioTfP+Ev+ewWFJqCSKjAiUYRPCAl4mREhTPkE7wkCYMJ4MgnaBK+YDiAm5UJojxQHcYfR9wiqr9QA==</t>
  </si>
  <si>
    <t>20116</t>
  </si>
  <si>
    <t>@@UU@@C@@AA/0AArRSQhinMc5znOY5znUg50HQg6kJSlAEJQlJwKQlCEJQhCkJSBKkpApSlJUBQAAAkCVJAlSlKUlKFKABKkASlKkJUoAFKABSUqUhKlJSlQAAAAAAAAAAAAAAAAAAAAAAAAAAAAAAAAAAAAKAAAAAAAAAAAAAAAAAAAAAAAAAAAAAAAAAAAAAAAAAAAAAAAAAAAAAAAAAAAAAAAAAAAAAAAAABCs+bn4vV+H7CeDj8loTriTAnsE9s+vuVz9JgWPCvlMFO+ni5P6+67Tzf3m+/Id7lmzk8JV358VkyTit5AGvwSA/+Ane2Y/PpiWaAMN8W/yxcrFfGp59Fpfs+3JULqt+D8pkmYIbUTARE5iSFq2BKktxaAhC3CHIAWCQJJSCkEwwQRIUKoWgun9KJKEWoA8nSQmly5moVkQtWGy6BeSMoW/PFWriqwBcE6IFClfJMQxC0vYdXC3y11ELYF4gFuz+N4Clm6Am+CP7p2BN4hZIcYkEweqGYIjg4BOAdSAkSBPLIlXU9GICoT0HmilmgD4akIrjNGna2ROamETCK3QOsJ2BL/X6KzgEg5selDFe7W92c1l/e9YnLb7Wnh1hLKsPwZgKs1R28NMdexAnNv03PTgzcNl1CN/Fhmuo2rWv1hLYmfb1rnSJuT2RMMhi1+reviWGOMF3002+rnyKXdTLjroCbd3SBl6aGni+P+O4JuQJn1jYzCYs+bXyXvihyQJozgfycYmfdEvAmgSwSu4Jsny8fEJPtE1hP8EgT2CZgTGiauP3YzYs/UBLYnb55yHOJkxborqAmoJdEtA1AkgnvoJRSkVif7JVM7WnX9+cSLUiRWzUXBNs/4TJ7tBYVl4SS4W0S1fE+gBMgmVEhTPlE7okCW758+UTcBLv1Ab4FXdQqiPk4A4WHx/WIqq9AA=</t>
  </si>
  <si>
    <t>20117</t>
  </si>
  <si>
    <t>@@UU@@C@@AA/2AArSSQpjGMcxzHOY5zJOg5jIQhB0oSlKEoOlKVKSlJwIQhKkqSpKkqUBIAAUgAFAABKQKUlIFJQBIEKUACVIAlKVIUkAAKUACVJUlCVISpQAAAAAAAAAAAAAAAAAAAAAAAAAAAAAAAAAAAAKAAAAAAAAAAAAAAAAAAAAAAAAAAAAAAAAAAAAAAAAAAAAAAAAAAAAAAAAAAAAAAAAAAAAAAAAABCs8Xw7vu4vaJ5O96KBO2JKBOYTnl8fDT7+EsWPxX0lk/jTzcf9+fDP6vhfxZj7uSVnH5Sbx+XzZKJEraswDg/CQD/4CcPWj9dwTJoAy4hcXJFVIr6FPXooX8vP0ZhddxQfpKRKUENESgIiUFyE22JMmCKAIXBCnGAWCQJIngnglDBBEgnJoWcX5/2nSSEUQBx9RCU9VUxdSShbp8uSsDEkXBUSwS9eIMAm2BafmRSFUT13zLY4ijShbQBhIBa5dWsCezUAm8CP8JviaiFkQ4hIJQf1DKCI4N8TfHWgJCQJ6ZCTbvsygTCew9UT2bQGiZCKYOz19fd3BOWnKJlFawKhN4TF29tZWCQctvZQy19/V9N9+THq94nJV3+DYEsyZrgLpHgsy0dKBKvbV2s+fY37KMKEu5NVZNrzzlFe6JgEux3VVaCbDLvCZJBdfuYsYmS2MeHln6u5s5lMO7dbTOCa+HSBn2kNOmj+frE7ECX65oziZL8+xir68NsCbN4HuN4S/5hKwTZEsEpqE6h9u9qElzibAn+CQJ8RLgS1Evi35WnSs/cBKRPo5pdE5hMncFdYEzCVCawMwJIE/2cScGeKROeRNLrdjZvE+/BJSKWYqE0n/CSr+W0SJioSRgKUSisT7AEtE1kS2SmYT6hIE6dWM8OcTtAlfCBqAm8CE0R4u6HAw8XkUVVegA==</t>
  </si>
  <si>
    <t>20118</t>
  </si>
  <si>
    <t>@@UU@@C@@AA/2AArTSQpjGMYyDGOYyDHQlBjoQhCjoSBKkIQhCUqSpR1IOhSkqSpAFJUBIAASoCgAApKlASBKlJSBKkKUACVIAlKUoAoAAKUACVJUlCVISpQAAAAAAAAAAAAAAAAAAAAAAAAAAAAAAAAAAAAKAAAAAAAAAAAAAAAAAAAAAAAAAAAAAAAAAAAAAAAAAAAAAAAAAAAAAAAAAAAAAAAAAAAAAAAAABCu73t+b1+T9xPv7floE+MSUCdAnTL3fVT7PsLljwr5i6fwJ4uX+/HqT+f25vJrHf5pXcthN93h8U5BGrVlAafwkA/+Anf+GP264l22BfaLbzRXSK+VT0bdC/j+WWYXM2wfrKRKUENESgIiUGKE2cSZKooAhaoDlALhIEkhPBPBKGCCJBOTQs4vZ9U6SQiiAPz6yEp665jGklC4z6t9gFqRiFZKqWxaFQno3AMpykVM1uxe20ZJSp3kMswGoQoFkv0tAnv0AJxAj/CaRNBCyIbRIJQf1DKCI49ImkdeAkJAnmkJNv+nVAmE9J54nu2gM8yEUwdnh390TnovEvFdQCoTiEs3s+4s1wkHPh2EMLe5o+jG+3R7BOaruceyJkuy/BmAzTHJfhRngTi7Wrpw2dNOStCNF90tiYn3xKBMm1rXVXEq5fOJdIMNfNvZLhLqcJXTWeqjd3tnWUs3tTHLVQCbtnABjuIcHBZ/PIJ2IE2Nkz4iauxjhqcMOECbV4HrNImPxCbgJtCXCU1idc7un5RJdImyJ/gkCe4TEEwRM0Ye/Az3c4CUidvollOgS/5BXqgmsJWJ1QZgSQJ/s4k4M8UidMiaW7w7WYT7apKRSzFYm+f8JKz37ZImKxJFRSiUWCfWAmAnVRMJKawnIJAnWryHd1xO0CWfSBoAm5EJojvcgcbD4/Aoqq9Q</t>
  </si>
  <si>
    <t>20119</t>
  </si>
  <si>
    <t>@@UU@@C@@ABAIAArfUQpTHMY5jmQYxzmQg6EIAhJ0oShKEJOpCkoAlSkIQhCEKABKFAUpKgKAhIAAABSVKAlSlKUhSkKSkCkoAlKlIUgAAKUACEqUlKlJSlQAAAAAAAAAAAAAAAAAAAAAAAAAAAAAAAAAAAAKAAAAAAAAAAAAAAAAAAAAAAAAAAAAAAAAAAAAAAAAAAAAAAAAAAAAAAAAAAAAAAAAAAAAAAAAABCt8Hq4evm6hPFxzoE6u8CesT2eXyUen5cMvC3L41/THE/En2/15Pwro8/95Oa8y8sref7Cf0+OdsMZPx0QGn65AP/gJy7UebZEtzAXZBbOiMNIr+SnorzUr933yF9DZBpSkSlBDREoCIlBpk4XXEmmnGBCFqg/MAuEgSSlEFEEoYIIkFBOFoF3P2oSSEYIQ59hCVFWpMwEQs7rsKFaaYVE9S6dwVCavZAwHOUsTxea1xFGdCoDCZJAvni6yWDy6AE8cLnATgBH+E4RN0hZENokEoOuGUERw8AnAOnASEgTokJPby5cYFAn6ttAGalCMEdOzudtD44tEtFawNsTeEs2tdZYhIOnJtobGOzSsr3PSJ0fFx37uoJZfQBvZZnftx5qlNbdr6eT4bt+2tCKLrZSJ9wSgTS5LMtXZJYZcYmhIM12iV2aCmhfFuLpv2dqjVsU/fYvptBNrbA10NTg+Cri9/+fkEv7shMOt2CWmJkq7VEu3X3YckCZtQDrOISNXOJsAl3YEtEp38Qmcp+bi4RIl7BNYT/BIE9YmcE0USu/23lnajqASoS/1eGeiTEvx7wrpAmkJWJgBmCSBPdQJQpRFIn+yJ0zJ9zc1vdqiRgkJFLKZWJnP+Ev9vYLikxCSMJUiYLBKPnATGJlRIU1conIJAmGw8GUTvAlffA3wJ8iE4j6OUONh5vqBAAD3g==</t>
  </si>
  <si>
    <t>20120</t>
  </si>
  <si>
    <t>++Server room</t>
  </si>
  <si>
    <t>@@UU@@C@@AA/yAArSUQhjGOYxznQY5znQg6DoQhCDoQpKUKQhCFKUhKEIShKEKSpSkgUBKgASlQFAApSVASBKlKQBCkKUBSlIUpAFIUkAAKUACVJUlCVISpQAAAAAAAAAAAAAAAAAAAAAAAAAAAAAAAAAAAAKAAAAAAAAAAAAAAAAAAAAAAAAAAAAAAAAAAAAAAAAAAAAAAAAAAAAAAAAAAAAAAAAAAAAAAAAABCt8Pq73o5fOJ5OTmqE3hJgTrE7J9fguenxlqx5V/Itp+lPN/f3/bdp/X1ZeXPOjxzbzwT9Hl81tUk4qMYDc+qQH/wE8Xbj8+0JbqgYL4t/oiy4K8ynTq1L9f2TjiIF0m/B+EyTMENUTAREwTmEnKMMMVxUBC1wc4BaJAklMFME80skEUKVFELBUL737UAyhCFewhNFdllJo1kwtGDBWBeSMgVk6M2XgrEzIYT7i46lN+rLgb5VsoWAXCAW7PPjvAVW9wBOAEf4ThE7hCyQ2CQTB/UMwRHd4ROEdCAkSBPxkSj3OnCBQJ0n6RTbrgZqEIuQbuz2xOqm0S0VsXbE4BL2z1bC0WiQdWLdQxX+/v/Bo4L+/tekTos7/FqCW4M+7lAy0HxYMVWaEPPwdrT3sXH3rbokcOHBOpQU7glQmlrbepXhJsnkEtkNPV3L+cJnYYzrvVTt7mtjUu6+TFc2KgTavawGjUhu3eL+fjE92BMuka2QTDlyXsV7dhxQFMDp4QKPQcYmj74mYE1BMAly6J7Z8nHxCT2Cagn+CQJ6xMoJiRNL2Y4zYzXwfuAlgnw9c551iYd4VyAmgJYJkBoBJBP9pEpUpi4J2SUTtbmrpCfPXIkXGgsE3D/hL3s1iWosEkrLiJVeE+UBMQmgiQpnicgkCWV3jw54mYEu/MBvgUeBCiI8XdE5fIgqq+0A</t>
  </si>
  <si>
    <t>20121</t>
  </si>
  <si>
    <t>@@UU@@C@@AA/yAArVUQpjGMYxznOY5znQg5zIQdBzoUpSTnUhKEgSlCEIOpSkqSpClJUBQAAQoCgAApKlASBKlJSBKUAUBSlIUpAEIAoAAKUACVJUlCVISpQAAAAAAAAAAAAAAAAAAAAAAAAAAAAAAAAAAAAKAAAAAAAAAAAAAAAAAAAAAAAAAAAAAAAAAAAAAAAAAAAAAAAAAAAAAAAAAAAAAAAAAAAAAAAAABCs+n1/F6fN+4n29/z0Cd4SUCdYnZL2fPT6vqLFjxr+ZZP4k8nN/fluT/t67fNsHLzys5vsJo8fksmkSw1YwGj7pAP/gJy9qP098SzcAwXhb3PFdIr51OjcoX7/wxzC2t6D8ZSJSghoiUBESgloEkFsQBVKgCFqg5gCwSBJE8E8EoYIIkFEFBPC0C9zpnFkhCHoPdQlUs9yuacy1EoAnwYKQLqRkCqqJsspqbsIQ6AMJ6ClmLs+a3A3inShWBUQCz3Jua6Bjpv8ACcQI/wnGJwELIhqEglB/UMoIjXxicY7MBISBPykJNq6MIEwnQfrE9m6BomQimDf09oTqnsEsFa13hOIS7p3VlfEg6cPbQ6sV7wcPyZcF/h9QnPV4N/4cwlmDZotAtmOTBio0QhFXd4O7Xn13rgkU378rZif4BKBMm3ptq3SVcvjEskGXa1Xr4l/DF+50z6dW5jUuZsmKnPQCaru8BloQ3rmb+eQTfgS3aM+QTDbkxXN6HFAm3hA9JrEy9wTQCZhLBKaxPePDr4hJdgm2J/gkCewTKCYkS3244z4zRg6gErE7/XLYOsTD3hXICbIlYmQGYEkCf7OJOpPFInZImlq7e5tCfXVISKWYrE3j/hLvtzkmgrEkVFKJRdE+gBMQmyiQpsCfKJAldV08OwJoBLnKBwgTfMhNEckg1sPl8SCqr7g</t>
  </si>
  <si>
    <t>20122</t>
  </si>
  <si>
    <t>@@UU@@C@@AA/yAArUUQpjGMcxznOY5znOg5zHQhB0HSlKVIQk6EAUlCFIOhAEJSpKlAUpIFAUkAFAABCQASBKlKQBKkJUBSVIApAEoUoAAKUACVJUlCVISpQAAAAAAAAAAAAAAAAAAAAAAAAAAAAAAAAAAAAKAAAAAAAAAAAAAAAAAAAAAAAAAAAAAAAAAAAAAAAAAAAAAAAAAAAAAAAAAAAAAAAAAAAAAAAAABCr8fu4/ZzfuJ5eT0UCd8SUCdYnZL3/RT7fIVrHmX1Fc/Knn/v0/hbn/X3Wc2M6PJKvn5Sbl83nv0SJYqsYDapkA/+An2d2P07gleyBfui3eiKqRX0KdOzQv3ffimFzN2D8pSJSghoiUBESgltCSSwtQsqAIW1BzgFYkCSJ4J4JQwQRIJyaFnF3vXOLJCEPx7SErVyKLduagy1EoX851owYJgLyRlColZKgS6FzQBfOcpZ57lE1lbcKdtCoC0QIZ6pCXJ/TdAnvY+ABOEEf4TUJwELIhoEglB/UMoIji1CahywEhIE9UhJtzpwATCdJ24nr0AaJkIpgz7vx90TqoviXxW2veE+US73O0srwkHrw6UMFzwb/Jlru7/V7ROirw73FsCX8GtRYBZMeLBio0QhvwXrfVw8V2kSNVd6WaYn0iUCZNjcstaCVUuQSuQWa+5dvCXsEXrfVPt7mziUt5smGnaoBNu5ugZaENNvT/Pzib0CWZjPkEwWZMNvdhwwJr4APYcYmX5BNoE2BKxKahO2fTx6hJdgmuJ/gkCe8TKCYUSz4Yoz4jav/sAlQnh65YzrEwd8VyAmsJUJkBmBJAn+ziTqTxSJ2SJpbenZzCfbakJFLMVCd4/4S58M5JoKhJFopRKLgnjATCJrIkKYxPAJAlVq4fVjE2gS38wHABN4kJoj6+ENTDzeVBVV+IA==</t>
  </si>
  <si>
    <t>20123</t>
  </si>
  <si>
    <t>@@UU@@C@@AA/yAArRUQhjGOYxznQY5znOg5zoSdB0IQlSToShKVASpCkIQpSkIApIFJUBIAAAgCgAABCQKSBIFJSBKUKUBSkpUpAEJUoAAKUACVJUlCVISpQAAAAAAAAAAAAAAAAAAAAAAAAAAAAAAAAAAAAKAAAAAAAAAAAAAAAAAAAAAAAAAAAAAAAAAAAAAAAAAAAAAAAAAAAAAAAAAAAAAAAAAAAAAAAAABCt8Pu+j2eb9xPFx+eoT5RJgTqE659/13Pbylqx41/Mtp5k8n9/h5btP6+7P5sh6uWbefxFHN4/JgqknHZkAa/ukB/8BOXVHp7QmDSBhvi3/VFlwV86nRpqX78uOgXYb8H4zJMwQ1RMBETBO0JKXM6E1AQtcHOAWiQJJTBTBMMEESFJRC0i/J00rKEAHo3EJosrspM1ZMLRfirBgoAvpGULCQM01CXw2gLx6Cpou05sFreLmpCwCsgFuzz3gKb97Fp3wE4AR/hOETfIWSGsSCYP6hmCI4uEThHNASJAn5SJRu9GMCgToP0inJg2wNulCK4qjuzq7QnrqwCYBW6u8h8ccAmtp7KzgEg6cfcQxX+Tf489t/f9onpr5P2+fQJb3sOvOcDPQd/Djq3IQ0HZuXsu3xX7BI4LbZroKe2JUJm0W569omyfpEtkMOfVf1hNbDGtd6adW72Mal3RlxXNmoE1Xt4DNUhou3v574m9AmbObOuJhza+K724cUCbGED2HEJm7omkE0CWiXLBNw8HFwCT1idgT/BIE94mYExImf4Y404zawesBLBOPqnIdQmHvCuUE1xLBMoNAJIJ/tIlKlMXBOuSid3ubOwJ9tciRcaCwTeP+EvfDSS1FgklZcRKrwn2AJiE10SFMgnIJAlld48GQTaBLvgA+YCj6kKIjwpxMPl5kFVX4g==</t>
  </si>
  <si>
    <t>20124</t>
  </si>
  <si>
    <t>B1-TCS-1301A-ZB07</t>
  </si>
  <si>
    <t>-ZB07</t>
  </si>
  <si>
    <t>@@UU@@C@@AA3sAAl7SQpzHOc5zoOgyEIQhCEIQlR0oSBSUgAgCkIQoCUIUBSFIAlQAKUBIAAAACQJUhSUgUpAAJUoCQIABKUAShQAKUACgKABCQJAlKkpSlQAAAAAAAAAAAAAAAAAAAAAAAAAAAAAAAAAAAAKAAAAAAAAAAAAAAAAAAAAAAAAAAAAAAAAAAAAAAAAAAAAAAAAAAAAAAAAAAAAAAAAAAAAAAAAAAj0/F/KOxG+HvHxt7PF4ZOeTzW8Y8vm6sftu6f09vovjSrn8lvHz/npsVmqRh/K0h/6Q6fTDLnSaW2MqxJ0SLSeXBZJ6pip+1rLWpU/WrUVVqW7aLRqVcP3FpMdNyHnDMKGBiphpapSlWLmCpLknR/F0WHctDz0Moq7HkwTDJffcMsepMWCr7bGDEL0wtC6O3ltJnyXVgD00GLRkwZd9IcCE/uHCOFUlq7go7KTi9CPra9CyKHTZZSYO9eLDqmbdG7uw2xbFWAb2gdedGckyScA6hm+r6dEmEdCML1612K/Nr6V3sHFyYGsMds/e1bPt3LxqcF+H19f3cWbKMi3dG4jY8Gzhv+ApN3eyDl2b97u54cW3kDvjQO//nMPsoaSMe5dy1NqkatQ2R2ORH9I2kLkbQxjdcngH3/FGuP9FI940EXhs6ny1G5p9aQxj3ar3DT3yTXI1h4UbEjAFkPnci4YkUw/Df+jaR86FzGOB/w+WVmFMi4Mo/FIXo1goaqOMUjRmfhrDjDlHCKHNVcfMccqdHkSJJE7QA==</t>
  </si>
  <si>
    <t>20125</t>
  </si>
  <si>
    <t>B1-TCS-1301A-ZB17</t>
  </si>
  <si>
    <t>-ZB17</t>
  </si>
  <si>
    <t>@@UU@@C@@AA3sAAl7SQpzIOdBjoOc6EHQhSDnQhCEKUkClAAhAEoQlAEJAlSlKUoCQAUBIAAAoCVAShSUgUlAAKSoCQIABKUASlQAKUACgKABCQJAlKkpSlQAAAAAAAAAAAAAAAAAAAAAAAAAAAAAAAAAAAAKAAAAAAAAAAAAAAAAAAAAAAAAAAAAAAAAAAAAAAAAAAAAAAAAAAAAAAAAAAAAAAAAAAAAAAAAAAjy9/+UdaOEPcPhb19/8JOeTx28A8Xj6sXsu6f19nmzRrVz+G3g5/0ysNmwRqeG0h/6Q6fPC/Ik1tAvWJOiRaTxYLJPRMNPLay1qVPJVqKq1LbqLRr1cP3FpMVP2C8ULNSl1LVKUqxcwVJck6P4uiwrehQ3NFhgFXYtXBMMmbNcL49CYWDatr4RmSzyrphZr7SZL7q8+EGLev37tbhSHaQn9w4xxqktXAKOuk5PMjttqhZFDpsspMH05hYdUx6Ru7sNIthrAPo4B6siMhJqyaR1DHxb0lw6EXPTsZb8+P1jj5tgYcfDr2fXg+rTnHqzaufuYNbtZNa8d21Vg+caEbPLtYcOn3ik3OC8bGzr7/Blhm39N4dkbY7P+fYOahkRi3Lu7U0UjPUNsdblR/SNCFyNAxDdcvIPv+CNkf6KR7hwEZg+bX+Ou05fSkMQ9uw9oy8RJskZx9qNqRgCyHyuRcMKKanv4t7bR8qFzEOR/w+N7GKaq4Lx3khmRnChsI/IUjfxu9nHKHbHGKHcqvx+45pU8n5pEkidgA==</t>
  </si>
  <si>
    <t>20126</t>
  </si>
  <si>
    <t>@@UU@@C@@AA3sAAl5UQpzGOc5znQdB0IQhJ0IQlB0qAlQAKAlKkoQhAEqUhSkqUpSQAUBIAAAoAEAUpKVJAhSVASpKVKUBSFJUlIAKUACgKABCQJAlKkpSlQAAAAAAAAAAAAAAAAAAAAAAAAAAAAAAAAAAAAKAAAAAAAAAAAAAAAAAAAAAAAAAAAAAAAAAAAAAAAAAAAAAAAAAAAAAAAAAAAAAAAAAAAAAAAAAAjz9z+UdCOsHqHst5+59Mn3H407+DlH39/x/vk9F/N6PHojNXd7tuW3ezL7NBF/22kP/SH6ftDJmSZtIyLEngkWk72CyTnmGn5WstalTmq1FValt1Fo0VcKPEKmKm5DwhlFDAw0vpapSlWLmCpLkn4ea6LCoeHGLYMNmKr5KGfPcMcc8c+Fdt2wjPGieJdHTy2kz47qwBloMeLfyXXddIcCE/uHCOFUlq1CjopOL80cc2qksih+tllJg+DXFh5Jl3hvb0NwWw1gHv6h5dZGsSY0+IeQZevvyXDwIucmxnybOXzjg+TYGHLr0+XX00Ot5tObJmvyfDjGPk2qv1DSjNxZr9zH6xUcO9s5Rgz5uTTdtaupsQ279/FmDqjdF/V/z5h2aGdGPfu5KnTpGtUN0dDjR/SNxC5G4MQ1OPhH0exG0P9FI9Q6hGuHS0e3Q3c/8JDEPTsPSM/YJNojZHaRtyMAWQ91yLhhRS/19jf0o91C5iHG/4e3IyimNcGQdtIa6NkKGwj7BSNWV29kdkPqHAO0OKq+v5z45U5uVIkkT3g=</t>
  </si>
  <si>
    <t>20127</t>
  </si>
  <si>
    <t>@@UU@@C@@AA3sAAl5UQpjHOg50IOc50IQhR0qOlCAIQpSVAAhKUoSpIEJAlKAKUlQAIABAAAABKgJAhKkgSpAAJSoCQIABKUAUlSgIAACgKABCQJAlKkpSlQAAAAAAAAAAAAAAAAAAAAAAAAAAAAAAAAAAAAKAAAAAAAAAAAAAAAAAAAAAAAAAAAAAAAAAAAAAAAAAAAAAAAAAAAAAAAAAAAAAAAAAAAAAAAAAAjy8nSjqRvh8B8re3k8MnLJ5bfoP18vRqe6/n83u9OaNauVXi5fJkYLM5GDx2kP/SHP6oY9ZJraBjWJOaRaTyXWSeuYaei1lrUqearUVVqW0otGerxR+4qalPOGMULMFL6WqUpVi9dUl6T9v5viwrrwoeewtdhs1KwSUMuW8Yo9aYF2zbAMiZnoXzDdWnHaTJjvrCJ6qGLbx3au+kO2hP7hwDgVJatwUdVJ3PSj8GzQsihz2WUl33ZhYdE1esNOmHWFsNXDd3B7MiMhJik7Q6Bq9nbkuvHMjA/jXy49jF7RwcOuMLVzU8GjOMP9aOnu7PTwYtahxdqrt4aUbXD9eDr/EUm3vYhxac+99uSGPdxB2Bujsf5+I79DvsiMVn2YOKpoovpNioZhd1O8j70aEMCNAxDS4e6PD8kbQ/0Uj4DcIzBoz/PO05fYkNQe/Xe8Zd8k2SNgfkjakXBZD6XovGFFMHx39vQj6UL2oO2/4fPG1RTEvDGONIZkbAUNdHiFI3NVx7A4Q4x3B+Y7NVyeA70qc3jSJJE+oA==</t>
  </si>
  <si>
    <t>20128</t>
  </si>
  <si>
    <t>EDCV COND.MINIMAL FROM FLT TO COND.</t>
  </si>
  <si>
    <t>@@UU@@C@@ABAWAAr5SQhTGMcxjGOc5zGMg5zJQg50JQc5zoQBIAJSk6EJSg6EoSBIEpABIEpSAAEpAkAEgAlKUJSlKQISBIEpQlKUpQkCUpAlKUoSACUpQlKQAAAAAAAAAAAAAAAAAAAAAAAAAAAAAAAAAAAASAAAAAAAEgAAAAAAAAAAAAAAAAAAAAAAAAAAAAAAAAAAAAAAAAAAAAAAAAAAAAAAAAAAAAAAABDudbb4zv+XhEeDweT6iM4I/Ajf45/lH8eh9uxV2xkm3l2mXjfej7weLzcXlh66PvwT1nd03uefvTf9/D43icZ560CexwF/gEauRBsNdwgW7wk856neMSXmEVN7b8YDSuktdOx6Hcd2N8db7QaCTJ2gw+IQ5kZGBo0DCUrHnALqBhDORMRMPU6cYaAOzEWwzsBIJNv8OCNEBDCKLKGdYREQE8k0ChpBS1UxoLaG5KLUjcCCKEG9nCVzCMYF8sIglZiLauUqiVo5AQS+mO0BFNrgI3AQvmG4I0DukwyzCGHYbbdDto4BGhFbIcQwj1uIhy7oDiNNbtvFqYsKD3wl03jAyIJc2YmyiJ44UiKRJOLZA6JzhF7X0bOYUV0QxguPTbsozynEI52joxYBE1d25pAXY6ojpYcNpA2fWfm8y5pyTyVTILdmpyWgQxy5hFgjHjw5cQxabW4xFbopxcqie2Isqmv5abqRZlwUx0AjW1QL7oIcr6dMRZsOIv3i8UiJq8l+98Na3jZVsIkwAcRtCG5e4I1QRev4RFQjPQIykm1siG6n7ETiP0IYR+RGqCKwRNT/KSjIx7gEWhF78Z+xAgIuxCSv6QIrEOI0kiAIpgCOy8YiMRaSGJJP0s+LAI/jCIiUR0D+iP3NOUCGJlGCJxEOqAiQRWCGEVCNsQwiqcY6lQjZBHXA3QOeIdm6bhtJlg3u4kIAA5A=</t>
  </si>
  <si>
    <t>20129</t>
  </si>
  <si>
    <t>B1-MOV-13772-M01</t>
  </si>
  <si>
    <t>EDSV SPRAY.1 STG OUTLET</t>
  </si>
  <si>
    <t>@@UU@@C@@AA/+AArnUQhjGMc5zHQc5zHMc5zoSlCEIUg6UpQlKkqQpCVISdIFJUBAFAUlSlKUACgAAoCgKABIEoAlKQJSgCkqSpKkpSACVKApSlIUACVJQlKgAAAAAAAAAAAAAAAAAAAAAAAAAAAAAAAAAAAAUAAAAAAAFAAAAAAAAAAAAAAAAAAAAAAAAAAAAAAAAAAAAAAAAAAAAAAAAAAAAAAAAAAAAAAAABCxfRr5z0id/+RPv+ETxcciesTn8H7U/rxf19Nv2kLHdfJDknu1fgHe8fN36PNh/vy2XH57M4uW7k//b5KKcUkThzINdEgP/AJuakN6Me0BsZBbDP5prFfEJdHn5KgIvyrpZg/GZJmCHwRMeEhhZmiCdgSUzxShABeg5QDEhAkSUwUwTDBBEhZFO/FUAVix4fTnqSgSBPGG0JN+Dlqv0FkXhhcttKGFNCTUfkhOzRWJPvgZjQVZ2CCrJNf6U7GRkpvIMwpgwYJvAU4NN7pAJrBH9w1iayZWCHeEgmCOzKTGvyCa0zQkiQJ5ZEo6loEiedw8O3tbe2h2qL+1NQGpDd6eoS/aJaK4R4QOuJi4OkM8XWEk9Gicdhps4NnqnMJm4Ke1j0CYcWYDHmoO30akOHr7VF7d4ctlSGTH0a4qp6YmUTdz6tGK/XubnOJilNm23YyxgE+W/lzTquuU6Hq3rLYrmQTZ3wNG6hbdv/xxiVGnrUCab+iIuM4mTR6suPD1YcsBdA4dAHbOY1iR8FAlwJkzdATKJ8eETUV9niEj5vaJYJ7BIE/wTqAlwJgt91ph6UHoAS8Jk9fY+ugoEx0iufMCXCSJmUoBLaAT7JqEqEvKQV1+x4dvQJ7oEpL4ms/0T24LDCJBgagSwSjuAJWJcCQJlE1iQJlsIPnyidgE4wPkA4hJiPq7gfEw6e99yqqr7wA=</t>
  </si>
  <si>
    <t>20130</t>
  </si>
  <si>
    <t>EDSV SPRAY.2 STG OUTLET</t>
  </si>
  <si>
    <t>@@UU@@C@@AA/+AAriUQpjGMc5jHOc5zGMc5kHQk6UoQlCEJUhAEpSpCFISdIAIUBSlKUBSgJUACgAAoCgKUpIEAShQEpUgCkqSpKkpSACVKApSlIUACVJQlKgAAAAAAAAAAAAAAAAAAAAAAAAAAAAAAAAAAAAUAAAAAAAFAAAAAAAAAAAAAAAAAAAAAAAAAAAAAAAAAAAAAAAAAAAAAAAAAAAAAAAAAAAAAAAABCyfNr6T0Cc38ifX2hPF8UhPUJ0/f+0/68f9Yc30kLHffHDll36PsDl/Do5pvLi/vyV3H56ZZOf7Zf/93L4KMkiPBj0IODZkA/8Am3vIbsWdYDLYLWbHllSK+ITRHm5qAIw3zK7LNB+MpEpQQzxKA8JKUlmkTYxJJoidCADBBzgGRCBIkTwTwShggiSTb8TwBQLHh9GihJhIE59MOoSa2umqdpGDFbZJDGl6SoQ/JCWmakTbAzl5O6E2iKP0x5msnwAhhw1YAJ6t0BNYI/uGsTWSksEO4JBKCO5JJRr8YmtLoSQkCeSQk3u5QJCeZvx8OrqatSHdmq6lU1IHXQrn3uuJVYJYK4x4QO0Jl7PBi3Bn4+ASR57JU2YzTj7PQJn7ergO7m0iYst4GXRMcmqhDq07F/vbcXV4UNmvDdglTuiWibV9mSrBTiy9ImOSbltl+S6KxPgqvsluXXKX+nartimUgTT2ANjUhZdq/j4RKDY35hMF8RaZxMuj02ZK96GyAtgcWgDkOg7gkb8wnWBM2fZEtE4sQm6U8fviR8fsErE9YkCf4J2AS4Eqs9thi3YPOAmATN6uLvTEwmWcV0ZwS4SQmdSYEsmBPolQJQJgUgpp9bw9W8T2wJOYRNZ/onsqrMQkFTQCViTfKAlIlwJAlonIJAltZB8lonECd4DkA4xJRHzp22G/l+pVVV9wA==</t>
  </si>
  <si>
    <t>20131</t>
  </si>
  <si>
    <t>EDCV SPRAY.FLT</t>
  </si>
  <si>
    <t>@@UU@@C@@AA/sAArZUQpjGMg5zHOY5jmOc5znSg5wIQlB0AShSFAUhCEqOcCVKSAAFKSpIFAUhIAAAAClAUgCVKQpSVJSBSkpSpSkgQhIFKApSlIUACVJQlKgAAAAAAAAAAAAAAAAAAAAAAAAAAAAAAAAAAAAUAAAAAAAFAAAAAAAAAAAAAAAAAAAAAAAAAAAAAAAAAAAAAAAAAAAAAAAAAAAAAAAAAAAAAAAABCr7+zrOgT7f5E94TxwJ6hOv7v2n/Xk/rv4PAQsczyw/XLmo+kPD4+rnm/O9/fmqxHnzyr8nN9X/x4fsnrkRPexoMs8gH/gE3NSG9FmkCvCLUflmlSK/eJjj0c9AEXJK52UH4SkSlBD4olARGcmhZE14SSZIoQgA2oPIAVoQJEieCeCUMEESCIibtRPAFAseLoyUBMhEQJ2sxDoEmu0XJmgcNlaF5InjKlIeVCbPMB0FwS3dAxmUpZ0n/SuxqJ6QQ2vxu7QE93fATYCP7hsE2EpLBDqEglBGuSSjZ5RNiYoSQkCeeQk3BgAkJ6G9yadvToQ6ZrnYlQBvIbu/qEuX58ImEVvjyAe+Jg18e8M1PRwiTEr8rKM1XH7sdQnFonO5XlEqnv4gJV2znd26UKpunD6fTl0VXLqFXYiJ98TEJpy72anR1iVyTuSzbdlXZisTf+O5ojVbapk2aKraZAm7wAZZIcH8fIJk4ZCZLCwwiX7bLdUtzBf4IbYDFA5coHUaxI4e6JoBLc1gmITt3hNRTr+ASO97BKhPWJAn+CbgJiBLuH24S9qg6QE2hLPVx8sxMJgnFcmMExCSExqTAmGYE8EqBKBNpSCmn1vFpyie2BJy4JrP9E9l2ovCQXWgEqEm+UBKRMQJAlonwiQJbUQd60TtgnKB8QGsSUR83zhxMObn+gUVV9w</t>
  </si>
  <si>
    <t>20132</t>
  </si>
  <si>
    <t>EDCV INNER GLD.STEAM</t>
  </si>
  <si>
    <t>@@UU@@C@@AA/4AArhSQpTGOc5zHOc5zmMc5znOg50JQg6UpUhKgAShCEAUg4EqSBQEqABKgJUBSgAAoAAKUBKkoUkCUASoCVJUpSkpQoClKApSlIUACVJQlKgAAAAAAAAAAAAAAAAAAAAAAAAAAAAAAAAAAAAUAAAAAAAFAAAAAAAAAAAAAAAAAAAAAAAAAAAAAAAAAAAAAAAAAAAAAAAAAAAAAAAAAAAAAAAABCweDl6joE+zyc/8idwE9YnV5f2o/Xk/r5MXzkLHifmh5peKn6Q8fm6fJP8b397lVh59EsHmxWf/9X181OGRFF/KgyuSAf+ATd2IbIxagMGMWo++iVIrziWR6eakCLklfyZQeeUiUoIfLEoCIlzoSJ9cTDNMsWkIALkH2gGFCBIkUQUQShggiSSnwRKAKRY5+jLSE0IiBN3OQ8GsSiq/bqobY2V4UMCQaUtHoQnZPoILYm+BlJrnMUmEo9N/E1FFoELf3XbYFF3tAJtBH9w2ibSUlgh7IkEoI5ZJKNvoE2pZCSEgT8JCT7eECQnqeW/r3NepD853NMqQNiG/2YEt1bMYmMVvjyARwiYcfFvjPgEg+C/hniq9/Pf4p9InDtwd2M4lUr+QDBZM73DqtIV3beLBlu7l69Uhi16aIqMM4zXNglgmvNvV3berqErkkaNOTXewCWWaN+ressUzceevetYATsAcufeQs1/x8Qmj3pCU1lZYJgyTvfppqshxQFcDozAdJyCR2+6JugmPLqEsE4rwnYLXJxiR3/aJUJ7BIE/wTdBLAS7j92MvbIPUAlsTF6+PwzJiYaBXLkBLBJCZFJgmOYJ8sqRKRLakFq17Hi15hPdAlBcE5T/RPbdqLwkF1pBKhJ/GAloSwEgSsT4RIErqIO/WJxgnhA7wHIJKI8EB3GHN4/oBVVesA==</t>
  </si>
  <si>
    <t>20133</t>
  </si>
  <si>
    <t>EDCV REAR GLAND TO FLT</t>
  </si>
  <si>
    <t>@@UU@@C@@AA/8AArkSQpjGOY5zGOc5zGMdBzoQhB0IOlB0JQBAAASpKkIQcCUpUoCQKUpQEgSpQFAABQFKApClISkCVKQBSkgSpSkgQpQEqApSlIUACVJQlKgAAAAAAAAAAAAAAAAAAAAAAAAAAAAAAAAAAAAUAAAAAAAFAAAAAAAAAAAAAAAAAAAAAAAAAAAAAAAAAAAAAAAAAAAAAAAAAAAAAAAAAAAAAAAABCxfHr6zpE+vx+T+RO2J90CeoT6Ou/+1Hp5P68NnzELFT8sPPLmo+kPs6OryTflX/e3VcefZli6Ob6v/5pueMUiJq8qDLZkA/8Am9qQ34yaAMNgtR+MUCv2iXR6PHQBFMlc7KD75SJSghzxKAiJeUkQs2gSZNiKEIQphDoAMSECRIngnglDBBEk1T8MUQBeFjy9OagJkIiBKc5DuCTYKL8zQNdmTEhhSDMlJ5kJtmbpJUiaQMpRmiIwwQkLP+eHI4CegEKfwwUgT4N7gATWCP7hrE1kpLBDwCQSgjlkko1+YTWmWEkJAnnkJNxZAJCeh2eTFu7m7Qh+k1/blQBqQ09rUJfr1WiWivdxjxgdwSy7TqGbiEg6cWua2var93B1CdzBNi70swlWG0DFTMe9uRQhs/rt4zHPfx0oZzdn1CWiVaK8nZsxxg2usSySRx7Ge7HiyCXrd6ayerTdcpb2b2reuprBNHABnkhfns3f48AmfhkJnuLjKJVscu13vTv4eGHYgM0Do2wOo5RI4u+JvglufSJlE46xOEvcvIJHwewSoT1iQJ/gmkEuBMFntsK+CDpASkTJ6uTxTEwmOcV2MoJcJITKpMCWTAnySoEoEpUgvXvW9rRmE9sCTl8Tun+iezBUViQYGgEqEm+IBLwlwJAlonviQJbUQfDaJxgniA8AHKJKI8PfD3GHPz/OKqq9gA==</t>
  </si>
  <si>
    <t>20134</t>
  </si>
  <si>
    <t>EDCV SEALING GLAND</t>
  </si>
  <si>
    <t>@@UU@@C@@AA/0AArfSQpTGOc5znQY5zHMY5znQlCEIQBB0IAdKgJApKToQdSUgUpIAKUpSlKUpSgAApQFAAhKVKSpSkoUBQEqSBSUgQpSlKApSlIUACVJQlKgAAAAAAAAAAAAAAAAAAAAAAAAAAAAAAAAAAAAUAAAAAAAFAAAAAAAAAAAAAAAAAAAAAAAAAAAAAAAAAAAAAAAAAAAAAAAAAAAAAAAAAAAAAAAABCq97Z1HQJ831/yJ2ROeBPOJ1fZ+1H66/69/H8pCx335Ia5c1P0B4Ofp8M/xw/3+GCwxZ5Vc/f5v/5vB9NOKREbWVBuaJAP/AJv6UOGK7AKsguA8kUiv2iWx5vDSBF2SvlZQffKRKUEPiiUBESg20J7wk0yxShC3YU+4AqQgSJFEFEEoYIIkk9UUQBSLHi6MtITQiIEnqzkNu4JTgu35twcldSGFIMyXDH40KNFHQXhJ74GUzly/BCQUeXamuNvFMwQu8N+u8BTg4gE2Aj+4bBNhKSwQ6RIJQRyySUbPGJsS2EkJAnkkJPsYgJCeZ5Nure3N6hD8p3uvKkDhQji0iXcGmsSsV2h7msDUJjydrSM+wJB0VdmeTa0Ye10iY73sbVvdlLMJhKrQMVkz2duKULuvl5N3ZVg4L6G6S0UcYlgnBn06Lm91CVSSDNozVzsw1Cbm3f4a61L93PbjuUAnGBZuocej+O8Jl1SE7mbIZCdgmK2f50y/Tgw6obICmLYTb0AdJsEj1tQm+CZM28JaJrwicRc5eQSPb9ImAT0CQJ/gm+CWAl+v1VmHTB0AJdEx+ft/FMmJioFctoJYJIS1SYJXME+OVIlIl1SC5c9D293MJ6oEoLwmw/0T038BhEgvtIJgEn7oCXBLASBMgneEgTJgIPcyCawT4QPaA1iSiPg7oeuw5/q+cRVV6w=</t>
  </si>
  <si>
    <t>20135</t>
  </si>
  <si>
    <t>Junction box FI</t>
  </si>
  <si>
    <t>@@UU@@C@@AA/uAArgUQpTGOY5znOcxzHMZCDoQhR0IUpJ0gUhKFKQlSAAQdCQISBSVJApKlASgAAAABSgASBSkKUlKVIUBQEJQBKFKQAClKApSlIUACVJQlKgAAAAAAAAAAAAAAAAAAAAAAAAAAAAAAAAAAAAUAAAAAAAFAAAAAAAAAAAAAAAAAAAAAAAAAAAAAAAAAAAAAAAAAAAAAAAAAAAAAAAAAAAAAAAABCyeLV2HUJHl/kT4QT1Cdnlo/an9fj/r5snIwvk54+iGfLOX1B9nN1y+7D6f79HmuObalknf8n/2fXy0kETw2oMs8gH/gE3M3viZdkDHYLhOiKRXziWx+XLSBbK/MWzpZwfjKRKUEPmiUBESg86E8wlFCXokhC1QH4AFYkCSQogoglza02ZBFDpInVuxKAL4v39VASEhTMe9j2xKMF7ATL0QBetzYxMSSlsBUc6E9qeYvCZQLjXKWkKPTiyuC8RTfmol+ufRBfApw9sBNQI/uHEJwkpLBDpEglBwykkRq5xNQ3QEhIE6JCT3awN+YnS49Pu6NAnTOrY2p3gNKF/tCdVBYJYK40ygb4mTerSW6JB+dteC7BVv9YnBq3cHeKtYTFXmAl3KqLYO/nqE3teeHc7t+oTjNHDR2xMwm5n08GzVudglcgz5q8OMTVsX7tNmVT9O1XRhBKgLNtDL8H8eATuQJvXZdjMJkto2dGPFuw2QHHA7GcDvdZxCR8XhE3ATNn2xLhOHGJTpI4tQkHh9gmET1iQJ/gmgEtBMFntsMWmDqASoTL6u746KCgSukV1rgS0SQlykwSyYJySpEpEqUhvTvet4NGuJ7YEocAm8V/6J7MOMyCQYWkExCT+cBLwloJAlFonyiQJv3YiCPFcJwAnIBxgfIJKI8fgDvsOz9v0qiqvuA==</t>
  </si>
  <si>
    <t>20136</t>
  </si>
  <si>
    <t>@@UU@@C@@AA/uAArjSQpTGOY5zHOc5zIMc50IQhCEpQlKEoShKEoQlCAKQdCUqQpQEqApKlASkAAAABSgAUBSFKUhCgISBQEKQBKFKQAClKApSlIUACVJQlKgAAAAAAAAAAAAAAAAAAAAAAAAAAAAAAAAAAAAUAAAAAAAFAAAAAAAAAAAAAAAAAAAAAAAAAAAAAAAAAAAAAAAAAAAAAAAAAAAAAAAAAAAAAAAABCw+fP2HUJHJ/IniBPYJ2clH7U/rvf18uH0sL9XPHzwz+ycvpDj5uuX3V+v+/x5chzaksM+P6//0JTMEETvaCDLNIB/4BO3ZriYtIDBjFrOiKRX7xNCPy46QLZXZi2dLOD8JSJSgh5IlAREoOUnC6AlFCXIkhC1QeoAxCQJJSiCiCUMEESe6ROnZiUAXBeXqoCQkZoEsObT1hKK6qyZciALbcImBJS0gueqcudCWrPJTUJFgGUo0S40zCn14MbWUXrqIXovT6ILoFFcL3wEzgj+4cInASksEOqJBKDglJIjPziZxyQEhIE6JCT2sIG7MTpcGxq62sJ0zq0tSdwDYQu94TqosEsFcCYwKN0TDtYkltCQfnbiryXqt3rE38+1e8hVlEv4rQJeGqi2Diy1CeHc3vix796oTiM96jaEtE19HZ+DTq7nYJikGjqd+vAJw6l3T2bMan6bGKisE8QGh3UNv+PMJuQJbpbtgl+3U7l+vbhxQGvmkOlmA6zyCRueATtglmbVEtE4L4lOwRw5xIPk9wlYntEgT/BMoJaCXrPfYX+9B1AJUJj9nj9FFBQJipFcuQEtEkJkUmCWTBPTKkSkSpSG5O57Xe1swnvgShvCbZi/0T3V4DCJBW0gl8SfzAJcEtBIEotE8wkCbmS+QR58gm+CfGB8IHlElEcXoDysOn9v0KiqvaA=</t>
  </si>
  <si>
    <t>20137</t>
  </si>
  <si>
    <t>B1-TCS-1301B-C4010</t>
  </si>
  <si>
    <t>B1-TCS-1301B-XA65</t>
  </si>
  <si>
    <t>-XA65</t>
  </si>
  <si>
    <t>@@UU@@C@@ABAIAArrSQpjGMY5zmQc5zHMY6EIOg5wJQhB0pQlIEKSpKFISdCkgUkCkgUpIAJAlQFKAACgAUBSkpQlSUAShQFKSBAAKQhIEqApSlIUACVJQlKgAAAAAAAAAAAAAAAAAAAAAAAAAAAAAAAAAAAAUAAAAAAAFAAAAAAAAAAAAAAAAAAAAAAAAAAAAAAAAAAAAAAAAAAAAAAAAAAAAAAAAAAAAAAAABCw+LV9319R+HOJ4PP/IndBPaJ5ur8f2o9mr+vGfYXLHlXj9X5UfeGzm6fRNzV/3f5LTPmlh5Y8v/0+bjojWiPTXcg1bMgH/gE6+lDmizQBixC4DeigV9Il0fr56FiqSBWygySkSlBD6IlAREoJZxJcgwwxdFCELVBygGFCBIkTwTwStkyIImE3iKJRPCwUiy5OedSQlUiIQ5XaEleqpiZoXHjrQwJDlSk/RCbYmpE5uuBaXFDkZ4OCN3HisdYqvINMKX5YKgJ78+kBNQI/uGoTUQsmHdEglB3oSRGr8xNSWwkhIE9UhJt7asAmEzNnRiz1Z0Oia9USoA3ENOnSJexiYxWtfjA3xMPa21lgEgyc9uLBq+XX1rO50icGrHfikTBr2VXAYp7qD5pZqUM8VZc/D8XBXUhR39z14ZtbDen7AmUTdun4cxolt38kuoT1zTJs0aM+tsYxN3LFldXZtsU+em2yisE4doDJuIVZtFn8eETLv6ZhNnFXlElsbeb2Rg7cNsCbNwF7pOISN/uCa4Jit0CXhOGsTslOrvCR9HvEwCe4SBP8E7QJaCX7PhYV7sHQAlQmP2/J5JiYTFOK5bgS0SQlykwJZMCfVKgSgSpSCmn3PBo1xPhAk5eE4j/RPffwFYkF9oBMAk3iASkS0EgTIJ4RIEyYCD6cgndBPIB4AOISUR4++Jr8f2ggAB1g</t>
  </si>
  <si>
    <t>20138</t>
  </si>
  <si>
    <t>B1-TCS-1301B-C4011</t>
  </si>
  <si>
    <t>@@UU@@C@@ABAIAArpUQpjGMY5zmQZBjnMY6DnQdB0pQBCkIUlCVJSBCEJSg6lKSlQFAUlIAKUpQAJAACgAUBSkqQpKFAQlQEqSpKgKQlIEqApSlIUACVJQlKgAAAAAAAAAAAAAAAAAAAAAAAAAAAAAAAAAAAAUAAAAAAAFAAAAAAAAAAAAAAAAAAAAAAAAAAAAAAAAAAAAAAAAAAAAAAAAAAAAAAAAAAAAAAAABCs7/H9fSeD7ecTu/f/InACeoT7unxftR6eP+vmPAXrHhXk8v40fYGbZ6OWbzV/3h/C4tzys8enD/8vDySieI5q70GjWkA/8AnU3EPNFu0BZjFxG9FArzCXR+vJQsVSVrZQZJSJSgh8USgIiUEtAkg5YgC+VCELVB4wCxCBIkTwTwSukyIImd6GiUTwtIscvPOjISCrmkhDoElhXDgiqU7StttSGJIypFPPHlQmzzSqE6oFxeUP6T8N6WY2uaKKgOvALh8leECfBvAJqBH9w1CaiFkw7okEoOOEkRq/ITUl8JISBPzkJNv6LQJhNl02bVO0h55qs8qANxCbd3fdEwWiWita8AHYEs369tZqxIMnPdTbXt62WzsVdAnB25rfgjYE1s12CwC2fLQdyWilDs5aKLO58XDiwobc/owS4rKp94TKJuXz5M5u6ZsuLJLpE9E0ybNG1oszYxO1sRkrq96/Gpopux0VgnFlAydVCrZ04/4+QTL78hM2/r15RJZs+76ZYutDdAme8DB0GoSOv2RNgE179ImATtVibxTx9sSPl9gmIT1iQJ/gnWBLgTDj9uMr3IPOAlQlvq4vomJhNecVy3glwkhL1JgTHMCfTKgSgSpSCmn1vDp2BPbAk5gE1H+iezDiKxIMLQCYhJu+AlIlwJAmQT4xIEyYiDvZBOEE+cDugahJRHekHwsOxyfUCAAHuA==</t>
  </si>
  <si>
    <t>20139</t>
  </si>
  <si>
    <t>B1-TCS-1301B-C4012</t>
  </si>
  <si>
    <t>@@UU@@C@@ABACAArjUQpjGMYxzmOc5znMY50HOlKEIAhJ0oSlKkASpKEJQdSlJABAEqSpQEgAlQFAAACgAUpSQJQlKFAShQEqSBAAIQkClKApSlIUACVJQlKgAAAAAAAAAAAAAAAAAAAAAAAAAAAAAAAAAAAAUAAAAAAAFAAAAAAAAAAAAAAAAAAAAAAAAAAAAAAAAAAAAAAAAAAAAAAAAAAAAAAAAAAAAAAAABCw/Vr+7qPL0Cfh5+L+RO8Ce0Tq9H7T/rw/14z7C1Y8q8fr/Kj7w8+np5Juaz+7342m1olh5bfN/+15pp4wxHpwZkGqmQD/wCbfYQ5ox7IGHILfLYoFfSJbHPx0LFUlbGUGWUiUoIfREoCIlBLrCSTkQulQhC1QcoBhQgSJE8E8ErZMiCJndiiUTwtIscnROjISCrlkhyvXElervlcp2ldmhcuWSGBI2Eio/NCWmakTbAuMxO0z79yWY2+Uc1YIU3s1l4CijUAmsEf3DWJrIWTDqEglBwwkiNfqE1pdCSEgT1yEm7ejGBMJmdGHTTMh0TU7EqANxDVq3BK8QmIVsXsAfGJh7W2sr4kHPlw3t/FdZvX+kT5KtjXRmEsnsx12gT4qLaTwUTaMFaHPlwd27f6JsOC2+h8/sxyx1TahKhNvPPwaS2Wzexy6hM2qedOzs1bW1iz5ROLPH6XYa93Pcp4ac9tGAE79wFudDt19fRb/H0CbG9ITTvZxMmjraor3obYDswOm0CvpNYkd3cEzAmK3aErE4LBN0p4e+JHi94l8T3CQJ/gncBLQS9k+GQs3IPYAlQmP28HkmJhMU4rmuBLRJCXKTAmSYE+uVAlAlSkFNPueDZzifCBJysT5T/RPfevlgkF5oBL4k30gJSJaCQJlE8IkCZb5B4soneBPIBxAaxJRHj+YPAw7HH9qAAAfEA==</t>
  </si>
  <si>
    <t>20140</t>
  </si>
  <si>
    <t>B1-TCS-1301B-C4013</t>
  </si>
  <si>
    <t>@@UU@@C@@ABAIAArnUQpjGMY5zHOc5znMZBznQc6EoSg6FIShSkoApCUoQdSVASlKlKSpSgAApSgKAAClAUpSkqQpKVKUlSVJSBAAKQhSlKApSlIUACVJQlKgAAAAAAAAAAAAAAAAAAAAAAAAAAAAAAAAAAAAUAAAAAAAFAAAAAAAAAAAAAAAAAAAAAAAAAAAAAAAAAAAAAAAAAAAAAAAAAAAAAAAAAAAAAAAABCwe/r+Pp+iPq5hO79n8icIJ5hPr6fB+1H66/6vHyFix315PL+FH0hnz9Hhm5b393ftsPm2ZYPF88v/p7/JRF+IrLEGnNIB/4BOpqQ5YxaQMGIWs3ooFfuEsj8uShYq8Eyt9mg8cpEpQQ5YlAREoJaRJJShbKhCFqg8QBgQgSJE8E8ErJMiCJneiiUTwtIseHmnGQlUkIhD73QJK4VUxM0LdMWKSFaQbCUkgPIhGaakTl2wLC0oZuGxL+JrKKQQq8d2oCe5ugJrBH9w1iayFkw6hIJQccJIjX+ImtLISQkCeWQk3WwgSEzPPf2dBoQ55qs8qANxDd3dQlzEJiFby+wB1xMG/1VlWJBk5rMNfNh2L/B0CcPHh7UXBK8uOq0CjDRbSdyWzUhb2/zOxwVSu1Ibfb3LlU016qf1RLRNy2fs5y7pm268fFN0ifpPMlzRVp04c2QSrf0ZotwXetltU9ynLZRgBNrABZ1UKtPUx/x7omXr4phNWziv7Aks2f1or34bIEv2AabnQaxI9fgEygmG3aEuCdm+JvFPHxCR3vQJWJ5xIE/wTfBLAS7j9OMvaoOcBKhMXm4vhmJhMM4rsWglgkhLVJgTHMCfFKgSgSpSCmnzvY2sonpgScuCdo/0T0Xay8JBdaASsSb3gEpEsBIEyCe2JAmSsg72QThBO6B3APZElEfAntMOXk+UEAAPUA==</t>
  </si>
  <si>
    <t>20141</t>
  </si>
  <si>
    <t>B1-TCS-1301B-C4014</t>
  </si>
  <si>
    <t>@@UU@@C@@ABAIAArqSQpjGMYxzmOZBjnMc50HShCEJSlCEIShKVKUBCEKSg6gKUpClAQpQFAUpQAJAACgAUlSkqQpSFKUlKgJUpAAKQlIEqApSlIUACVJQlKgAAAAAAAAAAAAAAAAAAAAAAAAAAAAAAAAAAAAUAAAAAAAFAAAAAAAAAAAAAAAAAAAAAAAAAAAAAAAAAAAAAAAAAAAAAAAAAAAAAAAAAAAAAAAABCt+Pi6vBHf+voE4/t/kTfBPQJ9nV937Uefi/qw75eseFeX8/HR9QZ9HTzTc9n94PvvLtErfF4Pp/+PDyzxbEWGVBpxSAf+ATZ2kOeLtcC3GLhN2KBX8BL4/XloWKpK2MoPylIlKCHmiUBESglriSTVMspLQhJaoPEAWoQJEieCeCWrlmZiCJ2qKd2KIWsWObonCQkKV/jJCHXElWVRTKZoXHjsQwpGdKSR5EINE3jmAqE7AGYvKXnn4OjMmRxFF1YIYLbJwJ69wBNII/uGkTSQsmHcEglBxQkiNPkE0pfCSEgT9JCTdzUAkJodXF19Y1kPLNVolQB2kNvb2hK7hLhWxe2B7Alu92VlhEgydF+phv4s2Lb9npE3+9dXGcSzVyVZgLp81B70talDFXnlZsYfasrQ2fc81sraZtoS8Ts459/Ga0tnBdLqE800yaKM+bFmuE48sY+1otwbma9T4K6819NoJw4gL+whVrYNjJ/HwiZ+7ISnR3LsU+cSbR1/PGHehvgTRlAq6TiEju7wmcEty7AlYnDYJulPe9sSOT1CYRPSJAn+CbwJeCYMfrxlm1B5QEqEu9HD80xMJqTiubKCXiSEyqTAmOYE+eVAlAlSkFNPpeDYzieuBJysTSf6J6sGEsEgwNAJhEm+IBKRLwSBMgnGJAmTCQcmQTgBPlA98DSJKI+TkD3WHV5foBAADrA=</t>
  </si>
  <si>
    <t>20142</t>
  </si>
  <si>
    <t>B1-TCS-1301B-C4015</t>
  </si>
  <si>
    <t>-C4015</t>
  </si>
  <si>
    <t>@@UU@@C@@ABACAArlUQpjGMY5zmOcyDnOYx0HQg50oShCFIShKEgApKEIQdQEgSpKQKUpQFAUkAFAABQAAAhKVKQlSUpAlKVAQpIAJQpQEqApSlIUACVJQlKgAAAAAAAAAAAAAAAAAAAAAAAAAAAAAAAAAAAAUAAAAAAAFAAAAAAAAAAAAAAAAAAAAAAAAAAAAAAAAAAAAAAAAAAAAAAAAAAAAAAAAAAAAAAAABCxfVq6uWPF0CeHx9/+RO2Ce0Tq/H9p/Zyf1fPtMix4l5uf0UcoePP0+Sb1V/3f8uU055YvP4bf/5fv5qIsiMJcg03pAP/AJtbiHqjW0gYsYuAyxQK+YTLHr5qFiqStbKD0ykSlBD5IlAREoJaBJJljyoUISWqDzgGJCBIkTwTwS/PPdOzkEUBTvxPC3hY83ROEhIUq9EkNquDrCTYC/ZflO0rly2IYkjOlJzoTGzNIpE64GYmXEUMp+K0LG+TzYagDXgEv3V0AT07oCagR/cNQmohZMO6JBKDkhJEavyE1JbCSEgTnkJNv2ASEtdfDsbBMh0TU68qAOuhubm2JesEsFa13QOATF2NpZYBIPXkxX/0uur7WDpE+Tj+We4SvNjqtA1ontoO7LYrpQ4u7bXwVcfDhyYEO5+tkr1M28JUJt4Z+POaJbV+yXUJs7086aKdOnFdjE710ZK6t63Ipop0XZKcIJooAyXIVbGbH/HfEu7MhNfsb+YTHn4NmPZLB2YbYCiB2LQJr3SahI7WsJcCWZdIl4TiwifGU8nGJHz+8TAJ7hIE/wTfBMoJfx/DGV7cHQAlQmt7eH7JiYSycVutBMokhLVJgTHMCeCVAlAlSkFNPueHTmE+ECTl4TUf6J77+ArEgvtAJgEm+kBKRMoJAmQTvCQJkwEH0ZBO2CeAD5gNQkoj64DuMOb8PuQAAD4g=</t>
  </si>
  <si>
    <t>20143</t>
  </si>
  <si>
    <t>B1-TCS-1301B-C4016</t>
  </si>
  <si>
    <t>B1-TCS-1301B-XA64</t>
  </si>
  <si>
    <t>-C4016</t>
  </si>
  <si>
    <t>-XA64</t>
  </si>
  <si>
    <t>@@UU@@C@@ABAEAArvUQpjGMY5zGOc5znOc5zpShBzoQlBzoQlAEJSpKgKSg6EpAlSVAUBKlAAlQFAUACQAUpSlJSpCUgUgCkqShSlKQhQEqApSlIUACVJQlKgAAAAAAAAAAAAAAAAAAAAAAAAAAAAAAAAAAAAUAAAAAAAFAAAAAAAAAAAAAAAAAAAAAAAAAAAAAAAAAAAAAAAAAAAAAAAAAAAAAAAAAAAAAAAABCu+Dh4+k5hPn+3j/kT3QT1CdPl/af0+//XyHzGFY+t9EPkl9lH0hj5Ojjm/Gz++rXiPF1JXfu+r6P/qm8cRciJq8SDLNIB/4BNHWQ2IvyAu3L4tZyxSK+YTDH6eOhYqkr+bKD75SJSghsiUBESglsCcEyY48qFKEgtQwQcgBeQgSJE8E8EuWTIgiUz14nomiULSLFNHm5qQzTCSBOTRDoEmsrpiZoGkuzYsVxC4kdRKKo9CE5sTT1CSltgZCmyIoZLP+V5tk2Muw1Aha89dAE9GoBNYI/uGsTWQsmHUJBKDhhJEa/wE1pihJCQJyyEm37wEhNTu3M+fZ2UOea11ZUAbiG5q0iWtOETCK3BwaQOAS/2NwZbwkGXmzYLN/nulzs2dAlPbm4oyiV38QF3MY5yvN3tm0hGbY7MuxVbqQ2u4TbomITbvac2arb2ukS9JP13tjPs4727hEnz/BFzLvZcqmjJ36tWSq6CYwKtxC2Z5/4+ETLkkJlwd3JZtZBL+PKemLm/DjgKIGvMB0HEJHBpE0Al3JnEsE7dgmop18IkfF7BKxPWJAn+CaATECW8HtwFm5BzgJUJf9XveGYmEvTiuTGCYhJCY1JgTBMCfLKgSgSpSCmn1vaz5RPbAk5aE3j/RPZbrLBILbQCViTfGAlImIEgTCJ3BIEw1kHgwidoE74HdA1iSiO94Q4mHN5PEIAAHuA=</t>
  </si>
  <si>
    <t>20144</t>
  </si>
  <si>
    <t>B1-TCS-1301B-C4017</t>
  </si>
  <si>
    <t>-C4017</t>
  </si>
  <si>
    <t>@@UU@@C@@ABAEAArvUQpjGMY5zGQc5zmOcyEHUhBzoQk6DoQBAEJQpSlIUg6lJSpKlKApIFASoAFAUBQAAAkCUpSlKVJUkCgKSlKlKQkClKApSlIUACVJQlKgAAAAAAAAAAAAAAAAAAAAAAAAAAAAAAAAAAAAUAAAAAAAFAAAAAAAAAAAAAAAAAAAAAAAAAAAAAAAAAAAAAAAAAAAAAAAAAAAAAAAAAAAAAAAABCwdnm6Txc4n1+Dw/yJ7gJ6ROnxftP+vL/X0H1Fqx3Hyw9+Xdo7YZfJ0eGbz2f37deQxbUsH3dzt//2+73qIwxE+xcgywSAf+ATd0obkY5Ad/BaLWeaKRX7RMsfn4KFiqSv5MoPvlIlKCHxxKAiJQS0CckyXRuIUoSW8QeQAwoQJEieCeCWaaZmIIkEp+KJQtIsUePnqpDNOJI88CRAGYLBJWVxTKZoG22tCxI2kp0Rj8qFBtzl4TeAuKidvVNH4zTLhb5RsXJeQaoUv6bKQJ6adQCawR/cNYmshZMOoSCUHNCSI1/gJrTLCSEgTzSEm4sQEhNLi4MGfPuGdD0TX9uVAGlCnVpEvabRLRWkceMDjEw9XqDLhEgu59nHZxZrcODq7HQJVyza4vCV4sgGDaMs5X19upC3k0aOTjp3bJIUfCTahMonUxb+bNVvbvSJhkno28+5kwcGMTP8cWXcN1ymjL2KtWWrYBN4CrShfM/8fIJdl35hNm34tmze2RMd20fpGDihywFEDXmA6DWJHHqE3QTBdoEsE5bBOAp5vgEj5vWJWJ6hIE/wTQCZAS/j9mMs34OcBKhMXp9/tTEwmGcVuygmQSQmVSYExzAn0yoEoEqUgpp9T72fZE9kCTl4ThP9E9d+ssEgvtAJWJN2QEpEyAkCWidYSBLayD57RPdBO0B1wNYkojsfKHWYdrvfYIAAHtA=</t>
  </si>
  <si>
    <t>20145</t>
  </si>
  <si>
    <t>B1-TCS-1301B-C4018</t>
  </si>
  <si>
    <t>-C4018</t>
  </si>
  <si>
    <t>@@UU@@C@@ABAAAAroUQpTGMY5zmOg5znOcxjoSlCDoQdCUIQpSgIUBCkqShCAKSpQEqABKgJUACgKAoAAKSBKkoAhSQIUpQAJQpKQIQoClKApSlIUACVJQlKgAAAAAAAAAAAAAAAAAAAAAAAAAAAAAAAAAAAAUAAAAAAAFAAAAAAAAAAAAAAAAAAAAAAAAAAAAAAAAAAAAAAAAAAAAAAAAAAAAAAAAAAAAAAAABC1vDxdh1CfVzc38ifACeoTs+79qP17v9fOfSZFjyPRDyy+2nxhn+/r5p+iz+9fBmK9EsPPe8f//Z5PLTERE7MyDLRIB/4BNOpDtxjkBy4cguA6IqFfMJmjp5aViuSvpZQfjKRKUEPmiUBESglpE6ZpbHOhUhJb0EfgAYkIEiZRBRBKGCCJBKfvRKFpFjnq6qQ0XikSYJLb9ERBpEoswVxNpHYzZsCGFI10rOhCZ257ee8JqAuJlIT9ONvXyKMNxWBBdEgWpb+1ZWBTVugJxgj+4cYnGQsmHeEglBxQkiOPzicaWwkhIE/KQk/fxASE3Xfw6dnX2UPzne7W1OoDdQjVRv9wS/lEyiuEclYHAJi3p6hn7okFvVdVjs3p38OHRwU63WJe73eotEw5bwGK4z0GDv9qtCvHh5OC7YsyX0NNZRuCUiaceLWtxXtnF2CY5Jdm0aM+Lbyia/fiy7VdapcZ/kr2s9eEE3QK7UL5sfx8olueQlvJbf02iYs1x+kWbsOWApgcFwHWfEJG/uCaQTWz7AlgnDYJ3Cru/CJHg9gmAT1iQJ/gm+CZgS/k9uQs3IOkBKxMfq4fFMmJioFbc4JmEkJnUmCZJgn0SpEpErUgqq9bw7NwntgSgvCb5/onsv4CwSC+0gmASfzAJUJmBIEyicgkCZcBB4MonCCeID4wOISUR4eIORh0eX6wAAA9wA==</t>
  </si>
  <si>
    <t>20146</t>
  </si>
  <si>
    <t>B1-TCS-1301B-C4019</t>
  </si>
  <si>
    <t>B1-TCS-1301B-XD11</t>
  </si>
  <si>
    <t>B1-TCS-1311-X32</t>
  </si>
  <si>
    <t>-C4019</t>
  </si>
  <si>
    <t>-X32</t>
  </si>
  <si>
    <t>-XD11</t>
  </si>
  <si>
    <t>@@UU@@C@@AA/iAArWSQpTGMZBjnOc5zHOc6DgOhJ0IQlSEHSpKlKUdSEpQYAEqSkCgKUpKgKUpQAAABQFKAkCUpUlKVJUlSlJSBKQJOAAFJApSlIUACVJQlKgAAAAAAAAAAAAAAAAAAAAAAAAAAAAAAAAAAAAUAAAAAAAFAAAAAAAAAAAAAAAAAAAAAAAAAAAAAAAAAAAAAAAAAAAAAAAAAAAAAAAAAAAAAAAABCw9q7nNonf/kT3wT1Cfnz+D00/tyf12sX2ELHb++Ih7sij7g7ni5tz8KPN/fk8GU3tMsPi7vc//tymY4JyvZUGeiQD/wCb+JTDpAv4hbDyxSK/iJb45ejvVAR35C+dvQcMpEpQQ0RKAiJQS6IkkzR4UKUJLXB4wDEJAkiiCiCUMEESSjXFEAUi+HbQFcxJAn5dPUJOymybUhLHjwIX0jdCszoTNE+CsSOCAMxmaX4TyaajzWt8nj3ANDAEQCYr8YP0vFYEVV1LrAS4Ef3C4S4lJYIeMSJREHLCSi79RLhzwEhIE8shJ9TQFoExPO4N/JmElTuxKgDh4kNIa+JTbaJaK4E4gPgEw7LyS6gkHoy4bM1mzmE5LsWyOvizCX6McIfFiy0HY3qWoSe3Jh5NVlYnYK58YlomrPhzzqyaecTDIOCjRLdv4BLp7nDgxThS7RhpsBNYFvREnx/x8gnTgTJjEqx8OS73tW/f1w2wJXnA5jlEj3fSJqBLc28JlE6t8T3Crl6wkfL7BLwnrEgT/BNYJlBLLfbaX+lBtASsTH6tn1TJiYqBXPmBMokhMykwS2YJ9cqRKRK1IKqvW7NW6J7YEoNwTrH+ieyy8XxILGkEvCT+cBKhMoJAmQTsiQJkvEHzZBOQE7IHxgdUSUR9H0h12HR3vtQFVegA</t>
  </si>
  <si>
    <t>20147</t>
  </si>
  <si>
    <t>B1-TCS-1301B-C4020</t>
  </si>
  <si>
    <t>B1-TCS-1321-X93</t>
  </si>
  <si>
    <t>-C4020</t>
  </si>
  <si>
    <t>-X93</t>
  </si>
  <si>
    <t>@@UU@@C@@AA/eAArOSQpTFMc6DHOcxzmOdBzgOhCUJQhCEJQhKVISBSkJQcCkgApSAJUpSgAUoCgAABQFAUpIFISpKkJUgAFJSBSVKQBSlKApSlIUACVJQlKgAAAAAAAAAAAAAAAAAAAAAAAAAAAAAAAAAAAAUAAAAAAAFAAAAAAAAAAAAAAAAAAAAAAAAAAAAAAAAAAAAAAAAAAAAAAAAAAAAAAAAAAAAAAAABCxfFq6zpE+z+ROjiBPSJ9HX5P2p+vH/XxnzGRY8Tzw80vFT6Q5vL1Sy2fh/fm+3MbOmWL7o+v//q5vHS2RVLBmQZ6ZAP/AJt41LdkDDhF1jzxQV8ol0fl46LHkxkxfQ2QbcpEpQQ0iUBESglsiSGupCXOhA3oOgAxCQJIpBVBKGCCKwmwxFOCKQtYvP01BISFOjYElevUmShbIa0J224ULEjMF7OR5kKtETvCVaY2gMpmK3udqdPRkcJPHfAMsCRAkF6zdoBSm8AmoEf3DUJqIWTDnEiURB34SUcn3icg5YCQkCeeQk+HXxgTE/Fw9na0iSpn3JToBuoaDTv7ynTcJcK4h2wLx7QmLfx1DPgEg381dtmvOzu9Qne47eS3MJg1ZMoGO2Z4KtiBLrvBr7eH27L6lZotn+cpY+m92xMwm1p4zPVsYr9kusTJIJ6dzBrCZcF/ctt0Qpy6baWAnCBdpE4P45RO5AmW/jEjJd+m1f4YcUCUuA6jUJHd3hNgExZNAmMTjwCbZXyd8SPD6xLBPUJAn+CboJlBNbJ7Mhg2oOkBLwmP08XyTJiW1CuvmBMokhMykwTJME+WVBKCXlIK6/U8XZzieyBKi+J7h/onr1rDAJBrNASwSfwgJWJlBIEuE94SBLrCD4LhO8CcoHuge+JKI8OoTPzfOqiq9gA==</t>
  </si>
  <si>
    <t>20148</t>
  </si>
  <si>
    <t>B1-TCS-1301B-C4021</t>
  </si>
  <si>
    <t>B1-TCS-1301B-XD21</t>
  </si>
  <si>
    <t>B1-ATS-11001-YS01-SYS</t>
  </si>
  <si>
    <t>EXTERNAL CNTRL ATS - STRT UP</t>
  </si>
  <si>
    <t>-C4021</t>
  </si>
  <si>
    <t>-XD21</t>
  </si>
  <si>
    <t>@@UU@@C@@ABAQAArtSQhTFMc5jGOcxjGMdBjoQg6EJQhKDoQlKQJShCUnOgCEpAACQJSlKUgSkCQAABIAJSBIAHSlKUJSlKUoABKUpQACVJApSlIUACVJQlKgAAAAAAAAAAAAAAAAAAAAAAAAAAAAAAAAAAAASAAAAAAAEgAAAAAAAAAAAAAAAAAAAAAAAAAAAAAAAAAAAAAAAAAAAAAAAAAAAAAAAAAAAAAAABDw9zf0cp5DjEQ/sR0hHWYR9hHDy+j6x/jN/ndr8IyTeVcLLzPRHxho9XJ6IT/D/eLhxHv1Hw+3yT/t9HneRxnntQJ9NwF+gEZMe0kU5AMFQE7CYsaIkvUIsb5aIgN53EttTMe53HdiDqRoMDM7D5BFMEsUUD+lAwrzHsAKUDCGcixIw7JhhnUrNCRsTuwEolHo8cQcQyR6zVEPMlNGaQFKA9VU6CdGkF44kEmNoSiNcDCWEi6EnUyGxUqL7S0zCAuZk0aPbECSO0AjOCF/IZxGcd0mGVQhh2GzOh2z+4RnFawOIYRxOIhz6QHEfFb+Da2Nfm66D5wm1HiBlQX9vKIv1iKxJUC5wHNOkIp6fVkFDAIY4MVM/Tqlx4N245BG9XXwV3CKfnhzXAXrZ4m9Rra19BLvR47dgnvINk65e1tSXNuCNMRtX9WNc+CiduURkqgETHJsUUiI2amGWSqiGPLbC1mEc76Y7arzAi7ngY9lBf19K5z+uwIu6LiMEuIQ91OXTxNNuMrGCtktWUDkM4huh9RFwIqt1RFgjq0CMpLnzCG7P4ETiPuIYR/wjbBFoImr/NZRsscYCLwir7b3fgQEUyCS0sQItEOIxJEARXAEeB4iIiLyQxLL91u61wj8sIkL4jcP/EfiacoEMTKIInEQ7YCJRFoIYRYI3xDCLJxjtWCN0EeADrgdYQ7N3nDgTK7R4gEAAcw=</t>
  </si>
  <si>
    <t>20149</t>
  </si>
  <si>
    <t>B1-TCS-1301B-C4022</t>
  </si>
  <si>
    <t>B1-DCS-11001-DI08-SYS</t>
  </si>
  <si>
    <t>RESERVE DIGITAL IN</t>
  </si>
  <si>
    <t>-C4022</t>
  </si>
  <si>
    <t>@@UU@@C@@AA/8AArhUQpjGMc5jmOcxzGOc5zJSg50gQhKUIUhQFKQhCUKUdSEpAACUqApSgJUAClAAoAAKUpQEKUgCEgSoCUpSpKlJQAClKApSlIUACVJQlKgAAAAAAAAAAAAAAAAAAAAAAAAAAAAAAAAAAAAUAAAAAAAFAAAAAAAAAAAAAAAAAAAAAAAAAAAAAAAAAAAAAAAAAAAAAAAAAAAAAAAAAAAAAAAABCyfJs6j6OgTm+z+ROAE9InVzftP+vH/Xy5fnIWPteeH7pV0fUGfw9MubF5/78nPnKr5Y/Fm5f/+vlmnskQV5kGmiQD/wCaNxTJ1wMFdgsjyxQK+ES2Pz5aAI++QvnaoPHKRKUE0meJoCIlBLUJJc06EudCBpgr/AAyIQJExTBRBKiTIgiYJ5t6UoApFn5+igJCQp4jaElhxlFU4NIE6zZcuJDEmcMJ5UJ9MTUidgDEZidm/Ht7R7uVrKcFkIO5Al5EFZj8dIFFG6AmwEf3DYJsJSWCG0SCUHwQkiNnkE2DngJCQJ5pCTe5YBIT8nbx6+xrQ9E2C8lQB2kN6qqEMOQTIK1jrA1G+JZu8GTfpGiQkHR3ctuOOLZfZxdY6RKbaMHcy45XiZJp7fe0ge/djoKMOvXhQy3abJ9e1XdOhyHdNO3tYOyJeJuYLeO/VqqjqEukFurRorsEz4seKzrdq64Gf9Mt91OQEvAnya0MGv+O8JN7chJaNqVwmPPP8OarehsgS+0DpOMSN/dE1glmbriWicNYnZKe3xCR3/WJiE9QkCf4JugmYEqt9lpXtwegBMAmX08HgmJhLJxXRnBMwkhM6kwJbMCfNKgSgTApBTT6nh16RPZAk5hE3j/RPXViKxIKmgExCTd8BKRMwJAlwnIJAl2Ig71wnCCeADuAcgkoj4/iDkYb+X6RVVX2gA==</t>
  </si>
  <si>
    <t>20150</t>
  </si>
  <si>
    <t>B1-TCS-1301B-C4023</t>
  </si>
  <si>
    <t>B1-TCS-1301B-XD22</t>
  </si>
  <si>
    <t>RESERVE DIGITAL OUT</t>
  </si>
  <si>
    <t>-C4023</t>
  </si>
  <si>
    <t>-XD22</t>
  </si>
  <si>
    <t>@@UU@@C@@AA/+AAriSQpjlOY5zHMc5jmOdBznUg50IQoCUKQhCFJUhKkoQdIEKUoClAUpSlKSAClAAoAAKUpIEKUgCEqAkCUpSpSlJQBQFKApSlIUACVJQlKgAAAAAAAAAAAAAAAAAAAAAAAAAAAAAAAAAAAAUAAAAAAAFAAAAAAAAAAAAAAAAAAAAAAAAAAAAAAAAAAAAAAAAAAAAAAAAAAAAAAAAAAAAAAAABCw/Hr6z6OkTn/kTv+0CecTr5/2ufr3P6+Sz5yFjvvRD9ssE/qDL4Ornoq/H+/H0ZTyaJYfD9cv/+zm+6eKRHNXsINOzIB/4BNG6pZqApw2CyPLExX7xMkfnzzAjL0UC6GqDxSkSlBRJnFEBESglqEkuW4hLMhCZIpg8IBYhAkSLsFyCUMEESCijelKAJi3PB0zCQkKYjZEleuXqAZgVlFllSFSbAXilY8iE89EqRNoC6ZCbRxbekxNRP8MV5B9mFM4YK/FdAnOvdATWCP7hrE1kpLBDaJBKDkhJEa/GJrHNASEgTyyEo4LAJCfk7lera2kPNRTolMDsoexfvwhewiYRXAOgDSdoTFu8G/iujOgSDp9yzHXl7fJnsuduOoS7jnTylmcTBhx8OYDjtrmTNWqlCmOHj4v02qvXpQ9490t1Xd4TMJu3dOfkz6aL96XWJjkFmzpyV3hMlVdWL1t620G5m27Z1glm+BPDoQ3Nv+PfE0cMhM+bTsCWZ6Lx3c1W/DjgJwNVoFHUaxI4O0JtglmTSJaJ3KxOyXeTjEj4PSJUJ6BIE/wTeBMgJfx+rGYNyDzAJSJZ5+L5qCgTFcFdjKCZBJCZVKATHQCd6UxJiUqQXbvofb1ZhPVAlwvCbx/onpv1GASC+zBKhKPiAS6JkBIEtE4hIEtqIPhtE4gTvAcoHKJKI+VO6w5ub6VVVXsAA==</t>
  </si>
  <si>
    <t>20151</t>
  </si>
  <si>
    <t>B1-TCS-1301B-C4024</t>
  </si>
  <si>
    <t>@@UU@@C@@AA/+AArlSQpjGMcxjnOc5jmOc6DnOk50JUBSEHSlCgKQlSEpQc6kKSkAFJUBSQAUoClAABQAKUpIFJShSUpAkCkpSpKkqQAClKApSlIUACVJQlKgAAAAAAAAAAAAAAAAAAAAAAAAAAAAAAAAAAAAUAAAAAAAFAAAAAAAAAAAAAAAAAAAAAAAAAAAAAAAAAAAAAAAAAAAAAAAAAAAAAAAAAAAAAAAABCwfLs6D6eYTl/kTvcIJ6hOjl/af9ex/Xds+ghY7z4Ye/K9R9YZPFz8s130f35fDkPNnlg8n2/Z/8fd4J8MiJr2RBp0SAf+ATNvKYdIFyuwWR54oFfGJbHp8FAEffIXM1wfhKRKUE0meJoCIlBLSJJcc6EsyEDbckeQAwoQJEimCeCWeTIgiZ8cUT9WUoAuCz+LmoCQkKXK40iTV0VzA0AU/lPbbeQvJmCuqLTzoU6J51mqE6dwCcy0xDN8FBgaye/SB6IBaq/LmCkCiW+Am0Ef3DaJtJSWCGwSCUGyEkRt8wm0ckBISBPxkJN1sIEhPS7vXwadWpD85qs8qAN5DXdrhCrCJhFbw3wNmo4RLN/3uCykaJhIOb4sVuC/xbM9me3ilziXMdNXbu25xMFmOnCBx236CjVquIbs/Bopp01VIds7Rc46N8TIJ7tOjJ2ceiauqXQJZILNzRrv1Cacl7Besy68eMGf9OpjowAmLUBRg6iGn+PjEz8EhM2XTkEw7k2zLX1YbIErxAc5xiR1vfE3QTDb0xMQnFeE3ins9gSO57BLonrEgT/BNYJjBK8XtxF73IOYBLglnq6/zTEwmGcVy5ATGJITIpMCYpgT55UCUCXFIKafW8WrcE9sCTlQms/0T2V3S8JBW0Al0Sb5AEpExgkCWibBIEtukHctE4QTkA5AOQSUR2u6HwsObv/Uqqq9IA==</t>
  </si>
  <si>
    <t>20152</t>
  </si>
  <si>
    <t>B1-TCS-1301B-XD34</t>
  </si>
  <si>
    <t>EADSF GLAND TO TG</t>
  </si>
  <si>
    <t>-XD34</t>
  </si>
  <si>
    <t>@@UU@@C@@AA/mAArYUQpjGMc5jHOc5zGMdB0HShCDpUhCEIQlSUpSlB0oUcCkJSBIFKUBIEqUACgAUoCgJABKkASoAEJAoCEpUpSUKQoClKApSlIUACVJQlKgAAAAAAAAAAAAAAAAAAAAAAAAAAAAAAAAAAAAUAAAAAAAFAAAAAAAAAAAAAAAAAAAAAAAAAAAAAAAAAAAAAAAAAAAAAAAAAAAAAAAAAAAAAAAABCxeLwdXQJ9P2/yJ2wT1ieb6+qX7Ufr3v68f0HjWK3mh5JeWjyByefplm/HB/fpruMWvLF54t//yeXkojFEfZh1kG9VIB/4BNG2h6oybIGPGLXX+EqRXlEujnnXzX7SZXnZoOaUiUoIeWJQERKCWgSQ4p0JDjvoSvwfcAY0IEiRTBPBLCSZEEUhOwxQTwtIscvROGWmcSZTSGwJK9NP2Zp2cabbZIVpGYKYgPShCzWy6+a+FEDN2YAzGU1r7OeqLHASx0IMoUvc1VRSBFEO8AmoEf3DUJqIWTDuCQSgj4ZJKNXoE1JdCSEgT75CTcGMCQnO6s+LRs7U6G1Nf63DNSBvIfnwbwlVolorx4hwAdwTHw/FujZP2hIOjNKzBn7mGO10iS1uPDkjMJXhuAxXTHHsRQh29MtF/h01UIa97cNijfEtE1vf193PewdQmOSWZ66rMIm3nq3MmRTrYt/e25pqcAJIC7QhMa/8eEScuu7E4k2KwSq2w7H6TaK+CGyBNfMB0nEJHweATaBMmXZExiacAm4U8XeEj4/aJWJ7BIE/wTfBLgSqz3WGDdg/IBLwmT1935piYTHOK62UEuEkJlUmBLJgT55UCUCXlIKafY93azCe6BJy+JxH+ie2qswCQVNAJWJN8oCUiXAkCWieESBLayPktE0gnfA74GkSUR4uMTNyfUoKq+8A</t>
  </si>
  <si>
    <t>20153</t>
  </si>
  <si>
    <t>EADSF GLAND TO FLT</t>
  </si>
  <si>
    <t>@@UU@@C@@AA/oAArXSQpjHMY5jGQc5zGOc5zAQdSDgQhCUKQpKQJShCUnOpSEpUBQFKUBSkpUACgAAkCkqApSEgUoCUqUBKkpApKVJQACVKApSlIUACVJQlKgAAAAAAAAAAAAAAAAAAAAAAAAAAAAAAAAAAAAUAAAAAAAFAAAAAAAAAAAAAAAAAAAAAAAAAAAAAAAAAAAAAAAAAAAAAAAAAAAAAAAAAAAAAAAABCxfN8PRzCcve+/+ROuCeoT6uin9sH69n+u59J3FiteWPsn74cvi55Z/NX/fkruPLfLF+Hf+v/5fb4JRiiIszIM98gH/gE1byHnjJpA2rRa6/zlQK+ITLH6Tr92GSt7KDxykSlBDfEoCIlBL3BJDtToSHwoRTB+IBiQgSMkxRBggllkyIImaYignhaRY8PNOGeZCmJlMPGaRJq1qo6kpygiFuurQ2kgwXpHkQhCa6WekSfUBnMhdSzE/m0WthPjpBCrx1TTgRWNHTATYCP7hsE2ELJh3xIJQRrkko2fkJsTLCSEgTyyEm4cgEhPO67dvHq3NydDmmq04ZqAOBCJuPh4BKrhLhX4MQFIHXEx8Vm+OSfqiQejPK2y/rbXVq5xJ/fm5I0CVWZQOsYs0529MUIaM+anUVa+xZbWhvFc/AJlE3d2/Ff08N3QJkkl23ZXbiE3s9W/bapt4vTuywVgmrMBmkhNf/HxCXcMhM2L0lwlWWaNzDwQ44DqQN+cDnNYke9yCbgJjy6RMgnYsE3yjX2RI+P2CViesSBP8E90EyglVvttLN6D0AJSJk9XF3ZiYTHOK58wJlEkJmUmBLZgT6JYBMAlKkFFHreLc0Ce2BJzCJrP9E9lVZYJBU4ASsSb5QEoEygkCXCcgkCXVkfJcJxgndA7YHaElEfPIO0w6PB3gRVXpA==</t>
  </si>
  <si>
    <t>20154</t>
  </si>
  <si>
    <t>EADSV SPRAY FLT.</t>
  </si>
  <si>
    <t>@@UU@@C@@AA/kAArTSQpjGMc5jmOc5jmOc5znQgBzoAlCEoQhKQJUhSEIQdKgJUkCgKUlQEASoCgAABIAAUlSQIUBKkqSgCVJSBSUpQACVKApSlIUACVJQlKgAAAAAAAAAAAAAAAAAAAAAAAAAAAAAAAAAAAAUAAAAAAAFAAAAAAAAAAAAAAAAAAAAAAAAAAAAAAAAAAAAAAAAAAAAAAAAAAAAAAAAAAAAAAAABCwfX8/V0Cc/k/kTtieaBPcJ1fj+0/68X9cv2nKsfe+iH8JeOj7g5ufpl5NFf9+m9jPDolg82Pxf/4vHzURhiKb+VBuUyAf+ATa3ENuLNIGDEL6q6/0lcFfyEyR651z1SVqZQeeUiUoIfLEoCIlBLSJIb86EhzIRcg5wDAhAkSKIJ4JQwQRWTBOTwtAseXonDJMJTMpwhsiSuVlPamnaRoXFiqQrSKYypK5p9CEyFGiWaoSfaAzGApcuaj1WtZN57gFsAtU16cCepdwBNYI/uGsTWQsmHbEglBHJJJRr/MTWmOEkJAnpkJNvYQJCet47/DtatWlDuTVbMqAN5DVv7wl20S0VrHsAdsTBwTbYzYe0JI9mWVllee/2aKukT5Nic7lGUS9PftAwY5ju7FCGmvF7Mlzhq+XDdvIaZqyncExias3Xz02dQlkkzaLuGLL4neu6I69limx7dmqymJAmbdAySQ49z+PoEnMe/MJlMNol/HaYT2zYNVe7DbAmfMB0nIJG/3hNIJiy7IlgnFWJtlPJxiR9PwEvCe8SBP8E3QTGCVYvjiK+xB0AJcEs93B4JiYTDOK5cgJjEkJkUmBMUwJ9kqBKBLikFNPveDTmE+MCTl0TjP9E+FV4rEgqaAS8JN3wEpExgkCWifMJAlt4j6rROIE8AHdA4hJRHL3w5GHPzeEQVV6wA==</t>
  </si>
  <si>
    <t>20155</t>
  </si>
  <si>
    <t>@@UU@@C@@AA/kAArRUQpjGMdBjmQc5zHOg5zoOdBzoAhKDoSk6QIAgCDnSdSgJSoAFIUBQEqUoCgAABIAASpSVIUBKlKSgCUpSBSUqQpIFKApSlIUACVJQlKgAAAAAAAAAAAAAAAAAAAAAAAAAAAAAAAAAAAAUAAAAAAAFAAAAAAAAAAAAAAAAAAAAAAAAAAAAAAAAAAAAAAAAAAAAAAAAAAAAAAAAAAAAAAAABCufN3uvpE6PH/InGJ5IE9gnX9/7T/rq/rv/Ud9Y+x88P3S8VHhDn6OqXj3a/79FvAeDdlc8nh4P/+vxc9EXYj7bmJBtZZAP/AJwcSGiL++BdwC+muv8pWhX8RMUeqdclUlamUHllIlKCHHEoCIlBLOJIdudCQ4kItQdABcQgSJFEE8EoYIIrJgnJ4WgWPw6Zw3JhKZlM4ZRJWqO3KZoHbLLKkK0inCkpUrn86EyE+7LFXbEotAYSotM2H03msnoAuwC2vLVE4E9Q8ICbAR/cNgmwhZMPAJBKCO5JJRs8wmxMEJISBPRISbiugSE9Tr2+XfzZsyHwzVZJUAaEKuLQJtWCWCtY8oHGJcz8nAM17SJI/O9Kq9Xj29NXUJx5PX8VGIS3ru3QOO9hnO9PmpQ/Tc+PH2Lmuu3ftoevJtURFPaEwicGTiy05+sS9JMm9taIv7YmXHVvRossUzb+O3ZTEgTL2gMMkOH+PkEmMGmYTCXCwSu/YXOGaVzfr7MNkCYsIHUdwSNOkTeBLMOQSwTlrE7BTr1CRze4S2J7RIE/wTQCYASqz32FeiDpAS0Je9nJ9ExMJdnFcO4CYBJCbikwJZMCfTKgSgS0pBTT7XkzYhPfAk5tCaz/RPdVbKxIKmgEtiTfKAlImAEgS+J3RIEv2yOa+JqBPnA7oGoSURzJqYcXP4BBVX4A==</t>
  </si>
  <si>
    <t>20156</t>
  </si>
  <si>
    <t>FR-CVV-AMS-I/C</t>
  </si>
  <si>
    <t>8 x 2 x 1  mm²</t>
  </si>
  <si>
    <t>MOTOR FLASH TANK PUMP 1</t>
  </si>
  <si>
    <t>@@UU@@C@@AA/qAArZSQpjGMcxzGScxzGMdB0qQhCjoQdSFIUlQEqShSUoOpCjpSACgASpQFKUlQAKAACgAABKUqQhKkAUgCkpUpIFKQoCVJApSlIUACVJQlKgAAAAAAAAAAAAAAAAAAAAAAAAAAAAAAAAAAAAUAAAAAAAFAAAAAAAAAAAAAAAAAAAAAAAAAAAAAAAAAAAAAAAAAAAAAAAAAAAAAAAAAAAAAAAABCyfNxdPhjnE4+T+RPDwAnpE8HT93oo/bV/X0fW/SseJ/CHxy+2jwByc3RLl81n97deBu7Msn4x4v/plyTwWHNXgg4utIB/4BNG8h70ZdsC20WsnFfvE8kTLx0UkyuZmgulIlKCHxxKAiJQS2RJDfOhIOWHlQqkcwBahAkSKYJ4JQwQRKwIYd8lQUQtIscvPmoCYSCuEIsDZEmroqmCgbruqhYkUZ0jyoYifLPdUJ+hRoAzFV5UDP5qcoWE9AFsAuLyVzgT5B9wBOIEf3DiE4iFkw6RIlDwwygiNXlE1JhCSEgT8pCTb92UCYTW7mzbo0bc6HxTVbMqANKGuj3bBKrhLhWweADsCVfBmHriTH55smOrYjFX0CdjhjgovExme3GB1dd853KfjxIUdrJbRzz7ldSG5m7k98t2aW8JsCaMtmX4d3Ho0dIksJkp2s1WRSfrbUSq03ZVNrz58XtWAlm+BLNuIW1fx8gk5h15hMMBK7jz6MXdhtgMsDlvA6DUJHv+gTOCW36BMBO3YJpKdXCJHe9YlYnqEgT/BN4EwBMd3suLNMH6gJiEy+ng78xMJbOK7GYEwEkJmUmBLpgT6pUCUCYlIKafU9n284nsgScqE7Z/onrx1lgkGNoBKxJvlASkTAEgS8TuiQJfWQd68TWCd8DWB2hJRHz9kTPx/YiKq9Q=</t>
  </si>
  <si>
    <t>20157</t>
  </si>
  <si>
    <t>MOTOR FLASH TANK PUMP 2</t>
  </si>
  <si>
    <t>@@UU@@C@@AA/qAArWSQpjGOcxjmOc5jHOZB0oShCToOdCUISkCVASlKToQk6koABIFAUpQFJSoAAKABQAAABKVIQhSVIAkCVJUpIFKQBKlKApSlIUACVJQlKgAAAAAAAAAAAAAAAAAAAAAAAAAAAAAAAAAAAAUAAAAAAAFAAAAAAAAAAAAAAAAAAAAAAAAAAAAAAAAAAAAAAAAAAAAAAAAAAAAAAAAAAAAAAAABCxfPr6Tzc4nJy/yJ5u6Ce0Ty9Pn/aj9eH+vH9T5Fj7H0w/bLjo8ocvo6Jfd66/728GUs2ZYvw08f/y5OWUGIrLkGfDIB/4BM/YQ34s2wMNouAnFeYT74mXkokrcyg9MpEpQQ+eJQERKCW0JIck6Eg5oeZCmR6ADEhAkSL0E8EoYIIkHZslFBRC3hY5ue6gJhIUrDrCSpXAUUzheG23ChWkUZkj1ITVzUllIn5l7OBcXFINM/rsCsmoAxwC39NU4E+Id0BNYI/uGsTWQsmHSJEoeCGUERw+oThTLCSEgT8ZCTb+MCQnhdzZxZ8+br0IeCerrSoA0oXqN7ewiVWiWit8e4B2xKvisHtCTH5XYqqdiL/QJbqxSntEpMNAGD47Jzw5td9Dv9Wv2d6n2atGHAhLHxT4JaNiebeEzCaKKtnJTnz9IkrZk2sl/CptZYv6bMam339rNLRWCV74ErtCGqyr+PEJQXdqYS/dFwleQmP03KeKGyAtgbcoHQeASO3vidUEsy7glwmqsTdL3DwCR8nvEwCe4SBP8E3gTKCVW/C0r3YOcBL4lnt73jmJhMc4rsXAmUSQlykwJbMCfTKgSgS+pBeve57vXzCfCBJykTgP9E99WArEgqaATAJN8wCXhMoJAmQTxCQJkwEHy5BOIE8gHEBqElEfRIO4w5uP60RVXqA=</t>
  </si>
  <si>
    <t>20158</t>
  </si>
  <si>
    <t>@@UU@@C@@ABAIAArsUQpjGMc5jGOY50HOZB0HOhKDoQhCEKQoAEgSo6kpQZCkoUBQFAABCgJUAAAKUkAAKApKUKUpKFKSBSkqSBIFJQBQFKApSlIUACVJQlKgAAAAAAAAAAAAAAAAAAAAAAAAAAAAAAAAAAAAUAAAAAAAFAAAAAAAAAAAAAAAAAAAAAAAAAAAAAAAAAAAAAAAAAAAAAAAAAAAAAAAAAAAAAAAABCt57+w8XT1CePx+T+RNYJ6hPv7K/2o/Xk/rwHzmZY6Hww/b9HRT9QfZ5evpm9GL+/PXcfTtyt27qv/8X17VEURE9lyDKiQD/wCat9D3Yx9oDFkFlWRE4r9wnmi6dYpkrmZQfhKRKUEPkiUBESglpE3ZhzUISXpQwyPKAWoQJEiiCeCVUmRBEySn4olC0ix09V1ATCQps22QaRJ66s5hlO0rgoAyytQxJFPoSPyQmwTdWXCJR+O8BnM5hM0CfBRGVxZYnoA2IBe7VZZQBRjeIBLwR/cLxLyFkw8IkShjkkkov8wl6bMJISBPPISb3sa42JhPzdm3d1atxDqon0VaZsAHChTRvcRxCV0WZhMwrIdYHwncEss479dw5BKTPjlhxV7UYDrE7l+xPcJhMtuKkDFkmObTpKUPf7vbz0enfp37OatC2rR2r4nJsE3GJoE4ODct3CDDvdgkJk26qxNzJddw5LVNHDs1gm9ZpAzTIT6v4+MS7jkJaW5BMPLi/TVVuw5IDlgdFwE3WcokdvmE0AmS7eE1CcmITgKeW8SPk9glYnrEgT/BN0EzAlWx7dgs4IPSAmATJ6tfgmJhMc4rs3AmYSQlykwJsTAnzSoEoEwKQU0+t17mcT2wJOYRO8f6J7KqywSCpoBKxJvlASkTMCQJlEvEgTLWQc+UTvgmsDvgd4SURz/EHIw7XR4QQAA9wA=</t>
  </si>
  <si>
    <t>20159</t>
  </si>
  <si>
    <t>@@UU@@C@@AA/wAArbSQpjGMc5zHOdJjGMcx0IQhJ0oQhCUIAgCFHQBCQIUdKkJUpAEgABSVKUACgKAoCgKUBIEAAhSlIUoCkASpKVKSBSVKApSlIUACVJQlKgAAAAAAAAAAAAAAAAAAAAAAAAAAAAAAAAAAAAUAAAAAAAFAAAAAAAAAAAAAAAAAAAAAAAAAAAAAAAAAAAAAAAAAAAAAAAAAAAAAAAAAAAAAAAABCy/Dq7D0CdH8ifRpE6eaQnqE7Pr/af9eT+vGfKWrHkfmhr6vJT9Ic/3dfRN5sn9+WrMfjsSyzfVd/+jnmnjJEa2PMg4JpAP/AJ3d1DcivuAZbBai+KBX7BPwjnnWKZK3soPvlIlKCG+JQERKCWISQ2zoSXoQwSOkAyIQJEiiCeCUMEESCqJ96KIWkWOj0XUBMJCn2uwJLDg6aZTtK3l12VDIkU+dJ5Ur1IUSmnlAk0bQF5eUiWQUV34PNPY4yfAB24BfPbkx5aQKcmv3gE1Aj+4ahNRCyYdwSJQx7sklGrqE1JnhJCQJ5ZCTb9YFZMJD+Tk49vRt7SHgpn2KtmbABvIbdG7vCVXCXCuUeMD3BMOHirHk4RKDgzSwVYo1pb/WJbp2cmYTEW5IAyWzHLr0IaOHRpu08V25kqQnxbMonjeEzCbWti1sFGjR2CQmv+ldVmET37NmN2yxTZ9OviK4BM+PgAv2kLNvg/jmEoz8MwmfDFt4lfN6bctXLDZAWwOO8Dw9ZyiRpmE1wSvNsCd0TVjE7xT73gEjxewSoT1iQJ/gm+CXAmKz22GPeg/MBMAlfq7/xzEwnbnFb8wJcJITMpMCWTAnySoEoEwKQU0+t49GcT2wJOYRNR/onsxVGMSDE0AlQk3xAJSJcCQJaJpEgS2og8donfBPgA8IHIJKI8ScTDn5/nAVVe0A==</t>
  </si>
  <si>
    <t>20160</t>
  </si>
  <si>
    <t>@@UU@@C@@AA/wAArXUQpjmMY5zHOc5zGMc50HOlJ0HQlCAHSlKUpQpCQISdAEgUkCAAABAAJUAClKAoCgKAlIEJAlCgIUoCUASpKVJSoClKApSlIUACVJQlKgAAAAAAAAAAAAAAAAAAAAAAAAAAAAAAAAAAAAUAAAAAAAFAAAAAAAAAAAAAAAAAAAAAAAAAAAAAAAAAAAAAAAAAAAAAAAAAAAAAAAAAAAAAAAABCw8mzqPaJ5/5E+zvCc/HIT3CdXN+1z9eH+rp9BWseV+qHF0eWj7Q5fv6fPN6sH9+mrIfjolhm8kv/8nLmnjBEea/kQac8gH/gE1byG7FekDFWLUZonFfuE9Eea4sUUzK5maD8JSJSgh5olAREoJVCSGy4hJdophZHOAYUIEiRPBPBKGCCJJNri5Czixze22cJhIU53QJKy9doi40LXXgQvpE/rSLToQuSmhaBI1AZDIUUCVwbZlp9VbUTUAGKEMEKevBVhoAnv07wCbAR/cNgmwhZMPYEiUMeCSSjZ0CbEywkhIE9MhJteMCQmN/IiIrw8G3Nt6UOKi5nq0TFIG8hRNPubol6wSwVwDwAd0S7d7u/WPD3BKDXXK7fqjPLpEs39HZwZRLxftQwWTHh0TidzTT7Ovv2T1XUPz4OtTE8axLRNzaq2qZ9OnqEhLcd6ukTxY88buPGpn/TcvGKATLf7QGTbQr1df+OMSfN2phM12LMomPVu9i3Ff4obIC2BwZgPD0nEJHbmE0AleXrCahOG+JvFGzwCRx/ASoT3iQJ/gnZBLQS9X8ay/rg9gCUiY/d3/HMTCYrgrlyAlokhMikwJXMCfPKcScSlSCij3vf05hPjAlwuibD/RPheqL4kF5nBKhJuQBKBLQSBLBPpEgSyog5LBOEE8QHzAbBJRHJ4w+Vh2uX6wFVX5A==</t>
  </si>
  <si>
    <t>20161</t>
  </si>
  <si>
    <t>@@UU@@C@@AA/eAArLSQpjGMc5jGOc5zHMcxwJOhCEHQhKTgQkCVKQpKEoQdSlJApQFAUlIAKSBSlAAoAFKAkCEgShIFJUBSVKSBClJQBQFKApSlIUACVJQlKgAAAAAAAAAAAAAAAAAAAAAAAAAAAAAAAAAAAAUAAAAAAAFAAAAAAAAAAAAAAAAAAAAAAAAAAAAAAAAAAAAAAAAAAAAAAAAAAAAAAAAAAAAAAAABCx+DZ1HQJzfyJ7gnmgT1CdXl/af9eL+vAfOZVjxP0w+P6PFT9Ycvm6fJNz4v7/GvOejTLHNk+z/45b54xRE9dyDLRIB/4BNzfQ3oy7QGO0WsvigV8on3xyzrFMlb2UH3SkSlBD5IlAREoJVCSHNOhJaeZCR9oBiQgSJFEFEEoYIIkGOJT64ohaRY5ui6gJhIU274NIk1WGmJmhc2bGhYk8qOdI86E1s3RIwiZtQF5Ot5hwg5qee1wE1AH5QBbAJKrz2UAUYtYCbAR/cNgmwhZMPZEiUMckklGz8BNiZ4SQkCeiQk3ayASE/Nypi4tW7u7iHRTP169M2ADWh2KN7f1iWWU5xM4rkHiA4RLK+TuW3D2xKTgySow2V2aZUdzpE97bnMd4lZisAxWzHen2oQtz+mi74dOquapCueoojsiWibd9N+DL1CQmzJnyVasQnxU6I3suVS7j1VIm1XwAZ5kN3+PjEu4JCYzHlExbf6RXh1w44DJA35gOk5BI4O8JoBMl2oTaE7tgm+U8nGJHyewSsT1iQJ/gm6CXAlVvttLN+D0gJgEy+rh+aYmEyTit+cEuEkJnUmBLZgTwyoEoEwKQU0+t93c0Ce2BJzCJ3T/RPZVWWCQVNAJWJN3wEpEuBIEzCe+JAmasg+XMJsBPCB8AHGJKI78BwsOjx/Uqiq9Y</t>
  </si>
  <si>
    <t>20162</t>
  </si>
  <si>
    <t>@@UU@@C@@AA/qAArSUQpTmOY5zGOc5zHMY6DoOdCToSo6UIQoCgAShCkIScCgJABIAJUBSlJAACVKUAAAKABCUqUhKVKUoCEgSBKkgQAAFKApSlIUACVJQlKgAAAAAAAAAAAAAAAAAAAAAAAAAAAAAAAAAAAAUAAAAAAAFAAAAAAAAAAAAAAAAAAAAAAAAAAAAAAAAAAAAAAAAAAAAAAAAAAAAAAAAAAAAAAAABCx/Pt7DqE+/o/D+RO6CewTs8/7Xv15f6+g8ZYsc79cP3fVz3/tDy/l19E/Vi/vequOnTLH6fJn//nnoiMcROu5BlTIB/4BNexDZGTeAxZRaicXhXzidMeW8sX5K2soPzlIlKCHoiUBESglqErmOahCS0+ZCR+IBjQgSJFEFEEoYIIkkp8MShaBY83VbQExIU4c8GkSeHBkpleb62ZoxoYkij1JHoQnVPqpE3wM5RniM+DADmoWn9LGZOhByQp3KunFQBRi4AE2gj+4bRNpCyYe4JEoY70klG30CbUuhJCQJ6ZCT+LIu2JietsDvRk7e/v60Oqi9pq1TpA4UOCjZITDh4LhLhXGPKBHGJVVbycVo/GJfOLJZPDXXq0y6xO7txG4JgNM67gJ4rbx372q+hj6rqyzBq1111CRuaZRj3MlN7YJaJ2tGLRTi7BITLos1ViY8u7Try5FLeS7bWCVcAG27eQ0af48Am5wyEsLLRMnBs3cFsOWAzQO7nA6zlEji+UTSCZLe2JrE5KxNhf5fkEjwe4SoT2iQJ/gmsEtBMNnvsK/hg9YCUiZfZx/TMmJkvCue4EtEkJcpMEsmCeKVAlAlKkF+/7Xk7W4J74EvGATmP9E92GorEgwtAJUJPwgJfEtBIEzCeMSBM1RB4cwnMCeIDvgcwkoj5vCHGw6PJ9iIqr8AA==</t>
  </si>
  <si>
    <t>20163</t>
  </si>
  <si>
    <t>@@UU@@C@@AA/uAArUSQpjGOY5zGOc5zmOcx0ISc6DnSA6TpSoCQAQlSkoOdSFIABQFAUhQFKSAAEqAoAFKApKUJUlAFKSBSlASBClKQoClKApSlIUACVJQlKgAAAAAAAAAAAAAAAAAAAAAAAAAAAAAAAAAAAAUAAAAAAAFAAAAAAAAAAAAAAAAAAAAAAAAAAAAAAAAAAAAAAAAAAAAAAAAAAAAAAAAAAAAAAAABCwfFu6zpE8n1eb+ROET7IE9Inz9d39qP14v6+M8RYsVPyw+XxeO59Ac3n6vNN0X/70VZT0dmWCbyfT//j5t6iMERPXlQZb8gH/gE1dtDXGPgAwWC1M4rzifbHlnWKJK2soPPKRKUEOaJQERKCWcSQ2ToSW5zoSPrAL6ECRIogoglDBBEk1z9yKIW4LHP05aAmEhSm2DsiTXrtyJmhbbLMCF9IudCR9yE1M3TKkTUBaWlNNsKWXSnokuNgmoEDDB+FWu/QBRXsATcCP7huE3ELJh7YkShjbJJRu+8TcmWEkJAnokJN7WECQn4u/jDijDn1adNKHTc4aM9/RNdA7iGui/sErr2WiWivHjHwAe2JXXmy5R7wlB3cO2bvXr9eiL3UJ370xaJSVYwKsUxyZ4oQy0Vfnk3zVVyXkN8iNRPLYJkE06c2SvFVVo6xITFPmxX8Ak5bK2anVjwqYu1wXgTPXsAyTIT3/498SzZITAYMQl27x/pwXuSHDAYoHNkA6jaJHd5BN4ExZdImgTwVidoubeISPg9YlQnqEgT/BNQJkBL2P2YyvXB+QCUiYvTw/JMTCYZxW3KCZBJCZVJgTHMCeGVAlAlKkFy56nh4MwnsgScuie4f6J671RWJBeaASoSblAS4JkBIEsE90SBLKiD4bBOME8IHvAbRJRHLyh32He5vmVFVewA==</t>
  </si>
  <si>
    <t>20164</t>
  </si>
  <si>
    <t>@@UU@@C@@AA/mAArPUQpjGMY5zHOc5zmMcxzoOg6EISlKDoSlSgIAlKUISdSQIABQFKSBSQKUACQKAkAFAAhSUgUhIFJUBSVJSBClKQBSlKApSlIUACVJQlKgAAAAAAAAAAAAAAAAAAAAAAAAAAAAAAAAAAAAUAAAAAAAFAAAAAAAAAAAAAAAAAAAAAAAAAAAAAAAAAAAAAAAAAAAAAAAAAAAAAAAAAAAAAAAABCxfLs6joE8fN/InCJ54E9YnV5v2n/Xi/rwniMqx9T9EOXxctP0h5PP0/XNz4f79NeYx7UsXqvcv/8vkz0RERGDMg0aJAP/AJu9hDrxksAw5Ra2cV8wn3R5Z1iiSuZlB9spEpQQ80SgIiUEtsSQ2ToSWmNBEL9gBhQgSJiiCiCUMEESSbXE8LQLHN0W0BMJCk2u6DSJPfvVRM0Lly4UK0ijnSM/oQnlN0VCTboFxcVVXQpZTz5W+E1AgY4Jl/Cv0YbagKsOsBNgI/uGwTYQsmHfEiUMd6SSjZ94mxLoSQkCeqQk3axgSE/F49uwxw9be3qEOimfTXtzVAa0I36OxrErrotEtFcQ9/iA7YmDBm7lo/AJQdnHwzXsNemPf6RMl7ZhLhL7g1WgYrJzk0xQhg0/n3cmLViwbtaHJqJtE9E+sS4Tey16KtXUJCZ8m1iz4RM21T1smNSurjuumBK+ACzcQpP4+ISzgkJPiMUsgmGWL9NV/khxwmSEuqA6TvCRwb4mcEx27gm2J3cAm8U8fEJHx+0SsT2CQJ/gm6CWgl/L7spg68H5AJUJk9fD80xMJjnFbswJaJITMpMCZZgT55UCUCVKQU0+x4dzOJ7oEnLwncP9E9t+swCQX2gErEm8ACUiWgkCWCbBIEsrIPksE+EE8IHfA4xJRHg2B22HR5fGoKq+8A==</t>
  </si>
  <si>
    <t>20165</t>
  </si>
  <si>
    <t>@@UU@@C@@AA/sAArYUQhjGOY5jnOY6DIMdB0HQdCEpUhCEoUoCEoQpKkIQgAFKAlSgJUhQAASkAAAABSQASBSkpUlIFIUpQEpUBKFKQpQFKApSlIUACVJQlKgAAAAAAAAAAAAAAAAAAAAAAAAAAAAAAAAAAAAUAAAAAAAFAAAAAAAAAAAAAAAAAAAAAAAAAAAAAAAAAAAAAAAAAAAAAAAAAAAAAAAAAAAAAAAABCt+fl6zpEjy/yJ2wT1Cdflp/ar9e5/XNb4GF8XniYfGSeEPq5+r66LPT/fo815z7E20eHxf/P0+ObZIqxXoNWvID/wCdnbQ541NIFtwuI/CKhX7BL4/HyVAZicNAt3Q0QZZkmYMhL5ooihYZiiCdkSQMFKEixXJ9oBlEgSSmCmCc7LJBFDMRVvRMAYBfN00hIkKaSwSQK6aygqIgdGplxiYkwZwii6YioS8C45zXQqrgq9OVsKMJUCFmPF91WeuoCvPh2wE4wR/cOQTiJlYIfdEgmDimUiOP7xOMdaAkSBPPIlG9uXAUCbE9Dbe37PbKKxOiqzTs0Y7AMm2J03CXCuRMoG2Jbu5Un3hIPyzW2a1le/1CcJxYeUwcKGYTHl1QJ6cNN8Hx6CsT9NO/XwdyytT4id4TVE7Ofd/PRZh7HWJkkNbRu47RPkvw7va1blNBuZacQJsAavYQ3v4+UTcgS/Y1BMWrhs07WLehtgNNcjr5gKOo5BI9/vCbQJdrbAl4nFkEq2yOTjEg73sExCesSBP8E7QJeCWXe24x7kHSAlYmp6uHv00lImWoV1swJeJImZSgEuoBPBNQlQlakOCjB634NrOJ7YEpbBN8y/6J7MWQtEgxNQJjEo5gEwCXgkCU3id0SBODNjII+bMJ8IJ3wOADuiTEc0hysOjyfQKKq+4A==</t>
  </si>
  <si>
    <t>20166</t>
  </si>
  <si>
    <t>@@UU@@C@@AA/sAArVSQpimMZBzmOc5kHOY6DoOlR0KUg6joQhKkqQpCQKQdKkgSgCgJAlIFASkAFAABQFASBSVJUlAFJSACkqSBKUoQAClKApSlIUACVJQlKgAAAAAAAAAAAAAAAAAAAAAAAAAAAAAAAAAAAAUAAAAAAAFAAAAAAAAAAAAAAAAAAAAAAAAAAAAAAAAAAAAAAAAAAAAAAAAAAAAAAAAAAAAAAAABCw97X0nOJHk/kTrgnsE6fJP9qf14v67v1eBtXw+ePrh+88NP2h4vL0fhRZ6f7/Pl2jy6JYaMvi//7pbU4MJK/kQaqJAP/AJ8WlDHGLOBgtFvnoikV/ETHHr8dKxXIW31NEG5KRKUEPLEowEMLKVEErRJDVNCTEI1weYAwiQJInBOCUMEESCe9E4WkXl55hISFN8zqSrhnWSKeaUlqktuKwS+k8oVbdFOOU7NgTQBjKvMbaGxegq9V5rKJghhvF/12flOkCrN8YCawR/cOyJxkLJh0iQSg45SSI1+cTWOWAkJAnokJRwem0CgTPzOHcz6MtQkPNPbvRnorA6/Hf1Cb+5cJcK2p2ANQlt7euxpP5BINUyq9mvV8PQJxHHsdkq4kMolmLGBLn2J5IO38BWJHDu9jbiuoTV8JRviYxNza1V5q9HSJgkGC7Npswicma9dpx7IP6bts74J1gMm4hwfx9Im1pkJdn2RLMlfV0WX96HFAma4DY6DWJHB3BNAJbdnExifPgEp0ka+MSDue4S+J7RIE/wTUCZAS9s+/ZLN2DnASsS32cPfnMmJipFctwJkEkJcpQCbNAJ4JUiUiVqQ1UVe1+bRtCe+BJt4TrGL/RPdfwGESC+0glglHeASoTICQJPIJyCQJ8t1hBHduE4gTvgdoDkElEdrth9DDn8f2CiqvU</t>
  </si>
  <si>
    <t>20167</t>
  </si>
  <si>
    <t>@@UU@@C@@AA/sAArUSQpimOZBzHOc5znMZB0HOhJ0pSpBzpShKUqSpCFKSdCEgApKlASpSUgAlQFAAAClASoCUqShSlJUoAEqSBKUoQkClKApSlIUACVJQlKgAAAAAAAAAAAAAAAAAAAAAAAAAAAAAAAAAAAAUAAAAAAAFAAAAAAAAAAAAAAAAAAAAAAAAAAAAAAAAAAAAAAAAAAAAAAAAAAAAAAAAAAAAAAAABCwfPr5jkEji/kTrgnrE5uKf7U/rvf183e77iXweWPph8R4KfrDw+Tl8dF7z/3+f3ZTyaJYKPs8X/+H7dqmDCbd/ZQaqJAP/AJuakLYx88DBkFrPNFIr+AlsenipWKpC4vQ0QdKUiUoIcsSgL5KUlokUYhJDcmhKIVqg/EAwCQJInBOCUMEESCfUicLSL9/JMJCQpumcSVUTqJFMRxwMjFhvCVpPZCAKMcs1dQmDQBkPyMyGxXBcrq9FFbMnSIzgTBXe9N/cnSBc2tICawR/cOATskLJh3BIJQdmUkiNflE1jlgJCQJ5pCUbvnxAUCbfG4M+fRSJshxzzXYM9FQHau6ROnosEsFcKb4GkTDd1WY0n1RINMzXVXtV7HY5RN8q1xwlzeQyiXsVgEuTYnbBn2yoTfjoerf+HYpEzMt0TIJ0cunqZquhzCX5Bs5tVd8TF28134unkxg/ppxTvAnXAs6SHW/j5RMmqQlufGJes29F67uw4YE2rQMPKcIkdbuCaATFbnEyCa74lO4Rw8AkHc9olYnsEgT/BNQJYCXcfuxl73oPUAlQmL19jvzmTEw0iuzaCWCSEtUoBMdAJ9EqRKRKlIblFz2PwaMonugSbdE6ph/0T213zAJBW0gl4SjvAJcEsBIEnYJ8gkCe/beII7tom8CfGB2gO2JKI7qcDDm8f1CiqvO</t>
  </si>
  <si>
    <t>20168</t>
  </si>
  <si>
    <t>@@UU@@C@@AA/uAArUUQpjGOY5zGOc5jnMY51HOhKEIUhCEJQpKlJUk6gIOhCQKSoCgJApCgKUkAAAABQFKQACVIUlAFIUBSlJUpSUJQAClKApSlIUACVJQlKgAAAAAAAAAAAAAAAAAAAAAAAAAAAAAAAAAAAAUAAAAAAAFAAAAAAAAAAAAAAAAAAAAAAAAAAAAAAAAAAAAAAAAAAAAAAAAAAAAAAAAAAAAAAAABCxcnF2HUJHk/kT3QT0Cdnkn/aj9dX9fHi8TC8v4R9MP1Ep/oDx9HX9c1X5/35ee46NiWKblwf/y+PmookRoruQaZpAP/AJ7W6hbFmwBiyC1H4xQK/YJbHTzUARTIWzzM0G3KRKUEPPEoCIwk0LImsEkN6hCUQrTB9oBiEgSRPBPBKGCCJBP24ngCgXn6pwkJCnQaRJUxPSSKCI85CWY6xKkvZghmySAoE0bIGU2jQheL8UeaxqZpwQw4Cur7ppwKM+bdATWCP7hxCcJKSwQ7gkEoOGUkiNf3iaxzQEhIE8shJuD8jIBMJp6XLjjR2qBMx0wT39Gm/PfA9vhvUG8J29qe4S4VsTUBvCWb9KS7gkHnz6bKtFV/u9Ymo13+MvakM4ldloEuq/PdB4NkpE711OPb9/BSJtkuATKJtZt/DXT2uwTDIMefdqwifDny4Ne9lyA/puWT1gnuAW7SGn+PiEsNyQl2nIJXbsbNeDfhxwGaB9nMBZ1nGJHB4RNkEyZtgS0TXhEo3SOPiEg8PqEqE9IkCf4JnBLQTBk9eQr3IOoBKRLPR73zTzk4mOgVzXAlokhLlJgTJMCeKVAlAlKkN6a96XvbOcT1wJO4BO4Y/9E9VWExCQVNAJWJN8gCXhLQSBJ7RPAJAndurII5LhNQJxAd8D4BJRHJ8od9h083zqiqvsAA==</t>
  </si>
  <si>
    <t>20169</t>
  </si>
  <si>
    <t>@@UU@@C@@AA/uAArZUQpTFOY5zHOc5jnMdB0JShJ0KQcCEAOAAEISlKUHQhSlKUACgJSpSgKUkAAAABIAKUBCQJAhQEKUpQEpApAEpQAClJApSlIUACVJQlKgAAAAAAAAAAAAAAAAAAAAAAAAAAAAAAAAAAAAUAAAAAAAFAAAAAAAAAAAAAAAAAAAAAAAAAAAAAAAAAAAAAAAAAAAAAAAAAAAAAAAAAAAAAAAABCx/Ty9h1CRz/yJwgnsE7Oer10/bv/19GPxsL9z9UMvLOXkDm6OuXm6bP78/PcdHbljn9vN/+bmnVikRVZcgy0SAf+ATdzbwlvbAx5RbD0RQV+8S6PT5aAXSvzV6WUH5SkSlBDzxKAiJYkJE7RKpjnkhIArg/AAyCQJIqgqglDBBEnUROnBEoAvCxz9VQSEhS009wSd+lcykQBltwiWJKmhIqzStgoJjAyk16DbQk36fpkbCd+8CGKrB+NPRBQC9j3wE2Aj+4cgnGSksEOoSCUHHKSRGz8xNiZ4SQkCeeQk9eQDimJ0uLf3dOkTpnoL8O5O8hXGoT1WiWiuEcgGoTF3bN0Z6xIPTdQwZ8FfFTrE7/JPXHxFfdQ2hMVtwEst+q6D5e1WJn+Thpmt72C+JX6o1YqcAmcTdw39uuVdvYJjkl2jesxCcmG/qyY1P1z72SlgJrAzaUOD+PnE1QJdaJgy7ncwX+CHFAm1mA6zYJGv1ibgJkzbYmUTwYRKbxGzjEg8PuEsE9okCf4JvglwJgy+/KYfhg6gErEt9nF9lVRUJkoK7WcEuEkJnUmCZZgnjlQSglakN6d72vFp0Ce+BKnAJ4DJ/onusxGMSCxoCYRJ+IBLwlwJAlVwnKJAnDnwkEeHOJ3gT6wPjA+YSUR4oDlYe15vIqKq/AA=</t>
  </si>
  <si>
    <t>20170</t>
  </si>
  <si>
    <t>@@UU@@C@@AA/uAArZUQpSmOc5jnOcxzHOdKDnQhJ0KSo6FKQlAEpShIAIOdSkpAkAFAShIFAUlQAAAACQAUoCUgSlCgJQBSVJSBKFKQkClKApSlIUACVJQlKgAAAAAAAAAAAAAAAAAAAAAAAAAAAAAAAAAAAAUAAAAAAAFAAAAAAAAAAAAAAAAAAAAAAAAAAAAAAAAAAAAAAAAAAAAAAAAAAAAAAAAAAAAAAAABCxeDZ0nOJHm/kTsAntE6fNT9qv17f9ceLwsL9v4x9UM/JOXiDx+fol5b/r/v08mY8+5LFP7pf/bPyRhkROvIgy2pAP/AJu29YSzQBhsFvnqioV+8TJH5eOoDLK9yUFyczSD8JSJSgh5IlARErCRCzyCUoNySEkLsIcoBjEgSRSCkEoYIIk/IROr5olAFwXk56BISFLTl0iTvVXiZVEAW48Al9JVZwimSWOoTEBaU5YjQhJ6sLXc9eNwE67gIYr+enqgoBVZvAJrBH9w2CcRKSwQ6hIJQcUpJEa/QJrHNASEgT0yEn17AOzMTmcPy/Hp0ic07ujObkFLoF6NQnPK0S0VwpjA1CYtViS3xIPzy2V5q7vZ6BO3r36/nLvaQ2hMNWPKBOfBFM0HdnouiZL2Xb3e1fu1wh3DDdq3hMgm7nwc+j2XtPSJbILdFmDEJg2W18W9kuKfpt2TpfBOADJuIbePf/j6RNUCU3LRMGXq7t+vfhsgTP1AOg2CRwd8TSCWZdwS0TiwCVaiNmsSDv+8S+J7hIE/wTeBMoJXb8LTB1oPYAl0TH7eHw0oUEsqFepmBMokhMykwS2YJ9kqhKhLqkNydz3PDp2hPhAlGsTrln+ie+/hMQkF9qBMAk/AAlwTKCQJTKJ3hIE7GbAQRx5hOEE+sDuAd4SURx90PoYdvy+JUVV+IA=</t>
  </si>
  <si>
    <t>20171</t>
  </si>
  <si>
    <t>@@UU@@C@@AA/sAArRSQpimMc5zmOc6DIOY50pQg5wHSlR0IShCFIABKEgQdClJShQFASpClAAlQFAAAClASACkAShSkqSBQEqQpSUKQkClKApSlIUACVJQlKgAAAAAAAAAAAAAAAAAAAAAAAAAAAAAAAAAAAAUAAAAAAAFAAAAAAAAAAAAAAAAAAAAAAAAAAAAAAAAAAAAAAAAAAAAAAAAAAAAAAAAAAAAAAAABCw8mrrOkSOb+RPfBPWJ180/2p/Xvf18nzeN1l8noj6IaOX8ZfUHL5+rmoruf3+H2ZD7s0sNH1+T/45ck4MJy12oNzYkA/8Anc0oWxZsgYtcW+c8Uiv2iWx0eWlbZXaBbPS0QffKRKUEPmiUBESgwoUWCUDVShIYi5CnnAMQkCSJwTglDBBEnYincimFqF83TMJCQpu5hJXJ3CgpiANbFfEvJTlCCiyV2pTGBYZzsoVJdp/LNNbzfKb0wQwemvJTz0gVdnSAmoEf3DiE4SFkw+8JBKDhlJIjV6BNQ5ICQkCc8hKNzEBITf6HBt5O3o0CdFE70bPaCdwD8720J064muK4UsA2hMV3a17EnuiQaZlV7Jeub+/q6hODVf+Au8CGUTDOy0Cj1XZ5IOPNcEy9+qvjou1CYMdcRPbEsEz26e9lu3c/WJikEyzuX8AmrRbkv93Tj11P0u606wTdAx6ENz+PjE0wJoybNglePez+Ht4cG7DZAUQOxlA6jiEje8QmgEsy5hMYnDWJTtkcWoSDxe0S+J7BIE/wTugmMEvWe6wr0weoBLgmt6+DxzmTExUiuS0ExiSEtUoBLKAT55UiUiXFIaqKvY9/PlE90CTbwm8Yv9E9t/AYRIL7SCViUfKAlQmMEgSeMTwCQJv21kEclonACfCB4QPiElEcnGHgYdjy/SKKq9g</t>
  </si>
  <si>
    <t>20172</t>
  </si>
  <si>
    <t>@@UU@@C@@AA/sAArSUQpjGMYxjnOdCDGMY6EKQk6EoSpCEIUhCkoABCkKQdCFAAhSgKUlKlAAlQFAAAClASACUqUhSQKQBQEpQpSUKQkClKApSlIUACVJQlKgAAAAAAAAAAAAAAAAAAAAAAAAAAAAAAAAAAAAUAAAAAAAFAAAAAAAAAAAAAAAAAAAAAAAAAAAAAAAAAAAAAAAAAAAAAAAAAAAAAAAAAAAAAAAABCy9/R2HUJHN/IndBPSJ2c0/7Ufrwf13vn8Dpr4fLH0wzeP8ZfWHj5+vmmx1f35vuzH355ZZq8P/8PizUQQeLHgg01yAf+ATubKF8aesBltFxHRFAr5BL46fsoXCVcwtvnZoPwlIlKCHyRKAiJQZUJrRJhpoQkMRVAc4BpCQJJCeCeCUMEESCf3YnhaBfJ1ThISFN2/tCTV89NhOVRAFunkExpRqBBNdKulTAC41y1Clro/KtsoInrmBDPkkvnx3U9FIFOrtAJoBH9w4xOIhZMOyJBKDilJIjR5RNA6kBISBOiQk27pASE3+lybmbubGwJ0zT2R2pvbCoD87NsTquEuFcqWgbYmlXs3WpPvCQbU5TZmsq39/rE4OLjxchXHvoagmW3ACXornzQcueoTPnt+K74LKhLLybcEwE2MW1wY6u32CZZBhq3Ysgmij49WVmG3dap+lOzp0ZAT3gL+2hVvfx8gmzAmbWuuEyX+5n5djLk3YboCaB1tUDrOQSN7cE2AS3U1xLxOLGJRtkcegSD5fWJiE9QkCf4Jugl4JZb7LTHtQegBKhNP08HgnnJxNKgVzYAl4khMFJgS2YE+iVAlAlSkNM1PqeHX1BPZAk7YJ3TS/0T14shlEgxNAJjEm+YBKRLwSBJ7xOUSBN/DGQR38BOEE+EDiA4RJRHe0ByMOt9v1CiqvtA=</t>
  </si>
  <si>
    <t>20173</t>
  </si>
  <si>
    <t>@@UU@@C@@AA/sAArSUQpjGOY5jnOZBzHOc5zpOhCEHQlSDoQhCknUBKFJUg6FIAlKlKUpSkqAlQFAAAClASoCUgShSQKQBQEpUhSUqQlQFKApSlIUACVJQlKgAAAAAAAAAAAAAAAAAAAAAAAAAAAAAAAAAAAAUAAAAAAAFAAAAAAAAAAAAAAAAAAAAAAAAAAAAAAAAAAAAAAAAAAAAAAAAAAAAAAAAAAAAAAAABCr+bi6joEjl/kTsAnpE6uWf9qP17P9fL3e8317/kj6oZvDzy+wPDzdPLNdp/vy/djPv2JVzWd///t8E4Vngu4kG1mkA/8AnX3EMUWa4FeAW4fjFAr4xMUefxULilbmFs8zNB+EpEpQQ9aJQERKCsmhbBJhtUISGIpg5gDWEgSSk8E8EoYIIkE+9E8LQL4+icJCQpv64kqZ6SYoiAOa/fuiXEtZAgmslz3KVMQGA2jrIUtVH5W24TW7QIXvNK5F+jntAT5c8l0AJqBH9w4xOIhZMO4JBKDilJIjV5RNQ5ICQkCc8hJuCsCQnu529u5NvPnE8809UbE2YKQPzq0CdGATAK1pYBoE1re1gsSfgEg3Jy1Vjqp06ekTs+/Vq4y3woZBK7MQEvRVPbxyO3sWxKv01Hw8Vu0JesJt8TAJnx7vvZadrqErkGXDuXLwnH8Warj3sFimbcvz3QTSBh20Ox/HxiaIEy480rBLuGbPyS2fb29avghwQE0Dr5QOk5BI9zeE2wTDl2RMYmq6JRukfBxiQfJ6xLgnqEgT/BN8EwglVnssLuiD0AJSJf9PD3p5ycTWoFceIEwiSExKTAlkwJ9MqBKBKVIbU1r1Pa2cgnsgSdqE0mt/onruXisSC40Al0Sb6AEtCYQSBJ8IncEgTTiukEd3EJ2gTkA4QO4JKI+fthyMObxfWKKq+0A=</t>
  </si>
  <si>
    <t>20174</t>
  </si>
  <si>
    <t>B1-TCS-1301B-I6010</t>
  </si>
  <si>
    <t>B1-TCS-1321-X34</t>
  </si>
  <si>
    <t>-X34</t>
  </si>
  <si>
    <t>@@UU@@C@@AA/eAArNSQpTmMY5zHOcxznOZBwHOdKEpOdKEJShClJShIEJQdKkqQBQEqABKQKSACgAAoAFAUBAEpUlSVIUlQEqSBSVJQBSlKApSlIUACVJQlKgAAAAAAAAAAAAAAAAAAAAAAAAAAAAAAAAAAAAUAAAAAAAFAAAAAAAAAAAAAAAAAAAAAAAAAAAAAAAAAAAAAAAAAAAAAAAAAAAAAAAAAAAAAAAABCw+DZ0HMJ5f5E8/ZBPYJ9PR9n7Ufrw/14fF85kWOT7YiHyS5KPqDycvPbOv8f7/DzbRt6ZYfujk//k8f10QWXIv2oM9MgH/gE14lLOmBgwC3j0xQK8omSPX5aFjzSAPU3oNUpEpQQ3IlAREoJdMSWAYYYMtCElqg84BhEgSRcguQS9EmRBE1Kad6KIWCoXl5pqSEhTfr0iTu0Xb9xzN1C5jx2IYEirMEffPJO7UJo6gFpqNKFTv10+qtvk6QQzGKu/ZMCi2ncATYCP7hsE2ELJh0CRKIg7kJKOL0CcQ2wEhIE9MhJ72bGBMT8nB1NOkTOzpz6ZTzlQEFOfUpzYxMYrgTgAqdQmDXuXEn1xINy2yvavV/Bzidrh2YfhQ2hL+LKBZhmd7RQJ25dXj7PBdqE+Nz9784sqopq3xLRNefuE9FNeHoEwSCd/Pu36xLM97dxYutCmbXiorBM4GXbE7H8fIJrgTLdxCRjyZv0273XhsgNMDVaBPnPiEje6wm2CYsugTIJxYBNZT3dgkd/3CVie0SBP8E3QTKCXsfvxl/VB6wEqExeztfNMmJZcFdq0EyiSEtUmCY5gnilQJQJUpBTT7Xg28wnvgS4XROE/0T3Xqy+JBeaASsSfhASkTKCQJkE4xIEyVkHgyCdsE74G8BxiSiPl7ombx/Qqiq9I</t>
  </si>
  <si>
    <t>20175</t>
  </si>
  <si>
    <t>B1-TCS-1301B-I6011</t>
  </si>
  <si>
    <t>B1-TCS-1301B-XA20</t>
  </si>
  <si>
    <t>-XA20</t>
  </si>
  <si>
    <t>@@UU@@C@@AA8aAApRUQpjGMc5jGOY5zmMc50IOhJ0oSlCUISlKkoSlCFKQdKQIUpIFAUlQAKUoAAAAoCQASBSkKUhSVKSBKUqSpKlJSAClJApSlJSACVJQlKgAAAAAAAAAAAAAAAAAAAAAAAAAAAAAAAAAAAAUAAAAAAAFAAAAAAAAAAAAAAAAAAAAAAAAAAAAAAAAAAAAAAAAAAAAAAAAAAAAAAAAAAAAAAAABCt+bXzHnE5f6E6wh60Obl9E/78H99y36SF7z34eSU3dT7Pw+2WH8/V4uX1XuxGL8e73v/l9fJLHIiy9Un2JCn/Khz+iJj2gLMgtR+UUIvfEuj9eSgCPukL5WqDwykSlBDPEoCIlBLUJIMUQBF9CElwQeAAtQhCRPBPBKGCCJDPvRPAFAv3+edGSEKatKEsK4aMM7SB4Dxz5ctSFiYdAYN6ai6U/ksqQm6AGY8JtIYXnFlPluLSakQMtVdswE+zuqhrUH+E1oayUlggyoQSg4oSUa/GJrS+EkJCHkkShZupjAkh+jZztOlCVGeU4GYN3oiea0S1FrHgA2jbQt6+7OM3UEg7V+OvNXh3/Shwa+tb10M6FluS8DFkvnOPTShTd2Pf4dWmvChxnGYKaOkhnE29PDtaMEcyGOQaNjTuV4kLqcO5jxqfts2z1CHTAy89De/n40NyELsYlWTs6sHThxQG3A57wPScQkdX0CbShju2RMqHwWIdAp4vhQj5PaJWh7EIE/xDpAl4hVl92Us24PMqGBDJ69/55iZDHOi58wJehITMpMIZZlD6JUCUIYFIKafY7+rQJ7oQnMKHCf6h7aqyxCCpoEK0Ju4qFIl4hCFwnbQgS6sg+W5DsCHxAdoDtoSiOOQdlh0cn1IoCvvA</t>
  </si>
  <si>
    <t>20176</t>
  </si>
  <si>
    <t>B1-TCS-1301B-I6012</t>
  </si>
  <si>
    <t>EXTERNAL LIVE ST. PRESS.CNTRL</t>
  </si>
  <si>
    <t>@@UU@@C@@ABAQAArtUQhTFMYxjGOY5jGMZB0oQg50qQo50JScCFJQlCFJQZCkoABSlAUpCgJUACgAApQAKUpIFJAhSUgSpSEASpQEpQpQFKApSlIUACVJQlKgAAAAAAAAAAAAAAAAAAAAAAAAAAAAAAAAAAAAUAAAAAAAFAAAAAAAAAAAAAAAAAAAAAAAAAAAAAAAAAAAAAAAAAAAAAAAAAAAAAAAAAAAAAAAABDr5ces6RHN9n8iOTfEfSwj0iOvm/aT9e9/Xy2/OMk3hXjZeJ6o/UFnk6n5qfy/vo8eBt7L1+XDw//9b+KTK40lWCBPFwF/wCM2lB97V5c4FcBL8aiXzPMJLyiL28/biA33XQEqVUx0O47sMos7AzOw+gR6IIsQNPKgdmFOxzgGVAwhnJGJGHZMMM4PDWzsBES8nTIhOIZI/AziHmnIwnZSgc5FKS22AilE2YGhY8RHtgWlPObKCVZ85TPqk7lqrIzoFFkiyquuAEnYl3QEYghfuGIjEd0mGV4hh2G4nQ7Y9AjEWDA4hhHmcRDXYA4jzrjydnRoQdMJtnjhKB7m0Hu64boim4RcJKsXvAbh2hFvBAT7whj8+TNGymOXj36NuvDqEcWSfktpQZhGXI2AGN2xE4dGTROg4dHDDg0yU3RQajUVWTzcGsRQI3Z9uNGmdusRlcGzS17VtenI4i6iiOWGbtXVpFOOq2iub9HBE28BsbiCns3/x8IjNqcRTa14ivYz33MUa2VzCNqoCvqOMQ293BGAIsv2xFwjvZBGklx4hDfF6xFIj1CGEf4I3QReCKLfZaVbjHoARMIs9O/4IEBGWQSWxgCLxDiMEiAItgCPmeIiIiZIYll9S7ujMI9jCJCcR2z/RHropKhDFCiCKREOUBEoi8EMIuEfAIYRdSMfJcI7oI8AHfA98Q7Ny/GHfTLsfb9ACAAPaA==</t>
  </si>
  <si>
    <t>20177</t>
  </si>
  <si>
    <t>B1-TCS-1301B-I6013</t>
  </si>
  <si>
    <t>B1-TCS-1301B-XD81</t>
  </si>
  <si>
    <t>-XD81</t>
  </si>
  <si>
    <t>@@UU@@C@@ABAGAArnSQpjGMY5zmQdBzHMdBzHQdCEISdJ0oSlKFAAkCUHOhQFJSlQFAUpAFAUpKVAAACgJABSkgShKlJUkCgKABCkqQhQEqApSlIUACVJQlKgAAAAAAAAAAAAAAAAAAAAAAAAAAAAAAAAAAAAUAAAAAAAFAAAAAAAAAAAAAAAAAAAAAAAAAAAAAAAAAAAAAAAAAAAAAAAAAAAAAAAAAAAAAAAABCw8nH4/H1HOJ4OX+RO6CewTw8vV5/2p9fH/Xzn1GRYtfFD5ZemjyBm/Dply81f93/PabmeWH0eT7P/0fb5aI2Yj78OVBqzyAf+ATe0WoZot3gMWQWs0xQK/cJlj1X/NSsXpK8zKDJKRKUEN0SgIiUEt4SSYUI2qBJLVB6ADZQgSJE8E8EtuTIgiZ2oolE8LSLHDzzjISFDgP0IN0Sa9VTEzQN8ss2JkK0im5IkBZLnKhLAMZ6TbQpc/YwVfnhxuEnvAhgvV1IT4uyAmsEf3DWJrIWTDYJBKDVCSI1/iJrS2EkJAn5SEm7d2ICYT1PNh3Kc6HRNVq270/ReAzJP2tImCLBLBXu7I6gK9Ilne2NAzcIkHxdF3Fh+C/kxZs+Li6RMG7Z347yG4JXsZMwErpjw79CHXpy3aLs2C8hTuxdXRpEtE691d1Oz1CfrimSrHdpLZ8ImI0WxVmr022zQpGrLkx04QTMBPuITZ6Jfx8gm1vyEy3XFol7Hxcfrz18ENsCdzPmA3uk4xI7nfE7AJju3xMgmrYE4Cnj1iR8vuEwCe0SBP8E4QS0Ev2e+wr4IOgBKhMXs4vpmJhNmcV2sgJaJITIpMCWTAnilQJQJUpBTT7Xh3convgScvCfCf6J7r+ArEgvtAJgEm5AEpEtBIExifGJAmPAQfNjE1An0AdsDWJKI5E8DDl831qAAB1g=</t>
  </si>
  <si>
    <t>20178</t>
  </si>
  <si>
    <t>B1-TCS-1301B-I6014</t>
  </si>
  <si>
    <t>@@UU@@C@@ABAGAArmSQpjGMc5kHOc5zGMc5jnQhB0ISdSkIShCgKAlCkoOhIFKSgAAKSpIAAUpKkgAACgKSBQEAUhAAJUlSgKABKkKQhQFKApSlIUACVJQlKgAAAAAAAAAAAAAAAAAAAAAAAAAAAAAAAAAAAAUAAAAAAAFAAAAAAAAAAAAAAAAAAAAAAAAAAAAAAAAAAAAAAAAAAAAAAAAAAAAAAAAAAAAAAAABCxeTk+nt80dQnLz/yJ3wT1icvP29H7U/ryf1hPMWrFj5YeaXpo+sM/3dkuf1YP7q6LTb2pYvR56v/8/2c1EURGAyoNOiQD/wCbe7WhdFe2BjsFwGqKBXoEyx01c1Kxfkr6mUHplIlKCHoiUBESgluCSTERC5qBJlvQegAxoQJEieCeCUMEESCbLE8LQLHwdU4SEhE39MfmQaRJ6i/eiZoGuvFiQwpFOdIk1y96ZeoviVgWmo2kL7eo/KtwffE9IIX56saE+TfATWCP7hrE1kLJh98SCUHHCSI1/gJrS2EkJAn4yEm4cYEhOlwbWybKHXNTm3NE94DOm9qEqjIJkFfhxD8QGoTJ390ZcAkHh6ruLBw2Yo2cXF09glW3MZPjjiQ2RMNGG24Caa6c8WmlDBN12Udea/fQu/SL16jvCWibt1l1O12iZMkyXs2fUWz24xN2wyynv6MOrLlmhSNefNbTjBOACfShNv0S/j5RLtUhM+jQWiX7LNfdm2sG9DbAmjOB3uw5BI4PkE1Ald24JkE48Im+U8msSPH7RNgT2CQJ/gnACWglVfurMG9B1gJeEyevwfRMTCY5xXNlBLRJCZVJgSuYE8sqBKBLykFNPseHTcJ7oEnL4nhP9E9tWwYBIKmgE2BJvIAlIloJAlgnKJAlmwQfNYJ4AT5wOUDWJKI8fGHiYc/2/UoAAHcA</t>
  </si>
  <si>
    <t>20179</t>
  </si>
  <si>
    <t>B1-TCS-1301B-I6015</t>
  </si>
  <si>
    <t>@@UU@@C@@ABAGAArnUQpTmMcxzmOc6DmMdBznOhCEHAhKEIQpCAJAhKlIQcCAKQpIFKUpIAKUpKkgAACgKAoCVKUhKgJSlSkgUBKkqQlIEqApSlIUACVJQlKgAAAAAAAAAAAAAAAAAAAAAAAAAAAAAAAAAAAAUAAAAAAAFAAAAAAAAAAAAAAAAAAAAAAAAAAAAAAAAAAAAAAAAAAAAAAAAAAAAAAAAAAAAAAAABCw9zV9PWd7pE7fR/InGCeoT4ejr8H7U+nV/XzHeMixY92H7ZeOj6wz+Lql0eWv+73gtNnYlh8Ot3//+zvzuRhiPDg10G7nkA/8AmzpsQzRZsga1otZuRQK/gJrx5r33UrFUlfKyg/GUiUoIeKJQERKCWkSQ4UNegSa3YPEAYkIEiRcguQShggiQTyRchaBY4um4EhIRNs/Ug2RJ1XaYm0Dpox48CGHAkqsydiU7JT6S4VCVgWk18ZsIVM6P0saydAIflVF7Ehc1uABNQI/uGoTUQsmHdEglBywkiNXkE1JbCSEgT85CT4cQEhPM17GjQh5507eedKGUN6NwSqMQmIV7OAffA3BMXHpGW+JBzdOv2q+G3DzaMW/73UJf2sdUcaGgSvBblAllmc/Nt0oW1Xc+jRmrv3kM8vRLRPDTvCZBNvPTnina6xPRrTS7n0bhbcwiZbYsLuavctsnCkcmXJZTu4gTgAo2kJ79Mv4+ITLuyEzZ8pkEqto9307F/hhsgTRmA3eXqNQkdn4BOwCWZdImQTkwicBTq5RI+T2CXxPWJAn+CcQJaCXsftxle9B5wEuia3q5PomTExXBXXyAlokhMikwTHME7sqBKBLqkFNPreLayie2BLhUJzH+iey9fKxILzQCXxJ9wBKRLQSBLBPjEgSy+QfLYJ2gT5wO2ByiSiOeA52HL9/1KAAB7g=</t>
  </si>
  <si>
    <t>20180</t>
  </si>
  <si>
    <t>EDSV DRAIN L1</t>
  </si>
  <si>
    <t>@@UU@@C@@AA/qAArVSQpTGOY5zGQc5znMdB0oOg50oQg6UIShKUKUlCEoUg4EgSAAEpABSgKUoCgAABSgAUBSUoUpKgIUlIEKSpKkqQpQFKApSlIUACVJQlKgAAAAAAAAAAAAAAAAAAAAAAAAAAAAAAAAAAAAUAAAAAAAFAAAAAAAAAAAAAAAAAAAAAAAAAAAAAAAAAAAAAAAAAAAAAAAAAAAAAAAAAAAAAAAABCv/DydR9vQJ5fJ/InvgnrE6vL+1H697+viw/MQsfU88Pnl46fpDlt6fsn6bP79Fdp9GxK/5qJf/Lx8srJEeT7siDTsSAf+ATa0obsYdAF/CLWemKRXmEtj1fXSBFVs1fUzg55SJSg5iTzROJrDKJwS2hJAZaEJC01SPOAYEIEiRTBRBLteibMgigPxnKLnBEoAuix5ujNSExIU2w3RJAXaKptI222IVpFOZNMtKGKnRQXRLgGUylDwUYGoldpEDWiIq571CFFnaATUCP7hqE1EpLBDvCQSgjkkko1feJqTJCSEgT8JCT7mACQn5PHrZ8+8h35VRs6UN+5vZnsoXpGITEK3gKh4AO6Jf4tse3PVISR0a8sVfXr4qukTN3P08F/riWZ8GQDJI/OqhDLw/Bo4+xjpruoacWedOxPTVuiYRNy/TrXNna6hNaSXNvBs5Cy+JbTVx3s07OzjlMTNGWqmLASwDQhc0a/8eESkxb8xLTHhMYl/Hgz3t2HBAngK9cDpOMSN+kTMCX8ewJhE4bBNoud7iEjxe0SsT2CQJ/gm4CWgl7F7sRZuQdACVCYfX73yTJiYKBXXyAlokhMikwTFME+WVIlIlSkFy57Hg0ZRPdAlBdE4j/RPberLBILzSCViT8QCXBLQSBMYnIJAmOsg8OMTugnxgZAOESUR35BwsOXl+dEVV6w=</t>
  </si>
  <si>
    <t>20181</t>
  </si>
  <si>
    <t>EDSV DRAIN L2</t>
  </si>
  <si>
    <t>@@UU@@C@@AA/qAArVSQhjGOY5znOdBznMc5zoQlCEgOhKAIQlCFKQhSEIUc6VKAoAFKUhSgASoCgAABQFAUBSVIApKVJUpAEKSpIEKQBQFKApSlIUACVJQlKgAAAAAAAAAAAAAAAAAAAAAAAAAAAAAAAAAAAAUAAAAAAAFAAAAAAAAAAAAAAAAAAAAAAAAAAAAAAAAAAAAAAAAAAAAAAAAAAAAAAAAAAAAAAAABCwfJp7Ty9Ynk+z+ROEE9Inb5P2p/Xk/r5cPzkLH1vTD0T46vqDns7Pto9F7+/PdsMOecH4U/T/8ePnpvyRH35EG1VID/wCd7bQ3I1tkC/hFunoioV8wmOOrnqAiuVepmDpmSZgh8sTH3EMLM0QT3hJHLShIBXB0AGBCBIt0FUFUE+eWSCKA7sWt+KoAtix5uvPUFAkKdAd8SbfVJVbltDC2WX0LyRTrpGhDFT3adu2JAGYzFLwU6zWTbqBC1026MCEXuGg3gE1Aj+4ahNRMrBDuiQTBGmUmNX4iakywkiQJ+UiUcGICRPzeW/tbXfQ96a42dxCo3dxCvZTCJhFbYFY74HEJf49A79GqRJOvJOK7mu8fYJr8Hv38wlzYv2AWSdddKH6Zrnh1U8Xh5b1xDkwbM1Z6NyveExCbemrY0Vxo7RL8pt4s+6XsAngs03Mt7esmwTaz11ReBLwGhDRm/j4RKTL7VAmDIY5wmMTBjp1o2rvghwwFMDdyAbh2GkSOCgTYBNazXExCcl4TQWvd5RI+L1iXRPUJAn+CZQSwEuYvZiL23B1gJWJh9PD4qCgTWpFcuQEsEkTIpQCYqAT5pqEqErUgtWvU+3tZhPZAlJbE5D/RPXcul4SC41Al0SjmAS0JYCQJjE+ASBMd0g+PGJxAniAyAe4JMRzcwcbDn5/oRFVe4A=</t>
  </si>
  <si>
    <t>20182</t>
  </si>
  <si>
    <t>B1-MOV-13561-M01</t>
  </si>
  <si>
    <t>EDSV DRAIN T2</t>
  </si>
  <si>
    <t>@@UU@@C@@AA/qAArWUQpjGOc5zHOY5znMY50IOdJ0nQc6UJUlCkpSA6UKQdSgJUkAFJUBSgAUoCgAABQAKSBSQISpKlJUpCkAQBIEKOAClKApSlIUACVJQlKgAAAAAAAAAAAAAAAAAAAAAAAAAAAAAAAAAAAAUAAAAAAAFAAAAAAAAAAAAAAAAAAAAAAAAAAAAAAAAAAAAAAAAAAAAAAAAAAAAAAAAAAAAAAAABCq+Xb1n3bhPP/IneBPUJ5uvz/tR+vH/XzYfpIWPseeHml5aPIHLi6vtm9N7++imsw70qvx+uj//J5eWiqRE/4ZEGVyQD/wCadaHDGHQBViFpPTFAr6BK46fNQBFuSvSyg55SJSghyxKA+8lKSzSJuyJIck6EgC3BzAFSECRIngngli6JmYgidMdriiiALgsejdloCYSFOa/DrEmu16bdNDbG5ItV4EL6RPmS1IDShPimtiY+BDIbxVaeKjC3SVNAIW/yu4UJ73CAm0Ef3DaJtJSWCGwSCUEckklG3nE2pZCSEgTokJN3MAEhOl8GMq0aPzQ+GVyM+tDVa7faQudjGJjFboFseECgO+JVs4B7k22Qkjdklivb9OzqEz/F3fDVvCU9irIBZI3TIb2ngzZtlGm7cQu/Booq35tdzhEsE1cdGe1q1dYlUk/TtV6O2X8Amezkp7N/3bJWCZ9+3RF4EvLEcCF/L/HxiTlnvTCVmPNhKxKq8GinihwwJTYBpMvUcgkd2cTOCYLMwmITwXxNRa9/jEjx+wSkT1iQJ/glYJWCXcXtxF7XBuAS2Jh9Xf+eYmEwTiuSwErEkJYpMCYpgT6JUCUCW1ILVr1ve0ZRPbAk5cE4z/RPZdpLwkF1oBKRJvkAS0JWCQJjE8QkCY6SDx4xNgJ4QLANgkojxJsYcvL9SIqr7g</t>
  </si>
  <si>
    <t>20183</t>
  </si>
  <si>
    <t>B1-MOV-13564-M01</t>
  </si>
  <si>
    <t>EDSV DRAIN T3</t>
  </si>
  <si>
    <t>@@UU@@C@@AA/qAArYSQpjGMY5zHOY5znOc50HQdJ0KOdCEIUhCUqQhCEqSdSlAUpSkqUpKgAUoCgAABQFASpSQIUlKgJUpCkAQBIEKQAClKApSlIUACVJQlKgAAAAAAAAAAAAAAAAAAAAAAAAAAAAAAAAAAAAUAAAAAAAFAAAAAAAAAAAAAAAAAAAAAAAAAAAAAAAAAAAAAAAAAAAAAAAAAAAAAAAAAAAAAAAABCs8OvsPv6hPL/IntAnoE+7s8v7Ufr3v6+a/9JCx9rzw80vHR4g5cHX5JvPc/vorxH15pWfj4qP/+zx8tFkiJfhkQadmQD/wCadxDejBtAWYRazzxQK+YTHHT5KAIqkr0soOeUiUoIc0SgIjITQsibaEkOShCQBVBzAFiECRIngngl0SZEETJPwRPAFIsebqy0BMJCnMG2JK1PVM0DwYdMYbELqRVmSHZ0oTym7cLUJim1AZTMX6m/RTEYGsmuUoNEKWvyrvoT3d0BNYI/uGsTWSksENwSCUEd+SSjXzia0xwkhIE6JCTb94CQnS8l3Ro/ND3ZVZZRn3ENurekhaviXxWoCkd0DtpwiWcfsDvza5CSOrJLBc2K+PrE2eD3ruUS3nu4wMUjqmQy9zhm7thxWp0OLPnoyyzbfwW/ZEyiauSnPTp09gl6SXcOjdLlgm/TktaK97DLCJo2KqIuAlxYj9NSGrL/HgEnMvcmEyGK+YhLMV7at78N6BMYFfvnWe4JHdmEzglmHMJfE9usTSU6++JHx+oSsT0iQJ/gm4CYgS3g9eAuaoOoBKhL/o4fnmJhL04rkxgmISQmNSYEwTAn0SoEoEqUgpp9Lw6MonrgSctCd4/0T1W6y4JBbaASsSbwgJSJiBIEwifEJAmGsg+XCJxAnwgYwOMSUR8ngDkYdjl+pEVV7QA==</t>
  </si>
  <si>
    <t>20184</t>
  </si>
  <si>
    <t>B1-MOV-13565-M01</t>
  </si>
  <si>
    <t>EDSV DRAIN T5</t>
  </si>
  <si>
    <t>@@UU@@C@@AA/qAArUSQhjGOZBzGQdJzHOc50oOhCDoShKEIUpCVJSlCEpSdSgKSAClKSpSlAUoCgAABQAASlSQIUlKgJSpKkAQBIEKQgAFKApSlIUACVJQlKgAAAAAAAAAAAAAAAAAAAAAAAAAAAAAAAAAAAAUAAAAAAAFAAAAAAAAAAAAAAAAAAAAAAAAAAAAAAAAAAAAAAAAAAAAAAAAAAAAAAAAAAAAAAAABCwfRp6T8eYTzfyJ2gT1ifh0+b9qv17v9fTh+0hY+944fTPkq8QcV3R5aPVb/fJZjPFrTg/Knx//4/JxVYJIn0ZUG9nkB/4BOvuIb0XaAMGIWw9UVCvnEyRy+WoCK5V5WYOOZJmCHzxMBETnQko2hJHLUhIBXB6QDAhAkSUwUwTySyQRQlPZimALwsejmzVBQJCmyHYEnUproahuw2oWJFWZI2tpCnPTqQTqCXdcDIVLmIwQb9Rhb5NtQIV/nfuApi3RbugJpBH9w0iaSZWCG8JBMEd+UmNPGJpTLCSJAnJIlHv3ASJyvDqmjZ/RD4prqnY3EOemvX96NxCy4S4VsArHdA0dwSMMPDg2x36vhkSTnqnFbrW8PQJr/B8ermEv7GrkAxyc9CGbt3se12svBZfQwX9arNN8r3RMQmjhq617Yu6RNWUuuu2y3AJvYOC/nt3MU3hM+auqLASwCNhDXy/x8glJk36BPlyGPCYxNXH2cOi3ehugTKBb4DoNIkb9AmwCdXJnEuE7tgm2Xu/3hI+b2iWCewSBP8E3QTGCX7vdcW7kHMAlYmH19z66CgTq0iuXICYxJEyKUAl1AJ9k1CVCVqQXr3se3s5hPdAlJqCd4/0T237C0SC+1AlglHzgJeExgkCYhPAJAmKwg8OITgBPqAyAcIkxHhgOBhzcX3IiqvU</t>
  </si>
  <si>
    <t>20185</t>
  </si>
  <si>
    <t>B1-MOV-13566-M01</t>
  </si>
  <si>
    <t>EDSV DRAIN T1</t>
  </si>
  <si>
    <t>@@UU@@C@@AA/qAArUSQhjmMY5zHOdBzmOdBzoQA6EHQlB0IUpKFJSlCUKUcCUgApSUgABSQKUACgAAoCgAUBClJSpKlJSpKkAQBIEJQAAFKApSlIUACVJQlKgAAAAAAAAAAAAAAAAAAAAAAAAAAAAAAAAAAAAUAAAAAAAFAAAAAAAAAAAAAAAAAAAAAAAAAAAAAAAAAAAAAAAAAAAAAAAAAAAAAAAAAAAAAAAABCw/Pr6z8ekTzfyJ2wT2CeXr837U/ryf148X1ELHK80Ppn7qftDyY+r8KPVf/vnsyH2bU4fz5eX/66PJGCSJ9GVBp2pAf+ATTvocEYtwCzGLYeqKRXziZI6PLSBFcq9DMHNMkzBD+UTARE+ckhaNIlA7NKEoVwh6QDChAkSXILkE88skEUBZFPFFMAVix6OnNSFAkOCAN7VDqEosqvUNI4MeFDAkU50jShRt0b1YmTsgZinPFczhg7ULViaib9xBmFK/0vYgLl+eEBNYI/uGsTWTKwQ8AkEwR8kpMa+YTWmWEkSBOeRKO1iAkTodWDd3PWh35rjRqQinh4EK9gTYFagKh1AdwS/x7qbukY+GnXIknTszFuDPg46eoTbni4p8GHaEv3NGxmAzSdNCG1s37fjpq47tCF25dprnewXdQmMTTyVZqtF3rEwSm5jz75fwicGi6bVmq2bRM+aumLASxYjQho2f4+YS4ZfgoEyFuwWiYLdF3fhwwGKByAWeA6jkEjhoE2wTDbnExCd2wTSVd7jEjw+4SwT2iQJ/gm+CZAS9j9+Mv9mD1gJWJi9nb+igoE2Lgrs5QTIJImVSgEx0An0zSJSJWpBVV7X4tzMJ74EuF0TvH+ie69YXxILzSCWCUeIBKhMgJAlonfEgS2wg8NondBPGBlA4xJiPF8odxhz/f9aIqr2AA==</t>
  </si>
  <si>
    <t>20186</t>
  </si>
  <si>
    <t>B1-MOV-13607-M01</t>
  </si>
  <si>
    <t>EDSV DRAIN G1</t>
  </si>
  <si>
    <t>@@UU@@C@@AA/qAArUUQpTGOY6DGOdBzmOc5zoQhKEnSk6ToQlKUJShKEKUk4FIAAClIUBKgAUoCgAABSgAUBSAIUpKlJUlIEJQpIEKQoAFKApSlIUACVJQlKgAAAAAAAAAAAAAAAAAAAAAAAAAAAAAAAAAAAAUAAAAAAAFAAAAAAAAAAAAAAAAAAAAAAAAAAAAAAAAAAAAAAAAAAAAAAAAAAAAAAAAAAAAAAAABCv+Tx9Z9/SJyeX+RPCCesTr8v7Ufrw/18uD6CFj7Hmh9EuSn6w5cfV90/VZ/fPXiPq2JX/Pycn/1S5aL0iJfjjQbmxIB/4BM+hDTGDbAv4Raz1RSK+YTFHR9tIEVSV6GUHNKRKUEP4RKAiJQeZCecSY5KUJLVAa8L6ADXQgSJFMFMEueTIgiYc8U70UwBULHn6c1ITEhTmDSJK7RVNpHFbYhWkU7CRnQnbO4Jj0AZDRmMtTvQ3IXC1k7KBA3YLumzCBRZK7ugJqBH9w1CaiUlgh3BIJQR45JKNXpE1JkhJCQJ+UhJ9/CBIToct7s9n80PhlVHY0oabm7uIXcAmAVugXB7gG+Je4O0nbHvUapCSOnJLDZpNi9wdQle13+KeYSvsX8gGDJM4Z0IZv0t38vgvcFldYlWzOnNPRRTOrcExidrhu7NzBX1iX5JnwbPcLL4m7bbrbVmnFLEJtZaqYsBLAMyG3l/j4hKDJ3piYy3XLRL1uK7phvwGCBxAV8R1HwCR3ZibIJftzCYBOCsTOXPf4RI+P2iViewSBP8E0AmIE1sPuwlnbg6QEqEwevwfNMmJr0CuTGCYhJCY1JgmGYJ88qRKRKlILlz2O9t5RPdAlBdE4D/RPbrVlgkGs0glYk/kAS4JiBIEtE4hIEtrIOO0TfBOMDGB4hJRHH5A8LDm5fpRFVfe</t>
  </si>
  <si>
    <t>20187</t>
  </si>
  <si>
    <t>@@UU@@C@@AA/uAArXSQpjFMY6DHOY50HOcyEHSg6EASlCDoQlKEJSpSEIShQFJUoCQISpQAAUhQAAAAClAUoCkqSlSgKQhIEgQBKkoQlQFKApSlIUACVJQlKgAAAAAAAAAAAAAAAAAAAAAAAAAAAAAAAAAAAAUAAAAAAAFAAAAAAAAAAAAAAAAAAAAAAAAAAAAAAAAAAAAAAAAAAAAAAAAAAAAAAAAAAAAAAAABCt+fi6zpE80v5E3gT2Cdfmp/af6/D/XzW8jC/Z6I5IfT56J/WHk5vLLqv/n/fP+Nxr55W82l93//b5PvmQRHLcgzzyAf+ATaxIc0YtgDBpi2HpiYryiZI6PwmBFchcXqaILZSJSgh/KJQERKDlQo2BKBqmhJa4DzgFokCSWmCIKYJc8mRBGikKt6JwBWLzbtISEhTu7xBoEovTvFBOO3IcmPAJfSrMEdpCnWo6SsTZA1DMTbsM8TpTIorspUS9opowgRqyo3NwBOIEf3D4hPASksEO2JBKDwSkkRxegTiG6AkJAnPISjd2sgFAnqc3wYdjoE6JV6sunY7iFdu4h68YmMVrAqTaA4BLdPt4kho3hIMWTFZdZv9Qm13K/lwXCWStxgUcFGSD9JiXU4PFn3y9WJT4irgnoEwibHx7NVee9rS6xMMkzauyX7RNurb4bdWnNgjNt3U1ZRMl6doJaBroWXfxxid2BMuPGYxL+PLbns0Q2wHZgcoGp1HCJG54RM4Jiu1hMYm/YJPtEcPAJB4/cJYJ7RIE/wTQCZATS0/fpl/Zg9YCViYvZ3uSmkpEwzFbsoJkEkJlUoBNOgE+mUxJiVqQ1UVe17+vqCe+BKXSE3TD/onuswFokFjMEviUeMBKhMgJAlOQTwiQJxZb5BHHlE4AT6ANQDhElEcfyBwsPZ8v1KiqvYA=</t>
  </si>
  <si>
    <t>20188</t>
  </si>
  <si>
    <t>@@UU@@C@@AA/uAArWUQpTGOc5zHOY5jmOc50JQlB0KQhAEIQhCEgUpCUJQhCVKAoCQKQlQAAUhQAAAAClAUoAEASgClKQhKkgQBKkoQlQFKApSlIUACVJQlKgAAAAAAAAAAAAAAAAAAAAAAAAAAAAAAAAAAAAUAAAAAAAFAAAAAAAAAAAAAAAAAAAAAAAAAAAAAAAAAAAAAAAAAAAAAAAAAAAAAAAAAAAAAAAABCr+ji7jsE55fyJ4AT2Cd3PR+1P67/9eWvlYX7fRHLD6fPOn7A5unzS7cH5/31ffmNGpKvp5qv/+7moKIIjoyoNPfkA/8AmxiQ6YxaAMNgtR6YpFegS2OvnpAi7IWz1M4K5SJSgh/CJQERKD8ScLoEmNylCS3YPOAViQJIohCIKIJdUmRBEwp3oogC4L0btASEhTc3iDYEnepvEymNaQ224RMCXNII+FCjTn2F0TXAzGkUu9Rhsb9kUXsF5EL8flRKwCNKU5rtAJxAj+4cYnCSksEOyJBKDhlJIji9AnEOaAkJAnVISe7sYgJiepw6OsTrlTl789Xf7NXbQqxXEPXaJaK3QLibAHhEsw2JrTh3hJFmWyrNVv9onj2ty981ecTBLFkAnwTywfpSJn4/FVh1OC/eE8nkOGjcEtE169q53rupq9wmKQY7bTBOsTc3OHTqubeSdFoldkU4ATABpmhCndy/x84nggSnL3r5O0TDaa2irbhrgM8DlAz9pxCRu7ImoCYs1omMTgqEp1yOHxCQcnuEqE9okCf4JsgmQEv4/fjMGvB6wEuiWez4uWigoExUiubKCZBJCZVJgmOYJ9UqRKRLqkNydz2vx6M4nvgShvibpi/0T3VYSsSCppBMAk/KAlwTICQJRkE+USBOPLgII5MonhBPpAzgcAkojk+QPGw6fm+tUVV+A</t>
  </si>
  <si>
    <t>20189</t>
  </si>
  <si>
    <t>@@UU@@C@@AA/sAArVSQpTGMY5zHQc5zHMdBzoQdSEpQhKEoAhCEIQlSQKQdCUgABKgKUpSUgAhQFAAACQAUACQKSlSkpSkCUpUpSkJQlQFKApSlIUACVJQlKgAAAAAAAAAAAAAAAAAAAAAAAAAAAAAAAAAAAAUAAAAAAAFAAAAAAAAAAAAAAAAAAAAAAAAAAAAAAAAAAAAAAAAAAAAAAAAAAAAAAAAAAAAAAAABCw/Tp6TnEjx/yJwAntE6fHR+1P6/H/X0d/lca/Z6Y+uGfn5ZeAPD5ujxTwfl/fq+7MebYlhnGT/7fDOiDUKPLcgy1pAP/AJs5OuJi1wMOEWw/GKRXyCZI5vtpW6V6YBb+bOD0SkSlBD98SgIiUErRJz8gwwwVTQktcHnAMQkCSKIKIJeqTIgiYm3E6t6JQsFYvl55qSEhTf64kq6KyZTEAXZMmASxJVZwjrIU687cFYlgFxlKm6ipvEr9dQIc21f9FOeLQK8UuwAmkEf3DkE4yFkw7YkEoOOUkiNPpE0jngJCQJ+EhJ7uMDVmJzOp2Or6xPXLPXEtjcQ61d7s7iHPkEyCt8CtLQOyJisst4bUp2Q4BJG5UXsGbBXxdAmnf37/cK84mDuY9UCfBPNB7KRNbj4tHa/T5L94TWxGiuneEuE2uTdq+Ku90iYZBo19ws1BN/Tov4d22cxMuGi+CXwOqhwZP4+UTigS3NjEsx4eGNGpZvQ4YDaqkNwGrPoO2JHB84mgEt1axMgmmwSnZI7fIJB83vEsE9wkCf4JtglwJft+Fpg2oPYAlYmP28PLRQUCYqRXVyglwkhMqkwS2YJ9UqRKRK1Iap1e54djMJ8IEob4m8Yv9E99moYRILGkEwCT74CVCXAkCUXCd0SBNOXAQR3sonaBOUDMB3RJRHe5BNbxeAUVV6gA=</t>
  </si>
  <si>
    <t>20190</t>
  </si>
  <si>
    <t>B1-TCS-1301C-C4011</t>
  </si>
  <si>
    <t>B1-TCS-1301C-XD53</t>
  </si>
  <si>
    <t>@@UU@@C@@AA/+AArjUQpjGMYxznMdJznOY50IOc6UIShBwISg6UpQhCkIQcAFAApKlAUpQEgUkClAABQFAApSQIUpKUqUhSUqSBKgJQgAFKApSlIUACVJQlKgAAAAAAAAAAAAAAAAAAAAAAAAAAAAAAAAAAAAUAAAAAAAFAAAAAAAAAAAAAAAAAAAAAAAAAAAAAAAAAAAAAAAAAAAAAAAAAAAAAAAAAAAAAAAABCv/Nr+jrOgT7fv/kTgE+6BPWJLr8f7Ufryf14PD9JjWPE+iHnl+VH2Bs5erxzem9/dzyWn155X+eeX/y8XNKC8S/HGgy2ZAP/AJt6VL+cC9fFuG7FAr5RMMermoWKsUyv6M0HmlIlKCHyRKAiJQS0CSDyxAEZKEJLVBzgHYQgSJE8E8EsW3+c7OQRQ6oblc0UQtwWPw6J0a5hJKdy9DuiTXlu03JvTQxUNePHShYkVZkpl2kJ9E0+Ky4JsATGUpdU9LWSnBCjzVXb4FGSW8AmsEf3DWJrIWTDtCQSg5YSRGvzia0thJCQJ6JCTb+ACQm29Nmf1IdMqYy6UKN7ShVfEvitQFI8YGjgEs4tycZtQkGLpx7iYrNex29nBxdQlOrB2/glnEs0W8uYCYzTnTOhotjvbGzo4rlaG7w9+/L371le+JkE3ras+1lrw4+sTXhnnTTTorLMuATNpyxVZZv2ytQwxRjxWVQCWAbSFGwYc9v8fEJk7shKdVl60SVuw178NkCYALaeo1iR3O8J2QSzFmErE47om4U8vIJHx+0S6J7BIE/wTSCYwS5h92EvdqDoASoTB6+D55iYTsTiuS0ExiSEtUmBMMwJ4ZUCUCVKQU0+x4ezlE90CTlYnGf6J7bl0vCQXGgEuiTfKAlImMEgTEJ8IkCYrpB8mIThBPABaByCSiO/INbDl5vqVVVfe</t>
  </si>
  <si>
    <t>20191</t>
  </si>
  <si>
    <t>B1-TCS-1301C-C4012</t>
  </si>
  <si>
    <t>@@UU@@C@@AA/+AAriUQpjGMYxznOZKDnOYyDpOhCEoAhB0oAk6EoOBCUJQdCQAABSFAABClAUkAEgABQAKApSQIUpKUqUhSUqSBKgJQgAFKApSlIUACVJQlKgAAAAAAAAAAAAAAAAAAAAAAAAAAAAAAAAAAAAUAAAAAAAFAAAAAAAAAAAAAAAAAAAAAAAAAAAAAAAAAAAAAAAAAAAAAAAAAAAAAAAAAAAAAAAABCs5tXYeTpE+37/5E0ifdAnuEl2eb9qP18P9fR4/IZFjyvrh6JflR9gZdfr803swf3e89pizSs6J/r/+PLzzwYSf8bUGVEgH/gE286lmwBg7Qt43YoFfQJij289CxVJX9GUHplIlKCHzxKAiJQS2RJJ6EItoQktUHQAWIQJEieCeCX5yZEETOaK6dEUwtYsfh0zoyEvSU3w3BJVl8prnaR9lC48ckMCRPTlSNtCczTX6xN7IBcWlLootplW3ialBnhSr03sGsBRflVvAJqBH9w1CaiFkw5xIJQccJIjV6hNSXQkhIE9chJu9iAkJtPVh2fah1SpjLnQo3s6FVglgrUBSPEBpEwcO2MtAkGLqx7iad7JZ4uTu5sWHwdYlPfx6L8tgTDs3ceYCYzTnVOhs8VmWfX08V6dDPR8uGXhw1aBLRN7JT29q6vW3ewTk1p503admsw3awm/qujYss37pXIY4otyYaoBMIG2hR2zFsXfxyiXaZCU4L/BaJNbla+9DhgNMDiAuq6zxCR3+ATuAlmTYErE474mcp5NQkfN8BL4nvEgT/BO6CZAS9i+OIwbkHSAlQmt7uH6ZiYTtTit1oJkEkJapMCYpgTxyoEoEqUgpp97w7WuJ8YEnKxOM/0T4Xr5gEgvNAJfEm+cBKRMgJAmMTlEgTHfIObGJwgnKBaBxiSiObgDkYcvP9Sqqr8g</t>
  </si>
  <si>
    <t>20192</t>
  </si>
  <si>
    <t>B1-TCS-1301C-C4013</t>
  </si>
  <si>
    <t>@@UU@@C@@AA/4AAraSQpjGMYxznOc5zmQcxkKOg51IUhSDqQhCAKQhSTpQdSlAApQFAUpSgKSoCgAABQAASpSkpSpKkqUhSVKSBKlKOAAFJApSlIUACVJQlKgAAAAAAAAAAAAAAAAAAAAAAAAAAAAAAAAAAAAUAAAAAAAFAAAAAAAAAAAAAAAAAAAAAAAAAAAAAAAAAAAAAAAAAAAAAAAAAAAAAAAAAAAAAAAABCxfHs6zaJ3fs7v8icwk8CeYTr8Hln/bX/Xydv5yxY+p8cPTL8KO4Hft6vBN5MH93vtzGfPLF09y3//p+vvUQYyf77kGVcgH/gE4NSmPSBhyC3iyKBXwiWR+vfoWKpK/myg8UpEpQQ2xKAiJQS0CSTwoRmoQktUHSAYkIEiRPBPBKn8pmYgicMtPJFELWLH3bZxkJAFcCcocAkq9+mudpHAWWSQwJFG6lvkmnXfQmlZPow3xMYFxcV1PJRU3iU4IU+KuvIBRdLUAmwEf3DYJsIWTDwiQSg6ISRGz8RNiZoSQkCeOQk3HkAkJvOv9MWiSG2VNErtSE1PFqQrxCYhWsCkeyBzCYefB6ozcokG2z1kpy4Jubhuxe1h9jqE2cmnj9yrQJk03ezvATG9Obb1CGngz72inn7N/LfQq97FKrDVxCViarKfU05q8eXrEx3W0UJbVu3jFblEz67ox4eK2VqHDGqm7cw1wCYQLUKM5lut/j3xLeWQlOYTDm5N1q4ocECYwM1XUdAkcflE0gmLLnErE13xPXKejtCR8HoEviecSBP8E1Am4CXsvpymDfg2gJUJk83P25iYTHOK25gTcEkJmUmBMswJ80qBKBKlIKafO8+m4T0wJOVido/0T0Xr5gEgvNAJfEm+IBKRNwEgSwT3RIEsvkHw2CcwJ8oGYDWJKI9tNjDd3voBVVew</t>
  </si>
  <si>
    <t>20193</t>
  </si>
  <si>
    <t>B1-TCS-1301C-C4014</t>
  </si>
  <si>
    <t>B1-TCS-1301C-XA65</t>
  </si>
  <si>
    <t>@@UU@@C@@AA/8AArbUQpjGMY5znOZRzmOYx0KOg6UJQhKDqShKUJShSgHQdCVJABQFKApAFAUpSlAAACQASpSQKSlKlKShSVKSBAAJSdQFKApSlIUACVJQlKgAAAAAAAAAAAAAAAAAAAAAAAAAAAAAAAAAAAAUAAAAAAAFAAAAAAAAAAAAAAAAAAAAAAAAAAAAAAAAAAAAAAAAAAAAAAAAAAAAAAAAAAAAAAAABCr5df09J6BPs8X8idsTwwJ6RJdPj/aj9dX9fKfUWLHgXyeb8aPrDau6PHNz4f7v/dlO9nlXzd/v//V4PtoiuIn8lyDLPIB/4BN3Shzxk3AK7BcBpigV/AS2PP4qFiqSuFlB5ZSJSgh2olAREoJdQSSbRELbQhMtUHMAVoQJEieCeCX5yZEETPBFVM0UQtQsff6JwvTCSBOZ3hJXqqIwTtK19XJkpQxJFWZIkbiEe5NzzLUJfAylxS9ifG3yU4IUeWq/WBRdLSAmsEf3DWJrIWTD1hIJQccJIjX+QmtLYSQkCeaQk3XxgSEzuzFt+dDZKmM2+hR7vWQqrErFagKV98DtCYeLu9VZuyJBZsy7yWYuvPmr4u50CdyXZ4ZZO7G2JXPot15wJ589BsoQ0YZv00Wzcmq/fQ3692uWrLjvcAlwmm6rPZm3L9kukS3JPOm9TkvGKq7GJwce/mimvgulcJPbZhpgE1YgN1CnPk0Xfx8Ql3akJw1V4bRJW5i92IcUBPA4wLpug5BI4eITQCYrNsS8JqwCb5Tr4xI+P1iYBPUJAn+CaQTKCX8nsyGHdg2AJUJj9PvfPMTCe3OK3WgmUSQlqkwJkmBPolQJQJUpBTT6ni6mYT2QJOXhOM/0T138BhEgvtAJgEm5QEpEygkCWCfCJAlmAg+SwTtgnzAWgahJRHL8AcjDteHvCqqvtA=</t>
  </si>
  <si>
    <t>20194</t>
  </si>
  <si>
    <t>B1-TCS-1301C-C4015</t>
  </si>
  <si>
    <t>@@UU@@C@@AA/8AArdUQpjGMY5znOZBjHOY50HUdKTpQhCTqShClIQgCkHQcAFKApSlASpQFKUoAEgABQAAAhSQJUlKlJSlSVJSBAAJQgAFKApSlIUACVJQlKgAAAAAAAAAAAAAAAAAAAAAAAAAAAAAAAAAAAAUAAAAAAAFAAAAAAAAAAAAAAAAAAAAAAAAAAAAAAAAAAAAAAAAAAAAAAAAAAAAAAAAAAAAAAAABCr+nZ1ne6BPv8P8icQn4QJ6hJdfi/aj9df9fUd4xrHfXyej86OYM2Xq8U3Ph/u/+OQszyr8vNzf/zd/wURtRE/kzIMq5AP/AJuakOeLdIFeMXAaooFfGJdHp8NCxVJXCyg80pEpQQ/lEoCIlBLSJIfdQuoQmWqDygFaECRIngngl55MiCJgqo4IohahY8fROEhL0gS7S7ok1+9FUpmhbba0MKRRmSO1pQnK57pi8JSBcTLkKqueDgqsaCU4IU+a/f2gKMstQCbAR/cNgmwhZMO8JBKDlhJEbP0E2JdCSEgT0SEm7lgEhM704tHpQ6ZU0SzdtCn3u2herErFagKV+EDhExcelZcAkFnTj3C2MMEsV2Li6hNm/v2fFG2JXnya9sCbbnOn46EMmS/Vw8XLo5MWHChvSPlwS1xtVb4mUTVlq0XtO3u4LZdYl1k86btPYvFdWW0Tfz2RRi7l0rhJ8luCmATkwgdlCnPZou/j5hLvgkJTi7WG4Sa7MXt+HFATwNgGWbqNgke/widgExY9Al4TkwCbxTy6xI+f2CYBPWJAn+CagTICX7fbaYdyDoASoSz1cf2TEwm1OK5bgTIJIS5SYEtmBPtlQJQJUpBTT63i7OYT2wJOXhNZ/onsv4DCJBfaATAJN9ACUiZASBMYnyCQJjwEHdxicYJ9YFwGsSUR3YDYw5vB9wqqr7g</t>
  </si>
  <si>
    <t>20195</t>
  </si>
  <si>
    <t>B1-TCS-1301C-C4016</t>
  </si>
  <si>
    <t>@@UU@@C@@AA/2AArWSQpjFMY5zGOg5zHOYyEoSlKEoSlCkJOhSVJQpSjqQdSgJUpQEqUpSgAUoCgAABQAAUpAEpSpKVJSlSVKSBAFKOAAEqApSlIUACVJQlKgAAAAAAAAAAAAAAAAAAAAAAAAAAAAAAAAAAAAUAAAAAAAFAAAAAAAAAAAAAAAAAAAAAAAAAAAAAAAAAAAAAAAAAAAAAAAAAAAAAAAAAAAAAAAABC2vn185sE7v393+ROISmBPQJz+D9qfPq/r6D6y5Y5F8fm/Gf2h37+bwUctv94/DoNzclteTk5P/+6jvRG1EUePBBl0pAP/AJ1vYQ5YzdUDJcLYaImK+ITRH69+axXJW1lB5ZSJSgh8MSgIiUEt0SQ/ghfNCha4PIAbSECRIpgpgl+cmRBFAXT9mJwtYseLZSEhIcUIG89cSWKuqKGa3XZELEie2kbqFGWjerEvkBoKr4iKnhks+XM2FFQIV+XHiygTwlwAJrBH9w1iayFkw74kEoOOEkRr/ITWl8JISBPNISjTmAkJ0X9MnUkhslOMN9CfBvoV5BMgrWBUvuAe0Jbxbqy4RINl2XHvG9DO+3tWcwnHp+CnbEycO5n1bYFG3SbLJobnt/Fi92y/PVb2s9qHbz5LqNWbHpExib+arLmz9bHnlziZbuxOaXb+Lp2GWzDOJpx6oicsmnCWAk533WVwCdi0C9CrcxZsL/4+MS/syEq4cBM2FpXphtgKYHKBh56eY1iR2aROoCZLumJiE1WCdcq4/eEjueoSwT0iQJ/gnACaATHd67i3eg2AJWJm9HF9NBQJlpFcLwTQJIS9SgEuoBPqlMSYlakFVXpeLd2xPXAlJiE1H+ierHYWiQY2YJYJR8wCVCaASBM4nbEgTPYQfLnE4gT4QLwNQkoj5O4HvsPR732KKqvQ</t>
  </si>
  <si>
    <t>20196</t>
  </si>
  <si>
    <t>B1-TCS-1301C-C4017</t>
  </si>
  <si>
    <t>B1-TCS-1301C-XD21</t>
  </si>
  <si>
    <t>B1-TCS-1311-X22</t>
  </si>
  <si>
    <t>-X22</t>
  </si>
  <si>
    <t>@@UU@@C@@AA/gAArNUQpjGMdBjIOcxzHMcyDpQhKEnUg6EoShSEoSpKEIOhQAASACVJSBIFAUpIAAAAClAUkCAJSpAFISlKgIApSUqQlQFKApSlIUACVJQlKgAAAAAAAAAAAAAAAAAAAAAAAAAAAAAAAAAAAAUAAAAAAAFAAAAAAAAAAAAAAAAAAAAAAAAAAAAAAAAAAAAAAAAAAAAAAAAAAAAAAAAAAAAAAAABCxeLj6joE+7+RO2Ce0T09XL+1H68H9eI8ZjWPI1Q+iX20fYHJ5/LLpr/L++flymxryxefk5P/8kvLPZInlzXoM2xIB/4BNfGpZ1wMOMWo/GKBXmEyYpfn5qVjlkL6muDalIlKCGeJQERKCWyJIfvQvoQmXBB6ACwSBJE8E8EtXBzzs5BFCYN2J4XUF5uicMEwkgT0vybYk1VVMXzuBZrrsSGFIpzBGohdP1p8AnxgUEZSdvyb1RTC2NZNgBDVqr0WAVU3zdkBNII/uGkTSQsmHQJEoiDhhJRxfgJxDfASEgTnkJN2s1oEwnqcOz6xInIvz+vbQjYwbm2J0WiWitYFI8IHcEs7uqMt4SDousq0BfX3ekT5tjvYrxK7MgGk39++g9lImaqjv8PY/TarqE75Rhn7QmQTa3C6nNmoz1Z5dQmOQdmfWka2GwSybjircxSLVNc2rKKwSsDsCS3bv48Am9AnXui0TUt2baLoKtyHDAlwFHSaRI3dAmuCWZOsJaJwViZyni4RI8PvErE9wkCf4JoBLgSq34Wmrng9gCYBMft3/qmJhLJxW/KCXCSEyqTAlswJ45UCUCYFIKafc9vZ1hPhAk5qCcB/onvqrNUSCpoBKxJvCAlIlwJAmQTvCQJkrIPBkE+UE+kDKB3BJRHz/QHGw5vN9YAqr8QA=</t>
  </si>
  <si>
    <t>20197</t>
  </si>
  <si>
    <t>B1-TCS-1301C-C4018</t>
  </si>
  <si>
    <t>@@UU@@C@@AA/gAArNSQpjGMY5jHOcxjnOdBzoQdCUJQhCUIQlCUJSBCEoQcCgKAkClJUBIAASBIAAAAClASoCVJSpAFISlIFJUpSkoQkAFJApSlIUACVJQlKgAAAAAAAAAAAAAAAAAAAAAAAAAAAAAAAAAAAAUAAAAAAAFAAAAAAAAAAAAAAAAAAAAAAAAAAAAAAAAAAAAAAAAAAAAAAAAAAAAAAAAAAAAAAAABCw+HT1HQJ9/8icAJ7xPV1cvuo/bi/rwnjLlj7WuH0y8lH2B5fR5pdNn6f36+XKaNaWH0V+X//J93moIJpc2ogzaJAP/AJrXKW64F+4Ws/OKBXmEx4Zc/npWOWQv6tkG1KRKUEM8SgIiUEuuJIfwQ1KEJlqg9IBaJAkieCeCW3gveuhoIIpS92onhaxebonCqYSQJ6sEG/uCT2WVRM0rLJkwoYEinVCM6Hsn0T1CbYGczE7nycFJc12ETVAhMt6vduAnozzbwCaQR/cNImkhZMO4JEoiDjhJRyfiJyDlgJCQJ+UhJt/NiAmE9jg1+cSJyNTZ7KGtz1b24J0T4hMQrYBUPIBwiW97AMuASDfyXV5dssg4ukT5tHDhzCWW4wOQ4cs57e7SJn09iW1m7k9dQl/vmzKfdEyCbV8x0559i9sS6hLZB2dejRMa2C0S2bjizctkYlNU27qJ7ASwDYElvZf4+gTfgTHcJVdNdi1727DfgJoHIBRN0nGJHa9wmqCW4tUTEJxXxOwU8feEjwfESwT4CQJ/gmyCZASvF8sRf2IPaAlQl3v4PFMTCWziuplBMgkhMqkwJimBPHKgSgSpSCmn4Pb6+YT5QJOXhOE/0T412F8SCtoBLBJvqASkTICQJjE74kCY7CDwYxO4CeIDKB3RJRH0/OHIw5/P9YAqr1g</t>
  </si>
  <si>
    <t>20198</t>
  </si>
  <si>
    <t>B1-TCS-1301C-C4019</t>
  </si>
  <si>
    <t>@@UU@@C@@AA/gAArQSQpjGMZBzHQY5joOZB0IOc6EJOlKFIShCEAQhCEIOgCgASkCQKUpIAAUBIAAAAClASoCkpUlKgISlKlKSpSkoQkAFJApSlIUACVJQlKgAAAAAAAAAAAAAAAAAAAAAAAAAAAAAAAAAAAAUAAAAAAAFAAAAAAAAAAAAAAAAAAAAAAAAAAAAAAAAAAAAAAAAAAAAAAAAAAAAAAAAAAAAAAAABCs8HN1nSJ5f5E3wT3Cenr83to/bj/rwHhLVj7G9D6JeKj6w+3z+SXVX+n9/l5rjLklZ5/HX//i8c5PBNLnuQZskgH/gE18ClmUC/gFvH5xQK84mGyXR5KVjyyF/VrgzykSlBDPEoCIlBLMJIfvNWFoQmWqD0AGASBJE8E8EvXV6p2cgihKtyJ4XSF5+mcKphJAnpd3aEmvXqYyTtS7s912BCxIqyhVLIhPXNPUJHbAuMZsUuW7eqwt+URSCGneiv8MIFE+tNJe4AnMCP7hzCcxCyYcQkSiIOWElGj8RNA3QEhIE9UhJt3HqATCet09joEicjFn2kMlO3tCbtdolorWBUPIB0cIlsuOwZt8SDp07a7q+2HH1CfLl4LMYleDEBoOK6c9lAmtj4eThv3Z6+KsTvGzbR3BLhO1tmrTknz6WeXWJbIPknzSM1+wSybZ5ZV7eCRhU2Tatovgl8DKJLcu/jviX96QmK0TSttw5tLch04ExAUdRoEje9omuCWYdcS0TkrE7JTo5RI+b4CVie8SBP8EzAmIEvYfjhL+zB7AEqEt92/9MxMJgnFdW4ExCSEuUmBMMwJ4ZUCUCVKQU0+939jGJ8YEnNITiP9E+F6sviQXmgErEm+gBKRMQJAmoJ3xIE1KyD59QTgBO8BcBwCSiO73Q0MOt931ACqvYA==</t>
  </si>
  <si>
    <t>20199</t>
  </si>
  <si>
    <t>B1-TCS-1301C-C4020</t>
  </si>
  <si>
    <t>B1-TCS-1301C-XD11</t>
  </si>
  <si>
    <t>@@UU@@C@@AA/iAArQUQpjGMc5jmOcxzHMdJ0IShCEJQk6UJOhKUoSlCUoOhIEpABKgKUpAAAUpIAAAAClKUoCkqSlKlJShKQIApSVKOkAFJApSlIUACVJQlKgAAAAAAAAAAAAAAAAAAAAAAAAAAAAAAAAAAAAUAAAAAAAFAAAAAAAAAAAAAAAAAAAAAAAAAAAAAAAAAAAAAAAAAAAAAAAAAAAAAAAAAAAAAAAABCxcfFzmoTyfyJ2AT2iejn8vso/bt/1x2eEhY+364iHkkT/UH3efmv+Of8/75fLcbHRli88eL//s8U0+ORPLzZUGbXkA/8AnSsUxbAGHCLUflFAr5hLcUv1++kCPJaTC+prg3JSJSghoiUBESglsiSGmdCX4IQN6DkALBIEkUQTwS5ZMiCLwTsMFOiKIAvC/jqnC/MJJTk3s4k1VEiqBKUJW24UK0inWCMyE2vNSJuAZDKTuXWyRdovxa1k18RngSVWD0WgUZsd+fdATSCP7hpE0kpLBDnEiURB3ISUcPpE4R6EBISBOWQk2jWC4CYT1OHb/QTvSoIzZ+qhshe6e6JqtEtFagKU7gHZExcFaS7AkGq6yrLV1A4OYTu7G/vWZhK8dwHayzGqhoEzV9mbNv7dVbQJ370euejqiWidLu0Zpqdrb5xLJBnn15GvXhE0cM9W7ikY1M+KeoEqA2RJaMn8fGJ1oEtsEvWaen1ro2sG9DigTKBTTzHEJHX9gmwCY7uiJkE4axNwp4tIkfJ7xMAnuEgT/BOoCXAlVvwtK9yD1gJeEx+3f+iYmEsnFehlBLhJCZVJgS2YE8MqBKBLykFNPud/azCfCBJy+J2z/RPfVgKxIKmgEwCTcYCUiXAkCZBPAJAmTAQfNkE4AT5wMoHaElEfLxCZvH9KAqr8QA==</t>
  </si>
  <si>
    <t>20200</t>
  </si>
  <si>
    <t>B1-TCS-1301C-C4021</t>
  </si>
  <si>
    <t>@@UU@@C@@AA/gAArLUQhjmMc5zHOc5zmOY6TpQdCUJQlCEIShKUoAhJ0IQhQAKABSlKUBIFKUBIAAAAClJAoCQKQpAFISlSkpUpSVKQkAFJApSlIUACVJQlKgAAAAAAAAAAAAAAAAAAAAAAAAAAAAAAAAAAAAUAAAAAAAFAAAAAAAAAAAAAAAAAAAAAAAAAAAAAAAAAAAAAAAAAAAAAAAAAAAAAAAAAAAAAAAABCxeDk6joE+3+RO8CesT7+rm9VP7av68Hz+EyrH1+KIh8slz6g8fk6Z5b/5/35+a019M4vJ4p/+fH9kwYpjntQaNaQH/gE2camLSBgxC3z8opFecTLin9eWpY5r9AuX0NEGzMkzBDTEwERME64kjQhFP3ISN2DygGMSBJKoLkE+eWSCKG7ERVvRTC3RefouBeoEkT0d3ubYlzCuC7RggG6hNlmNDEkVdcI0IUa1F66J2gMRnKXe2LNNt6twE3gQv1/hlAuaJ3QE5AR/cOQTkIWWHcEiYiDihJjj8wnGOaAkSBPxkSjuZwygUCfo8eLY7Yls1UxOztbqGmqG9s7gnRYJYK1gVJwgcAmPv4cKUd4SDotryYM+DaDV0ie/r5MecSvJmA4LaDopaRLNe29v5+xXcbwnfPTRwU7glgnZ1VaKKsOPqExyG1c0SaMGETdtuX9vFJkU4e1jprBKwNIk62b+PhE3oEsyCXcmxu5ti/uQ4YEzAU1dJxCR2/UJpBMdnXEyiasAmyVcXCJHx+0SsT2CQJ/gm2CZgS/l92UwdmD0gJdEyevf+igoEx3BXPaCZhJEtUoBMtAJ4ZpEpEuqQVVex3+x1hPdAlwvCaj/RPbfrMAkF9pBKxKPlASoTMCQJYJ8AkCWVkHyWCcAJ8wFoHAJMR8UhxsPW5fpAFVfeA==</t>
  </si>
  <si>
    <t>20201</t>
  </si>
  <si>
    <t>B1-TCS-1301C-C4022</t>
  </si>
  <si>
    <t>B1-TCS-1301C-XD52</t>
  </si>
  <si>
    <t>B1-TCS-1311-X15</t>
  </si>
  <si>
    <t>@@UU@@C@@AA/gAArKSQpTGOY5jHQcyDHOc6UIQdCEJQhCDpQhAEKUhSEIOlAAKAACQKSpIAKUpIAAAAClJAoCQKQpAFISlKgIApSVKQkAFJApSlIUACVJQlKgAAAAAAAAAAAAAAAAAAAAAAAAAAAAAAAAAAAAUAAAAAAAFAAAAAAAAAAAAAAAAAAAAAAAAAAAAAAAAAAAAAAAAAAAAAAAAAAAAAAAAAAAAAAAABCw+Pwdp1iff/InCCe0T09vR7Kf24/68f0eQuWPtfLD6JFH2B5vP2c86/z/vq6Mhr5pYfPk8v/x5vuogtojpyoM6ZAP/AJtWqYcwGC0Ws/KKRXpEuwy/XnvLHRIX1NkG1KRKUENESgIiUEtcTJMaEIl+CEhqg9ABaJAki9BRBLqkyIImygp34nC3henroCqYkhODf3BJ14S9OyFN2L6FK0YsVqGFIq1QjUQnrTv1CbYFhlKXenrZL19rJVAhfq9NoFHdl3wE0Aj+4aBNBCyYd0SJREHJCSjl/ETlHHASEgTqkJPfytwExPU6Wb9BIoI5tnazoZqt6RuiddwlwrWBUPKBxCW8dgy4RIOvHwadmWz4s4cdXYJRLXgw5RLLcQHx45nXQJl+XRopq0tmuCsS+evBTnE0xNnmpyclGxf2Jdolsg3KKzVmY9LCJvT0ZiWDPpyMCm3bRYCWAViS38X8eETggS60Sq3bu17+eHBAakDjAvdhoEje9gmsCW4tUS4TksE2S9o5RI+b3iWCe4SBP8E3ATGCV3fC4wd6D1gJUJp+3h+mZMS2gVy5ATGJITIpMEumCeSVIlIlSkF697nh2O6J8IEoL4nyH+ie+uwwCQVtIJYJP5wEvCYwSBMQnMJAmKwg8WITiBPqAyAcQkojw+IPAw6nP9YAqr3AA==</t>
  </si>
  <si>
    <t>20202</t>
  </si>
  <si>
    <t>B1-TCS-1301C-C4023</t>
  </si>
  <si>
    <t>@@UU@@C@@AA/gAArKUQpjGMY5jHQcxzGOc50JQc6VJOlCFIShAEKShSEIQlAFAUACQJUBIAJUBIAAAAClKUkCQKSlIFISlKgIApSVKOkAFJApSlIUACVJQlKgAAAAAAAAAAAAAAAAAAAAAAAAAAAAAAAAAAAAUAAAAAAAFAAAAAAAAAAAAAAAAAAAAAAAAAAAAAAAAAAAAAAAAAAAAAAAAAAAAAAAAAAAAAAAABCxd/udRrE8v8icAJ7RPT1eb2Uftxf13/B4S5Y8T9sPokT/YHj8/T5Jq/z/vo82U06JYvP92b//F4/vogxzxz50GbBIB/4BOzjUt0gbGMWs/KKBXnEvxS/Xy0rGSQvqbINUpEpQQzxKAiJQS0iSGZCMp+CEhqg9ABaJAkimCeCXRJkQRMlG9E8LSLz65wqmEkJv722JNXFEVwDShiJrrsSGwkVbIRUudCfrT14BNQFRlKGbZL5VOAlQCFNXpxAW0ZZtwBOUEf3DlE5SFkw9kSJREHHCSjk/ETkHLASEgTokJNu524CYT1Oxo/QSJyOb49W2hpq+SRpE13CXCtYFQ8QHyiW8Ngy3xINeS2vLXw7gdInc0fPizCWTW3gS7eSc1z0CZse/Xfp9cWVyKxPoKMVO4JcJ1+ajNNoq0S6hMUg1cVFZtTm1sYhN2bjjDuY5Fimi2fasBLAJKS7WT+O6JvQJdaJVbNqu04N2HDAl4FGz0nIJHa9gm0CY7+sJeJxYROwU8nGJHe94lgnuEgT/BNsEyAld3wuMPYg9YCVCY/bwfVMTCWziubKCZBJCZVJgS6YE8MqBKBKlIKafc8HXzifCBJzAJ8x/onvrsMIkFbQCWCTfSAlImQEgS8TmEgS+wg714nbBPABlA4RJRHdTlYc/k+sAVV+I</t>
  </si>
  <si>
    <t>20203</t>
  </si>
  <si>
    <t>B1-TCS-1301C-C4024</t>
  </si>
  <si>
    <t>@@UU@@C@@AA/gAArLUQpTGMZBjHOc5zGOc6EJQhJ0IShBwIUhSVJQpCEKQhSQKUACkpABIFJUBIAAAAClKAhSQKSpAAISlSlJUpSlJQhQFKApSlIUACVJQlKgAAAAAAAAAAAAAAAAAAAAAAAAAAAAAAAAAAAAUAAAAAAAFAAAAAAAAAAAAAAAAAAAAAAAAAAAAAAAAAAAAAAAAAAAAAAAAAAAAAAAAAAAAAAAABCxeDk6zoE+v+RPdBPSJ9nXzftT+vD/Xg8PiLljlfoh80ij5w8fl6vJOz8f78/NmOzsSxeXl5f/+nx/VTBkojn1UGfZkA/8Am5cpk0AYbhbD8IpFecTLil6OapYzyF/Jtg25SJSghoiUBESgloEkM0IzayEmUNcHmAMYkCSKoKIJYvPNmQRQlW9FELWLz9FAVzEkJ7m9uCTspsmjUhEr78KGBI6KuwEXl6FOvRQttgm2BMzlLl7evnrsbSVYIaln23AUYJboCcgI/uHIJyELJh0iRKIg9+ElHH9wnGOWAkJAn3yEnvZ24CYn5uHY9AkUEaNrZ0obFe7I0idNwlwraBWPEBviY+C0ZdsSDpy47M1nBpDqE+DY+HFnEtx3gb+WZ00CZ82zor0b87NQSR8WSP0xTq0iXibXdq1a6NnU2ZdYmKQbldNhr0GbDiEz00cWeWHTdIwKbeSjACYANAkt3N/HeE3oEy1mMTUx9q7RZuw4YEvAp6jiEj2+6J2ATFfrCZBOC0TtFXFwiR3/WJaJ6hIE/wTbBMoJZd7LjBtQdICViZPT3PlmTEx0CufMCZRJCZlJgl0wTxSpEpErUgqq9T3NGqJ7IEoNQThP9E9dlpgEgsaQS0SffASoTKCQJeJxiQJfaQd68T3gTwgZgN8SUR8fyBxsOt5PmAFVfaA</t>
  </si>
  <si>
    <t>20204</t>
  </si>
  <si>
    <t>B1-TCS-1301C-C4025</t>
  </si>
  <si>
    <t>B1-TCS-1301C-XD42</t>
  </si>
  <si>
    <t>B1-TCS-1311-X16</t>
  </si>
  <si>
    <t>-X16</t>
  </si>
  <si>
    <t>@@UU@@C@@AA/gAArKSQpTGMY5zHQc5zIMc6EoQdJzpQk6EKSgClJOBCDoQkAFKAACVJABIAKUBIAAAAClAUgCQKSlKgISlKgIApSVKOkAFJApSlIUACVJQlKgAAAAAAAAAAAAAAAAAAAAAAAAAAAAAAAAAAAAUAAAAAAAFAAAAAAAAAAAAAAAAAAAAAAAAAAAAAAAAAAAAAAAAAAAAAAAAAAAAAAAAAAAAAAAABCw+Lv9ZsE838ifMCe4T1dfn9tP7cn9eI8ZjWOdfT9xR9oeT0dXlnf/P++nz3Gbelh9HPz//z+T76cciiXRuIM80gH/gE7lqmPOBtWi3z8opFegS7DL9fNUsfhIX1tkGmUiUoIaIlAREoJaBJDNCMm8SIWGUVwekAxCQJIqgogl0yZEETSniiiFqF6NlAVzEkJou4tIlFllcTR4LyE7rsSGFIr3QgwoT3p3FYncAkhlKG3duqxN8lUCFd71YgKMsuEBOYEf3DmE5iFkw6RIlEQa4SUcv4ico3QEhIE6ZCT7uUtAmJ68kHfxdr9BIKiNG/VwoX69+WkTZaJaK2AVrrA1CYuOxZfKJBsuxX8l/j4A6hNWb58OUSzFtgarpmzPSJudqM2TmtNFl4T6D2YqOAS4TfspsnnK88usTDIMdHZkbmDaE4Jm9rxz10bXDbIqUo046cAJgA0CVTz5P48AnFAl2MSvH27s975IcECXAU9RrEju+0TMCYbd0TGJx2Cb5Vr5BI8PwEsE94kCf4JpBLgS/b8bTBog9gCViY/d3vrmTExUCuXICXCSEyKTBLZgnjlSJSJWpBVV73vZ9wT4wJQXhOQ/0T4X7DAJBfaQSwSfhASoS4EgTbE1CQJt2EH07YmoE+oDIBqElEeCA5WHc8v2ACqvYA==</t>
  </si>
  <si>
    <t>20205</t>
  </si>
  <si>
    <t>B1-TCS-1301C-C4026</t>
  </si>
  <si>
    <t>-C4026</t>
  </si>
  <si>
    <t>@@UU@@C@@AA/gAArKUQpTGMY5jHQcxznOc50oQhCEIShBwIQhKUpQBCUpQcAFAApSQKSpIAAUpIAAAAClAUlKgKQpAFISlSkpUpKlKOpIFKApSlIUACVJQlKgAAAAAAAAAAAAAAAAAAAAAAAAAAAAAAAAAAAAUAAAAAAAFAAAAAAAAAAAAAAAAAAAAAAAAAAAAAAAAAAAAAAAAAAAAAAAAAAAAAAAAAAAAAAAABCweHT1GoT6/5E7QJ6xPt6uf9qf17n9eE8RhWPGvm+go+cPp8vTzTs9P9+jnyGzsSweXyeT//HP6oukTl0ZkGexIB/4BOvhUu2gL+EWw/CKRXoEx4JfnzVLHPIX8W2DelIlKCGiJQERKCW2JIZoRlg+xCAlXI8wBcJAkiqCiCXokyIImlPFFELUL0aqArmJITd4t8SdllUTR0VoTx48CGskV64R1kJ7EyoTeAyuaIofTsZaVqubCVYjfgSyr7rgKM8uABNII/uGkTSQsmHQJEoiDvQko5fOJyjlgJCQJ98hJ8WcxATE2HLpu2vyEiojc3dCFd6vglviasQmIVtArXugcYl3JasuyJBqyXWZbOTQHSJx7Pv4Mwlt2MDs7WWg1UiZ70vhs5NPq3rda8J8B6sNPCJjE3r9Oee4V7kuoS6QaKM0jXv6wnDM03St4LpFCmnRdTaCWgbIktfJ/HxCdqBN/JGIS9i3qMkbdnDDrQJkAq6TSJHFoE2QS7HriYhO7aJ1yrl7wkeD2iWiewSBP8E0AmQEsxe7EX92D9AErEw+vt/LMmJdQK5soJkEkJlUmCYpgnilSJSJWpBVV7Ht7ecT3QJQXhO4f6J7bLS+JBY0glok/jASoTICQJjE7AkCY7SDwYxOME+QDKBxiSiO/3w5WHrc3zACqvvA</t>
  </si>
  <si>
    <t>20206</t>
  </si>
  <si>
    <t>B1-TCS-1301C-C4027</t>
  </si>
  <si>
    <t>-C4027</t>
  </si>
  <si>
    <t>@@UU@@C@@AA/gAArNSQpTHMZBjIQcxznMc6EJOdCUoOhB0HAhKEpQpSFIQhIAJAACQKUpIFASBIAAAAClAUkCAKQpAFJQlSkpUpSVKQkAFJApSlIUACVJQlKgAAAAAAAAAAAAAAAAAAAAAAAAAAAAAAAAAAAAUAAAAAAAFAAAAAAAAAAAAAAAAAAAAAAAAAAAAAAAAAAAAAAAAAAAAAAAAAAAAAAAAAAAAAAAABCv+Lk6zpE+3+RO6Ce0T7+vn9l79uH+vEeQwLHlXz/WUfUHL0dXNOv8/79PPcZssr/Ry8v/+WX2UWyKJebIgzyyAf+ATPgUt2QNbALWflF4V8wmK/L9ealY55C+psg25SJSghoiUBESgl2hJDNCMcH3IQEqpHnALRIEkUwUQS9HpmzIIoSnuRRC1C9HTQFUxJCfhZv7olFllUTR06iE7rrUL6RVlCOyhPNOkTcAyE9ch0Zsd4qqktrWT1AQrvV3wKNe/PSAnICP7hyCchCyYdAkSiIOKElHH6BOMccBISBPxkJPe1zEBMTH6m/38v6CRSR29rQhTXVpluCdOETCK2AVLxAfEJbw2LLfEg6bra8dfDunUJBwZvBfyCWW4gN66Z8dAmTi4JV59nu57KxPAeu2jSJiE2+/e2J7RVtS6xL8gwUYpGxq6wl0zitlZu2yKFNu/RWCVgbImWe9d/HhE34EoxYBKsHbxbNemHWgNyBxgUz6jjEje9gmYEtuyiYRPk1RM5Tx8QkfL7xLBPcJAn+CaAS4Erw/DCaueD1gJUJg9ve8cyYltArkxglwkhMakwTDME8krwl4SpSCmn3Pe7WuJ8IEoNQThP9E99dhqiQVt4EsEn84CUiXAkCYhNAkCYrCD5sQnACeMDGBwCSiPD9AcjDsc30gCqvY</t>
  </si>
  <si>
    <t>20207</t>
  </si>
  <si>
    <t>B1-TCS-1301C-C4028</t>
  </si>
  <si>
    <t>B1-OPS-1321-SS11-SYS</t>
  </si>
  <si>
    <t>TPC-FB SPEED</t>
  </si>
  <si>
    <t>-C4028</t>
  </si>
  <si>
    <t>@@UU@@C@@AA/uAArXUQpTGOY5zmQc5zmOc6DpOhBwKOhCToUdSFJSkCUIOdClKUBSgKABCgAUpQFAABQFJUBKlIAgCkJSoCkpSBClJQoAEqApSlIUACVJQlKgAAAAAAAAAAAAAAAAAAAAAAAAAAAAAAAAAAAAUAAAAAAAFAAAAAAAAAAAAAAAAAAAAAAAAAAAAAAAAAAAAAAAAAAAAAAAAAAAAAAAAAAAAAAAABCvcuzsOoTn/kT3hPqgT0idnP+1Ho7/9ct/6SFj7XwQ+OVdP2B4fF1807vT/fky4zBlle8Vzw//4Pu++kgifRkQZZpAP/AJ2t9S/hAt268AsjzRaFegSyP05qQI55C9Lcg3pSJSghoiUBESglnEkM0IxwfghAVQT8YBeQgSJlqCmCXkkyIImlFrVKmAKhejqoDLMSQn4m+JK3RbnXANoDy0WWX0NpIqyhVLMhRmnRUJGgDEZCl4aYlTwX25bIopBCa2403wKLJcACawR/cNYmslJYIdIkEoOOEkRr/ITWOKAkJAnlkJP3chhAmJ0ue9rz/mh55VRo3tKHwdu3q0HAhXjExitYFQ+/sA4hMPHWMu4JB59u3jw12as17b4+sThDP3XR7ePdEv5O0BszTMVCG5uaO/3q7Ny7cQ3XHPgEsE3qeK1luaLkdgk5Bpq372Cgy03xPcnx/rgJ7WbVjnShEXdNeHTVMEvAaEMmeP4+QTbuSE5L2ESvDubtvVDtQJiA2+s5BI4fQJnBL1mYTAJruib5a5NgkfL6xLonqEgT/BO2CYgS5h9mEr0QdQCVCYPT3fnmTEv0CuTGCYhJCY1JgmGYJ9EqRKRKlILVr1Pez7YnsgSgtiaT/RPXculYkFxpBLok/mAS0JiBIEsE+MSBLLpBy2CdwE+IDGBsElEfDxBsYcvN9aoqr7QA==</t>
  </si>
  <si>
    <t>20208</t>
  </si>
  <si>
    <t>B1-TCS-1301C-C4029</t>
  </si>
  <si>
    <t>B1-TCS-1311-X23</t>
  </si>
  <si>
    <t>-C4029</t>
  </si>
  <si>
    <t>-X23</t>
  </si>
  <si>
    <t>@@UU@@C@@AA/iAArQUQpTGMc5jHQc5znMdB0HQlKEHQk6QHOdSUIUlKEIQgCQKUBQFJUBIAKUBIAAAAClKUoCkqSlKlJShSlJSpSVKQpIFKApSlIUACVJQlKgAAAAAAAAAAAAAAAAAAAAAAAAAAAAAAAAAAAAUAAAAAAAFAAAAAAAAAAAAAAAAAAAAAAAAAAAAAAAAAAAAAAAAAAAAAAAAAAAAAAAAAAAAAAAABCv93l6TnE8P8ib4J6RPt6fF+1P68P9d3B3iFj6H5oeaRR8ofT5OjwTr/H+/L4rTqbcr/k79n//P36CiCcvHkQZ5pAP/AJnwKX+oBewC1n4RSK+MTFfl+f1VAR4ZC+dsg3pSJSghoiUBESgl1RJDNCMkH1kQsNyCfMAYBIEmVQUwS8smRBE0p1RRAFQv2c9AXJiSE5tegSddNc0akJYsWwheSKtoIyoTzTqE3gLTIUO919vJ5rsYm9dijXMRpgS9eg+7GBRmqnSuoBOUEf3DlE5SUlgh0iRKIg44SUcn3icg7MBISBPNISfY2m0CYnnbb+7+QkU9aJdbRpQ7e3d9uRqE57RLRWwC4OsDtCYOKwZcAkHPkwV5a8vF0Cag7Lub+DKJew2gbmSZfoE2bMfBR6ODPXQJ7x6L9GkTGJn7dOWe5cwy6RL8g0UZpG1e2BNU+PXhJ3tOGRQpowUWAlgG6JKzH/HwCdiBMW7hEu4d7H1a9MOxAloFPQcgka+uJtgl/HmEwicNgmcq4+ISO56xLBPUJAn+CaAS0ErxezEXs8H6AJcEw+nf+OZMTBQK7OQEtEkJkUmCYpgnelSJSJcUgqq9Tv7mUT2QJQXRO0f6J667C8JBW0glgk/hASoS0EgTGJ7okCY7CDuYxOyCfEBkA9wSUR7/CHIw7Xg+RAVV9o=</t>
  </si>
  <si>
    <t>20209</t>
  </si>
  <si>
    <t>B1-TCS-1301C-C4030</t>
  </si>
  <si>
    <t>B1-TCS-1301C-XD41</t>
  </si>
  <si>
    <t>B1-TCS-1321-X92</t>
  </si>
  <si>
    <t>-C4030</t>
  </si>
  <si>
    <t>-X92</t>
  </si>
  <si>
    <t>@@UU@@C@@AA/eAArLSQpjGMZBzHOZCDHOc6EIOA5zpQhKDoQhKEJAlCUpQhJwASBIEpSlSgAUpSgAABQFKAlQEKUpAFISgAAIUpKlIOoAFKApSlIUACVJQlKgAAAAAAAAAAAAAAAAAAAAAAAAAAAAAAAAAAAAUAAAAAAAFAAAAAAAAAAAAAAAAAAAAAAAAAAAAAAAAAAAAAAAAAAAAAAAAAAAAAAAAAAAAAAAABCs+Lk7DSJ938idHeBPaJ9PZzftR+vh/r4z5y1Y+t+aHol6qPqDl9cX+uv2f3082EyY5WeuOX//VyzT2SJ5c+FBmxyAf+ATa1VLMgF68LcPxigV5xLY6vtoWOZkL+Tcg2pSJSghniUBESglkEkMyEYIfvQhqg6ACwSBKJimCiCXTJkQQkzDE9O/FELULz6ZwkJAm+7YkqqqImrhpXSTzFttiF1J1lGuEZkJtmb8/AagmbuAYjYKnq71FrdJUIhTV02gT4pb4CaAR/cNAmghZMO8JEoiDxwko0fgJoHBASEgT2SEm4cVoEwml6rMmYSKJ4l291CejHv5xP01hNYVuAVDxgeASzPe4LBn4RIN7Bbd4MV29xdYm6GjVMnkt2RLL+ICyRi8s4mxl4dji5MeO7cEp8vijUo3RMAm3ooJsdyq9LsEskGGfYzl2sTe2auOVePevzbuBTPbReBLwGYTLi/jzCcECYdsuWiRb48ObLFfdhsgTCBT1nIJHDuCZQTVwYxLRPDWJuFPH4hI8/vErE9wkCf4JuAmAEuW/C0u7UGkBKhNb29/5JiYTVnFcWEEwCSEwqTAlswJ8sqBKBKlIKafc8WXXE+ECTmoJnP9E99ysuiQXGgErEm9ICUiYASBL4nkEgS/WQei+J3wT0AYQOISUR5+MTX+z6FUVXtA</t>
  </si>
  <si>
    <t>20210</t>
  </si>
  <si>
    <t>B1-TCS-1301C-C4031</t>
  </si>
  <si>
    <t>-C4031</t>
  </si>
  <si>
    <t>@@UU@@C@@AA/eAArOSQpTGOZBjHOc6THOdJ0HQhCUoQlCEnScCEnAlCUHShJwAUpIFJUpSgAUpSgAABQFJApSlJUpAFISgAAIUpKlJOoAFKApSlIUACVJQlKgAAAAAAAAAAAAAAAAAAAAAAAAAAAAAAAAAAAAUAAAAAAAFAAAAAAAAAAAAAAAAAAAAAAAAAAAAAAAAAAAAAAAAAAAAAAAAAAAAAAAAAAAAAAAABCv/DydRrE+7+ROfQCeoT6Orl/an9eP+viPmLVj6n5YeeX00+UPs88Yemz0f30cuM3NqV/z+WX/y+vzSvyJS5saDPakA/8Am9gUv7gF2+LWfjFIrzCWx6ftpWOWSv5NcG9KRKUENESgIiUEtwSQzQjFD96ENUHOAXxIEkXIKIJdEmRBE2Iiq5nimFnULza6QrmJITO2dsSd1bt2qJ0BUuxrKbbbqF5NhCUZAjtITyz4ioTs/nvgZDZKn06KbW6SpBC5V0WgUZJZwE1Aj+4ahNRCyYe6JEoiDxQko1fgJqHFASEgT0SEn3uxaBMTW3tzbEigjtZkKMufgE/TAJgFdgCodIHEJe4OG8M+8JBmw67btWOy7xVdIncDVPbrJe5bsiX8OMDBIq8dAmTx7Om5xX+OysTar0xppzCYhN7VSTy11bsuoS/IJ5eAsrE7u1yRXm68s1qncwU2AlgG6Jnxfx7wnDAmHfK7RItw0beqK+GG9AmICrpOQSNHbE2wTBhyiWicdgm8XPDpEjyewSwT1iQJ/gm+CYgSu322l3dg1gJUJ1/Vo+OZMTBQK9jGCYhJCY1JglswT5JUiUiVKQXLnrdHZyCe2BKDYE8B/onsrsLokFbSCWCT+ABLgmIEgTCJ4hIEw2EHv4RO+Ce6BjA74kojySDwsOTzfOqiq9Y=</t>
  </si>
  <si>
    <t>20211</t>
  </si>
  <si>
    <t>B1-TCS-1301C-C4032</t>
  </si>
  <si>
    <t>-C4032</t>
  </si>
  <si>
    <t>@@UU@@C@@AA/eAArLSQpjGMc5jHOc5zHMc6EoQk6EASdKTgQdKUJUhKkoShB1IABSQKUlCQAUpSgAAAClJApSlKSpAFISgAAIUpKgIQhQFKApSlIUACVJQlKgAAAAAAAAAAAAAAAAAAAAAAAAAAAAAAAAAAAAUAAAAAAAFAAAAAAAAAAAAAAAAAAAAAAAAAAAAAAAAAAAAAAAAAAAAAAAAAAAAAAAAAAAAAAAABCwcW/1nQJ9/8icvgBPWJ9PXx/tR+vi/rzfJ85jWPrZoeWX1UecPt9MY+qv1f3zceQzbEsHpyef/4+z7p4MM8cmVBmokA/8AnbwqYMwF7CLUflFAryCWRz+ihY45C/m1QduUiUoIZ4lAREoJZhJDMhFsP4IQ3IOUAwCQJIpgnglzSZEETJcp0xRC3BeTonaYmEgTS5xJXayiqU4Ur0Eyz2WYEL6XSUAawRtITa813wl0TZzgWmsXHn3OemtvEqQQuXeawCe2WkBNQI/uGoTUQsmHbEiURBwQko1fiJqG2AkJAnqkJNuZbAJhOhv5tcSJyNrQh3qNjToE6cQmIVqAuDvAeETBo798ZsG4JI27bL2Su9u9Qmg4IO1iOHF2RL/TjygSwzEjd+GgTXx4KrfH+m9fv1ia/k34xU7YmQTP8FBN2qrm1LrEwyCbY0FdQmnNwRVt4paLFNnDRWCVgZhO9b/HxCbkCY+4VWCRZjz8Nmze78OGA4YHKBV1GoSPe7omyCWZcImMTx1idwp4N8SPj9olYnsEgT/BNAJaCVWe6wvZ4OkBLgmL17vyzEwmGcVy5AS0SQmRSYEsmBPmlQJQJcUgpp9ju7OsJ7oEnLom8f6J7aqy8JBU0AlYk3mASkS0EgTGJ5BIEx1kHFjE98E4gMgHiElEeXyhqYez6PoVRVewA==</t>
  </si>
  <si>
    <t>20212</t>
  </si>
  <si>
    <t>B1-TCS-1301C-C4033</t>
  </si>
  <si>
    <t>PD monitoring</t>
  </si>
  <si>
    <t>-C4033</t>
  </si>
  <si>
    <t>@@UU@@C@@AA/yAArWSQpjGMYxzmOg5zHOc5zoQhCDpQk6EoScCEKUdClKUc4FASoCgKUpAAKApIAAABSlJABSlKShQFISBIEJSpKkpQAAEqApSlIUACVKQlKgAAAAAAAAAAAAAAAAAAAAAAAAAAAAAAAAAAAAUAAAAAAAFAAAAAAAAAAAAAAAAAAAAAAAAAAAAAAAAAAAAAAAAAAAAAAAAAAAAAAAAAAAAAAAABC2ubX2HUJz/wJyAnrE7Of9Z/Vy+H+ea/4CFidfHz2UfWH3dHX4prvn/rp/HGZM0trx/Zk//w/b99GCRE/RlQZVyAf+ATb8vCJgzgV7VosjzRQK9AmKPR4qAIxyF87cg6ZSJSgnkxEoCIlBLOJvTLOhGSH8kIa4PIAX0IEiRTBPBLzSZEETBKeOOUoApF6OqcLswkhPI3hJV3KLk7jipbCem22SF5KhMgRUudCjNPUJwAWmMnZcc+D9MDcJ6gQrr6cAE9+XEAmwEf2DYJsJSWCHQJBKDkhJEbPKJsHFASEgT85CTacAEhPQ2bu/uIemamM+gTPT3dCFd8S+K1gaKl94C4Je1cCy7wkGrF6bbvDls93T1iW69IT/Fb7/f+PeEwZNsDfq3JzLXShu7mbFwXPc5Z7LiHfL0Vyn7wmMTRTsq3a+4XI7BL0gmvUaNzbLL4mnGYovZuLHNiE4cM90Eugb6Hb05P3+QTNxyEx2iWW4d3er0w3oExgZdfWaxI5PUJvgmDFvCYRPgsE4SnX8IkfL7BLon+CQJ/YnECYgS5b7bSzuQ9QCVCYPXq9v0zlVAmCkVy5ATGJITIpMCYZgTwSoEigSpSCmnsCblz5hLYEoK8MCcR/olz2WXiYSC60Algk3MAlImQEgS9iE5RIEw2EHz4hNQJ9AGQDUJKI+ZNbDm/D6kFVXtA==</t>
  </si>
  <si>
    <t>20213</t>
  </si>
  <si>
    <t>B1-TCS-1301C-C4034</t>
  </si>
  <si>
    <t>MODULE SSTG</t>
  </si>
  <si>
    <t>-C4034</t>
  </si>
  <si>
    <t>@@UU@@C@@AA/uAArYUQpjGMYxjIOc5jnMZCEnOpCUAOlCDpSgCVIQpCUqSg6kpUACkqUBIFIUBQAAAkAAKAhKlKUlSlJQBIEqSpKkpSBQFKApSlIUACVJQlKgAAAAAAAAAAAAAAAAAAAAAAAAAAAAAAAAAAAAUAAAAAAAFAAAAAAAAAAAAAAAAAAAAAAAAAAAAAAAAAAAAAAAAAAAAAAAAAAAAAAAAAAAAAAAABCx97j6D0ieH+RPeE78CeoTo8P7T/r2P673J9BlWOV++Hml4KPpDN4uf7ZrfN/fktwPw0Sx83Ly//4Pq+yiC4n5tpBltyAf+ATd6qG5GWQFWLKLI8sUCviEvjz/dQsbMhfM2QeSUiUoIZ4lAREoJbgmHNONCEbMOdCGyDxgFyECRIpgnglb6fLOzkEUBKmOCUoWsXx1zhnqxUCTicBvCStntmCgComvyTIbCUoSjOEZC9CfRPOtlYmkC4wKXbOvXTW2EqUH84UmK7M9wFFmoBNYI/uGsTWQsmHKJBKDjhlBEa/xE1jhASEgT8pCTb+RbomE87i2/dzoeiVMdOfqIaZb0kKsgmQVqApHVxAbhwCY+GYZS3xJFXbvumws4ecS/j1Bv8XbuziYsuAF8jX8U6HFommu0ac2Ku2pDiO5NG7X2p+sJeJu46tOTTXHQJdINW7fgYYsgmbPn2pSxasJYCaP0p3r8WOyQJjA6u4hRX1s/8fGJs6JCY678BMktNW/DsQFpA3gdLnO0JHXzibYJjzZhLhOxaJ1Cn4OyJHd9glonrEgT/BNQJeCWZfblNjcg9ACVCXer3+SYmEyTiuzgCXiSEwUmBMswJ88qBKBKlIKafW8PT2hPbAk5WJ2T/RPZZabAkFjQCWiTfKAlIl4JAmYTuCQJmtIPkzCcIJyAYAaxJRHd+YPhYel9ffVFVfc</t>
  </si>
  <si>
    <t>20214</t>
  </si>
  <si>
    <t>B1-TCS-1301C-C4035</t>
  </si>
  <si>
    <t>B1-TCS-1301C-XD51</t>
  </si>
  <si>
    <t>B1-FP-47001-SYS</t>
  </si>
  <si>
    <t>FIRE DETECTION SYSTEM</t>
  </si>
  <si>
    <t>-C4035</t>
  </si>
  <si>
    <t>@@UU@@C@@AA/0AArVSQpjGMcxjHQY5jmOc6EHQhCToQpSEIQhSEqApCUoOhCUqABQFKApKgAUpSlAAACgKSBIEgQlIEpQoCVJUBKkpQpIFKApSlIUACVJQlKgAAAAAAAAAAAAAAAAAAAAAAAAAAAAAAAAAAAAUAAAAAAAFAAAAAAAAAAAAAAAAAAAAAAAAAAAAAAAAAAAAAAAAAAAAAAAAAAAAAAAAAAAAAAAABCt7vJ1H29Anh/kT4RPBAnrE6vD+0/69r+vo+n7C9Y7/jiIeeWpR94Zr+nmms8/9/j4sxbnlbz5O9//e7/goguJ/JqoMtiQD/wCa+4J+WPQBbeLYURQK+MTJHo5qFjxSF87XB5ZSJSg8kmiJoCIlBLbEksyEZYdhCGqD8ADEhAkSKYJ4JeaTIgiYJT8MShaRefonCSFkhNq2NwSaumuYKAJY8GFCxKRNUIm0IRnsnruKxNtC4mXIUvDss1NTYSpBCerW3sYFGHdATSCP7hpE0kLJhuEglBHHJJRp8omkcsBISBPNISbfxLdEwn5t5br+hD0ypjRoQo3fTuIVcuMTGK1gVJxgbT8QmLs8M6TSEgycmW4vw0T5sPFX2OkTBvBw9y7OJbdPZlA480x0Toa1fqwTeq+rbqQ7LtGpHazX8dfAJmE9+rt119era6hNfJMF/va+yalwnBq6HFj1s+LY3taakTBf3KLUS0DZQ18dduf+PlEz9iQm5VGQS3JonLat+HUgK4HMBrdJyiR8G8JoBLr9kS8TjsE3Snk0iR83tEsE9gkCf4JtgmQErx+7GYduD9AEwCXevi+qYmExTiubKCZBJCZVJgTHMCfXKgSgTApBTT7Hi6+qJ7oEnKhN8/0T212GESCtoBLBJu6AlImQEgS8TtiQJfYQfPeJwAnxgZQOUSUR8kByMOrzfcIqq9Y</t>
  </si>
  <si>
    <t>20215</t>
  </si>
  <si>
    <t>B1-TCS-1301C-C4036</t>
  </si>
  <si>
    <t>-C4036</t>
  </si>
  <si>
    <t>@@UU@@C@@AA/0AArVUQpTGMc5jHOdBjGQc6EHQBB0JOlKEJSlKEqApCEoSdCkgAoCgJApKgAQoClAABQAKUpQEpUhQEoQoCkqSBKkpQAAEqApSlIUACVJQlKgAAAAAAAAAAAAAAAAAAAAAAAAAAAAAAAAAAAAUAAAAAAAFAAAAAAAAAAAAAAAAAAAAAAAAAAAAAAAAAAAAAAAAAAAAAAAAAAAAAAAAAAAAAAAABCyeLV1H1dAnL/InwieOBPYJ1cv7Uevvf18/J9Jesfe+WHnljp+wM1/T+E7PR/fm/HMZM8snP92X//tn44g1ifNmQZbUgH/gEz9gTz26AMdwthTFIr5RL49PkpWOWQvoa4PzlIlKDmk0xOAiJQS6wklmhGWHmQhwwfkAayECRIqgogl+hJkQRMJUb8ShahefooCSEWQhpsjdEnXVXMKQNad0saGJKhNgI3EKM9lFdGETSBaX68Rgd/bKFoqrcRLACFGHZtAow/rvAJqBH9w1CaiFkw2iQSgjvySUavMJqHLASEgTzyEn2rVuiYnpce1eh6pUxxaNxCqe96t1CvjuEuFbAKx4gOsfEJbw79AzkJBbqy2l+KmjNi4K+70iYOy78eC3OJktosygcWaZ0fJShn1cEuxt7uxZhQ4TrmSO9PJKrtibAm7g46tvrdeuOoTaumF27uaDHaJs5qs2ktvpybXZ2J0iVXaKciJkA0oZ7q+5n/j5RM/dkJgvEx36MeDtw4oDerkOYDZo6TUJG/6xNwEtv2xLxOLEJvFWrviR4fcJYJ7RIE/wTSCa4JXd77jFpg6AEwCW+zg5JkxNagVzZQTXEkJlUmCXTBPolSJSJgUgqq9rw6NgT3wJQYRO0f6J7q7DEJBW0glgk/EAlQmuCQJeJ8YkCX2EHzXidwE5AMoHGJKI8PgDjYdnyfWIqq/AA==</t>
  </si>
  <si>
    <t>20216</t>
  </si>
  <si>
    <t>B1-TCS-1301C-C4037</t>
  </si>
  <si>
    <t>-C4037</t>
  </si>
  <si>
    <t>@@UU@@C@@AA8YAApOUQpjGMY5jmOcxjmMc6UpQlCEoQBCEJQk6kIUhClJOkClKQpIFAUlSlKUoAAAAoCgAUpKkqUhSlIQoCAJSpSkoSAAEqApSlJSACVJQlKgAAAAAAAAAAAAAAAAAAAAAAAAAAAAAAAAAAAAUAAAAAAAFAAAAAAAAAAAAAAAAAAAAAAAAAAAAAAAAAAAAAAAAAAAAAAAAAAAAAAAAAAAAAAAABCy/H3Ok8gnJ/Qm+IehDp5P3n8vF/fe+X6C5frfxh5pTfUn28v3Sxfp5+fk8+d60ZObv9///sl4J4LTlzqlOtIU/5UNrcEt1wMlwtZ4ooRfyEvjx/fQsfhIX9WuDnlIlKCGeJQERKCXYEkMyEYQ8qENUH5gGVCEJFME8EvDJkQRMFHsxPC0i83knCSEY4Q39xCWKjFMFAFk112RCxKhNAT1TbCFPVmnrpQlsgXFWBU6euaCqFxlhNSg9mEMWPbzAT127qoalB/hNSGohZMGZCCUHbhJRq5xNSaISQkIeGRKFm3rgM0yGj9nLf40IojX20J93FtodFolqLiAqH2wNg4EMvDMMtIkHu33V4V+15kMN7cD3suhDHbeBfI6JkM+eXDpyHDioQ4D3zi4+KnsoYCbXcq62zVHShbINrW3CuxDtWdfC/sE2TdvlUJt3T2CFgGyhvZ/5+BDTCGFolduvTvQ1wJcBf5jUJGnyiayhku6glqHuY0Nkp1dtCPh9QmND0oQJ/iG0CYCFeb15izYg6FQqQu9G/80xMhbOi6M4JghITOpMIZplD55UCUIVKQU0+l39jqCeuEJzEhxH+oeqvGWIQVtAhjQm7yoUiYCEIXid1CBL8ZB8V6HAIcYGcDuoSiOP5A1MPV8H0goCvsA</t>
  </si>
  <si>
    <t>20217</t>
  </si>
  <si>
    <t>B1-TCS-1301C-XD34</t>
  </si>
  <si>
    <t>EADSV DRAIN G2</t>
  </si>
  <si>
    <t>@@UU@@C@@AA/gAArQUQpjGMY5zHSc5zHMY5zoQBCUHSpR0nUhSUnShSEKQg6lKSACVAUBKkgUoCgAABQAAUpSEoApClKUlIEpSlIEKQBQFKApSlIUACVJQlKgAAAAAAAAAAAAAAAAAAAAAAAAAAAAAAAAAAAAUAAAAAAAFAAAAAAAAAAAAAAAAAAAAAAAAAAAAAAAAAAAAAAAAAAAAAAAAAAAAAAAAAAAAAAAABCw9/u9X39AnJzfyJ3AT0idXN+0/68P9eD6TwLH2vkh8cuSj6w5bumX3ejB/fmrtMeeWHxRyf/9nh5aIwxHh/LMg1YZAP/AJ2NKGqLN0DFiFrr9EqRX8RLo5515r34EyvOzQeSUiUoIcsSgIiUEtAkhmQjDCVIRVB4wDChAkSKYJ4JeaTIgjrFQUMMUlELULHi6JwyzIUxNghDiD3BJXvPTvzThStttaHWSCjOkOhCFm25U54Emy+2BkMpVPB29quqVjfJqUGeFL3ZrxgT4KdQCbAR/cNgmwhZMOkSCUEccklGzyibEuhJCQJ55CTb2MCyYTneP4Lcejd/ND4pX40e6hq9+rtbyF+4S4VvgUjxAcAmHh0jrmskJI6LpY69qvX0iX9va1+8nx0ZxMFmK4C6RwTIZsGurf36eC/JCuvTmi2neEyCaOGjP+lW71CY5Jo29JXbhE7XFey16sksgnXzVURWCVgbqG5d/HeEnLO3MJbejalkEwZLDNLcr1Q44EuAzdJ8Ikb2sTcBMV22JiE4qxOwU7OMSPk9YlYnqEgT/BOyCWgl+z2WGDTB0AJUJj9Ov55iYTFOK5bgS0SQlykwJZMCfRKgSgSpSCmn1Pc6+YT2QJOXhOA/0T136zAJBfaASsSb5gEpEtBIEyCd0SBMlZHfyCcAJ8oFwG+JKI73CJm5fqAFVfaA=</t>
  </si>
  <si>
    <t>20218</t>
  </si>
  <si>
    <t>GENERATOR HEATERS</t>
  </si>
  <si>
    <t>@@UU@@C@@AA/oAArRSQpTFMcxzHQY5znOZCEnQhCEIQlCUJSlKEJSlKEKOpKkgAoClKABKgKUBQAAAoAAKApKkASlCgJUlKAKUBSUoSAAEqApSlIUACVJQlKgAAAAAAAAAAAAAAAAAAAAAAAAAAAAAAAAAAAAUAAAAAAAFAAAAAAAAAAAAAAAAAAAAAAAAAAAAAAAAAAAAAAAAAAAAAAAAAAAAAAAAAAAAAAAABCu8Xg6T1ieTy/yJ3AT2idPL+1Xs4v68X2P0rH3vND6JeOn3Byefol5f1xf3r25zX0Su/SLP/3PHyUgoVea9BlokA/8Am5q5BMewBZdcLIqFfxE5omv4UrJq52cHnlIlKDySYiUBESglsCc01qQjPA8qFkj8gDGhAkSK4KoJYbKqmogjEE2HsSqwREQtgscvrvoExIuhDzBuiStpZMKDbmySQxJSh6UltIUyTwCc5G6BkNUoD2qsYWYYnQEK/RZjAq1t8BNII/uGkTSQsmHeEiUMfFJJRp5hNKXwkhIE/OQk+zjXHExMnpKo4OLJt7XqQ8EreCRudhDB26V2dvtIW3iXiuICseMDvCYe/i3h7glRz3+qu+M2pVi4c+vPB0Cd67Y2e7tueCNgTIYOqB1ZGaaGi/a8N3Fr5qW4UN7DYUikb4mUTd61ets2XdIkJdqULRLr9vJLLLeyzx5BNXDt4gTFMDQh12/+PlEqL+vMTKJbqGanyQ2wJjAv6DjEjf9gl4JqY9kTQJ37RNsr4+ISPm94lonuEgT/BN0EzgmHL8Mpi3IOcBMAmT28H1TJiY6hXVvBM4khL1JgmWYJ9cqCUEwKQV1+54drWE+ECVFgnCf6J78NpiEgwtAS0Sf0AJWJnBIEzCaRIEzWkHz5hNIJ8YF4HdElEeHSJrcn2giqvUA</t>
  </si>
  <si>
    <t>20219</t>
  </si>
  <si>
    <t>MOTOR CONTROL OIL PUMP 1</t>
  </si>
  <si>
    <t>@@UU@@C@@AA/4AArdUQhjGMdBzHOc5jGOc6AJQo6EnQlCTqSgCkJUhCVIQlClKABKQASBQFKUoAEgABQAAAoCUoSpSFAShKVJSBQFJQAAEqApSlIUACVJQlKgAAAAAAAAAAAAAAAAAAAAAAAAAAAAAAAAAAAAUAAAAAAAFAAAAAAAAAAAAAAAAAAAAAAAAAAAAAAAAAAAAAAAAAAAAAAAAAAAAAAAAAAAAAAAABCyfTydXijl6BPw/kTxnACewTq5v2p9fF/X1eF+tY8T54fNPjq+8PJ5umeb9MX96bMxq605PTTy//PLRMGI8vPnQautID/wCauyhpi2QMGO0WSkV8onoihfJVKuZmC2ZJmCH8YmAiJgnaEqoHfqQm+B5kKpOcAyIQJElcFME+iWSCKA7RdMV1RELgFiv8ujRWFAkY4E5w3BJsXHXZSFY5s2VDGkVXpGlCjFRWJ6jCagLTQVg72CrKGEmoELMHnw5QKtE9kBO6CP7h3RO6QssO6JEw8UMwRHH+YnGmeEkSBPTIlHaz3AUCW/q5Nva+dDknBGHdQ00169etDDcJcK2AYBy8IHbExfJuDjEoPVnts2LI6ROPg3viSejJoEsLqrbwN+iKaTg6KqbcCGzVVfktwcOrHYhsY/opumuicusTMJt7GCjZJ6+HTp6hJ7FCdesvsU129yNFe7fRaJtz8O1iBLMQGpDHr0Vfx3hKy/RQJkvEx2mmv5occCXAXXdJxCRvesTOCZLtIl4ncsE1FfF8okd/3CWCe0SBP8E7AJmBMN3vuMW5B0AJgEt9nb+ygoEy0iujOCZhJEzqUAl1AJ9s1CVCYFIK6/a7+3sie+BKTYE4T/RPdhsMQkGFqBLBKPAAlYmYEgS8TwiQJfYQeC8TkBO8BnA4BJiO/IfGw7PL9wKqr8AA==</t>
  </si>
  <si>
    <t>20220</t>
  </si>
  <si>
    <t>MOTOR CONTROL OIL PUMP 2</t>
  </si>
  <si>
    <t>@@UU@@C@@AA/4AArcUQpTGMY5zHMcyDHOc6EJUk6EJQhCDgQkCUoSpCkpQhClKABKgIABQEqUoAEgABQAAAoCUISpSFKAhKFJSBQFIQBQFJApSlIUACVJQlKgAAAAAAAAAAAAAAAAAAAAAAAAAAAAAAAAAAAAUAAAAAAAFAAAAAAAAAAAAAAAAAAAAAAAAAAAAAAAAAAAAAAAAAAAAAAAAAAAAAAAAAAAAAAAABCx/Rxdh5uXqE+7+ROQ+IE9gnZzeuj9vF/Xk8r9Kx5noh9EuSn7Q8/o65c354v70WZTU1pY/VRL/9rk89MFpZz5kGuqQD/wCbG2h241JAV23CyKBX8RPTE15abZq5WcHRKRKUEP3xKAiJQS+ESmY96lCVcDzIUyOcAxoQJEiqCiCXpkyIImG7FNERC1CxT+HVnqCYkKc4aBJWGqU3WUhWNK5ctyFqRVkSNCE651CdJ3ALTOUg2ndpruDCTqBCvow3AUZ9wBOEEf3DhE4SFkw7YkSh8UMoIjg/ITgTLCSEgT1SEnu3ASE1P0dXHGv2tf5UOKeGKNtDBRVp06UMN4l4rYBWN2+BvCYsng2RxiUHTffiw4o6xODW3ExZhMBdjvAlI3umdtKGavJ4Ku7357Fu/Yhg/X5qNqrJRgponbpEzCbOfBPtGGe1ZdsdgktyaV7NZmxKab9aNarTlneJolr2AmGwDXQxdvPT/HjEqL88xLbxLbjFor+SHHAl4Gpf1nhEjd9YmcEuyaBMom/iE7hV4fjEj5/cJYJ7RIE/wTZBMoJhv995i2oOoBKxNT2b31TJiXUCufMCZRJCZlJgl8wT65UiUiVqQVVe172vqie+BKDAJvn+ie7DYYhIMLSCWCT4wEqEygkCZBPKJAmSwg48gnECeQDMBviSiPHxh32HW5fsBVVfgA</t>
  </si>
  <si>
    <t>20221</t>
  </si>
  <si>
    <t>MOTOR WATR.SEPARATION</t>
  </si>
  <si>
    <t>@@UU@@C@@AA/wAArYUQpjGMZBjHOY5znMc5znUk6EHUdJ0qQlSEJUlKEKOpAAKUBKgJABKgJUBQFAAoAFKApIEAAlKVKShSFJUBKlISAAEqApSlIUACVJQlKgAAAAAAAAAAAAAAAAAAAAAAAAAAAAAAAAAAAAUAAAAAAAFAAAAAAAAAAAAAAAAAAAAAAAAAAAAAAAAAAAAAAAAAAAAAAAAAAAAAAAAAAAAAAAABCt7/J1HoE8X8icIJ6hOr7/H+1Hp4v67/0vzrH3PPD+MvDR9ocvN0y8Xnvf3lsuK88r/5/Zq/+PDyzwWkvwyINOiQD/wCauuhpjDICq/hFlkigV8gnPEy8tMlcjKDmlIlKCHHEoCIlBLrCUTDOhGOHzw+NCiR5QC1CBIkVQTwS/KTIgiYN+uVNERC1CxT5PRmpCYSBPLzQ7BJr9Fd+eqGoZtBNkyYULUie5IpXeQnlNSJ0GsCwzFAPYtKMIVkqEGuFKsNeACfL2AE2gj+4bRNpCyYdgkSh+KGUERt5xNqZISQkCeaQk2/gAkJh/R3uDBu6vd/VDklZGvYh8E9O/76G5cJcK1gUji4gPhEs7fXHgEmOjLhs3O1el0iaOHT2UtyiWGbDcBdIwdE6GX5cFldFWresnQq0fJPFtM02wTEJu3qa89tenT1Ce9JLd6ox4BNmu7jp2TT9bRszyzCT/HNTmtBL9oGpC2m2WeP47olJdnmE3LhL+IjNTjhvwJiAwYek4xI7PpEygl/FpEzidy8JvFPHxCR83sEsE9YkCf4JrBLgSvF7cRe1wdACVCYfV2vBMTCYJxXLkBLhJCZFJgTFMCfRKgSgSpSCmn1vDu5hPbAk5uCdw/0T2V2F4SCtoBLBJu8AlIlwJAmMT6hIEx2EHexicgJ4AMgHbElEd1OBhzcv1gKqvuA==</t>
  </si>
  <si>
    <t>20222</t>
  </si>
  <si>
    <t>MOTOR EXHAUS.FAN 1</t>
  </si>
  <si>
    <t>@@UU@@C@@AA/uAArZUQpjGMc5zGOc5zGOc5zpQkB1IQdCDpAg6EoUhSUJOlCQAUAClAUpKVAQoCgAABQAKUpKlIUhIEoABKAKUBSVJQBIFKApSlIUACVJQlKgAAAAAAAAAAAAAAAAAAAAAAAAAAAAAAAAAAAAUAAAAAAAFAAAAAAAAAAAAAAAAAAAAAAAAAAAAAAAAAAAAAAAAAAAAAAAAAAAAAAAAAAAAAAAABCweLk7PtjqE/Dn/kT4AT1idnl/af9eP+vH9L86x5Hph88vuo+wObP1y5/zr/vaqxmjtSwfl9eT/7nk++iDAebozINy9IB/4BNzeQ0RZIC5gsFlRFAr5hOmJl5qZK5GUGKUiUoIeeJQERKCXbEsmGdCJQOUuQsjoAL6ECRLLFyCmCXTJkQRM9wimeIhbgseXqnDHTOJNKEOgNsSV7DTXVNQFwbbakL6RR6EjOaEJ5TQtInpNsCszFIO/PgMIXibepEDFBd89VgE9uLFqATYCP7hsE2ELJh1CRKHvwygiNnSJsTPCSEgT8ZCTa7EJCW+h48G/pyfohySvRn7iG5PTv7iF20S0VvAUji7oHEJV8OkcPdEnPTlsrvU1y73WJr4PVrS7mEqMOMDHI73VOhm9XHu+DbxbN2/UhPHxTb0qJpaxMgm9bT2tV3Tp7BITdoMNYmvt8lyWTfsliE29E2rZfBK74E2lC/tZf4+MSgx8EwlPDkEwWE3vxold4IcEBRA4wMU3WeESOHWJnBMNugTaE2ViaSnk8AkfJ7RKhPYJAn+CagTGCXrPdYV7sHUAlwTF6+LlmJhMM4rlyAmMSQmRSYEsmBPolQJQJcUgpp9jxaMwnugScuid8/0T23qisSC80AlQk3jASkTGCQJaJ8wkCW1EHitE4QTlAyAcQkoj5eUPCw5+b6lRVX3gA==</t>
  </si>
  <si>
    <t>20223</t>
  </si>
  <si>
    <t>MOTOR EXHAUS.FAN 2</t>
  </si>
  <si>
    <t>@@UU@@C@@AA/uAArbUQpjGMY5zGOc5zHMc50JQg51IQdCEKQhCkoSpSEIOpKgKApQEqUBSVAUoCgAABQAKSpKlIUlKQJApKAKUBSVJQBQFJApSlIUACVJQlKgAAAAAAAAAAAAAAAAAAAAAAAAAAAAAAAAAAAAUAAAAAAAFAAAAAAAAAAAAAAAAAAAAAAAAAAAAAAAAAAAAAAAAAAAAAAAAAAAAAAAAAAAAAAAABCw/L2+s+zpE+/wfyJ2gT0Cdfh88/7cv9d36X5ljvvRD5JfbR3g58/VLwfnZ/ezXcY9iWH8u99f/6u/91EGIwePOg1YpAP/AJubyGmMkgKsOQWVEUCviE6ImXnpkrmZQfhKRKUEOeJQERKCW0JbMM6ESgafChI8YBgQgSJFMFEEs+HonZyCKHgiqeIhbwseLpnC6mcSYSWmyHQJPWU2Vz44ahvTXXWIYUirypVLShP2Jp5FQnmNsCwnXYKgeGjGFBLeoALSASryX7QJ7t8BNYI/uGsTWQsmHfEiUPNDKCI19AmtM0JISBPxkJN7eICQmPyujlxcWqe9+iHbmrje4EL89PFwoXrRLRW+BSOPjA4RK6Pd3BxdkSg81tuCunBLk6hOLs/rVwpnErMWUC6RydM6mfRHHXp2eXbsvoYN34J70qZpe0JcJqyU7Gjdv7m51iQmqgyYBOxdzVSzb+SVons6Jt6wErsA20LNnL/HxCUGTgmEpyCWYjSU8ENkCYwMO11HMJHF5xMwJht2hNgTksE2ynm5RI7nqErE9IkCf4JuglwJft9dpZqg6QEqEx+jtfPMTCYpxXNlBLhJCZVJgS2YE+iVAlAlSkFNPpePTnE9cCTl4TkP9E9V+ssEgvtAJWJN8gCUiXAkCZBO4JAmSsg+PIJ74J3QMoHuCSiPhgPeYc/P9Soqr7A=</t>
  </si>
  <si>
    <t>20224</t>
  </si>
  <si>
    <t>HEATER MOT 1</t>
  </si>
  <si>
    <t>@@UU@@C@@AA/eAArTSQpjGMY5zHOc5zGOc6EHQhJ0HSdCUnUhSEAQhKkoOlAAAUlSgAAlSlKUACQAAoAAASpSkKAlCAIUpRwKABSVISAAEqApSlIUACVJQlKgAAAAAAAAAAAAAAAAAAAAAAAAAAAAAAAAAAAAUAAAAAAAFAAAAAAAAAAAAAAAAAAAAAAAAAAAAAAAAAAAAAAAAAAAAAAAAAAAAAAAAAAAAAAAABCwfNzdvoj1CdHR/InGCewTt6f2n9fi/r5/M/Qsfa7Idkvuo84ff+XZLo/S9/eavGb2aWDe+zz//VNzxBfJurIgyzSAf+ATRvod2MUgKr2IWROK9ImyJl56JK42UH4ykSlBD6IlAREoJbolkwzoRKBp2kJHUAX0IEiRTBRBLZJkQRM6iOqmiIhahY6fVOGWqcSYSX4B3hJq6L12fDDUNttaF9Io9KRVnQnzTzVCdZud4C4VbcRcB+Gmdc1U1gTk1KDPClWa7iAnx4yrvgJrBH9w1iayFkw74kShjlkko17BNaZYSQkCfnISbgsAkJ6THHLg0aP1Q5pXIM+/qQlpoq4PgQu2iWitYFI4viA3hK+TfHhEmOvLZZeu2X5dgnj4dq3Bh4E2hL5PkAySOTrnQu8N/dnycXh0XqENvj05IpplqEnE0205qtGjtEhLMBhvCasPh3MfgtlYJuS01glVysDOhqxRk/jyCUFvfmEtEv4jHRzQ1wJYBZ2GsSOD1iZQS/h3RNsTxViZynXyiR8nuErE9okCf4JpBMYJds99he0QdYCVCYvZxfTMTCYZxXLkBMYkhMikwJZMCfVKgSgSpSCmn2vFn2hPfAk5cE5D/RPddrLwkF1oBKxJvKAlImMEgS0TzCQJbWQeW0TxgnxgZAOMSUR8vkDmYdvn+tVFV7g=</t>
  </si>
  <si>
    <t>20225</t>
  </si>
  <si>
    <t>HEATER MOT 2</t>
  </si>
  <si>
    <t>@@UU@@C@@AA/eAArOUQhjGMc5zHQc5zGOdJzpSlCDpOlKEqOhKVKUhKEIQpAAAAlQAAQBSVKUACQAAoAAAUpKUpApCFJApRwJABSVISAAEqApSlIUACVJQlKgAAAAAAAAAAAAAAAAAAAAAAAAAAAAAAAAAAAAUAAAAAAAFAAAAAAAAAAAAAAAAAAAAAAAAAAAAAAAAAAAAAAAAAAAAAAAAAAAAAAAAAAAAAAAABCxfTydR+HrE5ub+RPmBPaJ1c/7U+zh/rxeN+pY8jsh2T5avuDz/n0zzfph/vr2ZTJonFt+T7//7fl81UGMw+jOg3qJAf+ATVuobkWyBe2rRZKRXnE2RQvnqlXMzB+UyTMEPNEwERME7YltA0oRMDXzoSegA2kIEiSuCqCdkskEUO9FVMRC1ix+PrpDNXSJQJOkNQlGA014bKscN8bbowoYkiqj1JO4hT16MFYnQagKDOVA968aK5XIEE1AhXlv4wKbjdATjBH9w4xOMhZYe4JEwxxSkxx7BONMsJIkCemRKNeNe1EUCepu73Fk1dr9UOScF6e58aFdFNVG9rQv3CXCtgFY5OACwSzfnUPfEpOjLvV24Zt2p6RPn7+faxa3OJBhKcoGWTf6KUM52Mu3n2zwRZfQ4d+9dFdc90SkTVkr0XtOLqEhMmkyYRO7j4NGbdum0TROqwEvX7AOyh2DN/HhEpLdVAlomHGXVckNkBrgbQLek4hI1+wTrAmLJtiaBOCwTSV8XCJH0e8SwT3CQJ/gnbBMoJgt+Fph1QdACXhMnt+X66CgTHSK9bMCZRJEzKUAltAJ9k1CVCXlIK6/c/JuZxPhAlJfE8B/onvwWGESDA1AlglHKAlYmUEgS4TxiQJdYQctwnICcoGYDfEmI8PiDkYdHm+1VFV+IA==</t>
  </si>
  <si>
    <t>20226</t>
  </si>
  <si>
    <t>MOTOR MOP 1</t>
  </si>
  <si>
    <t>@@UU@@C@@AA/eAArMUQhjGMcxjHOc5zHOdKEoShCEIOpCEoUlKVAQlSkIOlSkqUACgJUpSlAApSgAAACgAUBKQIUhKQJQpKUpUBSlKQgAFJApSlIUACVJQlKgAAAAAAAAAAAAAAAAAAAAAAAAAAAAAAAAAAAAUAAAAAAAFAAAAAAAAAAAAAAAAAAAAAAAAAAAAAAAAAAAAAAAAAAAAAAAAAAAAAAAAAAAAAAAABCx/P8HT4I5hOTk/kTgBPSJ0+L0U/tw/19H2P0rHffLD5J8FX3Bx+Tonw/lh/vXuzm3rzj/Gzv//gnjpgg8fLoQa9eQH/gE3N1DZjLIGDFlFkpFfGJ5ooXjqlXOzBlmSZgh5ImAiJgnrCX0DShEwNceEiF5QDEhAkUFcFUE+aWSCKHfIqpiIWsWPFzUhorpEoE5Qo3BKLarraXHFg333IYkir8OFOzRtoVdaiwT9T2wMb1SoHtYarwtCagQla8dmQCrN1wE1Aj+4ahNRCyw7wkTDxQzBEavKJqTPCSJAnnkSjsY8gFAn5t+PSbe1+iGmbI07qHPTXv9dCzMJmFbQKxy++BwCXdvJpHsiUnN1Ml+K7FB0CdyexGGwTAbKU4rwJvoODmqQ0d2jnsz8XvbmG5DH8ZmpmqZ3xKRNu+vW2Ny2cnSJrSm7t4C/GJv4OKNG9mm8TZnXtBLLQNpC7e0fx8glRTlzzSJeJhyOxX8UOGBMoGPoNQke56BNAJiybAmsJw3CbRXq4hI73rEuE9QkCf4JpBM4Jbf7LzDpg5wEwCZfT7v1UFAmSkV6mgEziSJoUoBL6AT65qEqEwKQV1+p7W1rCeyBKSwTtn+ieu24wiQWtQJcJR8wCViZwSBMwndEgTNcQfLmE7gJ3gNAHAJMR8PCGph6v3/aqiq+0A=</t>
  </si>
  <si>
    <t>20227</t>
  </si>
  <si>
    <t>MOTOR MOP 2</t>
  </si>
  <si>
    <t>@@UU@@C@@AA/eAArNSQpTGMYxzGOc5zHOc6EIShJ0IOlCEKUlSlIQlKFASdKlAUBSUgABSVAUoClAABQAAUBSUoAlKUgSpCkASBSlIQAAEqApSlIUACVJQlKgAAAAAAAAAAAAAAAAAAAAAAAAAAAAAAAAAAAAUAAAAAAAFAAAAAAAAAAAAAAAAAAAAAAAAAAAAAAAAAAAAAAAAAAAAAAAAAAAAAAAAAAAAAAAABCxfR3uo8XQJ5PJ/InECesTq837Uer4/68P2P0rH4P5Q8svFT94cnL0y8v53f3tW5jJsyxenx+P/97koDEXejQg1YpAP/AJu7yHYi+QFeG8WRQK+cTmia8lMlc7KDllIlKCHyxKAiJQS2xL5jQhEoGqDzIegAwoQJEyqCmCXNJkQRN9+KaIiFqFjz9FAZ6qBJl0AfiG2JK0putspbIsG++lDCkU7vGktKFG1OsTnNQGE2CkH4J205AwEqhA/SCdkYrMYFOWleABNYI/uGsTWQsmHfEiUPdhlBEa+YTWmeEkJAnpkJPtZAJCfq5cO5pz7SHenZ2SWreQiirg30LLxLxWsCocncA4RLeLUPaEmc+jLfdgujpE7vBdmErNlMV4E75nDz4cdaGfJgwcPy6OLcx3YcInRZPNVOuic98SkTTmr2bMW5bLsdQmaSastZlxib9eiNHZzSyideWXACWYANpC3Vn/j5xKTJmmJeJdjNun5IbYEyAYuk4xI971CZwTDj2xNgTt2iaSrj7gkd/2iWiewSBP8E1AmYEwX+68u3YOgBKxMnr+L6pkxMdArozgmYSQmdSYJfME+uVIlIlakFVXsfh07AnugSgsE7Z/ontwWlwkGBpBLRJ+ABKhMwJAmUT7RIEy2kHgyiawTvgZwOISUR83hDWw7PJ9yqKr1g==</t>
  </si>
  <si>
    <t>20228</t>
  </si>
  <si>
    <t>MOTOR JACK.OIL PUMP 1</t>
  </si>
  <si>
    <t>@@UU@@C@@AA/yAArYSQpTGMY5jmQcyDmMdB1IQhCToQgCUJQpKFKQgAFIQg6gJUkClKUpQFKUoAFAABQAAAoCUqSgCVKQlCQKQlQFJQAAEqApSlIUACVJQlKgAAAAAAAAAAAAAAAAAAAAAAAAAAAAAAAAAAAAUAAAAAAAFAAAAAAAAAAAAAAAAAAAAAAAAAAAAAAAAAAAAAAAAAAAAAAAAAAAAAAAAAAAAAAAABCyfRp7PDHUJzc38ieLiBPUJ2eT9qPTx/19P2v1LHhfND0S8VP3h4+jrl5P0t/vYx4G3ryydMYv/q8XjpgpOfy5kGvXkA/8Am33ENqNWQFeTILLzxSK+UTpia81XOTV1mcF8pEpQQ/jEoCIlBLaEwmNCESgaoPyQ6ADIhAkTKoKYJdMmRBFoUMPukqqYiFrFjn6qAz1UCTE8wbokrKLbKG6MWIb75oaiRTyJGhCexOoT0G6BaZyl4IQx03BZXE89QIYpU5AKMs94BNII/uGkTSQsmHuCRKHkhlBEcv5icqYQkhIE88hJ7/DlAmJwP65rjb0d9D4ZYo3d5DRvFFNe/3ULMeAmArqAVjlwA4RK7eLcHvCTPRrZbbLYv6xOXvW5hMRdvhdF4FV9NJw9V1aGt7/g2a+/fTqW2Ibmt8VGaVU5d0TATbyVacmrZo0dgkpJve5uVma5Tfp2uOJa+9mlgJ25UlgJisA3EKMezm/j4xKjVwmJqZRMlxtVbENsCXAXX9ZyCRv+kTOCZMuyJeJ8Fomgq5OMSPl9gmMT1iQJ/gmAJgCWZfblLduDqASsTV9XvfXMmJdQK62YEwEkJmUmCZZgn2SpEpErUgqq9bwdvOJ7YEoMQnEf6J7LMZaJBY0gmMSfzgJUJgCQJeJpEgS/GQfNeJygnyAZgOESUR4OQTP+H3IKqva</t>
  </si>
  <si>
    <t>20229</t>
  </si>
  <si>
    <t>MOTOR JACK.OIL PUMP 2</t>
  </si>
  <si>
    <t>@@UU@@C@@AA/yAAraSQpTGMc5jHMc5znMdCEgQdSEIQhCjqQpCFAQgClIQc6AKUoClKUBKlKApQFAAACgAAoCUpQkCFASpCVKQlQFJQlQFKApSlIUACVJQlKgAAAAAAAAAAAAAAAAAAAAAAAAAAAAAAAAAAAAUAAAAAAAFAAAAAAAAAAAAAAAAAAAAAAAAAAAAAAAAAAAAAAAAAAAAAAAAAAAAAAAAAAAAAAAABCw97V2nf6xPF4v5E8HGCegTt6P2o/Xk/r5/rfoWO++SHpl4KftDn6eyXR+WD+9iy4x92WHq3PD/8vDOUFpZ9+ZBptkA/8Am1vIZ4xyAvW4xZeWKRXxidUTXnqkrmZQfhKRKUEPREoCIlBLOJlmNCESgaoPuQ6QC1CBImVQUwS6pMiCJu/0yiqmIhbwseProDXvUCTE8gbIkq1sKcFlLiiuscuWaGFIp5EjaQz0Z6J618TzG6BhKCp4YQwU4wsJZqQQv35yxAUZdACagR/cNQmohZMNwkSh5YZQRGn8RNKXQkhIE8shJ7+ICQnA/nlw7Wzx++hzTrjd0IX50Vb+hC/kEyCtgFQ47QPaOITBt8cDwCTPNlyYL+CNHYJp1uC3WErMeLfS4CrYppOLrx3kO7g8/J+l73vdw22Ia/wfDRbKqcuAS4Teuq5s+ivd3e0SUk3/ZqLsKnDtao7vBdLKJty3KwS/WBvIWaM38fGJSY7piYLYyCYcRM9i9sQ2wFEDAGLsOYSOH2xNYEtx5xMgnLYJtFWrSJHyeoSwT0iQJ/gm4CXAleT15DBtwecBLwmP0e59MyYmKgV1swJcJITMpMEyTBPqlSJSJeUgqq9Lw7OuJ64EoL4nGf6J6q7DAJBW0glgk/mASoS4EgTKJpEgTLYQd7KJpBPlAzAcQkoj4pBysOvz/Ygqq9w=</t>
  </si>
  <si>
    <t>20230</t>
  </si>
  <si>
    <t>MOTOR OF VAC.PUMPS 1</t>
  </si>
  <si>
    <t>@@UU@@C@@AA/yAArcUQpTmMY5zHMc5zGOc6DoSlCEIQhCUJQlR0qSpCEJAg4FAUBKQIABSlAUoClAABQFAUBKkpSpKkpUlSUpUpSlIQoAFKApSlIUACVJQlKgAAAAAAAAAAAAAAAAAAAAAAAAAAAAAAAAAAAAUAAAAAAAFAAAAAAAAAAAAAAAAAAAAAAAAAAAAAAAAAAAAAAAAAAAAAAAAAAAAAAAAAAAAAAAABCxfBq6fDHOJL+RPF7gJ6RPo6fF+1H68f9fD8r8Sx3nzQ/dL6qPpDweXoll/HD/eivKbOvLF9+WX/097v0QWHj8mdBqpkA/8Am3vIbEZJAVWYxZVxQK+MTzRNe/T4Zq5mcFspEpQQ3olAREoJdQSQzQi6HXhqg+tDyAGJCBImVQUQS8/nmzIIvPARTXFELfFj7Oe8Giq8JMT7bId0SeHylNe5QlQ4MFS4s+ehDGkX/yS/LqoXtidQnMYgMJoKHTCF60L5KYIUZKtGQCiXNwAJqBH9w1CaiFkw9cSJQ8kMoIjV6BNSZoSQkCfhISem60CYn5tuXHs7HMh70r8bcb6Gm9T2OuhfuEuFawKRydsDhEr4s449J2RKDnz3WV2YZdAnFpx6MWcSsx3AcCWTOH9NqlDRtbeDHtUcW5ZgQ7Wv797LKmct8TOJvZqZ9TrX9zc6RITdovRbqwCa+zx4Ja3BdItE15b9YJgrA3UK97N/HdEoLvbmJZdZFwkshsVZobIEuAyR0HbEjT2BNYEstyCWicOETaKePiEju+sSsT1CQJ/gm4CZQTBb7LTDtwc4CVCZPT2fjmTEx3hXPmBMokhMykwS2YJ8kqBKBKlIKafU6dnWE9kCXi+J7p/onrwVmESDA0AlYk+UBKRMoJAlwnzCQJdWQctwnICcoGYDtCSiO53A5GHR4PnQVVfaA=</t>
  </si>
  <si>
    <t>20231</t>
  </si>
  <si>
    <t>MOTOR OF VAC.PUMPS 2</t>
  </si>
  <si>
    <t>@@UU@@C@@AA/yAArcSQpjGMY5jHOc5zHOY6DoSk6EIQlIDoSpR0KUlCEJSdIFKUACAJABSlAUoClAABQEgUBKkpUpCgIUlSFAQBSQJOoAFKApSlIUACVJQlKgAAAAAAAAAAAAAAAAAAAAAAAAAAAAAAAAAAAAUAAAAAAAFAAAAAAAAAAAAAAAAAAAAAAAAAAAAAAAAAAAAAAAAAAAAAAAAAAAAAAAAAAAAAAAABCw/H4es+3YJH8ic3vAnqE8fXzftR+vJ/XyfQ/KseR6Ifxl9lH1h5vP1Sy/nf/vPZlMeeWHp8e9/8eTyzwYS/z5kGrDIB/4BN7uIaItkBVhtFlZFAr94nREy+WmStzKDzykSlBDdEoCIlBLsiSGZCMkO3DVB9yHOAYUIEiYqgogl0SZEETPBKVFcUQtQsc2ycNqqcSYTnDQJK+T3t2dKRq/AuumQwJilV6EipeyhP2p+msT0ksIFhnKXVRJCiVoVk06DPClOC9nxgUS4AE1gj+4axNZCyYdIkSh8EMoIjX+QmtLoSQkCdMhJvdxASE9DsyYd3czelD4Jq4340oUTx3dKFVolorWBSOPvgcQlnHiHDqEnNmWLeEwWYL8uoTj1YLhLxtYsgHAl+Y736UIZtrVln1ZbeLdwUofFPBNGWKJpaRMwm9kpmz797c3esSE3pqIjH4axODRyVyu05JFomiW3YCV2AdtCzt3fxyiUGTuzCYL9okYjRTdDfgS0DF1HfEj3OETMCYMe2JaJxWCbpTycYkcvsEsE9YkCf4JvgmUErt9tpf3oNgCVCY/Vw/NMTCYpxXNcCZRJCXKTAlswJ88qBKBKlIKafW6tzaE9sCTl4TvH+ieyuwviQVtAJYJN4gEpEygkCZBPpEgTJYQeLIJrBPhAuA98SURyp4GHa831IKqvYA=</t>
  </si>
  <si>
    <t>20232</t>
  </si>
  <si>
    <t>@@UU@@C@@AA/cAArJSQpjGMY5jGOdBzGOc50HQlCEJShSkoQk6kKQBCEIUpJ0gUACQASBSgJUoClKABQFAUpSkJUpKVKSpSkASlKkqQpQFKApSlIUACVJQlKgAAAAAAAAAAAAAAAAAAAAAAAAAAAAAAAAAAAAUAAAAAAAFAAAAAAAAAAAAAAAAAAAAAAAAAAAAAAAAAAAAAAAAAAAAAAAAAAAAAAAAAAAAAAAABCxe77fSeHnE8HL/InACecTp8H7T/rx/17x8JcsfQ/HD93N9NPzB38vR9c3lw/347Mp8uxLF5Pnzf/Vy69EYojl8WdBqrkA/8AnX9dDdi7bA1rxbGcV+wTmj6p1iiSuZlB98pEpQQ+GJQERKCW0JIZkIvgdeqRJDxAGFCBImKYKIJc0mRBEweSKNMUQtQsfbz5qAmEgTZdwSWCq2mU4UrffhQtS6VPmSPwLeshRsUULFYm4BWZyd9iEJ8bgJTAhi81Vlc4FGL8d4BNQI/uGoTUQsmHsCRKGO1JJRq8YmpM0JISBPLISbTjAkJ+TyZL+DH1tvSh25bFuCbc3UN+ejBp3kLMomUVsApHkA4RK6+K/DcPs9qBKjs0yjBbZsR0CdXf/S3MJgNjDkA0pNdloPzrqQz8GDLt6M/DNbWhVTipzyqql2BMQm1x06KtnH0iQl13XLRN3jp0ZPWuljE0ZqrASuwDZQ0ZP47gk9+9MJoyT62QTFh6tfbhxQJpyAW9B7QkdmgTMCYb84mgTisE2ynk4xI7npEsE9AkCf4JuAmQEru9VxbuQc4CVCY/Pv+/MTCa04rmygmQSQmVSYEumBPglQJQJUpBTT6Hf2s4nqgScwCcJ/onprsLRIK2gEsEm7oCUiZASBLxPiEgS+wg7t4nCCd4DKBwiSiPc7wcTDr9/5BUVXqA=</t>
  </si>
  <si>
    <t>20233</t>
  </si>
  <si>
    <t>@@UU@@C@@AA/cAArIUQpjGMc5jHOc5zGOZBznSpCDoQBCEHAhKlJSBCUISc6gJUACVAUpSgKUoCgKABQAAUpCkpUpKUgSpSkJUlIEpQBQFKApSlIUACVJQlKgAAAAAAAAAAAAAAAAAAAAAAAAAAAAAAAAAAAAUAAAAAAAFAAAAAAAAAAAAAAAAAAAAAAAAAAAAAAAAAAAAAAAAAAAAAAAAAAAAAAAAAAAAAAAABCxfHr6jw9Ang738idkE9InV4P2n/Xk/r5D6CxY5n6Yfw5/tp+sO/d0/fN5sP9/nXcWaJYvLzfZ//N3tFEY4iPHmQacUgH/gE3uBDVFmkDFaLWziviE54+6dYokrtMoPxlIlKCHNEoCIlBLbEkMyEWwNMHhQ8YBhQgSJTFMFEEueTIgiZKOKJ4W8LHi6LqAmEgTcd4SV+95qZThSuC23EhhSyV7zpGlC/Pon/IqE3gKiZcxQ+5CFGRvkpgQ89N6/PjAjDLUAmwEf3DYJsIWTDwCRKGNcklGzyCbEuhJCQJ5ZCTcWQCQnoeSzFube+h70s9Ut3gQpnjVwIX7BLBW+BSPIB2RKquPJjHr64EpOGiUei/grzxP0iaJdeMFwl8mz4bQNSct050U3YL6H6Z5/fy9var7W9iwIW0101SvXpcImMTd5aete06eoSE3bN8wCauWnby8Nksgnt7V6sEqrA3kNOX+O6JPbxTCaMuvJcJjxbdXchxwJlA4cHSaxI92cTMCYbc4nWE5KxN0p7fKJHwesSsT1CQJ/gm+CZQSqz2WGDfg6AEvCZPT2PmmJhMc4rtXAmUSQlykwJZMCfPKgSgS8pBTT6nsbmYT2QJOXxO0f6J66qzAJBU0AlYk3xAJSJlBIEtE7gkCW1kHw2icYJ8oFwHGJKI7sBxsObv/UKiq+0A=</t>
  </si>
  <si>
    <t>20234</t>
  </si>
  <si>
    <t>@@UU@@C@@AA/cAArHUQpjGMY5jHOc5zmOc5znAhB0oSk6UIQBAEoSA6EKUcCQKApQEJABSgKUoCgJABQAAUBCQIUpCVAQpIEASlQEKOAClKApSlIUACVJQlKgAAAAAAAAAAAAAAAAAAAAAAAAAAAAAAAAAAAAUAAAAAAAFAAAAAAAAAAAAAAAAAAAAAAAAAAAAAAAAAAAAAAAAAAAAAAAAAAAAAAAAAAAAAAAABCv/Ns7j0bROn+ROME9gn3d3T+1H68v9fOfWYljnfND+PX56ftDot7fvm/K9/fqsyGLRK/6/Pz//zzZ4i/ETdWVBlekA/8Am9qQ34w6QL2IWxnFfwE646J1iiSuRlB6ZSJSgh6YlAREoJbokhmQi2BpgzodQBeQgSJimCiCXXJkQRMmCjhiiFqFj0bclATCQJ1PfElcqtplOFKz23kLExSp7EjDpQnxT3BKN4C4enLEX6ninWSFOFsJTAh2XKa8IFF3fATYCP7hsE2ELJh1CRKGPikko2dYmxMkJISBPVISbhwASE7Hktvx3tP5oeSWeuXf8KGqerg30K7RLRWsCkeUDxiV167cI8WyBKTgolVKyvPHaJo4rMYlRnu4gOA2w45zbPQhllh48l03NNl+5Yh8lzRPFzNKueubUJkE066tFV3c7hIT9O9b4C8Jv+TRc05vDjlaJp0VXQSu6so3UN3L/HMJPj4ZhNzHcwYxL17TX8cOCBLQLM3afCJHFMJlBL1uYTQJrsE3inl5BI5vcJYJ7RIE/wTwAmMErxe/EXdUG0BKhMPs4/pmJhME4rlyAmMSQmRSYExTAn1SoEoEqUgpp9r4tOYT3wJOXBOQ/0T3V2F0SCtoBLBJvKAlImMEgS0TzCQJbYQeW0TWCfQBkA1iSiPl5g5GHP0fYKiq/AA=</t>
  </si>
  <si>
    <t>20235</t>
  </si>
  <si>
    <t>@@UU@@C@@AA/cAArHSQpTGMcxzHQhBzGOZBzoQlCDpQhCEIUhAAJQlCEKUcCgJUoAEpABSQKUoCgJABQAKUBSFIUpClKSpQEASpQEJQpQFKApSlIUACVJQlKgAAAAAAAAAAAAAAAAAAAAAAAAAAAAAAAAAAAAUAAAAAAAFAAAAAAAAAAAAAAAAAAAAAAAAAAAAAAAAAAAAAAAAAAAAAAAAAAAAAAAAAAAAAAAABC0/g0dp9nWJ0fyJ3wT0ifV29H7U/ry/15D5C1Y+h8sP39PNV84c93Z9c/y0v789l582vLT/H6eb/+bn1qY1Ijn82ZBwbEgH/gE3N9Dgi7aA1MgtjQK/aJ0x0ULFMlcrKD8JSJSgh14lAREoJZxJDNCLoGqC9DzAGkhAkTKoKYJdMmRBE0o4YohahY+7rvpCYkCd52xJV4KYmFK2luJCxMcqupIy7KFEp21iR3gKy80qnh2ySFUlxthOgEOqurDjApxbwCaAR/cNAmghZMO4JEoY9ySSjR0iaEvhJCQJ55CT9rUAkJ1PJdp59n0Ie7LNhlg2t1Ddpr35oYbRLRWsCoeUDiEw4eO3GPDogSo3qZYLJ4csdgmbgsyCVmbFaBvJdM9FCF9Hf4tO/3qM9mFD9PBr48GWdcVxuiaomfHVj/Ou3Y7RISjPk2zSE3qb8Gad+5dK0TXpy14gSzEso1tlDX1f48QlF+/MTu6ua7KJqeHHns8MOOBNUDFg7D2xI4JiZgTSu1hNgTjsE2irl5BI8XrEsE9QkCf4JvAmQEw2+y0xbkHWAmATH6eL4pkxNSgV1bwTIJIS9SYJbME+OVIlImBSCqr1Pg2consgSgrE5T/RPXhsMQkGFpBLBJ+MBKhMgJAlwnlEgS6wg8dwnGCfCBeBxiSiPf8gcjDm5/lFRVe4A==</t>
  </si>
  <si>
    <t>20236</t>
  </si>
  <si>
    <t>@@UU@@C@@AA/cAArIUQpjGMY5jHOdJzGQZCDnQhCEoOBKEIAhAEpQBKDpQg6VKAACkgSBSgKApSgJAACgAUpKQJSpCUgSpSkJUlQFIQgClKApSlIUACVJQlKgAAAAAAAAAAAAAAAAAAAAAAAAAAAAAAAAAAAAUAAAAAAAFAAAAAAAAAAAAAAAAAAAAAAAAAAAAAAAAAAAAAAAAAAAAAAAAAAAAAAAAAAAAAAAABCx/JydZ5+gTl/kTuAnsE83Xy/tR+uj+vlPpLVjxvih+7m8lP1h5bur7Zvyxf3+Nl59mvLH68Hk//xy1p4iIr9N6DTmkA/8Am32kN2Mm0BjtFsZxX0Cc0eWdYokreyg++UiUoIeWJQERKCWyJIZkIugaYPOh6QDEhAkTFMFEEuaTIgiZJ9+J4WkWPR0X0BMJAmw5xJYKqImChbbcKFiRkp/NI2kJ8s3PXNWJdnAsJapgxwcEIU5Gv8CJpwQmXnwSsuAow7wCaQR/cNImkhZMO4JEoY5JJKNPqE0pfCSEgT1yEm3+wBITndF2PPtdCHwyy1y7W6h0z1b+6hXiuEuFbAKh4wO6JZZoutHt9+BKTeolVZXPll1CZuCy8TAZsNoG8l0x0zoX5q9fh7nJ3c+GxDhx7NOWVV2CbdE1RM/FVr01bfZ6xITPdmMQm9rU337l0rRNnWqsBK7AJbaH6Zr/48AlGpwTCVbF8sl4mK6fPGTYw/FDbAmqBiz9RxiRwTCZgTJfribAnFYJnKe9oEjwe4SwT2iQJ/gmyCagJXb77TDuQdICVCZPZw/PMTCdicV1bwTUEkJepMCWzAn0SoEoEqUgpp9rw7WsJ74EnMAmg/0T3V2GESCtoBLBJvCAlImoCQJcJ4hIEusIPDcJxAnzAXgaBJRHx8YcTDl831CoqvwAA==</t>
  </si>
  <si>
    <t>20237</t>
  </si>
  <si>
    <t>@@UU@@C@@AA/cAArLSQpTGMY5jHOc5zmMZB0IQBR0ISlCkISpCQIAhCEpAk6lAABKgJABSgJUoClKABQFAUBSlIUpCVKSpIEpSlQEqQAClKApSlIUACVJQlKgAAAAAAAAAAAAAAAAAAAAAAAAAAAAAAAAAAAAUAAAAAAAFAAAAAAAAAAAAAAAAAAAAAAAAAAAAAAAAAAAAAAAAAAAAAAAAAAAAAAAAAAAAAAAABCy/B3eo8PQJz/yJxAnpE+3q5/2p/Xt/18J8hoWPqfmh/HyfXV9Ic13T90/yyf35rcD6NuWXz3/Z/9fNQ5IiXiwQadqQD/wCbu8hvxn1AW6BbWgV+8TyRzULFMlcGUHjlIlKCHniUBESgl7QkhmhF0DVB4UPEAZEIEiZVBTBLzeWbMgigMcVcMUwuIWPw6NikJiQZoA8eWDeEnbZXEwpWrJdlQyJF1foSNxCjanWJf1wMRpqirLB2q5FcLnaycwQ9G/ZBbnApsoXgATWCP7hrE1kLJh9sSJQx3ZJKNflE1phCSEgTzyEn7mcCQm68t+Xc1fmh7stqzon2N9CKK+zwIWXCXCtYFQ9wDjEss5dGce1rwkJWcFUsWO2jZl0ibXDbgJiNnHcB2UvmdFCGxx4aZ17nHu22IbNG3GmVVUuwJgJq5KtrYxatXUJCZsmfrmUS7krww7F8rhNOmu0EstWUakMMP47wlF2/MTbvzXiZM2xi1w5YDP+khvAx+9R0ncEjhoE2QTNfnE2xOTGJulXb5RI9/1iWieoSBP8E3gS8Es0ezQY96DoASsTP6eL4pkxM1ArsYAl4khMFJgmiYJ8cqRKRK1IKqvU8WrSJ7IEoMQnKf6J67LTGJBY0glok++AlQl4JAlwnyiQJdaQd+4TkBPABgByiSiO94A42HZ5vnFRVes</t>
  </si>
  <si>
    <t>20238</t>
  </si>
  <si>
    <t>@@UU@@C@@AA/cAArNUQpjGMY5jHOc6DHOY5znQBKEJOlCkHQBB0KUhKEKUlJ0gAkCQAAlSgKUAClKAoAFAUBSUoApCVKSpIEASpAEpSoAFKApSlIUACVJQlKgAAAAAAAAAAAAAAAAAAAAAAAAAAAAAAAAAAAAUAAAAAAAFAAAAAAAAAAAAAAAAAAAAAAAAAAAAAAAAAAAAAAAAAAAAAAAAAAAAAAAAAAAAAAAABCw/J3Os8nqE8XP/InwgnrE6+f9p/15f6+U+gtWPufqh/Lo8VP2hzZer75unB/fnsuPs25Yfzi9/9Pjy0RREc3luQatEgH/gE7O8hvxtbgGLELYziv4CdEc06xRaTK3M0HmlIlKCHniUBESgl2BJDMhGSBpgweRDygGJCBInKoKYJdEmRBE2AIYeiVPDFMLeFj8fVmoCYSBPM7wkr1VETBQt119CxIyU+hOmWlCjNNPeEzy3gKzQZ6niplTK1spiehFPRe37LQKL3AAmwEf3DYJsIWTDqEiUMd2SSjZ5xNiXQkhIE6ZCTa8QEhM7y48O7uelDvSz1y076G/PVwakK8YmMVrApHiA4xK6+S3aHX3YEpNVEqrK58uebqEr0cMrhKz9NvDkA4EumOSdDNRr14ePdjTZWhd3+xTNKmmW+JlE08lOirs7vWJCaNNvvmATVtcl7cu1ZJYxNzNVfBK74GlC27+PAJPk4ZhNvJiyCYbirZDggMUDjAr73UdwSNcwmUEwW5hNAnLYJulPx/EJHg9olgnsEgT/BO0CZASu33Wl/tQekBKhNr18XzTEwmKcVy3AmQSQlykwJbMCfPKgSgSpSCmn2PFuZhPdAk5eE7Z/ontrsL4kFbQCWCTeEBKRMgJAmMT6RIEx2EHhxicYJsAuA7Ykojv/AJm8f1ioqvvAA==</t>
  </si>
  <si>
    <t>20239</t>
  </si>
  <si>
    <t>EDF DICHARGE MOP 1</t>
  </si>
  <si>
    <t>@@UU@@C@@AA/yAArbUQhjGMc5zGOc6DmMc50JQpCDgQpKVJQpAEIAhCEqUk6VAUoCQJABQFJUAAEqSpQFAUBSEgAlSVKQoCkJApKlIQAAFKApSlIUACVJQlKgAAAAAAAAAAAAAAAAAAAAAAAAAAAAAAAAAAAAUAAAAAAAFAAAAAAAAAAAAAAAAAAAAAAAAAAAAAAAAAAAAAAAAAAAAAAAAAAAAAAAAAAAAAAAABCyfJ3fs6zx9Inl+n+ROIE9InX9v7U/r7/9fKeIuWOV8cPN8/LX9YX83V2KPRj/vnszn1bU5PPTf/88tExbET996DOzID/wCavcQ9uMsgYLcostIr5hPxjyUrFUq3MwfhMkzBD5YmAiJgnaE/O6kakImBwQeZDmAMiECRQVwVQTzyyQRQ73YmKa4pmYXALH3dNIacNIlAm9Rlk3RKbVtsw45qDAt99qGRIur5EjUhTtUdOETdAwmyVO/TlcJNIgeiFP0uw89mYCurBvAJrBH9w1iayFlh3hImGO7KTGvzia00QkiQJ+UiUcGwBImUM2/k1bfQh0zs4sVG77qHZ4qq8W/20LbxLxW0CscO+BYJZZx3a+C8YErOjerow47KccT1Cd44NrHXoExFtwHvF9BLyXVIaI4cd/x6tym3AhftX6prrntCVCas1eHbwxk2esTTKZ790uyidrRk45sz6bezooziUzu4wSzGBuIY9P8d8S7bkS7JmEx0XV/DDZAmwBV1HcEjt94TOCW5dsTSJx2Caivucgkd/1iWCeoSBP8E3QS8ExZvZmLdUHQAmATY9PD4aCgTLSK6M4JeJImdSgEzUAnzTUJUJgUgrr9TwbmkT2QJSYROE/0T14rC0SDE1AlglHgASsS8EgS4TxCQJdYQeC4TWCeEDOBxCTEfFIfAw6fJ9CCqr7QA==</t>
  </si>
  <si>
    <t>20240</t>
  </si>
  <si>
    <t>EDF DICHARGE MOP 2</t>
  </si>
  <si>
    <t>@@UU@@C@@AA/yAAraUQpjGMYxjHMhBzGOY6UIShB0oSk6lIQlKUqAk6EqUdCVKUBSkqABQEqUAAFKSpQAASBSFKAlSQJSoCEqUBQEIQAAFKApSlIUACVJQlKgAAAAAAAAAAAAAAAAAAAAAAAAAAAAAAAAAAAAUAAAAAAAFAAAAAAAAAAAAAAAAAAAAAAAAAAAAAAAAAAAAAAAAAAAAAAAAAAAAAAAAAAAAAAAABC2Pm19Jx+LnE8n2fyJ3QT0idP4ftP+vvf14T6TBY43xQ+f6uOnxhm8/Rtzfpd/fotxL9uWx+U8v/8fH1KIuiPt82dBqpkA/8Am9pQ3YyyAqu2RZM4r5ROSPvnWKPJMrizQfjKRKUEOESgIiUEtwTCYZ0IlA0wVIeYAuQgSJimCiCXJJkQRME82/KULSLHl55wxq5aBJxOAmnl1xJ7bI0Fd09AVLQtebNJDYSKdSRm6yE/Vny89gnXArNope1Pe2Ep0U5aeSvKBRjvgJrBH9w1iayFkw74kShj35JKNfoE1pjCSEgT85CTdvZAkJyvaw2N7d5kOf25tu2WngQo7tFfuToWYCYCtgFI38AFoltuq/i7leAyEqObfqmpsuyUTxKXQJ3yXb25XVZxLDJgBhI4eyYQ0IZ7M+im/4dWF1qF1l+iVNMtIlAmiqnJuVxl6RMZJu7xluE06tNcY6cJXidWWfsZAS3IBSaEMmP8fGJfuSEwrwEu4ctXwQ5IEvAs6DvCR2e+JnBLsu6JtCarROsU97hEj5PWJaJ6hIE/wTsAmYEsv9l5k3oOYBKhMvp9355iYTZnFc+IJmEkJipMCXzAn0SoEoEqUgpp9T3NHUE9kCTlYmo/0T12WmQSCxoBLRJvlASkTMCQJgJrEgTC0g8GAnECeEDEDUJKI+LwBxMO1931oKqvtAA==</t>
  </si>
  <si>
    <t>20241</t>
  </si>
  <si>
    <t>@@UU@@C@@AA/uAArXSQhjGMZJzHOc5jHMdCUIQlCToSgCEJShSUgShKUISlIEqApKQJUpQFAUkAAAABSQAUBSlJUlIFIQhQFJApKUJQAAEqApSlIUACVJQlKgAAAAAAAAAAAAAAAAAAAAAAAAAAAAAAAAAAAAUAAAAAAAFAAAAAAAAAAAAAAAAAAAAAAAAAAAAAAAAAAAAAAAAAAAAAAAAAAAAAAAAAAAAAAAABCy/T3uc5RPPP8idkE9wnP56f2q9vb/r6MvkYX7X1QxxxR5Q+/i5p/H12/36fRgdPXnLxeU/+Pu/CckkRw6EGnWkB/4BOrmQ4ozbAGS4W0/WKhXhEzx7PNUBFkq+tmDJMkzBaS+iKIoWGYognYEkChCAMIGyDjAMokCVUEQUwT6ZZIIoZ4ZmvdiYAsFj8uvSEiQJxbQkgWU10NTGzI4zPfkExpWWaqRfVhRYJsgVGc1kKndqueiTY1AhZx0UZQIuo2wE4AR/cO6JvkysEO0JBMG/MpEcH5icCYQkiQJ+kiUdfavAoE9TyaM2xyCck2QV9/q149tD2XCXCtYFY7gG2Jk7ekZ+QSDNnjNi0Yu1zCd/d8GTtIaglttObOBTTRng5d1pgrE1L9jRb3ejvY8VEIa3zaZpnwV7gmAmzjq1679POJdKbOvtFuQTc7m/pt3M80ZxOtfdXjBMYHTQrw/jxCbcCZ7hMV2vXuw4oDVYG8DDmOASOx7RNYEy36olwnctEq0kcG+JB4/gJaJ7xIE/wTaBMATFf8bzHpg5QEsEu93Y+umkpEzVCupoBMBJE0KUAl9AJ5JqEqEsUhror972ep0hPjAlLiE3jN/onwtyGUSC1qBMYlHzgJWJgCQJTgJ4RIE+XRjII8egTeBPqA6QHhEmI8Uh3mHW832KiqvQA==</t>
  </si>
  <si>
    <t>20242</t>
  </si>
  <si>
    <t>@@UU@@C@@AA/uAArZSQpTGMZBznOY6DHOZCEnQg6EnQhCFKQdSlIUhQFIQdKkgSlSgJUlIAAUkAAAABQFKUAClJUgCVASdClKSBKUJQoAFKApSlIUACVJQlKgAAAAAAAAAAAAAAAAAAAAAAAAAAAAAAAAAAAAUAAAAAAAFAAAAAAAAAAAAAAAAAAAAAAAAAAAAAAAAAAAAAAAAAAAAAAAAAAAAAAAAAAAAAAAABCs8OnrOkTml/InwAnqE6+aj9qf1+L+vBZ4mF+z8o88Mc8UfUH3aurmnf9H9+byXGbblZquP/+v7fHRikRHl2EGqmQD/wCb2JDVGLMBh1xb554pFfKJjj0/fSBFchdfoZwWSkSlBD5IlGEhhZSnBLMJIZoQ1QjXBzgFgkCUzIgogl5pMiCJhToiiAKhfw92gJCQJq3RJVxqinWJNTGeVMJNcduETAlZYVdkItnVko1hKM4FRhMqFTop128SraQQr55zxARfnwAJygj+4aROQlJYId4SCUHJKSRHL+InKOSAkJAn5yEnw71oExPQ5LNvoE6JVbEs3pnnrw76HTaJaK1AVJwAb4lnHgSJaBILMeK9de4uoTTor7mHiQ2BME8WMCfHPHB+nvBUJs7fe49y9K9WJT3TufHt1cImMTe7dfuZtbWz7vWJbIKe1m2DDiE0VcuXLgwcN06LhLaqcAJgAzoaC7+PmE4IEyZbRL9u5XohvwG0wOMC7qNIke/3xNoEsx5RNcTkviU7pGnlEg7/sEviesSBP8E3wTICXrfbaYM8HSAlYmv6uL6KKCgTFSK7FwJkEkJcpMEtmCeKVIlIlakNU6vW/DubIntgShvCcJi/0T2X8JYJBfaQTAJPwgJUJkBIEoyCfKJAmm7AQR4LhOME+QDZA7okojvfOHbYdrx/SqKq9gA=</t>
  </si>
  <si>
    <t>20243</t>
  </si>
  <si>
    <t>@@UU@@C@@AA/uAAraSQpjGMdBzGMY5zHMc6UoOdKEpQdKFJOhIEKSlAEHShQFJUlQEqUlQFAUkAAAABSlKUBSlKSlSgJOhQFJApKFJQoAFKApSlIUACVJQlKgAAAAAAAAAAAAAAAAAAAAAAAAAAAAAAAAAAAAUAAAAAAAFAAAAAAAAAAAAAAAAAAAAAAAAAAAAAAAAAAAAAAAAAAAAAAAAAAAAAAAAAAAAAAAABCt+Lj6DmE8kv5E4AT0idHkn/aj9eH+vDb4mF+l88MckTfMH17OfxzctX9+b7rzRnlbs+c//6Pq+ye2REeXMg055AP/AJpxobIx7gFtwtR+UUCvlEvj0eOgCMEleVlBZKRKUEOaJQFZKUlmkTdUSQzIRfCuCDkALRIEomIgngl5pMiCJgo1RPAFIsff2ZwkJAmzdElgnpmaGOtIZbIyXWCVpgLaY6iSAupvm2hOuBQVm2hQ79FeNwk202YAQw8k82ICKJo3gE1gj+4d0TiJSWCHSJBKDilJIjX+AmtL4SQkCfjISbVpuAmE87Zf1eUTllTHB+efTgs3kPRcJcK0gUjpA3hLe5ujLtCQYsuLDmw9vnE49/3bO2hmEqmxZAJpZIObtJQJms0fpWaO5VtCe/3zvT6hMgm7ZRbTn3OgS2Sda64qsE1cWvPpr9q+U94mCm7HgrBKwNxCnVl/jwCaYEoovlkEqyaNrsw1wG2wOQDNznGJG/2BNAJbftiYxOKoSjrkd3WJB8HrEqE9QkCf4JvAl4Jhu9lxXuwcwCYBMfp4PknnJxMVArmygl4khMqkwJdMCeKVAlAmBSGman1Pt7nTE9kCTuEThMX+ieuqwtEgqaASsSbwgJSJeCQJPeJ3hIE8GWsgj4conCCfGB0wPeElEd9PcYdv7flVFVek</t>
  </si>
  <si>
    <t>20244</t>
  </si>
  <si>
    <t>@@UU@@C@@AA/sAArVSQpTGMY5zmQc5znOY50oUhKEJQg6UKQpB0oUlKgIUc6lKAlKVKAlIAAUhQAAAAClAQACkKUhSgKQhSlIAlSUAQpQFKApSlIUACVJQlKgAAAAAAAAAAAAAAAAAAAAAAAAAAAAAAAAAAAAUAAAAAAAFAAAAAAAAAAAAAAAAAAAAAAAAAAAAAAAAAAAAAAAAAAAAAAAAAAAAAAAAAAAAAAAABCv+bT2HUJHL/InfBPSJ2ctH7U/r4f68t/iYXj/GJQ8nPM+gOTr5+Wd78v76PttObYlfnxn/8f0/VRfkRyc2VBr2JAP/AJn3UOeMW0Bgxi3jzxSK8wlsdP2UgWkrkxcXoZwYJSJSgh+6JQERfJwsie0JIaEIqhWVcj7wDAJAkiiCiCXRtE2ZBFAVaIogCsXm6qAkJAmyXRJV0Vk2kiBw4Lwl1KcwQd2MNOOaFYloFJUdtCl3qb7cJVlIIXLn4UZvRgArzboCagR/cPgE0kpLBDuCQSg0ykkRq6BNQ5oCQkCeeQk97PhAmJj6W/k1/AUidM69eW3TZnQ6sImEVqAqSwDOJZ7uskvcEg6seC7Xku3ODrE8OnfvfCV+BDMJfxZAJe9PFB4t8MHbuCRw93v+P9OGy4p4j4p74mUTvYKd7uV7nYJrSDZ2N4vawm/q7l3Hv454xMtz28NU7ASANtDRb/HxibsCZNerEJexaCzJe0Q34CyqQ4wMs+s1CRwZxNgEw264mMThsEp2yNPviQfJ6xLwnqEgT/BO8CZAS7i9mIs3IPzASsTD6eDiooKBMFIrltBMgkhLVJgmKYJ80qRKRK1Iap1ep4NnMJ7IEobomgwf6J672sXxILzSCWCT8wCVCZASBKMgnkEgTTbYQR5bRNAJxAZgPGJKI8nyhqYfa+v5xRVXtA=</t>
  </si>
  <si>
    <t>20245</t>
  </si>
  <si>
    <t>@@UU@@C@@AA/sAAraUQpTGOYxzGQc5joMdCEHQhCEJQhCEIAhCUpShKFJQlKEKAkCgKSlQAAUlQAAAAClASoCkqUgClAQhSUqSpCUgQoClKApSlIUACVJQlKgAAAAAAAAAAAAAAAAAAAAAAAAAAAAAAAAAAAAUAAAAAAAFAAAAAAAAAAAAAAAAAAAAAAAAAAAAAAAAAAAAAAAAAAAAAAAAAAAAAAAAAAAAAAAABCxfL3+s6RI5f5E7QJ7BOvlo/an9e7/XjxeRhfL6IlD5ueZ9Iebq5+WdnR/f4/dlObUlin9R//l+v7KMUiJc2VBwacgH/gE2dtDni7WAxZBbD8opFeYS+PXy0gZSVcxcnqZwY5SJSgh++JQERLEhInrCSGhCMEAShaoPwAMYkCSKIKIJdHpmzII16Qq7MUwBWLzdNAVTEkJrltAk66aybgIjDCVZLqBLEwaQYJXU58zzwViaAGAmtBmQk71ONrJVFIIV1+ijZ9VwFWlugJxgj+4cgngJSWCHbEglB4JSSI4/SJxjowEhIE6JCT39u4CYmve4r83AUieudWaWxKm3aQ6bhLhWoDAloG0JbwWpLeEg6c/Hhvw1dyzqE4e/v2chXwIaImLJeBLhnq45Hh3wzViR2J6fFRw11KfEdye6JeJs6dO5qVbHWJnSDV09wszhNDvZsOvu5888T9Ny6m0EtA2EN7L/HxibkCX5sglmTDZq4d6HOgTIBoXdRxCR2fEJqAl2XSEzxPhtEp2COLvCQfJ7hLBPaJAn+CbQJeCYcnvyFuzB+YCVCXezt+SigoEx0iuhlBLxJCZVJgmSYJ88qRKRKlIcE8Hte3raInvgShwib5j/0T3WZxiEgsaQS0SfjATAJeCQJReJwiQJxZbSCPFlE4QT5gNEDkElEeGA7TDm+36BRVX4A==</t>
  </si>
  <si>
    <t>20246</t>
  </si>
  <si>
    <t>@@UU@@C@@AA/qAArVUQpjGMc5jmQc5joOc5zpOk50gOhCTqUc6UIUpCQASdKTqUlSAKUpKlAAlQFAAAClAUBSkgUgClKQhSlJSlSEqQpQFKApSlIUACVJQlKgAAAAAAAAAAAAAAAAAAAAAAAAAAAAAAAAAAAAUAAAAAAAFAAAAAAAAAAAAAAAAAAAAAAAAAAAAAAAAAAAAAAAAAAAAAAAAAAAAAAAAAAAAAAAABCu+DZ1HQJHJ/InACecTq5J/2o/Xi/r4Pi8LYvz/hHyQ+LmoPmDxdPNyTV/j/fj+vGcueV2b6T//oliiDcMnLhQacsgH/gE3uyhzRZnAu3xbh5YoFeUTBHm5KFwytzC3+dmgvSkSlBD9kSgIiV0kQs2cSYZ0IpgZQWoQ+4AvCQJIngngl45MiCJgo1xPC0i/b0ThISBNGcgSVqe0TNEQtl64JUlGMIvT35ue5K2JNhAtE/3kR1kJOqmS0yttRNz1Ughc81fko03wLXW9gBNoI/uHtid4hZMOkSCUHelJIjb5RNo5ICQkCc8hJu1psAmEzZW7gy4qBPymyW4loor30OiwSwVpApSsDfErq9qy6k+oSDenpqlgqtcPSJxbLuqvaW/ZQxiXr+ACXFNirkd/WE9oSODgs/Tt9u5bU0e4bZ9YmITs9ej181re6hLsg7Ga8XNwTX3M1WbVuzbomTTZRWCVgaEMmvF/HGJpgTDl3RK92quurVDuQJfAxdJ3RI7XvidcEvYMgl8TuXBKNBHd2CQe96RLgnoEgT/BN8EwAlV/1XyvRB+YCWhLPPw+GecnEvUCuLCCYBJCYVJgS/MCfHKgSgS0pDTNT6Hhz4xPVAk7UJqL3+iem5uF0SC40AlYk3wgJSJgBIEnwCcYkCbMNZBHgwicQJtAxge6JKI4++Gxhy/V8qIqr6w</t>
  </si>
  <si>
    <t>20247</t>
  </si>
  <si>
    <t>@@UU@@C@@AA/qAArUSQpTGMZBzIOc5jHMdCEJQlCAIShBwJOk6UAQlClKQhJ0qUpQFKUlQEqUkAFAABSgAUoCVKUhQFIQlQFJUpCUpQAAFKApSlIUACVJQlKgAAAAAAAAAAAAAAAAAAAAAAAAAAAAAAAAAAAAUAAAAAAAFAAAAAAAAAAAAAAAAAAAAAAAAAAAAAAAAAAAAAAAAAAAAAAAAAAAAAAAAAAAAAAAABCxfJx9R0CRyfyJvgnpE6uSj9qf14f68Hh8Tav1flHzwz8kH0h4+bp+6dnP/fl+/WObalin4z//r+zWogxE+XKg1bMgH/gE3cyHNFu0BZcLYfpFIryiXx5+SlbyWpMW7zM4McpEpQQ/hEoCIlBiQntiTGhCKoGVclPIAYxIEkUQUQSr8s2ZBFAVaIohaxeXooCQkCdzdElXRWTaSIW3DYJgSnXCJ3WzwViXgUH40xsISdETimFrdQnXQBECHmgTz15qbee4CvYwZwE0gj+4d8TvELJhzCQSg70pJEafzE0jsQEhIE55CT0Zrl4YoE9Dkx5ezMT0S2a4onvS1ewh0YbRLRWsCtLQMwmGzhuxpRoEg3qKsEsuCzU4O/0iaNPcw3VGpwIbAluTEBLhnqQaNDUJGxLDt+1wd3BUJi900305xMom7x1drZr7PUJjkF+POWYRM+52MG1nyTyCZsdFgJYBTuIbV/8fAJvQJtX9e4TDdTX2obIDVgcgGXpOISO38QmyCYsnXEtE9uwSncI4vcEg+H1iWCeoSBP8E3AS8EwXey41dyDoASsS307/zUUFAmOkV1soJeJITKpMEumCeKVIlIlakNU6vU7+3rieyBKHAJnMf+ieuzCYhILGkE1RJ+ABKhLwSBKLxOISBOLLqkEfHlE7oJ8oGuB7wkoj3/CHGw7P2/QiKq9Y</t>
  </si>
  <si>
    <t>20248</t>
  </si>
  <si>
    <t>@@UU@@C@@AA/qAArTUQpSmMY5zHOc5zHOdB0oQhCkIQo6kJSdSkpUlClISdCkpABSkqApQEgUkAFAABSgASACQKSlSlJQgCkpUpSkJQoAFKApSlIUACVJQlKgAAAAAAAAAAAAAAAAAAAAAAAAAAAAAAAAAAAAUAAAAAAAFAAAAAAAAAAAAAAAAAAAAAAAAAAAAAAAAAAAAAAAAAAAAAAAAAAAAAAAAAAAAAAAABCxfNr6TnEjx/yJ1wT0CdPjp+1X68P9fL3u+5F8Hlj6IZ8sH1B4eTo8U7fy/vzfZsHJuSxTvH/+Dw56QQS8mZBq2ZAP/AJv6UOSMe2BbkFtPxioV8gmWObxVLmJXpi3fmzgxykSlBD9sSgIiUGJCe4JMaIRXAyskHKAYxIEkhSCkErPNNmQRQK9UUhbBfu56BISBPc3xJWUsJtRELkw2iX0q0BE7sk79gmYChy1R1EJOqqxvUriVLJgRCgc1X30x14wLNjd4AE1gj+4cYnaIWTDpEglB2pSSI1+UTWOiAkJAn4SEnq03L70UE5nFn3vOJ55bdkS01GDcQ58OQTIK2AWJkA9sTDbuXV40q1CQaaqrIlnv23uxX8PQJx6sFCzsIaBL2W7CBPszpB+lQmrRx4e5v9Ss4YtvifFYX6cAmYTe48VfBtXsfSJkkG1s8BgxCcHFtX/a6uaeUSmKl8EvgVbqHWy/x8YmmBLtG3cJhunZ1YbYEygZsXQcQkat8TZBMWXZEyCcOASrdI+D3xIO76hLRPSJAn+CbwJmBL93ruMG9BzgJYJk9HX+elCgmOoV2M4JmEkJnUmCXTBO/KoSoSxSGudfpfd9nQJ64Eo3xOsY/9E9VuExCQWtQJgEn8gCViZgSBKZhOISBOLPgII7ucTsgneA0AdwSUR2+2Gth2vr+lEVV9g</t>
  </si>
  <si>
    <t>20249</t>
  </si>
  <si>
    <t>@@UU@@C@@AA/sAArXUQpjFOY5zHOY5jnMc6EIOg6FIOpSFISlQEoQpKEJQhSVKUBQEpApQEgUkAAAABSgKUACAJUlKgJQhSlIApSUAOoAFKApSlIUACVJQlKgAAAAAAAAAAAAAAAAAAAAAAAAAAAAAAAAAAAAUAAAAAAAFAAAAAAAAAAAAAAAAAAAAAAAAAAAAAAAAAAAAAAAAAAAAAAAAAAAAAAAAAAAAAAAABCs+fl7DWJHl/kTuAnpE7PLT+0/17v9fNZ42F+z8YlDHRB9Qc3P1/bRg/P++nzXHPolZRzH//XzUGKCJee5BnsyAf+ATd9xDnjHtgV2i1n5RMV84mWOryTAuZX6BcnoaIMcpEpQQ+aJQERKCwohdIlA0oRegZVSOgAxiQJJSmCmCV/b6aWkgiYVdqKYAvi/drpCQkCdFYkqqaihmxA24qxMCT2AijJbReEuAoOimNlCT252N8lVMCCEWoj76LDBYBPNC7wCcgI/uHKJ3iUlgh1CQSg70pJEcn4Ccg54CQkCdMhKN/VjXgikT0Nm5m6hOqi9olqnh20NeK0S0VqAqS0DSJi4bEl2hINd1uDNgrL/B3zrE+G/265TKuBC9sCTLcIEj4LqYg/SYmeWnLov8PvmCMEQh8Z36d4S4Td5Z2ZqtzsEskGjZ90rxCXce1prjHvZacom1bThBMIF17Sh72f+PlE1QJmv2iYbdurehrgTKBn6zjEjf8Im2CYsm0JjE7tYk9RHHxCQeD1iVieoSBP8E3QS4EwZPZkMPtwawEqEt9Pc+imkpExzFc+YEuEkJmUoBMlAJ45TEmJUpDeovep4NzYE9kCUuATfMf+ieuvEWCQVswTCJR4QEvCXAkCU3CcQkCcWbCQR4MwnCCeIDYA+QSUR8XiDlYdHk+kUVV9o</t>
  </si>
  <si>
    <t>20250</t>
  </si>
  <si>
    <t>@@UU@@C@@AA/mAArUSQpTGMZBzHOg5jnMc5zoQhKEoQlCEKOlCgJQhKUoQhSQKAhQAIUpIAAApIAAABQFKAoClJUlSkqShClKQBSkJUhQAKUBSlKQkClKOlSgAAAAAAAAAAAAAAAAAAAAAAAAAAAAAAAAAAAAUAAAAAAAFAAAAAAAAAAAAAAAAAAAAAAAAAAAAAAAAAAAAAAAAAAAAAAAAAAAAAAAAAAAAAAAABC1fJyaT8RPP6/3E74J/Imn6f0o/Pw/x5MPlYX5fuiUMdEHxh8/P2eed78PX0/VcRnlg54P/+T5vNRgkRR6bkGWeQD/wCdzn3RMOwBq6oth98UivpExx6vopAuZak/RCuPqaILZSJSgh9ESgIiUEtkSc7RhhgkhFUDXB0AFokCSKYKIJdMmRBE1JU96JQBBUL9fXNSQkCYdtSVdFZNpYgbbbBLyU5gidsrahN7FkAoOg1kK3vU2thKgCtgFr+yeK9htArzbwCcgI/qHIJxkpLBD3RIJQRxSSUcf2icY5oCQkCdMhJ6Ny0CYnU4NrqyeoSU6teW5TZuodeETCK1AVJ4gNkS/w4EsnviQdePDZdZqcHYJ7lm/bZB38PAhoziW3qwKp8GWk/KidQmfJw551YL1ft0QyQ92ceOVO8JaJtclWtuV7WkTDJPB29fbL+qJoz69mvvXTuE3baLASwDMh3D2sv7e8JuQJdsYhL+LZr0Q2QJjAy9hxCRv8wmwCYMWsJhE+DxXxNwr4+ISOb2CXxNIkCf2JugmQEveG9d/lxPbg6wE1BMX9eD4ZkxLaBXNlBMgkhMqkwTHME8sqRKRK1IKqo0vDtZxO3AlBivCaD/RL9nswSJiQWNIJfEn74CVCZASFLhOUSBLrCDmuE4ATxgZQOUSURy8gmbzfEoKq9o=</t>
  </si>
  <si>
    <t>20251</t>
  </si>
  <si>
    <t>@@UU@@C@@AA/sAArWSQhjGMY5znOgyDHMdB0HSpCFHQhCVIQhIEIAhSlJUhCFKUpSgIUpQAKUkAAAABSQAUBSlJUlIFJQgAEoAlKkpQoAFKApSlIUACVJSlKgAAAAAAAAAAAAAAAAAAAAAAAAAAAAAAAAAAAAUAAAAAAAFAAAAAAAAAAAAAAAAAAAAAAAAAAAAAAAAAAAAAAAAAAAAAAAAAAAAAAAAAAAAAAAABC1Pp4/UdQkeD+ROAE9Anq8FP7Vfr7v9fRqd1hft8cRDPRRPeD7+frn8cPl/vp8N5z9mdSjvH/x934TkkivxXoNWvID/wCadtDni3YA1MYuI8kVCviEyx5u/UBfOChW782iC2ZJmCHwxMBETBOwJIWxAEUoRXA2QdABaJAl9BXBVBPTLJBFAc8Fm/FUAVYBfy6qkZEgTBbtCUYlxV4ilsYga7sGBDCkV64RN03ViZgJOg0IVO/5/LZc4icNgIQYfHNFoEZ90BOQEf3DlE4yZWCHtCQTBxzKRHJ0icg3wEiQJ5JEo7enVXiikTzOwW+35xM+zRZonarybiG1cJcK1gVpcBtiY+3kSd4SDqy24c2Gzh6xOPfwcpXwoawmO3KBno4qc0H6ViZ6bfl1+IwWcAWSh8Z8MlW6JeJp5LbLcu5h0+oS6Qq9rRoMlom9Xva04o9y+jKJuW7tWMExgYUKTL/HzCau3Ik6/aLhMd2zg3YccCZQM3WdwSN/mE7IJky6BLRPexCVaSO574kHN6xMQnpEgT/BNwEvBMN3suMemDqASwTV9HD9dNJSJbUK62YEvEkTMpQCXUAndmoSoSxSGuiv0vBs5xPZAlLhE3i3/RPXiyGoJBiagTGJR84CViXgkCU3ifIJAnwZsZBHNmE4gT6gM4HKJMR8UhxsOjv/YKKq9gA=</t>
  </si>
  <si>
    <t>20252</t>
  </si>
  <si>
    <t>@@UU@@C@@AA/sAArXUQpjGMY5jmOcyDHMc6EIOpCUoQlB0pQdQEJSpCUoQhQEAQoCkKApQAKUkAAAABSlAUBSlJUlKgJQhSlIApSUAOoAFKApSlIUACVJQlKgAAAAAAAAAAAAAAAAAAAAAAAAAAAAAAAAAAAAUAAAAAAAFAAAAAAAAAAAAAAAAAAAAAAAAAAAAAAAAAAAAAAAAAAAAAAAAAAAAAAAAAAAAAAAABCx/Hx9hqEjy/yJvgnpE7PLP+1H68H9fFj8bC/T+MRDLoml84fXz9f2zV/n/fT5rznzyxzZD//o+r7J8ciKvPlQaqZAP/AJt9xDni3aAx2C4T8ooFfOJkjq8lAF8sEyt3oZoLZSJSgh80SgIiUEtoSSWoROhFMDVB0AFokCXzFMFEEumTIgiYKd6J4AnqF+7VQjISBOi3cEmrw0RThKGdiBnW7BJCtIor2AlNdKm6EM+YCY6DOhS6bdiq5sJV1AhBX98prgI19ACcQI/uHGJwkpLBDuiQSg4ZSSI4vwE4hvgJCQJ0yEm07esvficT0O0W7fUJr9U1WzLdpxd1DVcJcK0gUpcBoEs38SS9wSDVktry11eDrE49ODkKfdQzCWW5AJeGa+D9KBM3B79e/teKvBPCEPLZHJOUbwmQTcx21bG7g7fYJrSDPfeWaLRN7ezYdHeyzXiV9rRdTiBMQFAlN/8fAJ3IEoybOgmuEsu7dfehxQE8DkAzdZwiRp7ontgmK/ZEsE4MIlG4R4vCJBzesTCJ6hIE/wTdBLwSu72XFm5BqASoTW9Pg+WecnEtoFc2UEvEkJlUmBLpgTxyoEoEqUhpmp9T3+1rieyBJ2sTSW/6J68OIxiQYWgEsEm+EBKRLwSBJ7xOUSBOPLYQRzZROAE+QDXA5BJRHLzB7zDn8nzCiqvtA=</t>
  </si>
  <si>
    <t>20253</t>
  </si>
  <si>
    <t>@@UU@@C@@AA/sAArWSQpTGMc5jmOcxzHMc6EoSlCEqQhCFJQhCEJUhKkpQhClKUAClJApKgAAhQAAAACVKUBSlAQlSgJQhSlIApSUAQlQFKApSlIUACVJQlKgAAAAAAAAAAAAAAAAAAAAAAAAAAAAAAAAAAAAUAAAAAAAFAAAAAAAAAAAAAAAAAAAAAAAAAAAAAAAAAAAAAAAAAAAAAAAAAAAAAAAAAAAAAAAABCyePh6zpEjy/yJvAnpE6/LR+1P69/+vkycbC/T+MRDLmnLyB9fL1S5K/z/vn+285e1LJP5z//o+r7KMkiMHmzoODTkA/8AmtsIcsZdUC2wXEflFIr5hL46OSkC+WGat3nZwWykSlBDoiUBESglqCSS1CKEIqgcEHMAWiQJfMqgpglzyZEETCraiiAKMAv3dNIyEhA5rdYSddNZNqYgcURdhkhWkU9kIkBdKyoS7OBBzGmhU7ez3cFzYSrwAhBX98p5QI0u6AnACP7hwieElJYIdkSCUHhlJIjg/ATgG+AkJAnPISe5qZV34oE87qFvc6BNLong05a9WPZQ6bhLhWoCpLgNkSzexpLcEg6c1teevaw7/UJPbw7hV3kNAlluYCW/O+D0UiaPBq+D3P092vCJvh8J78yjJuCZxNjiuw9var1+sTLINXt7e2Y7RN3drqvlPdvnmE2raMQJiA10LM38fEJ7cCXdnaLhLLrDVr3IccBRA5gNE+o4hI3vEJ2gTJfpiZROCwSn2iOLhEg8XrExCeoSBP8E2AS8Eru9lxZrQegBMAmX097jooKBLaRXRnBLxJCZ1Jgl0wT5pUiUiYFIap1ep3tXSE9kCUNYm2W/6J68WMyCQYmkEsEn8oCVCXgkCUXifGJAnBnsII8ecTvgnGBpAe8JKI+BOFh0+TyCiqvY</t>
  </si>
  <si>
    <t>20254</t>
  </si>
  <si>
    <t>@@UU@@C@@AA/sAArWSQpTGMY5jnQc6DHOcyEISlB0pUhCEoQhKUoUdQEqUc51KABAFKUpSkgAlQFAAAClAUkCVAUhQFKSgCVJUgCFJQkAEqApSlIUACVJQlKgAAAAAAAAAAAAAAAAAAAAAAAAAAAAAAAAAAAAUAAAAAAAFAAAAAAAAAAAAAAAAAAAAAAAAAAAAAAAAAAAAAAAAAAAAAAAAAAAAAAAAAAAAAAAABCw/Po6joEjk/kTvAnqE6uSj9qfT739fN4PC66/b+cfVDPl5pfYH3cvTyTwV/35vwuPJtywz8R//i8d1EGE8f5XINfYkA/8Am720Lot2wMWMW+c0Uiv4iZY/XkpXLK9MW3nZweWUiUoIbolAREoJWiSTERC0ISqhlDXBygGISBJFEFEEuf9JsyCKAq7sUQtYvk6KAkJCh3r+6JO9TeJtUQBVK23AJfSinZCmdNcFs+5Nb9QmPFcBI3DroWNlN5vkq6QQw3vLRz2gVbG+AmkEf3DUJoIWTDuiQSg0SkkRp8wmkboCQkCc0hJ8OIDPMTG62TbzecTY886b0S9yqveQ6NcTXFagKkxAbomCzPr4Uo4RINyiqyWSyvi6RNHBZ8JVxIXCa2LGBLPOjJI9FQl2bh2fdoz3qxKg7/xHv6quATKJuaKexv15dzqEtkGba3zBhE2tF+yOC2donbw0WAlgHaQ4cf8cYm9AmbHtWiYLdvTrdmcsHchxQHpgbgNnpNQkcXyiZgS3Y2xMgmi+JTukatIkHyewS+J6xIE/wTfBMgJZb7bTBvQegBKxNf1Z/DRQUCYqRW7KCZBJCZVJglswT6ZUiUiVqQ1Tq9bnzbAntgShsE7pi/0T2X9YwiQX2kEwCT8ACVCZASBKMgnxiQJqy4CCPoyid8E4wNgDjElEaPgDUw9f7/rFFVesA==</t>
  </si>
  <si>
    <t>20255</t>
  </si>
  <si>
    <t>@@UU@@C@@AA/sAArVSQpimMZBjnQc5zHOc50oQlB0gQhCFIAdKEISdQFAUc6EKUoCgIUpQEqAlQFAAAClASBSlAShQEqUhSVIAgCUpQlQFKApSlIUACVJQlKgAAAAAAAAAAAAAAAAAAAAAAAAAAAAAAAAAAAAUAAAAAAAFAAAAAAAAAAAAAAAAAAAAAAAAAAAAAAAAAAAAAAAAAAAAAAAAAAAAAAAAAAAAAAAABCvfNp7DqEjm/kThBPUJ2c0/2p/X3f6+XweFwL4vzj6YaOfpl9Yfdz9fNRdr/vo+/IfjtSvUYj//F9uScF4+z8MiDXsyAf+ATc3kMkW7QF/CLcOmKRXyCY48/jpXHLWoFt8zRB5ZSJSghyRKAiJQStEkN9CaEqoZQ1wc4BfEgSROCcEuiTIgigKc8ThahfJ1TCQkKGbbElXOsoaYgCMGC4JYk8oTlPBLz2TsioS2nGBImv5GwhY96vDrSuuuUXKwQps8s/NaBVl3wE1Aj+4cYmkhZMO6JBKDTKSRGroE1DkgJCQJ0yEoz3wNFAmF18Wz3fQJl9FFOtEtuqveQ6sAmAVqAqS+BuiXbNGC8k84kG5OqyWKyvi6xNOfPc5CviQyiXsGICWiieOR6ahMvDw3zv6NasTvh+nwnJ79XAJkE3tVW1nr3ewTBIO7s5+5F28Jw7lNh3rZWib96dgJYBuIcGH+PjE34EzYdi0S7b7mbX+CUrvBDfgNuByAdvrOQSOL5BMwJbl2hMQmq4JTukcnGJBy+wS4J6xIE/wTfBMQJZb7bS7vQekBKxMHq0eGcyYl+kVyYwTEJITGpQCW0An0SpEpErUhqoq9bozZRPbAk2wTgL/+iey5rl4SC40gl0Sj5wEqExAkCTxCcokCceO6QR4MYnvAnxAZQOUSURpgONh2PH9Qoqr2g==</t>
  </si>
  <si>
    <t>20256</t>
  </si>
  <si>
    <t>@@UU@@C@@AA/sAArTUQpimMY5zHQc5zJMc50AOlKEpSlCFISdCkIAdKlKAdCDpABSkgSlQEqAlIFAAAClAUpIFAShQEqUgCVIAgCUpQkAEqApSlIUACVJQlKgAAAAAAAAAAAAAAAAAAAAAAAAAAAAAAAAAAAAUAAAAAAAFAAAAAAAAAAAAAAAAAAAAAAAAAAAAAAAAAAAAAAAAAAAAAAAAAAAAAAAAAAAAAAAABCw/Vq6TnEjj/kTfBPaJ08c/2p9nc/rweHxONfv/WPsho5OaX3B+PJ0cdGCv++X8sp+nWlho8h//4SyRBsHk/PIg1Z5AP/AJ2txDJGPqgYbRbDmikV8wl0eny0rkleoFt9DRB55SJSghyxKAiJQStEkOJCaEqoZQ1wcgBiEgSROCcEuWTIgigKdEThahfNzzCQkKG92RJVzrKGmIAjHjsEvpPME5TxyvTEx3AQVWcko2ULzomtdtjgKLKxH0wJFnnn6LQKs1e6AnCCP7hxCaiFkw7YkEoNUpJEcPKJwjlgJCQJzSEo0YwNNAlzbhyZ+x6hNn1UU34vUdeu9uIc9olorUBUmMDbE2L+m3Ek9AkGOdV+6i/XwdAmrt39ZVwIZRNjF1AJaaJ3SPXUJljBn3t/TeqE3/lh7pxU9sTIJ2tVOf47L3Y6RMUgu2d0wYRNGc+eL/0b11Fwm7inYCWAdlDau/j6RNyBNq7q2iYLepg7vXlg3ocUBP2SHKBs9BrEjg74m0CW5usJcJw2CU7ZGviEg7/vEsE9wkCf4JuglwJft+Fpg3IPWAlYmP29zxTmTExUiuXICXCSEyKUAltAJ45UiUiVqQ1UVe507WYT4QJNvifIYv9E99mwYRILGkEwCUfWAlQlwJAk7hO8JAmvJgII8OQT5gTxgZgO8JKI1eANbDn8v2iiqvxA=</t>
  </si>
  <si>
    <t>20257</t>
  </si>
  <si>
    <t>B1-TCS-1301C-I6017</t>
  </si>
  <si>
    <t>10</t>
  </si>
  <si>
    <t>B1-TCS-1320-XTF</t>
  </si>
  <si>
    <t>-I6017</t>
  </si>
  <si>
    <t>-XTF</t>
  </si>
  <si>
    <t>@@UU@@C@@AA/uAArSUQpjGMY5jHOc5zHMc50IQdB0pQA6AIQhKlJQlKEJSdIEpUBSgAApAFKUBQAAAoAAKUkCkIUlSgIShSkpUlSkpQAAFKApSlIUACVJQlKgAAAAAAAAAAAAAAAAAAAAAAAAAAAAAAAAAAAAUAAAAAAAFAAAAAAAAAAAAAAAAAAAAAAAAAAAAAAAAAAAAAAAAAAAAAAAAAAAAAAAAAAAAAAAABCw8mvrObpE8n8idsSUCesTr+79p/14v65D6DGseNejx81H1By9XR5JrPz/vRfuPPsyw+X7D//r5eaeMURV5cyDVtSAf+ATc1KYtIGGwWs9EUCvOJkj0/bQsRigXO1wfjKRKUEP3xKAiJQS0iSHChOhKqBqg6ADCJAkiiCeCXP5pmYgicKe1E8AVC8/TOEhIUPwdQkqqqK5ThSttt9CxIozhG7NkmvVCUZNwCC42UKngsrirZkuNwE9QjlgSzVgtAnu9G8AmsEf3DWJrIWTDqEglB34SRGvzCaxzQEhIE/KQk3BjAkJiOGP0w6tUwmaVUGne9NOneU9VVolorWBUvGBviYO7g3FmxCQTZIx19PF7+fBxXuoSnh+DZ8NvdQ0CY7bs4HHsTHw7VAkbncw6vFTp3bJhO4UQRXt0b4mYTd0U6MBVHWJhkHe2NrbLMAl1urab829kmyA3uPNbTOCXr4F3YE2+Cb+PiE1QJl0XCYLrteOvghwQJlAz9R4BI7XbE2wTFdoEtE71gmop198SPj9olgnsEgT/BNoEuBK7fdaX+zB6gEqEx+vh+aYmExTiubKCXCSEyqTAlswJ88qBKBKlIKafY8OnOJ7oEnLwm+f6J7a7C+JBW0Algk3IAlIlwJAmQTwiQJksIPkyCcIJ8oGUDiElEeLwBrYdjl+lUVV94A=</t>
  </si>
  <si>
    <t>20258</t>
  </si>
  <si>
    <t>B1-TCS-1301C-I6018</t>
  </si>
  <si>
    <t>-I6018</t>
  </si>
  <si>
    <t>@@UU@@C@@AA/uAArSUQpjGMY5jGOdBzHOdB0IQg6AIOk6UHQlCUoQpR0pSdQEqSBSVAApAAKUpQAAABQAKUkClIUlSlKShSkqSlSlJQoAFKApSlIUACVJQlKgAAAAAAAAAAAAAAAAAAAAAAAAAAAAAAAAAAAAUAAAAAAAFAAAAAAAAAAAAAAAAAAAAAAAAAAAAAAAAAAAAAAAAAAAAAAAAAAAAAAAAAAAAAAAABCwcuvqOboE8X8icYkoE9AnV9X7T/rq/rl+D4y5Y8K8/h5qPlD6Onn8U1n4/3mtyH4bksHjrP/+b5+aeCCnx5EGnckA/8AmfQpgzAX7BazzRQK/aJdH5/TQsRsQLstcH3ykSlBD9cSgIiUEswkhwIToSqgaoOcAwCQJIogngl5JMiCJgo7ETwBSL9nROEhIUOJziSqnrvThSvPddfQtSKcoRomxTWVCUYrc4Ei+baF54aNuxtv2RKioEJlr+63CBRi2fNpATWCP7hrE1kLJh0CQSg7sJIjX5BNY7UBISBPLISbsXASE2Dkj8sGjRMJllVBu6aNrgU89OETCK3gKl1AaRLfZ31lgEg8+LDX0auzlv6ukSjkt7W3LvXe0huiYaLseUCbt7U539ykSJav0zbXbs0WWCd/UEab1HEJlE4N6ne65VHUJgkHBuZt8svicV2nebZuHFNiBvdzZupnBL1oGPrCZ+Kb+PAJpgTJu58gmDJkw19mG/AmQDL0ntiRx74mYEwY90TCJ3LBOsU6+6JHveoSwT0iQJ/gm2CYwSu713Fu/B0AJUJh9HH8MxMJsTiuzkBMYkhMikwJdMCfFKgSgSpSCmn0vJvZRPXAk5eE4T/RPVXYWiQVtAJYJNygJSJjBIExCeASBMVhB7+ITkBPdAyAahJRHe9wNbDtc3yKiqvsA</t>
  </si>
  <si>
    <t>20259</t>
  </si>
  <si>
    <t>B1-TCS-1301C-I6019</t>
  </si>
  <si>
    <t>-I6019</t>
  </si>
  <si>
    <t>@@UU@@C@@AA/gAArMUQpTmMZBzGOc5zGMc50HQhKVIOlKEIUhKkqQpCUHSlQAKSACgJUBSlKApSVAABSgKAgClKQkClIUlQEgUBClJQkAEqApSlIUACVJQlKgAAAAAAAAAAAAAAAAAAAAAAAAAAAAAAAAAAAAUAAAAAAAFAAAAAAAAAAAAAAAAAAAAAAAAAAAAAAAAAAAAAAAAAAAAAAAAAAAAAAAAAAAAAAAABCx/F3uo6BPp8Pi/kThBPQJ1eL9sHn4/6+M8LavIv0fjyYPrD7Obp5Z89n9+TbzHNtSxz+0//k+6bZET5r0GWmQD/wCbnZQvjJ1gMWUWs/OKBXmEuj9eWhYqkrzsoNyUiUoIfviUBESglkEkOJDAhK+Bqg8YBjEgSRRBggls9ubMgiygObY4IphcIsfh0YAkJChn8Z2BJ7FVMTCgCy/EhWkUVpGOd06RLrgILTZQod/g26rWslSCFltcvbxb9wFVtK74CawR/cNYmshZMNwkEoOOUkiNf5Ca00QkhIE8khJ8Gm0CYnO7uOOfV+gmzOdUaNqmrdQ8uUTKK1AUrrA3d4TFxYll2hIPLflr7uevH0V9zpE9rh69F5HuoaRMl+gCJaJHm0UCW31VbnF7OxbZXOEO/7k4CW1OjeEvE1e9Tpq3NiOoTHZNO92NreMWQTPn0Fm9fK8TdyYMIJhXrRtobef+PgE1QJd57RLLbNNmHfhxQJcBm6TuiRwdoTaBMl+kS0TuViainXxiR4PUJWJ6RIE/wTsgl4Jht9dpZqg8wCVCZfRw/NMmJkwCufMCXiSEzKTBLZgnzyoEoEqUgpp9L2+voE9cCYDYE4z/RPVhrLBIMLQCViT+EBKRLwSBLhO+JAl1ZB4LhOIE+QDMBrElEe/8ocbDs8v1ACqvsA=</t>
  </si>
  <si>
    <t>20260</t>
  </si>
  <si>
    <t>B1-TCS-1301C-I6020</t>
  </si>
  <si>
    <t>-I6020</t>
  </si>
  <si>
    <t>@@UU@@C@@AA/gAArNSQpjGMY5jHOdBjnMg5zoOlCEpOhKEIQlCQIQpKTnQlAAKUpQFASpSgASpSVAABSgKAgClKSgAFISpQEgUBClJQkAEqApSlIUACVJQlKgAAAAAAAAAAAAAAAAAAAAAAAAAAAAAAAAAAAAUAAAAAAAFAAAAAAAAAAAAAAAAAAAAAAAAAAAAAAAAAAAAAAAAAAAAAAAAAAAAAAAAAAAAAAAABCw/L4es6RPq8nN/InECesTr5v2n9Wn+vm8fkca8q/T5uWf7A+3n6vLN0X/78+zkOfsywzQf/y/d988F8n57kGWeQD/wCaNxC6NbZAw4RbD84oFecTHH681CxVbXE6vQzwduUiUoIfwiUBESglaJIZkIqQgqgKoJfiAYRIEmKYKIJcMmRBFlQUMMea9wRVC1ixz9M4SEgTvdqNsSa9RIqzSUpAw3YUL6RRSkWzY5q6hMIGIxEZkKQ7uem81kqAQvd6vdtAo1t0BNQI/uGoTUQsmG0SCUGmUkiNX5Cak14SQkCeeQk2/ltAmE6HB3Oja/QSWWaqiXbz1T7aHotEtFagKV0gcm4Jg7+BZcAkHouts48lnTX4OoTf4dqjGR7yGwJhx5AIlkkemcTNf+LZm5M2Kmu8J8PEkZ594S4TRfos2qo6xMFkycmi3NcYNYTfp49glg3bpXCT9y2iwEsXYjZQq3sv8fGJogS71YxMGPBnv170OCBLgMnUeESO7wCdkE1rs4mITTYJtlPHqEjxe0SwT2CQJ/gm4CXAleL3Yi/og9ICVCW+vi+eYmE1pxXJrglwkhNdSYExTAn0SoEoEqUgpp9jw7WUT3QJOXhNJ/ontrsL4kFbQCWCTfIAlIlwJAmMT4BIEx2EHixid8E8YGuBxiSiPf8AmXy/WAKq9gA==</t>
  </si>
  <si>
    <t>20261</t>
  </si>
  <si>
    <t>B1-TCS-1301C-I6021</t>
  </si>
  <si>
    <t>-I6021</t>
  </si>
  <si>
    <t>@@UU@@C@@AA/gAArMUQhjnMY5zHOdBzmOc50IQhSFHSdKUIQhCUKSkCEIOhKVKAoClKApKgAAlSVAABSgJAkClKQkClHUkCkqUBKEqQlQFKApSlIUACVJQlKgAAAAAAAAAAAAAAAAAAAAAAAAAAAAAAAAAAAAUAAAAAAAFAAAAAAAAAAAAAAAAAAAAAAAAAAAAAAAAAAAAAAAAAAAAAAAAAAAAAAAAAAAAAAAABCwd7l6joE+jweP+RO0CekTq8f7Wv14/6+U8DiXxL8/3+K14Q+rV081Hmvf35drIatmcFHhP/j6/smL0ROrGgzsSA/8AmfroY41vbAv4Raz8otiuoSyPPzW1iqVfMzBnmSZgh+2JgIiYJ1hJGhCL6EGOAqg8gBgEgSSmC1BPDLJBFdpquTOq7vxchaxY+7otBIkCeQ0CTdW5VTFpGkDPgswIXkinXSMVGKikS4BgMRroTbefgvbVzE3iagQr4a93EBbxboCaQR/cNImkhZYcIkEwckykRp/ATSmSEkSBPxkSjfzYQKBOdv9jnz+cSc1FUaNmqqOuh+eETCK1AUryAd3dEv8V9Z7IkG/jw16ctfRd4ukTe4du3YR20NgTBZlAicsnotCa9OHk2P0zctl6sSz4O2kVW94TIJ1u7b2M9UdQmCUr97Rm3C9gE4O5tl7esmwTcw2roJdX3I6yG/l/j4hNyBOzj0TYJfsoL+zfr4IcEBTA4wMvSdwSOHgE2gTDk2RLBOSsTQU8ukSPj9YlYnqEgT/BOwCYwS7i9mIvaIPQAlQmH09rv0FAmtaFcuQExiSJkUoBMVAJ802xLYlSkFNPqfd28wnsgS0XBOM/0T13ay8JBdbYJWJR3gEpExgkCWCfCJAllZB8lgnECd8DIBpEmI9+Q42HNzfSAKq+0A=</t>
  </si>
  <si>
    <t>20262</t>
  </si>
  <si>
    <t>B1-TCS-1301C-I6022</t>
  </si>
  <si>
    <t>-I6022</t>
  </si>
  <si>
    <t>@@UU@@C@@AA/iAArPUQpjGMY5zHMc5kGMdCEHQk6EoQg6EJAhKUASlKEnOlKQKUoCgJUBSgKApSQKABSgKSoClKQkClIUkClJUBKUKQkAEqApSlIUACVJQlKgAAAAAAAAAAAAAAAAAAAAAAAAAAAAAAAAAAAAUAAAAAAAFAAAAAAAAAAAAAAAAAAAAAAAAAAAAAAAAAAAAAAAAAAAAAAAAAAAAAAAAAAAAAAAABCx/F3ek5xPo8Pj/kTsgnqE6fH+0/p7n9fHb4WF+vxREPz/jNP9QfZy9HJNX5v7/PqZTl2pY5rz//F9v3T45ET8uVBlRIB/4BNzQhfGTOBZaLWfpFAryiXRzclAEVSFt8zNBuSkSlBD98SgIiUErRJDMhGNCCmAqg8gBjEgSRTBPBLe4pmYgjFQHLg4YpgDCL+HPOEhIE8lkaBJsGS2KqyhGoDBQuO7IhYkVbIRrTWTUiboGEuMyEqHPNzZM+C5xEsAIV8WLWAnt4AE1Aj+4ahNRKSwQ5BIJQaZSSI1fkJqG+AkJAnlkJNw67aBMJ52zf8/V5hJS2KpbuZpq0IblolorUBSnGB3tAlm/isSbhEg/W+ivS69fPh7fY6BI78bdFxHaQ9G0Jkqv2AIm2JFM4mzt5pbO5XgqE97iiHan3xLhNzvZ6c1WPpExyCw7sbubfLMgl+naxcF8rhL7Z8IJhXZjOh1tf+PgE3t6Ql/puEsuszWYetDjgS8DX6/QahI6/YEzgluXqCXCceITQU6e4JHg9glYnrEgT/BOAEvBMOt7dYxaIPQAlQlvq7XyzEwmScV18oJeJITKpMCa0wJ80qBKBKlIKafW9nb2BPbAk5gE0n+iezDWYhIMLQCViTfCAlIl4JAlwnbEgS6sg8FwnGCfIBlA1CSiPd98NLDs8n0oCqvuA==</t>
  </si>
  <si>
    <t>20263</t>
  </si>
  <si>
    <t>B1-TCS-1301C-I6023</t>
  </si>
  <si>
    <t>-I6023</t>
  </si>
  <si>
    <t>@@UU@@C@@AA/iAArQUQpjHMY5zHOZBzmMc50HQgB0qOhBwKQg6kqQpCEKQg6QKUpSgKApKgAApSQKABSgKSkClKSgAFHUkAFKUpAEJQkAEqApSlIUACVJQlKgAAAAAAAAAAAAAAAAAAAAAAAAAAAAAAAAAAAAUAAAAAAAFAAAAAAAAAAAAAAAAAAAAAAAAAAAAAAAAAAAAAAAAAAAAAAAAAAAAAAAAAAAAAAAABCr7/P2nWJ9Xg6P5E4gT0CdvR+0/n5f6+bD4GF8XhiIfp/Gaf7A+3Z2eOarp/v8t3GbNyVc3hP/8X3ffPXIifZjQZbkgH/gE0aUMcYc4FeIWo/SLgrsEtjq6LgEUyFw9LNBolIlKCHLEoCIlBLCJIZkIrQgogKYPIAViQJIogngl3ZMiCKpw2U8MUQBdF/DrnCQkCeQ3hJUz0kyNwCvajBirQvpFPDthKlcVy9PRdEjQBSWGZCVD1dPlume9a4CV0EL/FfsAnxcACawR/cNYmslJYIdoSCUHPKSRGv8xNY2wEhIE/WQk2rI4QJhMzg09Xc8okpZaZaMzRTvoaMImEVpAoTlA72kTBx4ElqEg67cJVzOrLf1VcfYJ3qc8XLCPdQzCV2ZAIlyZZjzVUCZu7XyfBx03rok5S5on4BLBNGujLR3O0TBIL+OD2dvSX6xOHm3L/tWSsE38M94EvLuxnQ4Mn8fGJwb8hLdvz2iV213MF7ghrgS0DJ2GsSNXtiboJtW7gmIT3qhN4o5+YSPk9QlQnpEgT/BNIJaCXsXrxF/eg8wCUiYfRxfPMTCbU4rkxglokhMakwJimBPolcEuCUqQUUel9zPlE9cCTl0TlP9E9V6oviQXm4CVCTd8BKBLQSBLBPiEgSyog+WwTjBPhAxgcwkoj305GHL4/rQFVfY</t>
  </si>
  <si>
    <t>20264</t>
  </si>
  <si>
    <t>B1-TCS-1301C-I6024</t>
  </si>
  <si>
    <t>-I6024</t>
  </si>
  <si>
    <t>@@UU@@C@@AA/iAArPUQpjGMY5jHOc5zHOdCEIOg6EoOhSFIQg4EoUhKEIOhKkqAACgKApKgJApSQKABSgKUgClKSgAEoUkCkqUBKEKQoAEqApSlIUACVJQlKgAAAAAAAAAAAAAAAAAAAAAAAAAAAAAAAAAAAAUAAAAAAAFAAAAAAAAAAAAAAAAAAAAAAAAAAAAAAAAAAAAAAAAAAAAAAAAAAAAAAAAAAAAAAAABCv+Hl7TrE+nx8/8ie+CeoTt5/2n9PH/Xy4fGwvN9kRD9H4TT/WH29HZ5LJ/R/fn2Mh0ZZX5uY//m+7758EiJ+jIgyyyAf+ATPuIZIw7IF+0Ww/OKBXoExx1c9AEVSFw+hmgzykSlBD5YlAREoJYRJDMhF9CCmAqg8wBfEgSRTBPBLgkyIIsnDLVvxTAFwXy9c4SEgTzG2JKqeomRoAstuoVpFGqEYbYw0TTzrUJtASLTWQlQ9N7d0Zq5Ym8TXBGeBLvdu4gJ7ad0BNII/uGkTSSksEOESCUHJKSRGn8RNI5ICQkCflISbf1W0CYTpbb+507XUJKXFc15vd6nM03K9tD9J8YmMVrAqTSB4N4TDyX0lwCQaNS0s1q+u5x09gmN+Hh2qsRHEhriYMWoBEtSRsTia3Bs8N6jBckJb3iOEJ94TEJn79OrT3O0S9IOXNr+8WXhNGjYs3rZWibmCesErXNFPcQzZP4+ITbgTF6bRL1t7Zu17sN6BMYGTsO+JG/oEygmDHlEtE5LBM5Ty6RI+P2CWCesSBP8EzgmMErt9tpdzwfqAlQmH1cHzTEwmCcV1MgJjEkJkUmBLZgT55UCUCVKQU0+t7uzqie2BJy4JxH+ieyuwuiQVtAJYJN4QEpExgkCYhPgEgTFYQfJiE7wJ4gMgHIJKI8HiDjYdbyfUgKq+4</t>
  </si>
  <si>
    <t>20265</t>
  </si>
  <si>
    <t>B1-TCS-1301C-I6025</t>
  </si>
  <si>
    <t>B1-TCS-1311-X91</t>
  </si>
  <si>
    <t>-I6025</t>
  </si>
  <si>
    <t>@@UU@@C@@AA/gAArHSQpTHMdBjHOcxjmOc50IQdCEHQhKEISBSkgShCEIOpSlAABQEqABIAKUBIAAAAClASkCQKQpAFJShKgIApSVKQkAFJApSlIUACVJQlKgAAAAAAAAAAAAAAAAAAAAAAAAAAAAAAAAAAAAUAAAAAAAFAAAAAAAAAAAAAAAAAAAAAAAAAAAAAAAAAAAAAAAAAAAAAAAAAAAAAAAAAAAAAAAABCxeL5O06xPv/kTvgntE9Pb0ey9+3J/XiPGWrHlXp8hR9oeb0dnPOr8/76ujIaNmWL0eU//yeb7qLJFEvPmQZ7MgH/gE3bVLNoDDaLUflF4V84l2KX689Kx0SF9TXBvSkSlBDREoCIlBLbEkM0IxEELlkF+DpALBIEkUwUQS6pMiCJpe70UQtIv4ddAX5iSE2+9vCTqqpiaNKEsePChgSKdcIljljlFImkCSHSbKFM4NGxkv2NZKkEKtb02AUZt8BNQI/uGoTUQsmHGJEoiDlhJRzfiJzDkgJCQJ1SEnw5i0CYnqcPHtfoJF7NolO9uadFOtwT3hOu4S4VqAvryAauAS3jxYVn8QkHXmi9jwZ6+LsEz06PmxeBDXEwW5QOXLM66BNfDq2NWxfr3K6xL+SPXT4Ap4RMom7ZTVPEX7Zdolkg7tGeRmwYROHdobK9+yRNTBu4r1YJWBoElwXfx9AmmBLrRL9um7a1t+HBAYYG4CnsOUSOH2CbIJZdriYxOOsTcKeXkEjw+8SsT3CQJ/gndBMgJVj+GMwaYPWAl8S32/H9cyYllArmygmQSQmVSYJjmCeOV4S8JfUgpp9z39vOJ8IEoNYTiP9E99VZgEgqbwJWJP6QEpEyAkCXCfOJAl1ZB4bhOIE+oDKBxCSiPlgOZhz8/2ACqvcA=</t>
  </si>
  <si>
    <t>20266</t>
  </si>
  <si>
    <t>B1-TCS-1301C-I6026</t>
  </si>
  <si>
    <t>B1-TCS-1301C-XA41</t>
  </si>
  <si>
    <t>B1-TCS-1321-X31</t>
  </si>
  <si>
    <t>-I6026</t>
  </si>
  <si>
    <t>-XA41</t>
  </si>
  <si>
    <t>@@UU@@C@@AA/eAArJUQpjGMYxjHQc5zGOc6UJOdCTpQhCkoQg4EpSBCUpQdSQIABKQKUpSgKUoCgAABQFAUBCgJUlSVKQhKlKSpSlJQkAFKApSlIUACVJQlKgAAAAAAAAAAAAAAAAAAAAAAAAAAAAAAAAAAAAUAAAAAAAFAAAAAAAAAAAAAAAAAAAAAAAAAAAAAAAAAAAAAAAAAAAAAAAAAAAAAAAAAAAAAAAABCw/Br6TnE8f8ic3aBPSJ8/T9f7Ufr3f6+H4/lL1jk+yIh5pclH0B4uXosmy/l/f4eTMdbRLDzfSf/yS+qIMc0cuVBm0SAf+ATcxKYdoDBiFsPxigV5RLo8/joWPJIX82yDblIlKCGeJQERKCW0JIZkIdgyQsgqg8oBhEgSRTBPBLzXMzMQROFdXBFELWL9vPOEhIE1bYkqp6rZ0aUJrrthC1Ip6gRK6V9dQnV0gXtXllGdCyaDVqmWq1rJUghXR92MCfJ2AE1gj+4axNZCyYdIkSiIO9CSji+8TiHJASEgTzSEm4M2MCYT9HY2vOJE+WJdefZ3t0TnxCYhWoCpO4BW7gmDd3vRQk+oSDeyXYMtuDtb/QJrloizv4u2h1RMNN2YDFI9Ewmzbd3CjhqqEsc3Hnjv9sJ+GivfEzCbmuwm0U57ekS6QTZ+wW2CcGTRZvY5e3cpoxUWNoJAGkTfyfx4BN2BLyv3LhJXX6a9+HBAWEDeBT0GsSNW2JnBMN2yJjE7tonXKeLvCR4fWJaJ6hIE/wTcBMgJZd7LjBpg5wEqEx+ns/FMTCYpxXNlBMgkhMqkwJdMCfJKgSgSpSCmn1PZ63UE9kCTlYnCf6J67LTAJBY0Alok3vgJSJkBIEvE4xIEvtIPevE4AT3QMoHgElEcfhDWw7Pi+ZVFV9o=</t>
  </si>
  <si>
    <t>20267</t>
  </si>
  <si>
    <t>B1-TCS-1301C-I6027</t>
  </si>
  <si>
    <t>B1-TCS-1321-X32</t>
  </si>
  <si>
    <t>-I6027</t>
  </si>
  <si>
    <t>@@UU@@C@@AA/gAArKUQpTHMc5jHOc5jHMdB0oQdJ0AUg6koUcCEnAkCUpQdSlJApSgJSpSQAApSgAAAClAUpIFJSlSVKQhSVKSpSlJQlQFKApSlIUACVJQlKgAAAAAAAAAAAAAAAAAAAAAAAAAAAAAAAAAAAAUAAAAAAAFAAAAAAAAAAAAAAAAAAAAAAAAAAAAAAAAAAAAAAAAAAAAAAAAAAAAAAAAAAAAAAAABCx/Dt6DmE8P8icuwE84nzdH1fte/Xsf13bPkIWO99cRDyy7175w7/Jz3V0fj/f3+LMdPelj5fpP/+jv+CiyRRLk3EGeiQD/wCcFimTSBisFqPwi8K8gmWPL4bwEeKQv5NUHBKRKUENESgIiUEtIkhmhDdjQkF+D7QDGJAkimCiCXktZsyCKAwX9cXoAwC/ZzUBISBPHwCSv0X66EaUJ224kK0inOEStleE3d8C08ZvIUzg4uKdUX4XIzJ0ghgvasgFGXqAJtBH9w2ibSUlgh0iRKIg7MJKOP7hOMboCQkCeSQk9e5YBMT83F0/KJFGaJb9HFu8OoTmsEsFcAGBOuBgdQmL2OGhJ6xIOG6yvNVXs5xOPe9vHsQziYcVlwHVyTOadAmfzblV2brV1VCQ5+1L9Je51n2tU51axN0TVfpJ6ad3H0CWyCejqFdQmu7TVw2S0WqZt6ymtwgkAaBPZzfx74mqBLsFokWz7kXRpwa4cMCZQKec2iRxahNAJkt6QlonYrE9cp4+yJHb9IlYnoEgT/BNQJcCVW+q0w78HmAS+JZ59nxTJiZKBXczAlwkhMykwS2YJ8crwl4S+pBTT6HZpzieqBKDAJ1z/RPTVWYRIKm8CViT+ABKRLgSBMonuiQJlrIO5lE6oJ2wMwHvCSiO13Q2sPS8HygCqvrA</t>
  </si>
  <si>
    <t>20268</t>
  </si>
  <si>
    <t>B1-TCS-1301C-I6028</t>
  </si>
  <si>
    <t>B1-TCS-1321-X33</t>
  </si>
  <si>
    <t>-I6028</t>
  </si>
  <si>
    <t>-X33</t>
  </si>
  <si>
    <t>@@UU@@C@@AA/eAArKSQpTHMYxzHQc5jHOc6EIShCEJQhCVHSg6FIAgCkKQcCkqSgAAKQpSgAUpSgAAAClAUpIFKSlSVKQhKlKSpSlJQlQFKApSlIUACVJQlKgAAAAAAAAAAAAAAAAAAAAAAAAAAAAAAAAAAAAUAAAAAAAFAAAAAAAAAAAAAAAAAAAAAAAAAAAAAAAAAAAAAAAAAAAAAAAAAAAAAAAAAAAAAAAABCw+9p6zpE8P8idHCCecT5ev6v2vfrx/17/wfGY1jv/XEQ9Eu/e+YPp5+q/lo/H+/v8WY2tiWHowH//P9Hgogicc+VBnsSAf+ATdxKYdkDBiFvn4ReFecS6PL4byx4pC/k34NyUiUoIaIlAREoJbIkhmhDkwoSCqDxgGESBJFMFEEvJczZkEUBXVvxehaxfs6aAkJAmjcElVRVZQjShO67UQsSKeLWCU8cqK6hOz2gMZ4zYQrJxwcFN9wUxETpBCa1x9toFGTOAmkEf3DSJpIWTDtiRKIg5ISUafuE0jkgJCQJ5JCT0ZrQJifm6mz5RIoyxLtUa2feE6cQmIVqAqTjArd0TBvZ6EnviQetjtsx5LMHD1Cadfu4uFDWE1LsoFuGZ00Cavr8vF5q5V1CUuty/pHeo4p+xIK98TMJ2+7fJ7FlWbD1iXSC9Rr9wwWCaKTNf37ZZ7lO3ivX2wEgDbE0ZP49wTegTHXaJFt1Bs1dyGyBLgKaeo0iRo3RNcEw26olonHgE2ynk9kSOb0iWCegSBP8E3ATICX7vVcYNqDzAJUJb5+D4ZkxMVArmygmQSQmVSYJdME+KV4S8JUpBTT6Hg2tUT1QJQVicR/onpv2GASC+3gSwSfugJSJkBIExid4SBMdhBzYxM4JzAZQOUSUR7XthyMOt4PkVRVew</t>
  </si>
  <si>
    <t>20269</t>
  </si>
  <si>
    <t>B1-TCS-1311-I6001</t>
  </si>
  <si>
    <t>B1-TCS-1311-X13</t>
  </si>
  <si>
    <t>B1-PSH-13902A-B01</t>
  </si>
  <si>
    <t>@@UU@@C@@AA8cAAo4UQhjHOYxjIOdBzGOZB0IQBB0oUhCUoQACkKShSEoQgCVAQAAFJSBQAKUBQAAABKQKApSVKUoCUpUpCAJQoClKSgAAKAoCkJUACFJQlKgAAAAAAAAAAAAAAAAAAAAAAAAAAAAAAAAAAAAUAAAAAAAFAAAAAAAAAAAAAAAAAAAAAAAAAAAAAAAAAAAAAAAAAAAAAAAAAAAAAAAAAAAAAAAABCy/Py9p6xP6E8nAJzfbInYJz9tHydfjPpNVY+tfKemnyB9ns8/3UdNv92ffcenonL6Nnzf/PmomMkTOGCDRokB/4AOjKh+cauyB05bhdQx+qahX8hOiP1/HEsVyrazBfMkzBqEvniiKFhmKIJ0iSIYRohrg6egDMhAkUFkGKCYYIIlyUTEU70UQuMWPR+1IVoUCTz79gG6JSBbZVFCVIZ79RLBMWukThOITOc5uoUtGvOjK1k0As1dFWGKOEAOUEf4DlE5SFlh3RImIg64SY4/UJyJfCSJAn6SJRvZy64CkTvPHq7PEh+849uJ27e9G4hVmEzCtq8QG4JqcNizviQfLdky23ck4ZPj9glePi8PfQ0CW5vBdhQc19ehDJk6uHLhdtRksQ09zN1T1eCrhTfE+ES/Ywju1bmPYntEwlMKdGtXThVltE5cIpxTM5tO9divEtmvu36mQrgEnfA3ELCvPj2v5+YTRuyJVXrTnEsv06Md1u/DswJTi6zkE3hMoJsCZBKhNs4+ITxe4TQJ7RIE/wTdBNUE183vzGnL6wAqE7LjsEy8ArnBLxOYTBSgEkE+q/EJiEqUgx+3v7WgT3wJSVCdw/0T3WFokFZSCWCeMAMwmcEgS8TmEgS+0g8V4nACfEIfREeGQ42HW/DyioCvwA==</t>
  </si>
  <si>
    <t>20270</t>
  </si>
  <si>
    <t>B1-TCS-1311-I6002</t>
  </si>
  <si>
    <t>B1-PSH-13902B-B01</t>
  </si>
  <si>
    <t>@@UU@@C@@AA8cAAo5SQpjHMYxzHQZBzmOc50HOlCEIQc6EoQcCkJSlSVIQdSkgAhIFAUlIAAUpQAAABKVKApIEqUoCkJSpCFKQACVJQAAFKAoCkJUACFJQlKgAAAAAAAAAAAAAAAAAAAAAAAAAAAAAAAAAAAAUAAAAAAAFAAAAAAAAAAAAAAAAAAAAAAAAAAAAAAAAAAAAAAAAAAAAAAAAAAAAAAAAAAAAAAAABCs8mrsOkT+hPLwicnnkJ1ic3ZN8fVSfSWLH2r5j0z+UPu9v5eibor/u79+A9PPKzltl//2ef0XIsieV7EgzXJAP/ABz2IfnGvmA6LL4t4o/WVIr6hOePX+NxYq9Uyt5mgzykSlBDyxKLCGFlKaCW2JJTHGWBKoOYC+hAkSKoJ4JY5MiCJkn34nhaBY5f2nClCYSXNwXQNsSfFermKpSSpCFw26yViT5sySmxyoExHMaEJ3NwXMt9ukqAWrt0bE8d4AOMEf4DjE4yFkw7wkSiIOqElHyfoJxJbCSEgTokJNpxF8CYT1uSzNi8CHsmp3YluUcEaEKb4l8VrXwAZxL3DdWWkSDw4PZZr3s+qWSzu+0Sqjh8PfQ2BK8HFjkclGwh3+TPG7Xq3bb2WtDPov7Muniq2w0iaBO3Nl2Y36dFOCXYJikmKfbx1T4qdesTufLji5REYNOCe0Su7Nv23tYqgEluAbSF0w3Nn+fnEyb0hKcWESrBtZLkZMFemHNAXIGiXUahP3EmBMomsJQJuGriE+j3iZBPcJAn+CbwJrgmxf+F82rOkAKROvAdYlndFcIJaJ4hMSkwJIE+u24JcEpUgo93e2cgnwgScpE0H+ie+6ViQVE4JdE8gAXxMIJAloniEgS2sg8donCCfEIfVEfN4w42HJ+HmFQFe0</t>
  </si>
  <si>
    <t>20271</t>
  </si>
  <si>
    <t>B1-TCS-1311-I6003</t>
  </si>
  <si>
    <t>B1-PSH-13902C-B01</t>
  </si>
  <si>
    <t>PRESS.3 STEAM STG OUTLET-L</t>
  </si>
  <si>
    <t>@@UU@@C@@AA8cAAo9UQhjHOYxzIOc5znQY5znQo6FIUg6EqQhCkqQhKUoQlKVAUpKQKApKgAUBQAAABKVKApIEqUBSkJAhCUqQACVKQAAFKAoCkJUACFJQlKgAAAAAAAAAAAAAAAAAAAAAAAAAAAAAAAAAAAAUAAAAAAAFAAAAAAAAAAAAAAAAAAAAAAAAAAAAAAAAAAAAAAAAAAAAAAAAAAAAAAAAAAAAAAAABCweLu9Z0Cf0J4+yJ4PLInUJzddHa6fpPrMKx9y+Q89PjD7/X+fmo57P7vfhjPP6Jwcmx9v/x5fNTGCKZ5MqDRokB/4APRhQ5YxaQOfDkF1i7+k1CvKJhj1flcWK5VsZg25kmYIcsTAXyZlaJKNkSULYzQDXBzAYUIEiSuCmCYYIIl5YKfii5C3RY5P1pCtCgSdHNu2AahLmtZXFCVIV20FuvgTWEpu6EkCjLNN0SLTmNSFx0TTn042woqBa9FWemOAAOMEf4DjE4yFlh1CRMRB0wkx3PSJxJkhJEgTnkSjdtMQFAnqeLBp7aH7Td24nPtxvRuIVYhMQrYvbA2xNbcvLO+JB8uO/gs2+Oct/f9Yld3e7/AhRmEsxdy2T5qsyHDn7XFw7HDtW37EPh1bOPoo6Mde+JqE04Uz+/HYq3KsM9YlspbT8GWum2rDYJ3bYpuZ5nHu46cgllVHYya18rgEnfA1IXjXuaf58ImbckSq3XErx7NOGveh2IDPA3Ok7wn7iaQTQJfEuibR3uMT6PaJmE9gkCf4JuAmEEz4vdiNnB0ABUJ1YzqEwfIK64JkE8IlqlAJIJ9mS4JcEqUgu+zg05hPdAlJUJtH+ie28WCQVlIJeE+oAMQmuCQJkE8AkCZLCDxZBOyCfGIfPEd9OJhy/j5BUBX3gA==</t>
  </si>
  <si>
    <t>20272</t>
  </si>
  <si>
    <t>B1-TE-13011-501</t>
  </si>
  <si>
    <t>4 x 0.22  mm²</t>
  </si>
  <si>
    <t>TEMP.STATOR WINDING PHASE U - A</t>
  </si>
  <si>
    <t>-501</t>
  </si>
  <si>
    <t>@@UU@@C@@ABACAAsEUQpjGOcxjHOc5jnMc5znQk6EIShKVIQhQEIAhSEIQhSUKQAAEqSBSUgABIAAABIEAUpQFJSlSlIAACUKSgCFJSkAAAUBQFISkCkqOlSgAAAAAAAAAAAAAAAAAAAAAAAAAAAAAAAAAAAAUAAAAAAAFAAAAAAAAAAAAAAAAAAAAAAAAAAAAAAAAAAAAAAAAAAAAAAAAAAAAAAAAAAAAAAAABCwfb4PTq5faJ8P5E6OAE/oTo1dM/F2+TyvjX7/VCSp/SXQF/3+eiqfr+FXoxHolK/g82x/8vu/CUGEkWoMXJAP/AJo6sNqHXZhAwWC349cqBX81OyZcf445hbOzOBBegxSQkSlBD6YlAMRKCXcE/InnSEIEksFUBVB0gFkCQhIuQTwSQhggiTKIImJQs4u97J0ZCRSQBcA2BJAVdNyoxUNMQuHDWJeRoyhFM+aatC6J1YDcKHNrzylW1E1AFEIUQoXMU/69dGa7VvgJyAj+4cYnEQsmHvCQSgjtkko4uoTjHLASEgT1yEm3dzv2gTiZHubVmv2ftzoSmp1+TbnwXcQmIVrHZ4gIEvbN6+M2QSDg9mO1CyL9WW/f94k/037N69FWQS9w4aaQMdGt9dlw58umrd3/dNl38lc/KTRc1s8Rw3dsTKJZwB7tGvs0zahNqQVcmDNTkQwXBO7n05pfQBNo2tvczbstOTlwgl4Cy8hoqP48Il3Ih4JhPDsbVol29G9oqxQ4YW0CHP2nMJvCaQTQJgE8V0T5zm+oTxfITWE1CQJ/YnfBLATRx14/8xm1P7QEpE+OM+ImHjFcgJaJ9gmVSYEkCeW2gSgS6pBcNXDsZxNMCTmKkTdP9Err+UEhIKicErE8gCYhMgJClom+JAltZHjtE4QTgEeaI55ByMOXz+ZAAAPmA==</t>
  </si>
  <si>
    <t>20273</t>
  </si>
  <si>
    <t>B1-TE-13011-510</t>
  </si>
  <si>
    <t>-510</t>
  </si>
  <si>
    <t>@@UU@@C@@ABACAAsAUQpjGOcxjmMcxznMc6EIOdCDgQlKUHSBSEpAhSToSgCEKQAAFJAlKVAABSgAAACUAUpQAJQoCVIAACkKSgCFJSkCgAUBQFISkCkqQlSgAAAAAAAAAAAAAAAAAAAAAAAAAAAAAAAAAAAAUAAAAAAAFAAAAAAAAAAAAAAAAAAAAAAAAAAAAAAAAAAAAAAAAAAAAAAAAAAAAAAAAAAAAAAAABCw+bj/Ht4vaJ8P5E5uAE/oTm7eifX2fX9j51+/84SVP5S5gs9/poqn6vhVz4znlKzDHo//m+78KILScuQY7sgH/gEz9OLKh1Y8YFtotkeuVAr6lOuZcnpyTAGLr2gIK4MckJEpQQ7MSgGIlBLQJNMkIQDTAUwdABbAkISKIJ4JIQwQRJSUTEoX1FAvg9kwUMMCTCRIgC8BpElVRSYp2/ELX0W21iWI38wRgn2JrEL4nTad8odiaKmklOBPALRhm/Tqo2PCAnjBH9w4RNZCyYe4JBKCOySSjX0icI5YCQkCeuQk3f1d7GBOJkd/R3Me51/ryoSmq26vHqomtpyCZBWsdOsCBLKa4sGbKJBwezJchiizBmss94k/0WYvBXFWUSvxW00gZKM/04rxy5turRXte2q66uniJo92e9Gu/3hMwmPwuGMWjBpqn7RN2QYOK/ppyoYbwm7sZpagJtn9t7VsbktF3HhBKwLa0Nmo/jyCX7kOSYTk3N24S/XG/tVY4bYDyQ5QIdrsOMTfE3ATOJaJ5b4m8cfEJ5fkJoE7RIE/sTeBMQJn14Mn+ZDuz+4BKRPjkPiJbwiuUEuE+oTMpMCSBPtuoEoEvqQXjt8WnZE24EnMdInzn+iYMHygkJBUTgmATzgJjEygkKXCahIEuwEea4TWCcAjyRHLxCZuf0IAAB8w</t>
  </si>
  <si>
    <t>20274</t>
  </si>
  <si>
    <t>B1-TE-13012-504</t>
  </si>
  <si>
    <t>TEMP.STATOR WINDING PHASE U - B</t>
  </si>
  <si>
    <t>-504</t>
  </si>
  <si>
    <t>@@UU@@C@@ABACAAr+SQpjGOcxjHOcxjHOdCDoQdCUoQlKEpSkCUKUhCToQlSEISoAFKAlKUgApSgAABSkKAkAFKSlSVIAACkKSgCFJUgAFAUBQFISkCkqOlSgAAAAAAAAAAAAAAAAAAAAAAAAAAAAAAAAAAAAUAAAAAAAFAAAAAAAAAAAAAAAAAAAAAAAAAAAAAAAAAAAAAAAAAAAAAAAAAAAAAAAAAAAAAAAABCxeTh9Onw/qJ7v5E5N0E/oTk08s+jq830vlXz/lCSp/GXIGH2/fRVPz+6r0XEEYMNh//1/b554MRPtZEGUpAP/AJm5vVlQ57rQLLhcMeuVAr6lOiZcf3Y5hbejWAgwQXSQkSlBD6YlAMRKCWwJNMkIQDTD+BELVI5QC2BIQkXoJ4JIQwQRIJTEQs4u57J0ZCRfIA2RIqpopLaG/ELQBixSErRoyhFMcsUasgMCFInNiNooZatbSSnAngForm/OfLz/EAnACP7hviaCFkw9kSCUEdUklGjmE3xywEhIE9chJu72bgJhLXW2bM/c6P08SEp6s+3NwWX7hLhWsevoAgTBvVYRmsEg3fZjyIU2yw7urivHtEsomw27mCeVWUTB4LKqgMdGvx4Lx4tTYq4KcN63jiq/fJo6cxovbYmMSzp+M1INfr0+CjSJtSCvw7JVVlQxXhNrY1Jd4CqfNHF3O7q96WfJw2AmEC3ChrVH8fMJfyoccwmbZxiXq4/bta9V0NkBuQ5QIdbqOITcE7AJriWieO+JtnF8gnj+AmcTSJAn9idsEtBM+9Xj/zGdqfpASkT34z3iWb4rlBMgnziaikwJIE+rJQJQJfUgvGnR2MwmxAk5dSJ3z/RK6/hBISConBKxPMAlwmUEhTIJ3xIEyVkeXIJoBN4DyAQJxRHy/QHCw5vR9iAAAdY=</t>
  </si>
  <si>
    <t>20275</t>
  </si>
  <si>
    <t>B1-TE-13013-502</t>
  </si>
  <si>
    <t>TEMP.STATOR WINDING PHASE U - C</t>
  </si>
  <si>
    <t>-502</t>
  </si>
  <si>
    <t>@@UU@@C@@ABAoAAsUUQpjHOdBzoOY50HQhCFIQlKEoSoCEKUlSgJShCVJUlCQAUBQAJSpKgAAlQAAABKVKSACkqUlQEgSBIFJUlKlKQBQAKAoCkpUACVJSlKgAAAAAAAAAAAAAAAAAAAAAAAAAAAAAAAAAAAAUAAAAAAAFAAAAAAAAAAAAAAAAAAAAAAAAAAAAAAAAAAAAAAAAAAAAAAAAAAAAAAAAAAAAAAAAAjw7fY8L2ddzI/pHedQj1I7z2eJf1fR9Xcnbk78mR+N3dNf03/ddrfn/eXwaX3qz4c7u//3fs7+Kmh9rbhMeKwn/CN55NtHl2NIw2EmvX5LYkk8Mjz3SeDTZJh5t4UzU8doWWtSptVaiVVqW30Wi5FI3lMtWkqZaeJE0Isx0vpaFSlKsXLqkvSfJ+t6WRUMkocCKy0vyNNxjkqTKwwsjNEv2S4W1rbV3i14ayM74WKW4L8s1l2Ihj1sl2r4xHIRP4ONHGqS0qdBFLU9FRZXH40ciaqLIpHksi7h0CyPMeVvsN3lRWOuh1nxOlxZNCNCSeeTzdUUjPx67gkuzop1H6atlGmmf9m5hh6UaHV6bHtoy5Nxg2NoX4Vc+fZu09jNfn5ubTmy8surEzHysfCjnI18NXTblN5rXvYjfWMrfzZN1Fr0X89tNlbiF23XR+DZ4Vv33eTVytJGcbDBG415/PZRkbaOxcjcdDaRjzb9nZ3suxU0VJtCpu+hyo6SN8jdRoRjR0XX6yO17UbqPWikf4jiI0Ee/p92lwYcwjIj1bD1Iw6iSbJGpH0I2pFxFiPr1YkYkZJFMfr4+fuI91IvZEcT/Ue3KzIprLyMqO2I0o2SKRqR0kUjVmV9OpHIR0xyikdyqt2j5pU3Pw7xEA94</t>
  </si>
  <si>
    <t>20276</t>
  </si>
  <si>
    <t>B1-TE-13013-507</t>
  </si>
  <si>
    <t>-507</t>
  </si>
  <si>
    <t>@@UU@@C@@ABACAAr/UQpjHOYxjHOc5jnMc50ISdCEHSBKUoSlKkIUlCDoQgBwIUkAEAAlKVAABSgAAACkKSlQAKSgAEKUACUKSkCFJUkAFAUBQFISkCkqOlSgAAAAAAAAAAAAAAAAAAAAAAAAAAAAAAAAAAAAUAAAAAAAFAAAAAAAAAAAAAAAAAAAAAAAAAAAAAAAAAAAAAAAAAAAAAAAAAAAAAAAAAAAAAAAABCweXV0a+T9RPh/InP4gT+hOfX+M+ns+r63zL6PVCSp6Zc4X/f+Fyqf2fCr04jolK/g8/n//7pffPBhJ/RkQZd2QD/wCZ+rpzIezHiAsxi349crgr0qdcy29GOYWzrzgQXoMUkJEpQQ5YlAMRKCW2JNMkIQDTAUwdKH5AFkCQhMXYLkEkIYIIkEpiIWcX6PbOkhIQoIA0CRVPQWTt2IWrBgkJWjcyBMBKmWWatCgTqvmjwF1Jrma5OtbUTzAXYBaLs35z5N8BOMEf3DiE0kLJh7YkEoI7JJKNPUJxDbASEgT1yEm3e3YBMJ1h2tGHP1/p40JTU9qXc5Pnw04hMQreHb0gQJf4K8AzXhIPF7cdqFkX+XNgwe8TDw4MW/firKJf02U0gW3M+Ky6ePLtVZrM9NuSeujjuxPHu2Sfho7gmQSzlzYad8Nyq5rEySCvjp0cFWVDDQJmoyy74E1Wxs97dzd+We3kwgl8Cy8hsVH8cwlGRDVMJt26LRKL0c2zVihwwtoEOx+292GoTwibgJnEsE8lQneNXIJ5PkJtCaxIE/sTdBLATPw14/8xndn9wCUifHGfETDxCuQEtE5hMqkwJIE+y24JcEoUgumvTubAm1Ak5ipE3j/RK6/lBISConBKxPMAmITICQpaJvCQJbWR5bROIE4APpAgTliJcoamHN6ftQAAD5gA==</t>
  </si>
  <si>
    <t>20277</t>
  </si>
  <si>
    <t>B1-TE-13021-502</t>
  </si>
  <si>
    <t>TEMP.STATOR WINDING PHASE V - A</t>
  </si>
  <si>
    <t>@@UU@@C@@ABACAAr/SQpjGOc5jHOY5jHMc50HQg6EAUhKEKQlIFAQlCEIQhCAAUoClKUhKlAABSgAAACEqUkAEpUpClKAACUpQpSAJSkAFAUBQFISkCkqOlSgAAAAAAAAAAAAAAAAAAAAAAAAAAAAAAAAAAAAUAAAAAAAFAAAAAAAAAAAAAAAAAAAAAAAAAAAAAAAAAAAAAAAAAAAAAAAAAAAAAAAAAAAAAAAABCr8PP1auX1Ce3+RPF4AT+hPFq/Ofi7fq+t+lfHkhJYPxl0hi9nkopn/T20+W08spYq9P2//0/d46ILCcyoMTyAf+ATX81mVDrtsArtFxR6JUCvUp2TLk8mSYWz9dAEGGC2SEiUoIfwiUAxEoJaRJpleokhIpiZYaYPyALIEhCRegngkh1yZEETBK/QShbwu/6ZwkJFJAF4D4BJSgnvkkLYb0QsLjx4RKkZ/NnCVNGtNhQwCees75Q7k2ippJUATwC3r03onzb4CcgI/uHIJxkLJh7okEoI7ZJKOPzicg3QEhIE65CTd7e7toE4nYGvt2aeze9SEpsGxLd5a79olorUOzxgQJh4acQzZRIOD05LkLIxbeeuv2CY+Gu34sUU5hMXFZgwAXUbGOg+P5M+zT69bHQXZKr/MTRg1ibhvbglwlXFmxabMEmfUJtSCnk2drdqzIY74mxejPL4QJjNLc3c2KV6vRby1glQGPEhnpwn8fMJchzyE/bDp2swk2KPn0U5IbIXKBDb2nMJvCaQTQJWJ0XxNs5uQTo94muJqEgT+xN0EsBNHgqyf5kNuf1gJgE92Q9wmPgFcoJcJ8omZSYEkCfZdQJQJfUgvGrg2tYTTAk5bgE7x/olVXvgkJBSTglQnhAS0TKCQpcJ3xIEuqI6LhOEE3xHliOf6A5WHP9/SgAAHcA=</t>
  </si>
  <si>
    <t>20278</t>
  </si>
  <si>
    <t>B1-TE-13021-511</t>
  </si>
  <si>
    <t>-511</t>
  </si>
  <si>
    <t>@@UU@@C@@ABACAAsBSQpjGOcxjnMcxzHMc5znSdKEpQpSEIShSgKShSUKOg6FAApSgJAhKlAABSgAAoCUqAkClJSBKVKAoCVJShSUqQpQAAUBQFISkCkqOlSgAAAAAAAAAAAAAAAAAAAAAAAAAAAAAAAAAAAAUAAAAAAAFAAAAAAAAAAAAAAAAAAAAAAAAAAAAAAAAAAAAAAAAAAAAAAAAAAAAAAAAAAAAAAAABCxd3l8e3k6BPX/Inf4gT+hO/t/Cfj6fo+l+dfBkhJU+SXeCv1fdRVPz+urw2nhlKvF9eD/5fZ4JQTkjIgxuyAf+ATT5bLkPPjsAxYxa480qBXxqeiZcn25Jhcf56AIMMFskJEpQQ+KJQDESglqEmmVhCCmApg+8AsgSEJFEE8EkIYIIkMqJyULQL7/6TvkiAJhJS54kBfA7AkqlmvVE6FsN+IWyykTCjR5cecJsF7RNWhUJ+VhwlDLRU0/jE1AFECeiBC/en88+niATkBH9w5BNZCyYd4SCUEdMklGvzCcg5YCQkCc8hJve4d+0CcT0hq3se56eHoQlNTql2dmK/aJaK4B3NYECYeOqsZsokHb6MlyGOK/cz4sXqEs48VvwVxVmEr+LHTSBdRqsoPk+XPuVV/tns0VZMNPKTR2uqcd7fEzCW69Gqy/aE+0TsSCrZ17qoQroE4N3czS7IE2jNv8GeqWnJy4gTCBZhQ0XYD+O4JlQ+OQl2HrZZsok9cTGem2GyA7kOUCG90mwT3RNQJpExCc18TdNmsTm9omkTaJAn9ibwJjBNPw4Mn+ZDdn/UBKRPZkPYJZxCuUEuE+YTMpMCSBPquoEoEvqQXjbxdfQJ1oEnLaROE/0TBg9sEhIKicEwCd0BLRMoJClwnAJAl2AjmuE7YJ2hHXEbJBrYc3i7yAAAdQ</t>
  </si>
  <si>
    <t>20279</t>
  </si>
  <si>
    <t>B1-TE-13022-505</t>
  </si>
  <si>
    <t>TEMP.STATOR WINDING PHASE V - B</t>
  </si>
  <si>
    <t>-505</t>
  </si>
  <si>
    <t>@@UU@@C@@ABACAAsDUQpjHOcxjnMc5jHMc6DnOg6EAQhCEoSpClKUlJ0IQhCEqUoAAIAlSUgABSgAABSEpAoAEqUpClKAoCUJSlSAJSpIAAUBQFISkCkqQlSgAAAAAAAAAAAAAAAAAAAAAAAAAAAAAAAAAAAAUAAAAAAAFAAAAAAAAAAAAAAAAAAAAAAAAAAAAAAAAAAAAAAAAAAAAAAAAAAAAAAAAAAAAAAAABCw/Ty9HZx+oT2/yJ4u4Cf0J4uz85+Dr8P1PgX7ccJKj8Zc4VezyXKZ/R7afusIIwVfZ4//5/HNPBhJ9q1BlKQD/wCZ/L0ZEPPZWBisFqjzSuCvQp1TLj8mOYWv9c4EGCCySEiUoIfwiUAxEoJaRJplYQgogM6FMj8gCuBIQkXYJ4JWQBJggiYJTkQtwX4/TOEhIvUEgNkSL5coLJwbsQvougV14RKkb1QbMsFzNM4UKBOnATr2yGWbpvtJNbdAuwC/pRE3mnzfKAnECP7hxCcJCyYd0SCUEdcklHD0icQ5ICQkCeeQk2/krAmE6nRt4tO/1dr1IUTXKdeW9x4qLBLBXAOxvAQJg1U1DNWJB3fTbkQrircy4cPsExasNnyVRTlEq4K6KALbmviuHz/RrbFPFq9e3ZtZKqOQmj16S/d3hMolfDm07V7uzx2CbsiYKeTbnotQquibmzklnAm1t7t/Dl35aLeXCCYAMWBDNSfxzCWofNITNf07Nok2CNzm0X8cNcBnhygQyOs7wnxCbAJoExCd+8June5BO/7xNcTsEgT+xO0CVgmjgv4/8xm5P+wCUCe7Ge4TFqFcgJaJzCZVJgSQJ9dtwS4JeUgunZq2cwmmBJyygTfP9Ev3/fBISCknBL4nhASwTICQpaJviQJbfI8FonACdwDjAgTliOWA5GHW+/nQAAD4AA==</t>
  </si>
  <si>
    <t>20280</t>
  </si>
  <si>
    <t>B1-TE-13023-508</t>
  </si>
  <si>
    <t>TEMP.STATOR WINDING PHASE V - C</t>
  </si>
  <si>
    <t>-508</t>
  </si>
  <si>
    <t>@@UU@@C@@ABACAAsDSQpjGMcxjHMc5zHMc6DoQk6UAQhCFJSlSQIShCEIOhCQAApSkgSpKlAABIAAABKkpAkAFIUBKAJAoCkpSlSAJQoAAAUBQFISkCkqQlSgAAAAAAAAAAAAAAAAAAAAAAAAAAAAAAAAAAAAUAAAAAAAFAAAAAAAAAAAAAAAAAAAAAAAAAAAAAAAAAAAAAAAAAAAAAAAAAAAAAAAAAAAAAAAABCxePwenr5OkT4/yJ5t8E/oTzdfqn4ur7/I/cvoywkqueX4Bb8Pxorn93xr5rj8pStxVy//y+f0UQQTee9BltyAf+ATY/Tnzoe264DHcLbHslQK86nRMt/NlzTi3frsAQWwZZISJSgh1olAMRKCWkSaZWEIK4CqD0nqALoEhCSzFMFEEsEASYIImCVBELSLve+cJCRUQBsiRZPgLpwaYhc9OPHaJhRwUp7sAE1lOiam1CsSXrqO6UuixrmImomAiFAo/Ob2T5++AmoEf3DUJxkLJh3BIJQR1SSUcfrE1DfASEgT2yEm7u3kAmE6HX2seno2ulCU1XH2ZrN3vcmSzKJlFcQ7O8BAmPhrxjNhEg4PfmzoZItlltt+AmLhtyd6uK8wmHix1VAZaOz+2Sk+r69bZs1+La79W9nw1cpNGPScdPcEziXdvR2trBN1iblxMEFefa168yGKkSjb055bAE2i3d+jP3JbF/JjBMIGTChorP48ImZDwSEr07Oi8SfDGirJDigPDDeBDo6jlE3RNIJriYhPFgE3Dl1CeL5ibAnWJAn9iboJkBNffsy/5lNufpASoT5ZT5CY+AVzAl4n2CZ1JgSQJ5L6BKBMCkFJ18GzoE0wJOXVCfSf6JZZ84JCQVk4JYJ4wEuEzAkKXidsSBL7CPtvE4QTfA1AQJyxEuINTDrc3lQAADsA</t>
  </si>
  <si>
    <t>20281</t>
  </si>
  <si>
    <t>B1-TE-13031-503</t>
  </si>
  <si>
    <t>TEMP.STATOR WINDING PHASE W - A</t>
  </si>
  <si>
    <t>-503</t>
  </si>
  <si>
    <t>@@UU@@C@@ABACAAsDUQpjGOgxzHOY5jnMc6EIQdCTpSlCEAQhCEqQpRzoOgCEgQoAFKAhSlKUBSgAAACEqUpQFKQoCUqAoAEJShSQJSkAFAUBQFISkCkqOlSgAAAAAAAAAAAAAAAAAAAAAAAAAAAAAAAAAAAAUAAAAAAAFAAAAAAAAAAAAAAAAAAAAAAAAAAAAAAAAAAAAAAAAAAAAAAAAAAAAAAAAAAAAAAAABCr+Xm8erl9Ins/kTxfACf0Jq+z859Hb8/1PzL93XCSp8kvEF71/jRdn7PZd6sJ1Slfr6en/4+3754MBOWoMbkgH/gE2uuzGh2YbAMGEW/HmlQK+NTgmXF+GKYWz9dkCC9BhkhIlKCHXiUAxEoJZRJpkCmPyJkJEli7B5ACyBIQkUQTwSQhggiTtRNNOShaBfB6JwkJFJAFwDMJKqikwzutELBgwXxLyM4mQIApn15uy8hSJ11m+XGrYi81E1ygCIQohQ69b9KPLRk1uMBNII/uGkTkIWTDuiQSgjtkko5OsTSOSAkJAnmkJNw8G7iAnE87t7lmbz9/0oSmp25b1XLXThEwit4c3EBAl/PdrGbGJB8PotxoWRfx4q6/WJgz14d2/F3IJf0WU0gW0cOWy4c/xbGSrj47k2D37ap+Umj1ZTRc3xMglmPXy5tabUJ3pBnC7p72/dxoV3BNzNklwgTbHJwcOvxSy4+WsEvAYLyGzdP4+MS1DmkJ3O7+1olZejL8m1VihshcYEOzZ2nOJwCdwE2hLBOikTeOfwidHuE2xNQkCf2JvAlgJl01Yv8xG5P6gEpE9uI9omDQK4wS0ToEyKTAkgT67aBKBNZSC4as+bYE24EnMNIngP9Eqq90EhILpOCVCfSAmETGCQpaJxCQJbUR9FomgEziPNEeFOVhydXSgAAHvA==</t>
  </si>
  <si>
    <t>20282</t>
  </si>
  <si>
    <t>B1-TE-13031-512</t>
  </si>
  <si>
    <t>-512</t>
  </si>
  <si>
    <t>@@UU@@C@@ABACAAsASQpjHOcxjnOYxzmMc6DpQk6DoShKAIQlCQJSlB0pOhCUAUoAAIAlKUgABSgAAACUqUpSgKQACEqUACkJShSQJSpIAAUBQFISkCkqOlSgAAAAAAAAAAAAAAAAAAAAAAAAAAAAAAAAAAAAUAAAAAAAFAAAAAAAAAAAAAAAAAAAAAAAAAAAAAAAAAAAAAAAAAAAAAAAAAAAAAAAAAAAAAAAABCq8ni59fF7hPj/Ino74J/Qmv7Pyn8HV5vqfKv3dEJKj0y9AYPh+Nymfp+NPNjOaUsNW0f/5/t++eCsnLUGJ5AP/AJ1+iu1DpxVgVYhcMeuVwV51N+ZbPwsmFxfrmAgwQY5ISJSgh5olAMRKCXYEmmQKIkhDRB6QCuBIQkTwTwSQhggiQSlMShZxe57Zw50JhJSIAugaBJU07UXr5jutMQtxa65CYUbgmUIon2JseBCgT9OnEb5ec2Bvkrk4EQC3Pzm9U+x6u8AmoEf3DUJ4SFkw7okEoI6pJKPD0CahyQEhIE9chJuDt71gE4nsdza3ce37Oz7kJTU7VM29g4p66bBLBXCO33AIEq0379Yz5RIOH25MqGOKsttdfwExaarLMMU5RMPgxUUAW3N7sYrp9H05u7sYNFXdw+/Llqo4yaPfnNV3fEzCWYa8+3em1ibkg0hTx27lORCq6J2tGWXABNmwb/by7Utm3xVAmACvAhmpP45RLUOSQmfRYJhL8bOajFDVAcsNoEObqOQTgEzgnXErE8d4TtHJxieP5ibImsSBP7E3QTECbOm/Z/lhuT/sAlAnysPkJXwiuQEtE5RMqkwJIE+u24JcEvKQXTXw6MwmeBJzHQJwH+iX7/zgkJBSTgl8TzAJjEyAkKWibwkCW3yPLaJpBO+I6ojj8gcTDsc3nQAADrA</t>
  </si>
  <si>
    <t>20283</t>
  </si>
  <si>
    <t>B1-TE-13032-506</t>
  </si>
  <si>
    <t>TEMP.STATOR WINDING PHASE W - B</t>
  </si>
  <si>
    <t>-506</t>
  </si>
  <si>
    <t>@@UU@@C@@ABACAAr+UQpjGOY5jHOY5zmOdCTnQc50ISlCkoUdCkqAlCEIQlKEIUAAFKAlKUgABSgAAACUKAkAFKSoCEqUACUpUhSQJSgAFAUBQFISkCkqOlSgAAAAAAAAAAAAAAAAAAAAAAAAAAAAAAAAAAAAUAAAAAAAFAAAAAAAAAAAAAAAAAAAAAAAAAAAAAAAAAAAAAAAAAAAAAAAAAAAAAAAAAAAAAAAABCs8PJ0a+97RPf/InP3QT+hNf3flPw9fj+x8S+X0wkrvnlzhe934UVT9Pvq82Igi9f5/J//PN5YgsJu1jQZSkA/8Amb09GRDpxYQLMQt+P0lQK9CmqZbfvtmFw/rmAgvQYpISJSghyxKAYiUEs4k0yBdiSEP4lUiS+cAwwJCExRBRBJCGCCJBKYiFnF7nsnCQkUkAbQkVVUXTDQ0xC0AacGCwS+jSJsBFc/YmvoUiejAT7sRD0wuWtqJXJwIgFufnN6p7foATiBH9w4hOEhZMO4JBKCOuSSjh9AnEOOAkJAnqkJNq3MIEwnrdns4NGr17XtQlPVnl8vHgsu4hMQreHTugQJf367BmwiQd32Y8iG9bKyu2y5Z7hKN+eLMU16CrIJe4MF26BbRs4KDm+nY0Vcd3juRzW100k0dWbqjjp3RMYmG5k2dNM2sTbkG+1R39vsVZELKROzo2JagJrcve3fmn3pZ8nJYCXgMF5DNUfx9QmNDmkJp27RL5XHay3cMNkB+2iTkAhzdZyibwmkE2RMIngpE7Zy98TwfETOJrEgT+xO2CYQTPqrt/y03J+oBLonwtPgJg4BXICYxPrE2FJgSQJ9uOgSgSlSC4a+DayiaIEnMV0T5z/RK6/jBISConBKxPGAmITICQpjE7gkCY6yPFjE4QTfA8IECckRy8ocjDl83kQAAD5A</t>
  </si>
  <si>
    <t>20284</t>
  </si>
  <si>
    <t>B1-TE-13033-502</t>
  </si>
  <si>
    <t>TEMP.STATOR WINDING PHASE W - C</t>
  </si>
  <si>
    <t>@@UU@@C@@ABAoAAsTUQpzHQdBznOZBznQhCEoQlCEISpKEKUBKVAQhKVJUlKQKSBQAJUpCgAApIAAApSUgSBSlKSpSVJApQEqSpSkqQBQAKAoCkpUACVJSlKgAAAAAAAAAAAAAAAAAAAAAAAAAAAAAAAAAAAAUAAAAAAAFAAAAAAAAAAAAAAAAAAAAAAAAAAAAAAAAAAAAAAAAAAAAAAAAAAAAAAAAAAAAAAAAAjv5ez4Xq67mR/SO64yPQj1d5967q+b5fmnLJ35MT7sH0GTz3fVg1fJ/eP6877FZr+fn//5+938NNZ3mzCamGwn/CNt+Oyj8tGcX6EmWvGthST7ZHuYJPpz2SX+TcFMlPFaFlrUqbFWolValt5FpJ4FMdWkwotMdPCiayLLqXUtCpSlWMDBUlyTp+W4sisUodBFY6XYmfAaklSZF9+ZGWJhka5qC2Pd1Nm7NDGi9wLpv45iWw3EMPhwYMvSEchE/g5EcipLSpwIpanmqLK5PEjqJposikfhZGDi1hZHkmXxt9bb8qK1K4PdcPWal6L0k/ST8+EUjPm5MbfkwZkU4366ddGil/GzX3+dGsw9NtYtlGO7qL2jYF2bA5u1sYdGXLpv3P2xZa+CVXMyHVYeijdRrfDs7ediwPUjfWNVxzgrh1d1GbURwN5sLcQ0LtquHiu6K23p67MRkF7Kjafvkn89tGujs2R2uDXRfMtO3ztXRU1qOCpsCpzt7zOwj3kbxHPRnRiR0XX6yPj9aNxHpRSP8RxEaxG5n9md0L+YRiR6ND0Iv5Ek1yNKPiRsSMBFiO5pwowoxSKanp5N3aR7KRcxI9t/qPXjZEU1VxGNHKIzo1yKRpR0kUjTkV8mlHvkcY7ApHcqrcp2JU2vB3SIB7Q=</t>
  </si>
  <si>
    <t>20285</t>
  </si>
  <si>
    <t>B1-TE-13033-509</t>
  </si>
  <si>
    <t>-509</t>
  </si>
  <si>
    <t>@@UU@@C@@ABACAAsBUQpjGOgxjmOYxznMc6DpOdB0JAlKEJSlKkqUg6UJQdKFAUoAEASBKVAABIAAABQEoAgAAJSoCkJAoCUKShSQJQoAAAUBQFISkCkqOlSgAAAAAAAAAAAAAAAAAAAAAAAAAAAAAAAAAAAAUAAAAAAAFAAAAAAAAAAAAAAAAAAAAAAAAAAAAAAAAAAAAAAAAAAAAAAAAAAAAAAAAAAAAAAAABCs8vH+WzX1CfH+RPRwAn9CbOX1z8PX9/nfMvN0QkqeeXoCv4emiqfp+NXqxH4ylgs5uX/+XmnC0m5siDLekA/8Amjo59tDpx4gLcYuCPbKgV51PpmW71Y5hcP66AIK4MUkJEpQQ5YlAMRKCWkSaZApiSENMHrALYEhDQTQsUQUQS0wBJggiYJUEQt4X6vfOEhIv1EgOyJFdFJinb0QtdttgmBG8JlC8BKqjbm3cCFQnstO6XnN01t8mvUARCLej85v0mt3ZL9YCcQI/uHEJ4iFkw3hIJQR1ySUeLoE4hugJCQJ7ZCTd/t2gTCe5z9q3c92nqQlNTnl4N+zXTiExCtY6d4DHISzw1WjNYJBq992RDFFmqyyz4CW0YMPgrirIJXw200gY6M9tB9v3Zdyrbw8FW7lnr2tc0RH7Zyaq92xLhLfHl0U6aZ9gl0gq4trd4NMN/IhbSJlzbcswF0+DVvb9Hdloya7ASsC2tDsVH8cglyHHITT2cYmAvx481OGGyA5IbgIc3WcYneE3ATsCWieTaE3zj1ieT5iZxNgkCf2JvAmEEz6r+P/MZ2p+oBKRPljPkJbwiuQEuE5BMqkwJIE891AlAm0pBeNmrdzCbkCTmKkTvn+iX7/zgkJBUTgl8TzAJiEyAkKXCdwSBLr5HluE8IJwAawIE+yIlqDiYdv0/ggAAH0AA==</t>
  </si>
  <si>
    <t>20286</t>
  </si>
  <si>
    <t>B1-TE-13051-528</t>
  </si>
  <si>
    <t>340-C-PUR</t>
  </si>
  <si>
    <t>4 x 2 x 0,75  mm²</t>
  </si>
  <si>
    <t>TEMP.1.2 COLD AIR GEN.SUCT.TE</t>
  </si>
  <si>
    <t>-528</t>
  </si>
  <si>
    <t>@@UU@@C@@ABAGAAsGUQhjHMY5zmMcxzmOdCEIQpAEAOhSkISpSAKQhKkJOhAEgQlQAJUlKgAUACQAApKgKAoCkgQpKkgAoCAIUgCAISkAAAUBQFISkCkqQlSgAAAAAAAAAAAAAAAAAAAAAAAAAAAAAAAAAAAAUAAAAAAAFAAAAAAAAAAAAAAAAAAAAAAAAAAAAAAAAAAAAAAAAAAAAAAAAAAAAAAAAAAAAAAAABCyeXm7jzc3rE5/d/InECf0J3T3+3F9n2vlX09GVKLqZ+4Px9v5dVWPB7sXovKZmy2vz//55/CmCCgzIMaJAf+ATF0fnch+11wGSsWzpjR1TWK+lTroXP6M+mkXDsgQWwXyhJMwQ88TAMRME7YlFCBhgJQrk/QAugSEJKYKYJQhggiQngpLaJWoXn7KQkSP1rZAgDSJOHNViKSoiAIgcuW0SxHBGuzXTsUeqK2AMZMLA9Gc3fmKn1bVrZWRROACIUOqEJWu2emna4gE1Aj+4ahPAQssO+JBMEdspMaugTkXRDIkCdMiUcG9lAoE63eybnXtetCaK9md6zFWcVwlwrYPx7oECW8eRJzFgknZf84mWLOy/Fb3vaJbx811993DZsCZdnDhAspyY8B9Rfy7eKqinN3/Zmx4fCUEFODB8gmUTHybdk1Udwm5LybXFkg0xehbkEv3qtOijfA2KjFvb+tFOK/lyAlWMCipDX01/x4xMiHh0UCbe4XiZbdbDdDdC3gQ3aM/aahPlE2QSoS0TyYRN01cYnk+AmyJ3CQJ/YmYEygmxwY7/8vNNPsATCJ77z3iXcQroBM4niE1lKASQTzZ8AmAStSCo7vo3NgTbgSkzYRO8f6Jjx/CCRIMRSCYxPrATMJoBIUzieISBM+Mg8ecThBOER5YjV9IeBh1+f71AAA+IA==</t>
  </si>
  <si>
    <t>20287</t>
  </si>
  <si>
    <t>B1-TE-13052-529</t>
  </si>
  <si>
    <t>TEMP.2 COLD AIR GEN.SUCT.TE</t>
  </si>
  <si>
    <t>-529</t>
  </si>
  <si>
    <t>@@UU@@C@@ABACAAsHSQhjHOc5zHMY5zmOc6DoQlCEAOgCEoSlKQAQhSkKQhCEAQpSlKAhCgAUACQAUACUqUAAEqShSlKAoCFJUgCAISkAAAUBQFISkCkqQlSgAAAAAAAAAAAAAAAAAAAAAAAAAAAAAAAAAAAAUAAAAAAAFAAAAAAAAAAAAAAAAAAAAAAAAAAAAAAAAAAAAAAAAAAAAAAAAAAAAAAAAAAAAAAAABCs5+XuPLy+sT0+7+RN4E/oTun4u3B9X1vOvSYkmyifsD7vb+XV6Krnuq9FpTM4bPP5//8320hWUZ8qDMyA/8AlXT0Y0P2x4wLLwuH1aOqi8K/gp10Ll+/LtUi39YCCuC2UJJmCHoiYBiJgnZEooQL8BKF6T8QDFAkISUwUwShDBBEhNBELSL0dlISJG7AGkSMeOm5fLjQkQj+kAY8dYmFG7q6GcFzVo2r8w1oQMgdOY8RQ3f12/z6tjE2E1YAIgSCBCKoqiqnv4KV3gE4AR/cOAT5CFlh0CQTBHbKTHB0icK5oZEgT1SJR5Ny0CgTrdyzZ68/rQmi9qT4MOC8WCWCtQ62kDekSvfsSahIOzJ4xMUYezTnr8PtEr37LclnLk3a9AmTWqqArpv4orulvDrmC581+vV0ZMN/jqkl9m/c2xMomPg2e/N2juE1JeHYtxoaXDWJtbWWdwDX0b/g3M8YLeKsEuVAUYENSNv+PpEzIcmagS7x7ETaJinUv2Q2QtoEOftOITxCawJoEwic14TaOLgE5vgJoE7hIE/sTSCYwTR8dVv+Wmmn2AJfE99p7xMW8K5gTKJ84mdSgEkE8uW4JcEvKQXTu3tnQJrwJSZL4nhP9Eqq+EEiQYCkEqE5wEyCZgSFMon0CQJlqIObKJugnIB8oECckRx8YcTDo9PmQAADvAA==</t>
  </si>
  <si>
    <t>20288</t>
  </si>
  <si>
    <t>B1-TE-13053-530</t>
  </si>
  <si>
    <t>TEMP.1.1 COLD AIR GEN.SUCT.EE</t>
  </si>
  <si>
    <t>-530</t>
  </si>
  <si>
    <t>@@UU@@C@@ABAGAAsGSQpTGOY5jHOcx0HMc6TnQlCFIQlCEAQpCVJQhClIQpCUJSpQFKUpCFAUAClAAoCkqAoClKSlKkgAoCAISkCAISBAAAUBQFISkCkqQlSgAAAAAAAAAAAAAAAAAAAAAAAAAAAAAAAAAAAAUAAAAAAAFAAAAAAAAAAAAAAAAAAAAAAAAAAAAAAAAAAAAAAAAAAAAAAAAAAAAAAAAAAAAAAAABCxcni7D7PD6hPJ7P5E3gT+hOyW/1/Ty/W8q+bm0knbRL7g/H1/l6b1lPsr/PIUSlgwxV/+n9/4UwUlHjyIMs0gH/gEq5vLjQ9GPGBbULgOf09udQr5lOia5f0uyndpFs0wIMUF0kJEpQQ3olAMRKCWoJOaBfgJIVSP1ALYEhCRRBRBJCGCCEkw4JToJyktIvk6aAkJHfYA1hIx0VE2mIQttwCVo0LT+3bZgTv3s8/PWJLAhAHNce+TfPo1fRicO1FNd8CIBa8U+ejubwCcII/uHCJwELJh0hIJQR1ySUcPMJ8a5YZCQJzyEn3trGBMTQ7XRbrdE/UhKdWiW3grqMQmIVsHT1gN6QmH4sSSsEg6dLg76G9mMk7enZqvW7nrEt4MeW63fs0CY/FqV1gYKcWPDePlLvBrWXuLN1bvHmw38RMg6uKncEyiY+Pu6sr0+wTZk+HX2NfZuQw5m0Tb0ZpfABqaNjc72eK8u5hBKbAK0NFn8fQJch8mWYl2rrFwluFpv44cUBRDkAhy9ZxibgmgEziXxOSoTYOPiE5PcJnE7BIE/sTXBMYJn+GzJ/mQ16OoBL4ntyHtEt3xXKCXCfOJmUmCSBPtupEpEqUgvHZu+9nE1IEoNK+Jtn+iWWe6CQkFZQCWCfUAmkJlBIUuE+YSBLrCDluE3QTdA4AIE8ERLgEzeXxqAAB2gA==</t>
  </si>
  <si>
    <t>20289</t>
  </si>
  <si>
    <t>B1-TE-13054-531</t>
  </si>
  <si>
    <t>TEMP.2 COLD AIR GEN.SUCT.EED</t>
  </si>
  <si>
    <t>-531</t>
  </si>
  <si>
    <t>@@UU@@C@@ABAEAAsISQpjGOYxjHOY5znMc5zoQhKEoQhKUoQpQFKShCVJOdCUASgClAUhCgAUACQASACkgUAAEAQlSlKUBSUqQhSVKQoAAAUBQFISkCkqQlSgAAAAAAAAAAAAAAAAAAAAAAAAAAAAAAAAAAAAUAAAAAAAFAAAAAAAAAAAAAAAAAAAAAAAAAAAAAAAAAAAAAAAAAAAAAAAAAAAAAAAAAAAAAAAABCt5fJ2Hl8nUJz+3+RN8E/oTslwddf0fS8q+kwpK2aXmD6/Z93TzWUe2zmyFspYJvN5//l55pQXyV2RBllkA/8Alnp9GRDoxYgMNIt/8unWmpFfsU9cy5ea7bnFr1wIMEGSSEiUoIeeJQDESgl3BJpkCqAkhTI+0AwwJCEieCeCX5wBJggiZiIlORC0C+j9ZwkJFPgkBuCRUuPHTYUNLEDixWiYEZ0KM7FM1Gif8ZwPvrEvoUIerKd0mdbp/CWFtJU3gIgSCBDdqwT9GW9o4AE1Aj+4ahNJCyYd4SCUEdcklGr1CcK5oZCQJ0SEm+LdxATCbD37dr1/p1ISmpo15r3wX66y0S0VvD8nb2gIEt8PiwpNfEg6se2hZ4Mc1vVNnw/D7BLdOG7JX4bNAluvVUBZPg48xVgqMfjs2aPFLa+Pbusq2IIdNc/eEyiW6drYlem7BM0nVs7eJCzgwCQd/u3S0Aa+e/u72WK8e7aCUWAbNiGfvfx8wmZDx55hKuHZi4TDg0V44cMLcBDnvdZqE+cTYBNYSgTkpE3Dh0icnvE1hOwSBP7E3ATECaN+zJ/mQ3J/2ASoT3ZD3CYd8VyglwnyiZlJgSQJ5bqBKBKVILx2cHc0CduBJzHUJvH+iWWe+CQkFZOCWCcoCYxMoJClwnGJAl1hByXCb4JxAcYECcURxSDhYc/P9QgAAdo=</t>
  </si>
  <si>
    <t>20290</t>
  </si>
  <si>
    <t>B1-TE-13061-532</t>
  </si>
  <si>
    <t>TEMP.HOT AIR GEN.EXHAUST</t>
  </si>
  <si>
    <t>-532</t>
  </si>
  <si>
    <t>@@UU@@C@@AA/8AAr+SQpjHMc5zHMYxzmMc6DoQlCUIQpKjpSlCVJQhSkJOg4FJUpSlAUk6gAUAAFAABIEgUpQEqShKVKABSUpUkCFKQBIAAUBQFISkCkqOlSgAAAAAAAAAAAAAAAAAAAAAAAAAAAAAAAAAAAAUAAAAAAAFAAAAAAAAAAAAAAAAAAAAAAAAAAAAAAAAAAAAAAAAAAAAAAAAAAAAAAAAAAAAAAAABCr1/JsOboE5vZ/InECf0Jslx9Pf+r63Wvl833JNZPLwB9/r8XpopvezD+FptylVXkl//g8P23oKycuQYnkA/8AmDz+S1D02WAV3xcWX9JUCvkU55lt8VsuCcXPtgQVQWyQkSlBD44lAMRKCW6JNMIYYZIX5HlALIEhCRPBPBJCGCCJBK2clC3hfH+04SEjuMAUAb4ksdJRhJy/BA895ceOsSpGhC/f2mWGiua91/xpErQ/Pz5ThMIP5bljWSnAogFoxTeiJ83GAmkEf3DSJ3SFkw9gSCUEdMklGnzCcq3QyEgT0SEm7ejGBMJzvY0Wbu/z/r0ISmw7ksFV+/YJYKzJ1dQECU6eSpJsgkHRbxIWRi6O33c5ZGDP6xK9Nl3qy5KuSrbEt6tNIFU9mK8XfQfHmw73cs+Dl611WDvExBy4dVHaEzCY+Xf3qM82wT35Nu/o3tGZCuwTO0aNqXCBwbmbs9qUYLdFQJgrpApQz2/x9IlyHekJPu7xcJXTmMHDDVC3AQz5Ok1CcIm4CZxMQmu+J7xq0ia/cJtibBIE/sTrgmMEz8lNv+WnBP6gEwCe209olnwiuUEuE+cTMpMCSBPsuvCXhL6kFBs497OJuwJOZMAnZP9Epp90EhIMJOCUiawEyCZQSFLhPmEgS6kg79wnxAnEI6ojl+UNLDtc3hFVVeoA</t>
  </si>
  <si>
    <t>20291</t>
  </si>
  <si>
    <t>B1-TE-13065-533</t>
  </si>
  <si>
    <t>TEMP.HOT AIR EXC.EXHAUST</t>
  </si>
  <si>
    <t>-533</t>
  </si>
  <si>
    <t>@@UU@@C@@AA/8AAr/UQpjHOY5zHOcxjnMdBzoOlCkIQhJzqUk6QAQhSUHQhCFIUoAEgUo6QAUAAFAABAEgUpQFKUhSUKAACUpUkCFKSlIAAUBQFISkCkqOlSgAAAAAAAAAAAAAAAAAAAAAAAAAAAAAAAAAAAAUAAAAAAAFAAAAAAAAAAAAAAAAAAAAAAAAAAAAAAAAAAAAAAAAAAAAAAAAAAAAAAAAAAAAAAAABCwa/m2HV6ROr2/yJwgn9CbJcXb9Pi+p1r5PL9qTVTy6Q+72ff6LdNr23fwxG3KV/B09P/x4/sngwE+/jQZZZAP/AJe835Y0PRhwgV0C3uv9JWxXyKdky2fjizzi5u4BBfgxSQkSlBDtxKAYiUEt0SaYQuQ0TISOsAqgSEJE0E8EkIYIIk34mnIhbQvV+04SEjcYA3hIrnoJi1BA0lVV4SlG0hbxhFC3LeSfrldEvIdnmnAsNJcBtdz88m9PU3SegC7ALdwTeeJ8PEAnICP7hyCaiFkw6BIJQR2ySUcnlE5VshkJAnnkJN39FYEwnY/Fg3d/s/X0oSmubcvVpwUViVitKbnKBAl7VfS1NhEg9WLhQ6KpUd25qy4Iyx7BOSrFlsqp8F3KJXmppArnq+e/bPX4Tou7V3iObgxU0X+MnI4+a33hLBKuXg+G3km2CZ6pnFu6q8+NCqsS06MmjJN3wN7NX3tOaLs+fACXKqQKUM2f+PoExodEhJ97gLBMFO03NMN+FsAhw9pziaRMwJlEvCa6BNBz8omv3ibYmwSBP7E7oJWCZeOnF/mI35/WAlwT3Yj3CVahXGCWCeETaUmBJAn12WhLQlCkFs2fJu5RNyBJzDcE+M/0Smn3wSEguk4JSJ4gEwiYwSFLBOcSBLKSDXYJ4AThA+UCBIiOZNTDtdXjFVVfgA=</t>
  </si>
  <si>
    <t>20292</t>
  </si>
  <si>
    <t>B1-TE-13081A-516</t>
  </si>
  <si>
    <t>TLH KX</t>
  </si>
  <si>
    <t>1 x 2 x 0.5  mm²</t>
  </si>
  <si>
    <t>TEMP.1 FRONT GEN. BEARING</t>
  </si>
  <si>
    <t>-516</t>
  </si>
  <si>
    <t>@@UU@@C@@ABAOAAsKUQpjGOcxjnMc5jmMdCDpSlCDoSk6UJSpKUJOk6lHOhCUqUAAFKQpSlKABQAAApSgKUoClISBCQASBKUpUpCQISoAAAUBQFISkCkqQlSgAAAAAAAAAAAAAAAAAAAAAAAAAAAAAAAAAAAAUAAAAAAAFAAAAAAAAAAAAAAAAAAAAAAAAAAAAAAAAAAAAAAAAAAAAAAAAAAAAAAAAAAAAAAAABCxfP8fScPqE+Ll9n8id8E/oTplq6OOr6n5l5fvGXkml9gfj6/y/W9PV7KvzyHilKvF92T/7ZvwiuRE3iyoMr8gH/gE81FqH6Y8QFeMXLX6JpXhXlU9My279swufs9UCDBBbJCRKUEPJEoBiJQS3RJphCmGmDcnQ8YBZAkITk0FEEkIYIIk1zynkRC0C8nPOEhI4EM6EMgOuJFt16onL0EDbbWJhRos22U/UlotrQqE8u0U+OIpCS5PLa1k1CBfhDmhQp8k/nifrXtICawR/cNYkfCSWRD2xIJQR0SSUa/MJsXLDISBPRISbg6natAnE5m3VZfAz83p50JTcGCXcxXrBLBWod3vAQJVs3hlWJBz5NKGLZEsPfuzYu7v4vWJhvE1Gyy64+C/mEsspppAwUbmCgv/seCm3d72nTRbglWTEGirRex9oS0THq3jaL8ukTsSeHRw69/aQrxCdl0bcd0DLu9Wv3+5mjrZcQJhwgVIZsP8fIJchxSEzlgmGq694IcMLYBDl6DwidsS4EyiYROO+J2Dw8QnH7hNsTpEgT+xN4EsBM2rBb/lpnn9QCUie209omPUK5QS4T5RNpSYEkCfXdQJQJfUgvHTpz5hNyBJzJSJrP9EwYPdBISConBMAn0gJkEygkKXCahIEuwEH0XCawTSBqAgTiiNnCGxhzcn2qgAB7w=</t>
  </si>
  <si>
    <t>20293</t>
  </si>
  <si>
    <t>B1-TE-13081A-517</t>
  </si>
  <si>
    <t>-517</t>
  </si>
  <si>
    <t>@@UU@@C@@ABAOAAsIUQpjHOcxjHOc5zGMY6DoSpCUHSgAEIOBSFIQg6UIOlCQKUAClAQlIFKABQAAApIFJUoAEqQBClAUBCVKUhSgISoAAAUBQFISkCkqOlSgAAAAAAAAAAAAAAAAAAAAAAAAAAAAAAAAAAAAUAAAAAAAFAAAAAAAAAAAAAAAAAAAAAAAAAAAAAAAAAAAAAAAAAAAAAAAAAAAAAAAAAAAAAAAABCx+X49h4vUJ8XV7P5E5AT+hNktXd0U/O+RerzjL8JpfSH2evs9F+en2U+is6ZSxY/q83/2ef672ORE/TmQZbUgH/gE9N65D868oGOsXaxflNK+K9Sn6zLZpsmF8HBuAQVQWSQkSlBD3olAMRKCWgSaYQohogmQ+4AyQJCExNBPBJCGCCJOGeU8iIW8L09s4SEjiQ76EMgPAJFd6gmL0EDZXXiEwo38zE2eW9XiQoE679x95RRBwVGSFraCa8gUQh1woU78/pifvcQCcoI/uHKJHhJLIh4BIJQR3SSUcvWJzLdDISBPxkJNw59+sCcTseTJfA0dn6dqEpuGntm+CWPBlEyitQ9/iAgSrXToGbGJB22caGTXEsXDdnyfDi9YlV4mn15LbTw4M4mTBgwAUz7mWq+S/Y8dFmbVyT57KpuTGTkG5t72CvfEuErx5TMYJbBN2T4rduWjMhhxCanRmjSBbp2+bg0549+7GCYcIFKGfD/HyiWoc8hN0yiYabb/jhwwuUCG7uOcTSJaCXCYROjAJvHPrE6PcJtCbBIE/sTQCZQTPqqs/yw3Z/UAlAntsPaJk1CtwJaJ8gmZSYEkCfRbeEvCYFIL5s493OJuQJOV0Ccx/olVXugkJBSTglQnlASsS4EhS0TUJAltRB5LROYE4wNQECa4jX8wa2HP9vmVAAD3gA==</t>
  </si>
  <si>
    <t>20294</t>
  </si>
  <si>
    <t>B1-TE-13081A-518</t>
  </si>
  <si>
    <t>-518</t>
  </si>
  <si>
    <t>@@UU@@C@@ABAOAAsIUQpjGMcxjGOc5jnMc6DoUhKUIQhQEIQlSkoQhCEHQlCQKUAClAQlIAKABQAAApIFKUoAEqQBClAUBKFKUhSlISoAAAUBQFISkCkqOlSgAAAAAAAAAAAAAAAAAAAAAAAAAAAAAAAAAAAAUAAAAAAAFAAAAAAAAAAAAAAAAAAAAAAAAAAAAAAAAAAAAAAAAAAAAAAAAAAAAAAAAAAAAAAAABCxeX4tR4vSJ8PV6/5E4gT+hNUuPu6K/lfIvV9Iy++aXzh9fq7PPTPX66/PkOmUsOLB5v/yfR9VBBE3TmQZZ5AP/AJ10XofldjAw3C58P4zSpFepT9Jly72WYXa3dgCCyDLJCRKUEPTEoBiJQS2hJphCqGqCZD7QDHAkITE0E8EkIYIIk2zynkRC0C9PbOEhI4EO+hDIDbEjJRUTFEEDddaJYjRuazLNRrzZMKFYnozHvFLXu5Gy0iehDFAFUAtC1fdP1xRr9evwAJygj+4cokchJZEO8JBKCO6SSjl9AmldEMhIE/CQk3wa29eBOJ2PFjpA2+z8+1CU3hrl7+GnGJjFax2dgCBK9O0MsIkH65OBDFp7ZTYd/Nox+GrF6hLaSbmppuvvOSrQJdXgwAWT96ugyfseOVVsuDk47LrKpiYgyZ9ynHuiZRLuHvmc4qptQm3J8W5hzbmdDFjEwu1njwAV+DX93e39EbGbECW2gVoaLf4+QS9DnkJslwltd9PjhthbgIc3cc4m+JeCZhLROjAJuHPzCdHtE1hNQkCf2JtAlwJo4bMv+ZTZn9ICVCezKewTHxiuYEvE+MTOpMCSBPmvoEoEwKQUmrh2dAnegScyVCaT/RLLPbBISCsnBLBPKAmQTMCQpeJxiQJfYQeS8TSCcIHGBAnPEc3KGlh0fZ5lQAA9wA=</t>
  </si>
  <si>
    <t>20295</t>
  </si>
  <si>
    <t>B1-TE-13091A-519</t>
  </si>
  <si>
    <t>TEMP.1 REAR GEN.BEARING</t>
  </si>
  <si>
    <t>-519</t>
  </si>
  <si>
    <t>@@UU@@C@@ABAKAAsCUQhjmOcxjHQcxzmMdBzoAhKDoQlKEJSpSkJQhCEqQlSAASpQFKQpQFKABQAAUBQEqUBKgIUpSVAApKVKUhKlJQoAAAUBQFISkCkqQlSgAAAAAAAAAAAAAAAAAAAAAAAAAAAAAAAAAAAAUAAAAAAAFAAAAAAAAAAAAAAAAAAAAAAAAAAAAAAAAAAAAAAAAAAAAAAAAAAAAAAAAAAAAAAAABCyfH4Os6RPs9P8id0T34E/oTrnh6ubD8r8S/d9Izkon5w+r0eLow4K/TX9eY55nWyeHZ/+7w4DWgijnzoM68gP/AJ5Kb0Pyy2ga2UXH+M6KMIr9qn6ULd4rqBdvo2QIMcF0oSTMEPPEwDETBOoSigQqhqg8YBbAkIUoUEQYIJ0QBLBBFDrUzgkiFwi8/nwBIkakMyEMgbYkXU1FBTBA5s2MSxGnQxRpm3JjQqE8l54zE4bWsmgCmEN6FDHij76fLShMaKV3wE4wR/cOMSOIlZId0SCYI6pSY4/wE7y68MiQJ5ZEo9nJ2swGATofz4DLiA1dHm86E0btk9vJhyiZRWsdrkAgSvu7YzviQfrdvocVpOPlz7GTf9z0CRbjw0xbdcdPHTpEy4K6qgLKeDDZhM37HLNdV837V11lNW4YCDJVuYt4S4S2vtdg18U9YmqXv7fbxbmdDWyCcTubGiawKdqnY3N3e0Rs56wSwCpDTZ/HwCXocsiai0Syu/D7cOOFtAhv6jkE7gmkEziYxObEJ2Tk7wnN6xNAnWJAn9ibYJlBNPtWXf5casHSAlQnquPUJbwiucEvE94TXUoBJBPmvpEpExKQYTr4NWkTsQJgM1QnCf6JZZ64JEgrMAJYJzAJmEzgkKXieASBL7CD4bxOQE4AOICBPdiO/8gcjDp5/oRAAD2AA==</t>
  </si>
  <si>
    <t>20296</t>
  </si>
  <si>
    <t>B1-TE-13091A-520</t>
  </si>
  <si>
    <t>-520</t>
  </si>
  <si>
    <t>@@UU@@C@@ABAKAAsBSQpjGMc5zHQcxjmMc5zpQBCDnUdIEIAoCEJShB1HShSFKUBIFAQlQAKABQAAUBIAJUBSQHUpSVAApKVKAhSVJSkAAAUBQFISkCkqOlSgAAAAAAAAAAAAAAAAAAAAAAAAAAAAAAAAAAAAUAAAAAAAFAAAAAAAAAAAAAAAAAAAAAAAAAAAAAAAAAAAAAAAAAAAAAAAAAAAAAAAAAAAAAAAABCxfR8249Qn3e3+RO6J4IE/oTdLm7Oqn6Xwr+HjGWKaX1h9ns6/JTPg9uDyYzbKW9ijxf/jl458MiJ9tyDLJIB/4BPNRah+ldYGLELh/OWWakV+9T0TLb9trMLo698CDDBbJCRKUEO2JQDESgloEmmEL8N+DygFcCQhQhMRBPBJCGCCKAmYcNE1EiIWkXb6ZwkJFaHKyA0iRjov0EQs5EEDZZhEqRoysTZpV0tSEL5sZZ5S81TVtRKcCmAWn8ZvPOhKMvKAmsEf3DWJHOSWRDqEglBHZJJRr/IT4luhkJAnnkJNx8GrGBOJ1vIV0gcPX+vpQlN3MHom4sV6wSwVqHh2AQJVr0jLkEg/a7kQ5q/kibe6c2/X3dnsEizepKLLrjmoziV3714DBPbgoLPWfH68Es+qrPZjw38F6InIJZdVPEJaJi1cBlpluEtk5Oi7v2aciGKsTW6KauPNP8IF7ho3+Lj7cVcGXACVAX0O3V/HziZEOmQmksEqwXU8sOGFrAhu7DoE4xM4JkEwidV4TuHRsE6veJmE3CQJ/YnwAlgJn01W/5aaJ/UAl8T3WnuEr5xXICXCeATKpMCSBPquoEoEvKQUm7vaM4nBAk5jvibD/RKqvfBISDATglQnhATGJkBIUuE+USBLqiDquE74J3gOcCBOmI6Ngmbb4kQAA7Q=</t>
  </si>
  <si>
    <t>20297</t>
  </si>
  <si>
    <t>B1-TE-13091A-521</t>
  </si>
  <si>
    <t>-521</t>
  </si>
  <si>
    <t>@@UU@@C@@ABAKAAsBUQhjGMcxznOc5jnMc6EIUdKEHQlCkIUoCEISlCEoShKkgUBIFAQlQAKABQAAUBSlJUACAIQpSlAApKVKAhSVJSkAAAUBQFISkCkqQlSgAAAAAAAAAAAAAAAAAAAAAAAAAAAAAAAAAAAAUAAAAAAAFAAAAAAAAAAAAAAAAAAAAAAAAAAAAAAAAAAAAAAAAAAAAAAAAAAAAAAAAAAAAAAAABCx/N8nYekTp9n8icInigT+hOye7181fzvjX7/IM46J+kPt9fVz103/Zf58p0TOLHk+v/5+zyTikiejOgzokB/4BPLVch+luQDFaLh/OdaisV+5Tz0Lm581Aurq0gQYYM0oSTMEPTEwDETBOoSigQshsg/AAyQJCFSFBEFMEoQwQRLhproiqgiFrF6fRSEiRkQ4WQNsSLFy13ytCoiCBttxCYUatDFGtNtbgQhfLjPxK3KZG+TQBVALVuUealCY0auABOMEf3DjEjiJWSHcEgmCOuUmOP8hO8ueGRIE80iUfD2tzMBSJ1PAZKwNnq/X0ITRuX53fPjvWiWiuAdrkAgTBs6hnfEg/a7fQ7uQnD4NGxj3+94fWJNuK8V23XHFVriW2XrwF+nFfqLfUeCy7HZZpy04L22UEHq0R2690TMJky4tJnv2UdgmzLy1bXJp2NCGS0TW43e16PiAq01ad3e2I2dGm+CYALEPfpwfx8olyHxyJn2zKJiw573BDjhcoEOfrOUTeE2ATWEwic14T4Dl5BOb3Ca4nYJAn9idsEtBNfVgzf5mNVPpASwT25j2iZOMVzglwniE0KUAkgn0XVCVCXlIKzs4drXE7UCUmWwTvn+iYMHugkSC+UgmATxgJlEzgkKXCeESBLsBBzXCdwE7gHEBAnhiO/IcjDrdH1IgAB7w</t>
  </si>
  <si>
    <t>20298</t>
  </si>
  <si>
    <t>B1-TT-13101A-M4001</t>
  </si>
  <si>
    <t>TEMPERATURE 1 IN CONTROL OIL TANK</t>
  </si>
  <si>
    <t>@@UU@@C@@ABBAAAsvUQhjHOZBjnMY50GOdBzoOhCFJOhKEpQlSEgUlCEIQlKQAUlKlASpSlAUBIFJAACVKAlKlASACEKABSgIUlSUqQACgKAoCkJUACFJQlKgAAAAAAAAAAAAAAAAAAAAAAAAAAAAAAAAAAAAUAAAAAAAFAAAAAAAAAAAAAAAAAAAAAAAAAAAAAAAAAAAAAAAAAAAAAAAAAAAAAAAAAAAAAAAABCt+j5Or7I83OJ5fJ8v9CefgBOkSeqjh6PpPG/Uv28nmuh8nLRf+4M/spn8P0s/uvXyHLyTbj2K//nz/fNMkTmyoM55Af+AT8uZDLzY8QFuMXDEUivKp+tC+jFIu3ZrgQVwXShJMwchLyRRCFCwzFEE6okgaiEKFcMwfiAYoEhCSqCmCc/wyBQwQRhvNtMxZqEwtYtSHJ67wSJAm/swyBpEgDDXfgoC8N+y6tG0S/e9LPpQtvaKe1WJrGQpaNnRnua5iN87WoCFeHDppnF3AE4gR/gOITiIWWG4SCYOiZSI4vzE411oZEgTmkSjez7FwFInAG3i3t2oD1ae/60KKMEbuzqb1WK4S4Vwhx/EB8ciW7fqtSiwSDJva2rmt3O3oxW/tb7BLaqim6c4mHJeuygRTva9+k58R3abq6Mebw3YL/Eh4Cu8Tf09fUs7ImUTFbooxk1U9QkPW4dNm3t5kLbROxk2eu5p2gJ62e/os3Oxrxe2s+MEqQsXLFGja1bUJ/n5hM6GmRMP72GQSzBbmswd+HHC3AQ5s3Qd0TsiZgTOJiEqE3Dj4RPF7hNgT2iQJ/gmMExAmvj9+M0284CVCdOqdIlvAK5AS4TwCZVKASQTx3XhLwlSkF/27uzmE98CUlQndP9E91ZgEg1CkErE+cBMYmQEgS4TwiQJdgIPFcJ3gTuAdsCBPriO9Ib7Dm9HlABAD4A=</t>
  </si>
  <si>
    <t>20299</t>
  </si>
  <si>
    <t>B1-TT-13101B-M4001</t>
  </si>
  <si>
    <t>TEMPERATURE 2 IN CONTROL OIL TANK</t>
  </si>
  <si>
    <t>@@UU@@C@@ABBAAAssUQpjGOcxznMY5zmMc5zoOg6UpOg6kISlCAKUpR0oQhKAASpIEgUpKgAUBIFJAACUqAlKlASACEKABSVJSlSkKSACgKAoCkJUACFJQlKgAAAAAAAAAAAAAAAAAAAAAAAAAAAAAAAAAAAAUAAAAAAAFAAAAAAAAAAAAAAAAAAAAAAAAAAAAAAAAAAAAAAAAAAAAAAAAAAAAAAAAAAAAAAAABCr8Hd6vtjy+wTx+Lv/0J5tgJ0iS6pu30XTwv1r5OXy44fFzTXPuDN7Z5fh6qv7vZ7Tm5ZV4vJ5v/l980qpESv2oMs8gH/gE/L0oW+nFhArxC4IicV5lP0mXz4ZC7lWcCC9BqkhIlKDlJPLE0ITLDKJoJYxJAUoQoXoZQfiAYYEhCRdgngltdf0TATsEEVXGaIqpJQt4W4hzc9ASEgTYEAdYSALSmiCYKBwWUo1CUetj1oVT6J9+kTKWE7pNGfcsb5N2roISpwX9VGGb5gE4gR/gOIThIWTDYJBKDolJIjh/MTiXJDISBPVISbgzYwJhNjqr4N79exq5OdCee/FAG9t079NglgrgDi3QLPlmEw7lSSy1CSLe1l57M+Ld4MeK7+1f0e0SMNNJRkltCVZaLcwET/JRMZu3iOOi29Pg7ubHgucKFBTQS72vXTV2RMgmLr6ZtBK7P1CQ6utq3dvPnQrrEo07HNKkCW3k2sG7vZY05MIJcQwLoibPp0460Jfz3xM6HYkJdq/esmtErwYc1eDkhxwtoEObs5eg7gm8JtAk4mES6J8Zx8In0+8TSJ7hIE/wTWCYQTRi+GI11+wBLonTjOkSvYK2glgneEyKTAkgTw2UCUCXVILnu39OYT4QJOXROM/0T33i+JBSTgl4TwAJiEtBIEsE1iQJZfIPqsE7gJ84HIBAn2RHJINjDm8/jABAD4g</t>
  </si>
  <si>
    <t>20300</t>
  </si>
  <si>
    <t>B1-TT-13101C-M4001</t>
  </si>
  <si>
    <t>TEMPERATURE 3 IN CONTROL OIL TANK</t>
  </si>
  <si>
    <t>@@UU@@C@@ABBAAAsqUQhjGOc50HMY5zmOdRzoQlCVIOg6QKQg6QASBCEoOhClJSBSQJUBKkgABIFJAACVJAlKlAUBSEKUBQAIShSkqSoAAKAoCkJUACFJQlKgAAAAAAAAAAAAAAAAAAAAAAAAAAAAAAAAAAAAUAAAAAAAFAAAAAAAAAAAAAAAAAAAAAAAAAAAAAAAAAAAAAAAAAAAAAAAAAAAAAAAAAAAAAAAABCs8Xf6z6/R7BPN5fD/Qnp4QTqEnro7vT4zyPjX7OX0Ww+XmouecM3tpn7vVX/d/ZyHNyzZi88//Pp+2a5InlyoM7MgP/AJ+fOhl58WICzELgiKRX8VP0oX8MNygXTv2bQEFUGmUJJmDmJaoohChYZiiCcYkgXkIUL8MwfkAYYEhCS7BTBOzuSBQwQRgqaIjBdJhbwtxDm9dQSJAnCEAbokAW3qoKGoaZwY7yNYlPQx0IV07NOq8JlLSl9W3tZ8jsE6roIXsGxuU4eABOMEf4DjE1kLLDjEgmDpmUiNfOJxrlhkSBOiRKNWbEBQJ3XRZq+X9dz5/WhRRf4p7XZ3r+/fyCZBW6BWHHgA7kiWbtiTgEgx6smLLXPbzZ7Nf7WT7RLll6Sq2c4leSq3KBFPbqoO5jxGuq2/xfvi47a7mtDvl+on6O1oveDDGoTOJbo+Sjsk3qesSHTf3dOiMyFdYm9o4nNOgCb+XZwb2/8cbeXCCXEMC7UUZ8PYitCf58ImZDckS5g01loleDQYc2GvvQ44C5DkAhzXek+YTfEyAmcTCJdE0nJrE+n3idgT3CQJ/gm6CYQTaxfDEbtnsAS6J1YzqEs4BXICWieATKpQCSCeS2oSoS6pBc92/t5hPhAlJdE1n+ie++bAkF4pBL4n1AJiEyAkCWid4SBLdgg8VonICcAGUCBPJEckhwsOb7/MACAHxA==</t>
  </si>
  <si>
    <t>20301</t>
  </si>
  <si>
    <t>B1-VSD-13601-C4002</t>
  </si>
  <si>
    <t>B1-VSD-13601-X91</t>
  </si>
  <si>
    <t>Turning gear box</t>
  </si>
  <si>
    <t>@@UU@@C@@AA8+AApYUQhjGMdBzHOc5znMc6UHShCDoQg6UASlCEgQhKFKQhCUqUoAFKSBIAKAlSgAABQEgAoClIAgCVISlKUqSoCVJQkClKUBSQKQoCVKQlSgAAAAAAAAAAAAAAAAAAAAAAAAAAAAAAAAAAAAUAAAAAAAFAAAAAAAAAAAAAAAAAAAAAAAAAAAAAAAAAAAAAAAAAAAAAAAAAAAAAAAAAAAAAAAABCweDj6joE5vaJ2wT3CdXN7v2qj9eH+PAfS4l+xfLzlHiD7vJ081Hqs/n8PHlNjrzg8tvi/+Pt5aYwRHkqzIMVSA/8AG12NdCMMgXsIt0/GKhXnExx6+WpYuSr6mYPRMkzBD44mPvIYWZognQJRgpGZAlHLDqQeYDCJAklcFME6PTQ0EEUsxFe7EwtwWOf2UhIkHmskDsCRqXJK5lrQr89C25Jv3khCa86TsoU20RcEtMxahVrEG9c05GSaQXRqZLKbNwAOMEf3DkE5CFlhxCQTBxQkkcnoE40thJEgT0yJR2sIEifk3s/rEimNbShtVbmnowCYBWpdhDhA1zfEw8FCztbokney4r2azg6RO3vbvewdYSzDkg6MomvraN27nuV7926JvnxmTi/OvsiWiadu5nr2TqEwym1l3C7eE1dW2A69m5jnGU/ohpxV3gS8Bo7WX2x8wm9AmjLcQyCWZMG3s2dmG/AmX5+k4xI3s4muCYeHNiExifDfEr0kcWoJHf94lgnUJAnd/sTcBMoJZk/zIX9uGr2ABcEx/1wV+GkpExVCvWzAmUSRMylAJfoBPDNQlQlxSCuvqD6u5s6olECUmoJ8Rh/0S7f983zAJBeawS+JRsABWJaCQJaJ8okCZLbxBHfoE4AT5BD6Iju9wONhz8v1qqCvwA==</t>
  </si>
  <si>
    <t>20302</t>
  </si>
  <si>
    <t>B1-VSD-13601-C4004</t>
  </si>
  <si>
    <t>B1-VSD-13601-X99</t>
  </si>
  <si>
    <t>@@UU@@C@@AA8+AApaSQhjGMhBzmOc5jnOZB0pQlB0IQk6kJAhCFIQgB0pShAEKApClAApIAKUBIAAAoAFASoCkqUgClISlKkqSoCVJQoCgKUBSQKQoCVKQlSgAAAAAAAAAAAAAAAAAAAAAAAAAAAAAAAAAAAAUAAAAAAAFAAAAAAAAAAAAAAAAAAAAAAAAAAAAAAAAAAAAAAAAAAAAAAAAAAAAAAAAAAAAAAAABCw+Hj6zpE5/YJ74J7ROvn9v7VR+un+PCeJtX6V83QUfQHk8vVz0eq//P4fbcZ9ecPm8d3/+P6vrqjFEeWrMgxqyA/8AHc3M6EWyBgtFvH4xUK9AmSPX9lSxqSr6mYPRMkzBD90TARGYohZKNkTDQNUgTMN0A6sHnAxCQJJVBTBPplkgigJq3omFrFjo/OkJEg88AaBI1K5qmWpDHbfpvJ99CFGDspLsoU5KI3JW8JOU1i8hV2yDfr1dE5GgoqEKYE2b1tlNm4AHGCP7hyCchCyw4xIJg8EJJHJ6BONLoSRIE9MiUbuICRPybNf1iRTGxoQ26tzR04RMIrUudDSBsHCJi4qFnb3hJOW62zWv8XUJ3d3f5cOYS/iyQdNwmxdxUd/g71um/WJpPgMt7TXvCXCaO5qdqvaOsTFKbfb3C9YJvZLU2L/dxzjKf0Q962uwEsA29+72R8QnBAmWtDGJex58Oe9uw2QJl6jkEjfzCa4Jh72XCJaJ37BK9sjj1RI+P3CXxOsSBOX+xNAJcCX8n+ZDBtQ1dIAagmP+uCv5qSkS2oVzawJcJImspQCYKAT5ZqEqE1FIK6+sPFw7XZEogSk1RNJi/0S9g904DCJBY1gmASjOAFYmUEgTKJzCQJky2EEfJQJwgnMIfDEcfMHgYe15PnVUFew</t>
  </si>
  <si>
    <t>20303</t>
  </si>
  <si>
    <t>B1-ZHS-13121-C4001</t>
  </si>
  <si>
    <t>@@UU@@C@@ABBMAAszUUpjmOc5zoMc5zmOg6EJShSkJAhKVJSlSUpShKEJUBSlKUBQEpApKgAUBQFKUpSQJABKlIUBSkqUpSlJUkCUKQkAAKAoCkJUACVJSlKgAAAAAAAAAAAAAAAAAAAAAAAAAAAAAAAAAAAAUAAAAAAAFAAAAAAAAAAAAAAAAAAAAAAAAAAAAAAAAAAAAAAAAAAAAAAAAAAAAAAAAAAAAAAAAAjzdz4PR8ynIjvv6R1kcSiPMir0Wb/L8Xx/JO5J3p+tJ+Ctn1Gry3/XZk/b+8v2XvoUuz2fT/9e73q0XKr4Smuon/CMv6eGRmzDYtSZGBJOKR47JO/du2JPFrFGSjwVhVWtHOVm1SykLJKStLKK81FZEsyVmOj7kTOiq2jBRXTQVlFFLJcsrTEwq0kxJOLjwGNFiK9UoMQ9hFRltyMqPDbMaVrp0VuiYUV6ZTH+UMHMweDGjRNbBPv3ssxq4B7NCTDkx2a+b1hHARP4OBHApJWUm6iitHLSKqcP4o7KbNCqKI/OqLOnoFUc6aORm3ORFMNtehDes6OG5FyScaePhG/VF3Y3Ur1UUXv31W59jQu07ObyotzLUW6kY+p1mnUuFjVgcdvtbmO+/c6+SrqeRcrvrd5G0jPdt3L2LczqehHkZ1hfhYtjaRmR8K9TWOubi7Rz+hpRrtlmzqzJGwLG20ub/PaRso6VUdFlby9FdW3MXvUm5STQKTZ9zEjldlHVRukcxFqMSN5w9hHa9KNtHnRRH+I55Gcjb0erQ3c3IIxI82l5kZt9JNRF6PfRsyLCKkfLfai1GKRRh8/Y9faR6qIwMSOy/1HpyMqKMbARkR2xGhGoiiL0fOiiL8qjt3o4COFE6VKe7U9uUmv7e6kID1g=</t>
  </si>
  <si>
    <t>20304</t>
  </si>
  <si>
    <t>B1-ZHS-13141-C4001</t>
  </si>
  <si>
    <t>@@UU@@C@@ABBMAAsxUQpjnOc5zoQc5znOc6FIQhSUpAlKUgSkCVISlSEoSBIFAQACgJSpKgASAClAUBSlJApSlIApSkqUpSlJUoCUpQlQAKAoCkpUACVJSlSgAAAAAAAAAAAAAAAAAAAAAAAAAAAAAAAAAAAAUAAAAAAAFAAAAAAAAAAAAAAAAAAAAAAAAAAAAAAAAAAAAAAAAAAAAAAAAAAAAAAAAAAAAAAAAAjy93j9T4nKj6H8o4EcikehFnqu6/m9/4O9O7J35+dT7lrvkNPn0/Tdj/T+sn1aWdW3m+PR/9vl79qZVmqErJYT/hGT8vDIy5RtX0mNeSTkkeK6T59vmXJP12CmOngtCy1qbFpyVdULpKlqupbeRaRMdL1YqfYiZkWXqXqWhUpSrS1ViXlqkvpOTx3iyMKLavbLDEOYiw0TDkXTAnh0aL23EzIv3dQrFX4QvyN27wY0a2hen28/ZtTGuvkMGPFdh4BHCRP3OFHCqS0qb6KWp5qiyux96OJNNFkUj8bIu6eYWRvzlbe7yoq/XPhzujf2kbSSeNPFwjrWRtdfg5qXdVFNLyasGfb7TTy7mbIxedFMrCjBsRk6zPqaxwXmy+8mDX1rtfl4+HFzl262lsa/0EbEZc+5vNLDpzK9SP2ZlxzMDDtbiMqN/3mpXSHXm3Wfo9LQjZgl2vVlSMguey0N7+O2jWjqWRjc902lF2rcmHjqb9SZxU18WFHV8zso4Ec0jeRgRiR0HFwo7nrRuo9KKR/aOiRmI3c/+Z3Oy+URhR6ND0Iy+4kmojSjjRrkXEWI+HTfRfRhkUwenh9rcR/lIvMKOy/1HrxsiKYl4jGjuCM6NRFI0o40UjTkU7elHYI4kTvVXu2O1Kmz6/mSEB7A</t>
  </si>
  <si>
    <t>20305</t>
  </si>
  <si>
    <t>B1-ZHS-13161-C4001</t>
  </si>
  <si>
    <t>@@UU@@C@@ABBAAAsoUQpjHOhBznQZB0HOdCEJUk6kpSlKUqSBQEoSpCEJAAClJSBQEqSpIAKAoCgAUoCkqAkCUpApSkqUpSlJUpKkpSoAFKAoCkpUACVJSlKgAAAAAAAAAAAAAAAAAAAAAAAAAAAAAAAAAAAAUAAAAAAAFAAAAAAAAAAAAAAAAAAAAAAAAAAAAAAAAAAAAAAAAAAAAAAAAAAAAAAAAAAAAAAAAAjw7PW9LyI7ruP6RwIuUjzo9Nun5ex2fjnxSdqflU+1a75zt+bR3Lsn5/3l7uhuq2tv5uT/9vo+m1MFmmEresJ/wjL+PgkYYDNiSZF6Sd6R+t0nb2uXck/TeFMlO/aFlrU5i071XVC6SparqW1otImSpfs2fWibaLL6X0tCpSlWlqrOvWqTEk73ivLIrYRrbVLhsjlIsNzYyrpjTPnuzRMEW0uUeC7J98Lse3i79ZUamhjRfPs5uaZFryGPJs3bvAI4iJ/BxI4lSWlTmopanlqLK4/uR1E0UWRSPwsi7o7YsjkTN4Vez40VirnQ5nQxZkZkkyJ4eEUjgzdPWlvcRTxbmGXlOj4d3DK8yOlwt5GPeRmvxM+lqF97ViYY8XS954teHjrTqzanV8jOtxMXPRjRuZ9zM0tjXgr0owb7SvNv2tlkw5CM6PgaVdAYcs3Odz9aN/HLt7TtJGUZb2lnav566NKOjZG4jNo9tuzH1qnIqTbFTVsI8rjR+6OSRvoxIxo5bj4Udj1I3UehFI/xHNI2yN/P687Xh+wjYR59x50YcCSaSNCOqjVIuIsR8ujEjEjYkUx+jg17yPXSL2wjif6j1ZGVFNleRkR8IjOjSRSNCPfRSNGVTr6Ee6RwonyVXHY6kqbv1doEB7A=</t>
  </si>
  <si>
    <t>20306</t>
  </si>
  <si>
    <t>B1-ZLS-13122-C4001</t>
  </si>
  <si>
    <t>B1-ZLS-13122-B01</t>
  </si>
  <si>
    <t>@@UU@@C@@ABBMAAsxUQpjnOc5znOg50HQc6EIUhKEqSlKEgSlIEpQhSEKABQEqSAAEAApKgKUBQFKUBKgJApSlIUBSkqUpSlJUoCUqQkAAKAoCkpUACVJSlKgAAAAAAAAAAAAAAAAAAAAAAAAAAAAAAAAAAAAUAAAAAAAFAAAAAAAAAAAAAAAAAAAAAAAAAAAAAAAAAAAAAAAAAAAAAAAAAAAAAAAAAAAAAAAAAj2O73PT8iudH0v6R2kcykedFnpu4vL7/wfFO7J35+lT71ru8bWz5rfVj/X+8n16XzKzZ7u9/9rd+1MrVdphKtYT/hGP8/DIzZhlvpMa8knNI8V0n0Zt+5J+2oUx08FoWWtTorTmq6oXSVLVdS3sotImOpexWfaiZ0WXqXqWhUpSrTKutWC+tUmBJzeO8YkXIt2ShvooZMd/GyI8OCViTANGe/miYUWv9ctj/GF/cveDGjEu1Kn3dPJMS14hfxYbtWPtCOMifwcaONUlpU6aKWp5aiyuT8Ee4m1RZFI/KyLutoFkbPRnO2NPOisF1unDX7XBh2EbCSeNPFxikZuHi0pd2EU0v32s+Xhv9fq7mfzIwZmu/rRk7LRtNQuarzx38Gm/3LtfDi0atEN9717yMq6722LgRto2cuButTD0NCvSjyM6428DDl3UbCNxpV1RvZeCaK6nBs78NvDL2vVnSMwubrS3v55Ua0dayOkyNDXtIu17kxdupvVJsiprwI8rkR2Eb5G6i+jAjpOPiRy+pG4j0IpH+I6hGcjb0evQ6OxziMKPPsvOjY4Uk2iNKO2jVIuIsR8em+i+jDIpg9HF0NtHrpF5hRyP9R6sbIimJeIxo5RGhG0RSNKPlRSNORTl0o4yOQcopHw1Xbse7Km39nzpCA9gA==</t>
  </si>
  <si>
    <t>20307</t>
  </si>
  <si>
    <t>B1-ZLS-13142-C4001</t>
  </si>
  <si>
    <t>B1-ZLS-13142-B01</t>
  </si>
  <si>
    <t>@@UU@@C@@ABBMAAsyUQpjnOc50HQc50HQk6DoUpKjoSlCUpAlSgIShKEJApSgKUkClJUlKgAUoClAUBSkpABKlJSpSlKUpSlJUkCUpSlQAKAoCkpUACVJSlKgAAAAAAAAAAAAAAAAAAAAAAAAAAAAAAAAAAAAUAAAAAAAFAAAAAAAAAAAAAAAAAAAAAAAAAAAAAAAAAAAAAAAAAAAAAAAAAAAAAAAAAAAAAAAAAjy9b3vO+Z4Udl/SOBHaUjyos893D4+r8XxzrSdifrU/Ba76DRteS31Y/2/vY+vQzq2c3z/T/9uv2LUysd23CVawn/CNj9O5Iy5RkvpMa8knakd66Ts7Ou5J3dIpjp99oWWtTeWnbq6oXSVLVdS3rItImOpipf+1EzIuXUvUtioWlKVdLVV15apL6Tt9+8WRhRbgKGtFDPMeDGvTAncvjPnv5ImVGC7newW2PyhnwyN2/v5EchmXj7t/JMS14hfxYbtjgEcRE/g4kcSpLSpvopanjqLK4/xR0k0UWRSPzsi7n5hZHJnhbO74UVfrfhe5XNwZEZEk76d7jFIycPR9dLvZRTaeDPmye34OXq1Z9jyI48zVg1I2eFo0twZLzcvvBg4eG2bd8V/DnhvOnjwMi7iYeYjSjLiy6m0w686vOj92ZcYuVhYsmpGVGDqNCtYyXs28czm7WuGnFL2LTyMyRsi5qaHq/z8KNKOfZGNnbzbRdp1OfWLp1OTUm0Km5hR43SRzkayN1F9GBHLcfRR1fQjUjzIpH+I5hGYjVn9Odry+IRhR5dp5UZegkm2RoR7qORIuIsR8ui+i+jDIpg83R5O4j00i8wo6D/UejG2EUxLxGNHUEZ0bZFI0I99FI0bCnwaEcRHGOAUj5Kr3LHtSpufZ10hAeoA</t>
  </si>
  <si>
    <t>20308</t>
  </si>
  <si>
    <t>B1-ZLS-13162-C4001</t>
  </si>
  <si>
    <t>B1-ZLS-13162-B01</t>
  </si>
  <si>
    <t>@@UU@@C@@ABBAAAsnUUpjGOdBjnOc50HOg50JQhKkISlKkJSBKVJSlKEKUkCgAQkCgKQlIAKApQAAUoCVKAkCUpUBSkqUpSlJUpKkpSkAAKAoCkpUACVJSlKgAAAAAAAAAAAAAAAAAAAAAAAAAAAAAAAAAAAAUAAAAAAAFAAAAAAAAAAAAAAAAAAAAAAAAAAAAAAAAAAAAAAAAAAAAAAAAAAAAAAAAAAAAAAAAAjy9rj9byo7zuv6R00WKI9KPXXqefk7XyzsyfVP0pPvVs+k7mz6K92/9f7xd7Q1KZM30X//Xt/XWi1qs0wlK1E/4Rf+fhkZMgx3JL1qSd+R+9kncyb1iT9tQovo8FYVVrRvqzv0spCySkrSyiu6isiX0mxRd9qJmRYsotorCkoopWVpTParSS5J3/HaVRTCj3yo3kUGzfgvWzAloz5rcUTIiunw75SzF+MMGK3wYkaWpgRdPu5uXHMV1LakMOK+zV0xHCRP4OFHCpJWUnNRRWjz0iqnF+CPgTRQqiiPyqizoZhVG7PEybvkRS6nOhzOC7GjGkl6eLrCiMXT6mXlpb0UUeO3Li3t/o+TXmxvQjra7taMd7PpbQsbVrx3fEu2ul5uxk4cWlsw49bOrxcTDz0bCNF23uNLDpzKetGVynAtN/C2Mm6jMj49tzNSvQGbZuODn+bTDbwy3XtZkjGN21utzacr+fkRto6VUYGlGTV0VvKbdNjsUnu0k2RSa70ed10c9G8RuIuRgRznw8SOT2I20epFEf4j3iMxG5n9udvZfKIwo9Oy9KMvVSTSRoR2EbUiwipHz6LkXIwyKMHq4eXrR7aItYUcD/Uey9iRRsLSL0dkRnRpIojQjjRRGjEo5NCOsRwjkFEfNSnVqdeUmv7O2CA9wA==</t>
  </si>
  <si>
    <t>20309</t>
  </si>
  <si>
    <t>B1-ZT-13121-M4001</t>
  </si>
  <si>
    <t>Silicone</t>
  </si>
  <si>
    <t>3 x 2 x 0,25  mm²</t>
  </si>
  <si>
    <t>@@UU@@C@@ABA4AAslUQpjnOc5znQc50HQdCEJSlCTpShKEpSlIFJUlCEKSpIFKSoAAJAlIAASBQFASBSkgUBKlJSBQFJAoCVAQkCkqQkAAKAoCkpUACVJSlSgAAAAAAAAAAAAAAAAAAAAAAAAAAAAAAAAAAAAUAAAAAAAFAAAAAAAAAAAAAAAAAAAAAAAAAAAAAAAAAAAAAAAAAAAAAAAAAAAAAAAAAAAAAAAAAjzd/ue/61cqPG/lHYR5FI9qLPfd2fX3u/4J35P0+5PMtd9htezT9/Jeyf1k/DS8KtjPd4v/t4rrUyLNmErVYT/hGPz8iOTNmGxgSZF5JPLI/W6Tx5tdyTLqFMdPytCy1qeRadCrqhdJUtV1Lc5FpEx1MVPxRM6MNyqXqWhUpSrTKutWBfWqTAk8npvGJFyLfGUMI56LDJfxsiPLfmJL2jPe2ImFFutK9ELt27kaMSKal6ejfzTEteiF/zYbtv5BHGRP3ONHGqS0qdJFLU9dRZXy/mjtSaalkUjz2Rd1s4sjdnU5Wbm8qKwV1OjeyoypJz09PEKRj7O8luuimdwaM+Tttng1ZvYjb4s6/toydds4JqFzVeem/1cXN2+HF3Oxk23DD583qYl2w4WLpo3Eaf25lc5uMPQ0qe9HqaF038DDl3kZkb7aV1Rry5+KdXrar5bVp2EjfRlF5zGy1/x3UakdGyMPAyum0otq3Wusf0VN6i9UyCpuXYUet8yOwjWRzUX0YUdJ2uNHd+CN1HuRSP7RwEZyN3R/mhrzcojCj27L2ozdlJNojSj6UapFxFiPq030X0YZFMHu4d7cR/lIvMKNb/UfDGyIpiXiMaO8I0I2iKRpR4UUjTkU72lHCRxIngqu3Y7Uqbfl+0kgHxA</t>
  </si>
  <si>
    <t>20310</t>
  </si>
  <si>
    <t>B1-ZT-13131A-M4001</t>
  </si>
  <si>
    <t>@@UU@@C@@ABBgAAtBSQpjHOdCDoOc5znOk6EJQpCFJSlCkqUoAEoShSEKUlSkqUBKkqABKlAApQAKAACVAUkCkqQpSgJAoCVASkCUqQkAAKAoCkpUACVJSlKgAAAAAAAAAAAAAAAAAAAAAAAAAAAAAAAAAAAAUAAAAAAAFAAAAAAAAAAAAAAAAAAAAAAAAAAAAAAAAAAAAAAAAAAAAAAAAAAAAAAAAAAAAAAAAAjy9v5vV3X2rfg5kdl/SOIj0I7z1Xcfm7f0/XPqk/bup31ru4c/z7fe8N+P+8f46W4rJmut/9vu++1MblaYS/XYT/hGz4PCjw5swy4UmNekn5yPHdJ3stujSTa1imzTRaFlrU5Vp0auqF0lS1XUt7SLSJs1Nin6ImZFmKl9LaaFpSlXTIXWrAqpL8KTl8mAsi9FqRscJcN9FDHh2X5XzDJiv0Z9qJhykVwyvFC7oXacSPEs1r50skxLXBmojB38V2vrCOQifwciORUlpU4EUtTzVFlcn6o+GTVUsikeCyLvf6DOLkbk5mXAN3mRWGup1HSwZEZEk+RPJxikY+LfS2NFM73NGbH12rx1k0POjL8HVzsWFGPqtGGahc1XrsuC9qydjd4d6se84odjytpbLssV7po1oz/vuTdWYt/Op6keVaYOjhbuPdRkRuNStwac2w6fBl60wl2rRkI6iNoXtxvZn89pGpHt+8uRtOBj1Iu17c2PlqbtSYhU14UeZyI91GkjcRgRhR0nHxI+j1o1o9KKR/iOAjMRt5/Znb+XmEYkejQ9CMvWSTURpR2Ec+RcRYj7NOBGBGKRTD6eHe20eykXsSOR/qPXssaKbC8jZR2hGdGoikaUdlFI041Pn0o65HGOMUjt1Xx2PilTb5e4EgOc</t>
  </si>
  <si>
    <t>20311</t>
  </si>
  <si>
    <t>B1-ZT-13131B-M4001</t>
  </si>
  <si>
    <t>@@UU@@C@@ABBgAAs/UQpjnOc5zoOc50HQc6EoQlKUqQpKkpUgCVISlSEJSkCAKSoCgJAlSQAAoClAUoCkgUkCUqSkCgJAoCVASkCkpQlQAKAoCkpUACVJSlKgAAAAAAAAAAAAAAAAAAAAAAAAAAAAAAAAAAAAUAAAAAAAFAAAAAAAAAAAAAAAAAAAAAAAAAAAAAAAAAAAAAAAAAAAAAAAAAAAAAAAAAAAAAAAAAjzfV2Pb9rurd5yI+l/SOoR60d97buH04e39c7cn691PEtd+Bq9Wvv+S9k/vJ+Wl96sue5/9dz8bUyMTZhL2qwn/CMnj8iPJnzjNgSZF5JPDI/a6TvZudck2NQpjp4rQstangWnw1dULpKlqupblotImOpip+aJnRZhpepaFSlKtNhdZV5VSX0ng816YauRZFqRwFhuooY5fxPDemBLtGfJEv5SK5XBLeWF7cuv6cSPLdVzWvzezTEtcQveLBdr6YjiIn8HEjiVJaVOeilqemosri/RHVk01LIpHjsi7fziyNc5GXc3XIi2Crh0Og3sGVGVJONPNwikbHU5qWyIpofHs58nndPj15vUi9v5l/UjH0mjBNoX3y32rA8+G51cFul6Ol1Me84YfPgYltznsN50UbaNHJuTa5a5i52yp7UfutN6+5W7l5iM6Njea1b4z6qxuj8mLmzAXatOUjfRsC83XOzv57KNpG9ZG+2HRbSLa8u3MXYqcupLwqa8CPS66OBGkjlIvowI+J1uJHZ9yNtHsRSP8RzyM5G3o9+hzc3oEYUevZetGb5kk2iNKPoRqkXEWI+zTfRfRhkUwezg5m2j30i8wo6z/Ue7GyIpiXiMaO0I0I2iKRpR9yKRpyKdrSjrkcI4xSOOq47HXlTb8PcCQHwA</t>
  </si>
  <si>
    <t>20312</t>
  </si>
  <si>
    <t>B1-ZT-13141-M4001</t>
  </si>
  <si>
    <t>@@UU@@C@@ABA4AAspSQpjnOc5zIQc50GQhKEJSlCUoUBKEqShKkpUhSEpSoCQKSoCgJAlIAASBQFASBSQKUBKlJSBQEqUBSlAQoCkpQkAAKAoCkpUACVJSlKgAAAAAAAAAAAAAAAAAAAAAAAAAAAAAAAAAAAAUAAAAAAAFAAAAAAAAAAAAAAAAAAAAAAAAAAAAAAAAAAAAAAAAAAAAAAAAAAAAAAAAAAAAAAAAAj0d7t+19TkR4n9I6yPGpHrRZ7buH093vd+d6T9ftT8VrvrMPVh93Hiv/u/78GpWvp8GL/7eH7LU1lmEJWSwn/CM/6caOPRoGvkSXsSSeSR+90ni0dC5JrbQpnp5bQstanjWm9V1QukqWq6luci0iZ6man4ImlFmWmKloVKUrVdLqrOxrVJkSePzYjNcikW6pQyjnosNiX5b3kxzMl2xsa8THmRXBK/aF0jYuwyopqceKqc7J8FtEuXYgxURk8ua7l9YRxET+DiRxKktKnRRS1PTUWV1/yR2JNmpZFI/OyLuDSLI25yNfmciKx4lulvY70XpJ5083EKRfw85LdRFNDf1ab6dXThr+pHx7+hjyIz9RpyTAXMMTzY+3k6vT0fFdm3XDDtehoW4WTfRy0avPo5jaZd3Up7UehpXTc6GVm19xGlH0NlXTGthq6Xw3cUxl21hrJHAi8YnMam7/PcRso6Ga5F7gb7ZRdtbbTWf5qnNo6NTGKm3lR6Xyo6yOeRzUY0ZEdF2eujue5G4j2IpH+I6RGkjc1e/U3tHIIyo9ew9aNHyJJskYI+dG1IuIsR9OGNGNGWRTJ7OHd20e+kYmVHZf6j3Z16KZmIjOjuiNSNkikYI8CKRhep3cEdcjsInfqu1Y7EqcvyeEkgHKA=</t>
  </si>
  <si>
    <t>20313</t>
  </si>
  <si>
    <t>B1-ZT-13151A-M4001</t>
  </si>
  <si>
    <t>@@UU@@C@@ABBgAAtBUQpjnOdBznSc50HQdBzpQlSEpSlKVIShQEoUhKFKQlKkgUpIEgUlKlAApQAJAACVAUkCkqQBKgKAoCUqSBKkqSkAAKAoCkpUACVJSlSgAAAAAAAAAAAAAAAAAAAAAAAAAAAAAAAAAAAAUAAAAAAAFAAAAAAAAAAAAAAAAAAAAAAAAAAAAAAAAAAAAAAAAAAAAAAAAAAAAAAAAAAAAAAAAAjy9z5vb31d197zo7L+UcJHrR4Htu4vT3Pp+ufVJ4++n5LXd42vVq8HkvY/6x/hoZ1crNr2f/t9v3WpynI0wl7JYT/hGTxeRHkz5xlwJMa8knhkfrdJ4MvOuSZNQpips2hZa1ORaaquqF0lS1XUtzEWkTFU2KfiiZkWYaXqWhUpSrTIutV5VSX0nJ5rxhuRayOBHjouHNRQxzBieG9MCXZNnPyomC8ivM4Zbywvbl21cjYRu3NS/PK6OaYlrxC/+eG7Xz+qI4yJ+5xo41SWlTeRS1PTUWVx+JHWk2qlkUj9LIu6m42RcjXNndZsA5nnRWHBbe3l/oZUZUk7Cb/EKRk6PNS2NFNl0tGbHznT07eX1I+LXmdPBrRk+FowzbFzbvPNfucO16N2/1ODFecMPlwsa2tgufAjbRk2/21zcWbG7nU9qPQtNN9ryctGVHL7LSrfGnNib3T0dKYC67Toykb6MgvNxu5n8dpGlHOsjfZHSbSLbeqYexU5lGepQqasCPS6yOBGgjWi+jAjoOP40dr3I1I9iKR/aOeRmI1Z/8zt3L5xGFHr2XrRl6qSbRGhHzo0yLiLEfZovovowyKYPZwe/qR/lIvMKPkf6j3YmNFNheIxI7YjOjaIpGhHdRSNGNTt6EdcjiHEKR9FV17HHKmrk7wSA94=</t>
  </si>
  <si>
    <t>20314</t>
  </si>
  <si>
    <t>B1-ZT-13151B-M4001</t>
  </si>
  <si>
    <t>@@UU@@C@@ABBgAAtAUQpjnOZBznOc50HOhCDpSlCUoUlCkAAoCQJUhSVISpSUgSBSkgSBSQAApQAJApSVAUkCkqSkClJABSkgSlSkASkAAKAoCkpUACVJSlKgAAAAAAAAAAAAAAAAAAAAAAAAAAAAAAAAAAAAUAAAAAAAFAAAAAAAAAAAAAAAAAAAAAAAAAAAAAAAAAAAAAAAAAAAAAAAAAAAAAAAAAAAAAAAAAjz/T2PZ3ldx+DzI+h/SOMj1I772XdT0X9v6p25PH3k8S13dNXp3e/5MGT+8n46mlWbR9n2//b7vvtTMyNcJgy2E/4Rl/XyI8mnSM+JJkYEk8Mj97pO/n4LkmXdFMdPFaFlrU3lpwVdULpKlqupbnItImOptU/JE0IsvpgpaFSlKtLVVyqkwJPBy4CyMVqR00lhzUUNMYdp4cExJdp0ZImHMiunKt5YVsu27kXo/O5uMM8ro8rRMi7CM9El+PHdu8YjkIn8HIjkVJaVOFFLU9FRZXJ+iOrJrqWRSPHZF3w6BZGybGbmc15kWxVcODpcXEv5+hGhJOsnL1BSM/Hl4EuyopqcWvFpy9F+2fe0elHHj0MO6jJ0m3iZBVzXgcuC5s62bXtbfTyc9xw2vOyrcDFc4UbqNOXRNiy/ToU9iPOtN/C15N5GZHztSuIauZoxuH4NXHLy7c1ZyN9GYYHMY9/S/nso3EdCyOJme+1otu7Jf16nOqTbFT5dl16PQ6qOkjWRzUYUXo4XJ1Edn2o2I9aKR/iOgRoI2afdpdDP5hF6PVtvUjP8aSayNSOwjckXEWI+vVhRhRfIpi9fxb+8j3UjAvR1X+o9uNkRTaYCMaO0I0o1kUjUjuIpGrIp2tSOsR8g64pHaquvY+aVN7wd0JAe8A==</t>
  </si>
  <si>
    <t>20315</t>
  </si>
  <si>
    <t>B1-ZT-13161-M4001</t>
  </si>
  <si>
    <t>@@UU@@C@@ABAsAAsbSQpTGOYxzoMY5zmOc50oOhJ0pQhCUJSpSgJQo6DpQlQEgSpQFAQhQAKUACgAUoClJApSUqSlQFJAoCFAQoCEpQoCgKAoCkJUACFJQlKgAAAAAAAAAAAAAAAAAAAAAAAAAAAAAAAAAAAAUAAAAAAAFAAAAAAAAAAAAAAAAAAAAAAAAAAAAAAAAAAAAAAAAAAAAAAAAAAAAAAAAAAAAAAAABCt+bxdRzieU8h/QneEmQJ0idUt/o4uP53jX9PGPoJT+sPu9d3k5aMH94PLcZiLMP1bX/y+zxygsJGRBjPIB/4BMHJyicuHCBZeFwFAr5lOaa/fbtzF2M4EF+D8pISJSg/Ak7kThCawyicEtIklG/DXB+IjhEkVQUQS5IAkwQRNlEYyklC3hfN6aAkJFSmkJAVAdoSQF16+eehqGd2PYRptEjbY/VCds7p1CSMpMSh2+UsaydAIXvRXPLvgJrBH+A1iayFkw7okEoOiEkR3/zE4VuhkJAnJISfvYQJCZnmLNn1CRTHbn2cAmAVrH08AECX/h0DLuiQbmG2/Ye/4LrObYOD1ibuqbVnEs+AupMwEZKDNSW04jR6u/TZT3q8hqQ8OXnMJPUVdsSsTHz7O0ZirtYiDqEtNo3ih3KiuzSJhE+QyEaQLMO93MuopiGeXHsCncEwAUGyYjL/PyiZBOzITFvFwluTdztfih0QuMCHP+5WJ0HgEmJ2ATQJSJeE2zh1icXtE64nsEgT/BNAJhBOvi92I02/sAlQnTjOkS3fFcgJcJ8YmVSYJIE+m6kSkSpSC97N/sZxPdAlBUJrP9E9t8wCQVlAJfE4wExCZASBLhPCJAl2Ag4rhNQJwCP0RHxSDhYc3n+0UQAOs</t>
  </si>
  <si>
    <t>20316</t>
  </si>
  <si>
    <t>B1-ZT-13171A-M4001</t>
  </si>
  <si>
    <t>@@UU@@C@@ABBUAAs0UQpjHOc5zoQdB0HQdB0oQlCkqQhKUpUpQFAQhKUISpIFAQlSgJSpKgKUBQAAABSQASpKkqQBSQKABSkqSkCkpSoAAKAoCkpUACVJSlSgAAAAAAAAAAAAAAAAAAAAAAAAAAAAAAAAAAAAUAAAAAAAFAAAAAAAAAAAAAAAAAAAAAAAAAAAAAAAAAAAAAAAAAAAAAAAAAAAAAAAAAAAAAAAAAjzdzl9n2q+550d98r+UcRHqR7LdX0fP3Pqn0SeLvJ+K132Hf9OrweO/L/WX79DdVr7HO7v/2t3rU1nM2oS/VYT/hGX8/Gjx7GwM2FJlXpJ+Ej9bpPBm37kmtqFMlNm0LLWpzLTfq6oXSVLVdS28i0iZKmOnhRNhFmKl9LQqUpVprLrVeqpMCTm8t5ZFYpHhR+nEXjfRQ1sWV4b5hS7Rs68TBsIrocEt5IX8+7TjRS/UvlkcHkzTGuuwEMO3ju1cIjkIn7nIjjVJaVOkilqeiosrk/JHXk2qlkUjxWRd8OpnFyNM7DNgG55kVhrp9Nfv66NdJMqeXgFIy8W8lsqKcGfNk+J5sG1rZHpRh62DaRku+Bms2RS5s3vNeufI3MvZ6v7aOHW2nWhy4+czLtdiudFGNGfz86ZlmLe2FPYjcdFdOhhbutz0ZkcPzNKuoN1t7OV0unpwZalXVt6MxHURri9utvO/jtI0o96yM/vtCM2nU6fHbJy1N6pNAqbmNHoddHuo0kbqMCMKOBydZHb9qNxHrRSP7RzyNgjcz/5ndDN5xGJHq2XqRm4kk2iNCOVGmRcRYj69GBGBGKRTD6+He1I/ykXsSOR/qPbkZUUxryMiO2Izo2iKRoR2UUjRlU7WhHYI4xxikfTVdix8cqaubuoiA9w</t>
  </si>
  <si>
    <t>20317</t>
  </si>
  <si>
    <t>B1-ZT-13171B-M4001</t>
  </si>
  <si>
    <t>@@UU@@C@@ABBUAAszUQpjnOdBznOc50HOdCFHShKVJShSkJSpQAAShKUoSpKQJQkCgJSBIAAUpQAAApSlKSpKkqUlSgJABSkqSkCkpQoAAKAoCkpUACVJSlKgAAAAAAAAAAAAAAAAAAAAAAAAAAAAAAAAAAAAUAAAAAAAFAAAAAAAAAAAAAAAAAAAAAAAAAAAAAAAAAAAAAAAAAAAAAAAAAAAAAAAAAAAAAAAAAjzdzj9f2q+5yI7z5H9I4SPSj126Xnwdz5Z3JPF3U8K130ne9G53/Hex/3j+/S2Ky5/o+v/7fZ3bUysbVCXt2wn/CMn6eNHj0aBmwJMa8kngkftdJ383OuSZN0UxU8NoWWtTwLTfq6oXSVLVdS3MRaRMVTap+SJnRZhpepaFSlKtLVVyqkvJPB5bxZFYJHMR0S4byKG3MGJ+N6YE/W9p28sTBnRW/K8kLuVdqwopuLpfkb+SYVrw8lCqIwa9q7c6IjiIn8HEjqKktKnvopannqLK4vzR1ZNVSyKR4rIu+HOLI1TrMuzY8yLYKuHBwL/NyoypJjTy9MUjJw8tLY0U39GbFyMfY5+vNkehHD1L+4jJtNF9kFXNN55r1+87DXx8W78eXhy5NTihx3fuzrrucw3nAjaRf5Nk3lmHm5lPWjQ4F038Dl5N5GZGxqVzxqz7T4ODTfLdKa9vKR0EZBmvtjXofz2kakcyyPic5rRn3dzO6FYuzU3qOhU1CpysSPO6qNCNZHKRfRgRvuLpo7fsRsR6kUj/Ee6RnI2aPboe9m5BGFHp23pRm4Uk1EaUcaNci4ixHz6b6L6MMimD1dHl7qPbSLzCjif6j2YmNFNpeIxI7YjQjURSNKOyikacana0o6xHUHXFI+aq69jrSpu/h9SIgPc</t>
  </si>
  <si>
    <t>20318</t>
  </si>
  <si>
    <t>Comp. Cable KX</t>
  </si>
  <si>
    <t>2 x 2 x 0.5  mm²</t>
  </si>
  <si>
    <t>TEMP.1.2 FRNT BRG LOAD.PAD FRNT SD</t>
  </si>
  <si>
    <t>@@UU@@C@@AA8uAApAUQpTGMc5znOY5jIOc50nQk6jnQhCFJOgCQKSg6FJQpKgKQkAAJSpQAASBQAKApKgKApQEqSlKEgSBKQKSBCkpQkAAKAoCkJUACFJQlKgAAAAAAAAAAAAAAAAAAAAAAAAAAAAAAAAAAAAUAAAAAAAFAAAAAAAAAAAAAAAAAAAAAAAAAAAAAAAAAAAAAAAAAAAAAAAAAAAAAAAAAAAAAAAABCr+3k6jyc4ku79/h/oThEuQJ0idVE9nRePAfYsYPREQ4fL56vCH6Ue7xTv+r+7367RX5ZVy/C9/8vy/OVEiNU8aDGaQD/wAenlQ3PVZaBXaLg/aJSonSK8qnNNfFZIXewt+CuUiUoMJJ8cTiawyicEtAklC7DQhdkeYCtCBIkUQUQShggiTKI5aDDOS1C+T10BISLud0iTAu23rkFDUttlaGBKZRlCJbUsEVCQBaeY1ITdJW3b0ToEbsFzJex0R84AbAR/gOIThIWTDpEglB0SkkRxecT6ByQEhIE9EhJ7+4hYBMTm5n5eCzPSh7P3Qndzkuxhq3rBLBWq+nZ7QE98TDZWkqxIPXbZrw9yMuC9wUyKfcJ29qL53DtIZxLlsIewpnkg+vk2baFOHn9u6bpfuIZI7pcqlc28F2+dgS+Jmx+2mdWnqE3MUw01aMnX3M1Ngkas0Xc9Ggrirf+bLf6+9xGSCqkExFvABn12fz3hM2uQmXSbuUTFey6dzPg1Q2wJo6DjE1iZwTQJWJUJi3zt8Qkd/4CbYnvEgT/BOsCWAl+z42GrDzgBcE6YtOkSvYK4wTaE5BMikwSQJ921SJSJcUhqn7+zozCfGBKG6JrMX+ifDAYRILxQCXxO+AFomMEgSeMTjEgT6smAgjvZBOEE8AGwSIj6ZBxsPW8f4qiCvyA=</t>
  </si>
  <si>
    <t>20319</t>
  </si>
  <si>
    <t>TEMP.3.2 FRNT BRG N/LOAD.PAD REAR SD</t>
  </si>
  <si>
    <t>@@UU@@C@@AA8yAApEUQpTIMY5joOY5jHQc6DnSlCDnOhSDgSpKEoShKEJSpKUgSkCgKSpIAAAlQAAApKQKSBQFJSpKEAUBKgKSBCkpQBQAKAoCkJUACFJQlKgAAAAAAAAAAAAAAAAAAAAAAAAAAAAAAAAAAAAUAAAAAAAFAAAAAAAAAAAAAAAAAAAAAAAAAAAAAAAAAAAAAAAAAAAAAAAAAAAAAAAAAAAAAAAABCs8fg6T8uYSXh8v9CdkT7vVIToE6dafDz1nkPGsX/XEQ4OOynyh+FHv/Gd/2f3X6MRZ6pWSu8//+bzzoskRo+/Ig1UyAf+AD9ONDd9l2IDDiF18H6zjWopFeMTbjloX0YpC7uF14LZSJSghsiUYSGFlKcEtsSShehoQvSOQDChAkSKIKIJQwQRIJk4WgX0+2gJCRTmc4k7ba5lUiTSuWS8lWK7ChYlMoyhEtiVUUiQBiOQ0oTdBa3iUxGqCuqyvHrRvgB2gR/gOETgIWTDpEglBzykkRw/mJxDjgJCQJ65CT1biFoExOXldvTw3dWlD3fshOvqEutZTu3CXCtN9N/tAT1CYLrElYJB7bu3d17O/lwX96PeJXii9fI7xwIZhJ3Qh7iWODwXdnMhZOvt5NOgv3kM8aTmpllsq2dQlAlu1k5qas/SJpsmGjPs5cuS24Tv7uzKde3pw6NGrPmr/fDq2eJqikEtx9cDaryXfz9Ymb6JCUmkxap5BLb/z7mfX3IboDqb0h0c59InYE6oJnEwiUiW9Y7nEJHi+Im0J8BIE/wTYBLQS/b8rTcwcwAVCdEXHQJZ3BXYBMQnhExqTBJAn24tYTWEqUhpn8N/a2RPlAlDeE3jD/onx1zAJBWUAl8T7AAuE2ASBJ7AneEgT6seuQR4sYnACeQDhEiI7vYDusOb0+ZBQV+Y</t>
  </si>
  <si>
    <t>20320</t>
  </si>
  <si>
    <t>TEMP.2 HP TBRG TOP, POSITIVE SIDE</t>
  </si>
  <si>
    <t>@@UU@@C@@AA8sAAo+SQhjHMc5zHOc5jnOg6DoShKDoOhR0pAdCUoAhKEJUhKlKSpQEqUlIAAUBSgAUBSUpAoAFJSpKUKUBKgAQBAEJSgAAKAoCkJUACFJQlKgAAAAAAAAAAAAAAAAAAAAAAAAAAAAAAAAAAAAUAAAAAAAFAAAAAAAAAAAAAAAAAAAAAAAAAAAAAAAAAAAAAAAAAAAAAAAAAAAAAAAAAAAAAAAABCwePwdR7RI8H9Cd/eE/CBOkT0eXqt2uDorPtPEseb1xENfp/WryBip9350V8n93fPjKvTN+fxn//J5vytYJI3DIg1ZpAf+ADP+/qQ5OTHtAWYxb92Ym0K+pTloXz2Ei6b7dgwTJMwQ5YmAvkzK0SUbQkg3IEpQuScYGBCBIkpgpgmGCCJCgohaRfRzUhIkZnOJNllyqK4tNtYLMN9C8lMxhyBIFGKcEcdwSQMZxm2hQ5yxuk0CNuCq5cxUxvABwAj/AcIm+QssOcSCYOiZSI4P2E4RyQEiQJ65Eo07iFgFAnLyvNhzUoezmQot5idN6rThEwitab4GgS9vTfSjdEg+f2YzDZe0Zb1fa9wnFwRWWvmO6hsCVXzHOGhD2kU5YPpy7+wh8u1wxz9678ltCI+g7Nqa6tQmYTW59nX27de51CdfY02rQberDnv5cVIlfhyxdovZuzq3c3YvXKsdWoLQJi7YE7FucuH+frE19UiZs5d0ZRL1dRq2a+5DZAZ6pHNPX6DvidsTQCbQmES4JZpOLvCR9nwE2RPeJAn+CYgSwErs+Nhov84AWxOmMR0iYOAVyAmMT6hNZSgEkE+/HaEtCW1IaqPf3OxrifGBKW4JumH/RPheL4kF0pBKxPGAGITICQJRkE8IkCcWteII8WsJ2gT7gO6JERxJxMOb9PKKIK9Y</t>
  </si>
  <si>
    <t>20321</t>
  </si>
  <si>
    <t>TEMP.2 HP TBRG TOP, NEGATIVE SIDE</t>
  </si>
  <si>
    <t>@@UU@@C@@AA8sAApCUQpTHOY5zHMc5joOZRznUg6EIOhCEIUhAAIUlCDgQlCkgQpQAKSlQAKUoCgAUBSUpAkAFKSpCVKUBKgAQBCkpQpQAKAoCkJUACFJSlKgAAAAAAAAAAAAAAAAAAAAAAAAAAAAAAAAAAAAUAAAAAAAFAAAAAAAAAAAAAAAAAAAAAAAAAAAAAAAAAAAAAAAAAAAAAAAAAAAAAAAAAAAAAAAABCw/Pz+w6xI5+7/QnEJ9kCdonl8Xsu3OTsqPpPAsePzxENXR+V3whjo9X3Tq6f7v/frF3olXLw/b/8ePyUYZEbfktQac8gH/gA2v08yHT05NkDHaLXflErgr5lOqa+WyQu9W34MMpEpQQ9ESgIisnCyJ7QkhL0A3EL0j8QMKECRIogoglfsmzIIoaYulELSL0eigJCRnqg0iTx479MFdxpW8WVoYEuSii0JM9aQFcUiQBYbBtITdGyWN8lQI3oKbt6yiOIAOQEf4DUJ3CFkw64kEoOyUkiOT8xNQ5ICQkCeeQk93ShYBMTq6nlxZqEPT+qE6eDOT3K6cQmIVqTuAb22JXxS38KUcIkHx+i072PWxSzV1cPqE5tXNK8Xe8akNcSmvJikh6SeaDTluatCG58WiVGxfuobpellNjrpnlv3/hEmJb16+W7g9gmbNuYrgbezRoqtxWCblsXq68te9v+/++DfyXJgmPYXaYiefglGL+fmEzb8hM+yWabRMFWXXq4YbIDZgdfsO6JwCaQTQJWJdEw7py6hI7/tE+AT1iQJ/gm+CWAlVnusNNf7ABSJ2xjO0TDxiuQE1hPkEtUmCSBPr1rglwSlSG7P18WjKJ7oEobwnAYv9E9uArEgvlAJUJ4AAxiZASBJ5BPlEgTntwEEd+0TjBPqA4xIiOX6A5mHP+HiFEFfeA==</t>
  </si>
  <si>
    <t>20322</t>
  </si>
  <si>
    <t>TEMP.2.2 FRNT BRG LOAD.PAD REAR SD</t>
  </si>
  <si>
    <t>@@UU@@C@@AA8uAApFUQpTGMc5jHOY5jHOhCEIQhCUIQpCAISdSkJQg6FKSgClJSkClKUBKlAApQAAApCgKApQEqQpKEAUBKgKSBCkpQBQAKAoCkJUACFJQlKgAAAAAAAAAAAAAAAAAAAAAAAAAAAAAAAAAAAAUAAAAAAAFAAAAAAAAAAAAAAAAAAAAAAAAAAAAAAAAAAAAAAAAAAAAAAAAAAAAAAAAAAAAAAAABCt8fh7T8uoSXi5f6E4RPs8shOwTtpnx9dZ9R41izzREOPntq5Q/Cj1eSdnn/uv8cpb5ZWy2Mv/8v3ffTkkRKrSQapSAf+AD9OdDd8914Ft4uLF+s4poqFedTpmvkwyF3cbZBbKRKUEPNEoCIlahInsiSEwwlKELhg6ALUIEiRRBRBKGCCJBMnC0C83ooCQkauWDuCTvvrx9FdNBbga1y33IZEplGmESzSqsk4BJyAtIXoNtCTRtEZGsnQI4YMF9d1Ed4ANAI/wHGJxELJh1xIJQdcpJEcf5ifAOaAkJAnmkJPe3ELgJidPS7Wfh0ZdjAh6f2QnZsEs+Sq8S8VprTvaAJ598THltSVokHovzX93JPUxV549QlOWKzkOFDVExXQh6SWaDweHRrocPDoo496vAhumpLeLurBOvDs1aucSwTXo6qcG52ibtsw3Nvf2t7TyXCfJVpyJ/vXub2Sq73vf1LLM+lTQCYcvAByBrZsn8/MJq8EhNbuHu6Yl1ept7Nm1DdAmz1nxicAmsCbAmMSoS3dPi5BI+f2CawnrEgT/BN8EuBLLvbcbePqADAJ2RedglvEK5gTKJ8omkpMEkCfXlpEpEwKQ1T9fBs6gntgShwid0yf6J7MRjEgrKASwT6QAvEzAkCTzCd8SBPBpYiCPo0hOIE8QGgSIj4YDvsOrzfaqIK+4</t>
  </si>
  <si>
    <t>20323</t>
  </si>
  <si>
    <t>TEMP.4.2 FRNT BRG N/LOAD.PAD FRNT SD</t>
  </si>
  <si>
    <t>@@UU@@C@@AA8yAApGSQpjHMY5jnOYxjnOc6EHOhCToOhCEnAlAEoShCEKQpIFISkAAKSlQAAQBQAKABKUgUpQFKSlKUgSBKgKSBCkpQBQAKAoCkJUACFJQlKgAAAAAAAAAAAAAAAAAAAAAAAAAAAAAAAAAAAAUAAAAAAAFAAAAAAAAAAAAAAAAAAAAAAAAAAAAAAAAAAAAAAAAAAAAAAAAAAAAAAAAAAAAAAAABCr+zv9Z5+gSXg+7x/0JwCUwJ1Cdc83D01HMeJYv+yIhwej10eMPxn+H5TXvb/dX54iv0Srl5fJ//lm/CK5EafvyoNGaQD/wAfp6UNz24sYFmMW/g/WaLk9Ar6RNEc86+bFIXtWN+C2UiUoIc0SgIiVpIhZtAkwl2G4hBdhD1AWIQJEieCeCUMEESCYmhZxfP7pwkJGd2hJW23aIL1xpXJgw22IVpTKMoR6rJ8c80UiQBURrxGlCQm0YW6SmQK4QuwU36sM8Ub4AcII/wHEJwELJhyiQSg6ZSSI4vWJxjkgJCQJ7JCTbulDCBMJz87o3smHPQh7/2QmqzlM2qum0S0VuXk7nABNq3RK8NiSrEg92K3DTXeyX72qD4CfRii+d430NcTBihD3krYOXv8GcS/nz93aqoQ0bRLleiiWbBd1jtCTiZsvRoopn2+sTdrmDTrz9ndu5LLRPqyRVo2ywlq2Nar99WS5OCXzD2wOMM25Z/P1ia29ITX0G3lEtq2Ozs3tENsCbGfpPpE3hM4JsiViUiWbhycYkeH5CZxPiJAn+CagS0EvW/O004OgAKROqMJ1CV8IrjBMQngEyKTAkgT7cVwS4JSpDRN8d/Z1hPnAk7dE7ZZ/onyvmASConBLwniADCJjBIEmxicgkCcuS+QR4cgnCCcwHEJERycwd5hzebyIKCvY</t>
  </si>
  <si>
    <t>20324</t>
  </si>
  <si>
    <t>TEMP.2 HP TBRG BTM, POSITIVE SIDE</t>
  </si>
  <si>
    <t>@@UU@@C@@AA8sAApASQpjGMc5jHMY5zmOdB0nQpCEoOhCkHQpCVKQhCkISlKUgShSgKSlIAAUoCgAUoCkJUoAFKUlKUpApKQAQBSUoSpQAKAoCkJUACFJQlKgAAAAAAAAAAAAAAAAAAAAAAAAAAAAAAAAAAAAUAAAAAAAFAAAAAAAAAAAAAAAAAAAAAAAAAAAAAAAAAAAAAAAAAAAAAAAAAAAAAAAAAAAAAAAABCt8Hd6T7PWJLj/oTt7wn2wJ0Cfn00z/Lz1H0nfWPD54iHH4/NT9wY5/Z+M1fL/dX5XFPjlZLw8n/8n3/hRhkRtT5UGnPIB/4APP6PKhy8uTrAYMotm3KJUCvlU/WZfFjkLpsaoLZSJSgh8kSgIiUFiE2gSYS/DQhfkp5gLUIEiRPBPBKGCCJBMTQs4vk9U4SEjO3bIk2PHVegwUN9ceK1CxKJRltCWKe6bDF8SAKDY60aEJ02DNJbmsnmEaoL1+q6eN4AOEEf4DiE4CFkw5RIJQc8pJEcP6CcQ5ICQkCeiQk3w7KGICYT0+ltzTIc3qQmpzEtrTGC9aJaK1pvgbeyJZ8cq7UnsEg7m9cU4os0ZcFemn2Cdjgisp7RvoZxKbbpVzIcxPqQd3U39VDmt7nyavDXeQ2iMV49dMsF7cEzCZcOei/b0iamifYoDW7Fmtky4pxPn19SVWvbRk6unc6v72VbeWmcEu64Eth1ovY+vd/P0CZ9yQmrmKtrMJhrz/BXuw3QGiqQ5+c7Qm6JoBNcS0SkTDpOzxCR3vcJqie0SBP8E3ATECV4vfiNFn7ABeE6IxnQJbwiuQEuE+YTKpMCSBPruoEoEvKQ0ze3e1swnvgSdvifEYf9E92AsEgqJwSsTwABjEyAkCTZBOMSBOPLgII7+UTgBPqA3RIiOz3g7bDn8XIKIK9Q=</t>
  </si>
  <si>
    <t>20325</t>
  </si>
  <si>
    <t>TEMP.2 HP TBRG BTM, NEGATIVE SIDE</t>
  </si>
  <si>
    <t>@@UU@@C@@AA8sAAo+UQpTGOcxznMdBjHOdJ0HQg6EIQlCFIQpCgKQk6kHAhCEgSpIAKUlIAAUoCgAUpSlJAoAFJUhIEIApKQAQBSUpQpQAKAoCkJUACFJQlKgAAAAAAAAAAAAAAAAAAAAAAAAAAAAAAAAAAAAUAAAAAAAFAAAAAAAAAAAAAAAAAAAAAAAAAAAAAAAAAAAAAAAAAAAAAAAAAAAAAAAAAAAAAAAABCw+Pwdp9nUJL5uT+hOET7YE7BPz7aaPl67x9J4ljyeeIht83Rc+8LaPZ+U7/T/d7y4i55pVyqz//93k/GkgimMSDTlkA/8AHn9HOh09NucDUxC17kolSK86n6zXy2yF3a29BhlIlKCHmiUBESgrQnsiTEqhpQqkHQBhQgSJIUQUQShggiQTJwtAvN6qAkJGs7QkrLKrkF+lurZqVoYEplGMIlbLJhtnUJAEjnNpCbsljemRPomI1QhdnVbRHCAHECP8BpE0ELJhtEglB1ykkRxfoJpHHASEgT0SEnu7aFgExPT6XY47M1KHr9SE6sxLc3sN2wSwVvpoA+HcEr+SWFJ4BIO/3sR37LcPLq196v4/YJy6eWWCsi7gOJDXEq1LmSJIR6yerBtavFnQnt5dF7cvXULhGDuHVclkrq3xJiYurNTtdolndroCM+/r93Hk1LBNzJF7Pgqu72/3P3wbGLbuUAl7gAlm0uWLZVWfz84mXekJk2TFt5RLL+DWv8EOKA2YHX6zkE4BNoE2BKxLgmHdOPSJH0e4TWE9okCf4JvglgJfs99ht1/sAF0Tsi07BMOgVxgmITwiZFJgkgT68VIlIl1SG5P28OfKJ74EoahPiNT/RPdgKxILxQCXxPGAFomMEgSeMTwiQJ4MmAgjxZBNAJ9QGgSIjj0hyMObm/AUQV+AA==</t>
  </si>
  <si>
    <t>20326</t>
  </si>
  <si>
    <t>TEMP.IP OUT.CASING_PLN.II-TOP</t>
  </si>
  <si>
    <t>@@UU@@C@@AA8kAAo4UQpTmOY5jnOZBzGOdB0GQlCEHQpSUIQhQFKQk6EISpSQAQhQAISpQFKABQAAABSVKUlQFIUlKVJApSQJQBKkpQACgKAoCkJUACFJQlKgAAAAAAAAAAAAAAAAAAAAAAAAAAAAAAAAAAAAUAAAAAAAFAAAAAAAAAAAAAAAAAAAAAAAAAAAAAAAAAAAAAAAAAAAAAAAAAAAAAAAAAAAAAAAABCr+jk7DpEj+hOf4gTrE7L0/j6uY+k5ljwfrEQ+Hx+W/9gfhe9f4zw9H91c9pn8cq5ff93//bKZjgjR4cyDfukA/8AHm8iHR0WbIFmS0XHFOXYi9gFfIp6Jrz2yF7dThgySkSlBD4olAREoKycLtCTEwQ0IYJGv+YGohAkTUogoglDBBEgmThbwvi9N4JCRsOgSWSmiCZVF9cmTEhhSiUZgiVkrYviee6YGV8proTDVscJKYjVDfjRgtnELwABwgj/AcQmkhZMOQSCUHVKSRHF+gnGOWAkJAnmkJPc99DUAmJ6Nd6NTWvIer9kJ06xLaxX6xKxWpNIHwbYmLgxpLfEg9Nle9itzYqrfWJp7vDiO8YO4hcJXhqi2aGT1Gm9ZnkcnLTw7CFOXXw4+LFShVPXJ8l6OmiVOeiureE2RM+5s036NHYJhu1M1AaP51drHnsrEuzxXX2qtzdz/vv6uaisEsq+EC7W4w3cVl3MJdRIS7b1to253CZcU9jDvQ2wJh3eo+QTQJtgmyJjEpEr7Z3eISO/7RLhPYJAn+Cb4JkBMOT3ZDRj6QApE64sOsSvSK5QS0TlEzKTBJAn120CUCUqQ35+zg2M4nugS84BN41P9E9uIxiQVF4EwifOAFgmUEgSeUT5hIE72bEQR38wncBOUDSJERx/UHysN35eAQQV94A==</t>
  </si>
  <si>
    <t>20327</t>
  </si>
  <si>
    <t>TEMP.HP OUT.CASING-TOP</t>
  </si>
  <si>
    <t>@@UU@@C@@AA8WAAovUQpjGMc5zHMc5jHOdJznQhCDpOlKUJQlAEpSlB0ISlIAJSlKQISpIFAApQAAABSAKUlQFIUlKUqUBKQAQBClIQBQAKAoCkJUACFJQlKgAAAAAAAAAAAAAAAAAAAAAAAAAAAAAAAAAAAAUAAAAAAAFAAAAAAAAAAAAAAAAAAAAAAAAAAAAAAAAAAAAAAAAAAAAAAAAAAAAAAAAAAAAAAAABCwejx9JzCR/QnF2wToE6Z5u5z8B9RwLHD7oiH0+v86ftD8J/h+M1XH/d7ixGX1ywSj7v/4fv9NGCRGmWRBpzyAf+AD3+xDj47dkDZssFri5kJrgr7FOSZeK2QB2LregwykSlBD6olAREoJaBJYBhhgbsNCF2R7QMCECRlmKIKIJQwQRJScmhYKBfV+0ykhI1nqiSsuUQTF6KVssvoVJRKMgRKyWKKRIAtPaaUJnPPksbxKgRuwXdNya2I7gAboI/wGoTvELJhwiQSg55SSI1foJvDjgJCQJ7pCTdjShYBMJycjx4c06HL+qE1zMS0X6cAmAVvJugdfSJf7tacs24JBy4sPar7+Wu9j+Am947lRR4jdQziV3bZIcxLqQeDy4tWuhTZn1bxVSh1iPIU0S1qrm2JriY9rBslNGjpEy48OmgLuiWvNkw3xM0/V6kUVz1/v4uzt5Z+1r4slNoJfx7gGff2ovwW/zwCa1MhMuXQacwltW27FW5DbAlXOeETcE0gmwJfEpEr2jwb4kef5CZhPiJAn+CbYJYCVWfOw0V8wAXBOiLToEwahXGCYhPKJkUmBJAn2YqBKBLikNM3x7exlE+cCTt0TsmH/RPlfKxILxOCVCegALRMYJAk2MTzCQJ5Ml8gj6cgndBPrA7wkRGrfEzflwqICv0A=</t>
  </si>
  <si>
    <t>20328</t>
  </si>
  <si>
    <t>TEMP.HP INN.CASING-TOP</t>
  </si>
  <si>
    <t>@@UU@@C@@AA8WAAowUQpjHMcxzGOcxjnOc5znQg4EnQhKUIQhKlIAhB0oUlSlASpIFIUpIFAApQAAApSQKAlQEKQBKEqUBKgAQBCkpQBQAKAoCkJUACFJQlKgAAAAAAAAAAAAAAAAAAAAAAAAAAAAAAAAAAAAUAAAAAAAFAAAAAAAAAAAAAAAAAAAAAAAAAAAAAAAAAAAAAAAAAAAAAAAAAAAAAAAAAAAAAAAABCweTxdp1CRy/0J8QJ2Cds03B18h9ZyLHl9MRD5vP+dH3h+M/s5Zquj+735YjN55YJfde/+X4eaU8iNU2NBjPIB/4AP150Ojot0gabMQt+NOQmuivOp0zLy4pC92xqgtlIlKCHmiUBESgl3BJBZEAQlMNxCmR6AMCECRIngnglDBBElmJoWcXm9U46YWYSNl1CSpW29RBOVRdW22lCtLkoyBErZYooEgDCc5tITOLYx4WqmLlAjegveijFPHAAHECP8BrE4SFkw2iQSg65SSI1/oJ4BxwEhIE9MhJu9mQtAmE6el6LM86Hrj9kJrucl3K7uATAK3k1gd3aEr4b6S3xIPVhwb1dWSu9h9gmvi8NZc+Y4UM4mCmrFMh6yWWD4/n4thDJVPXwZ9dVIm0eI6rktGyWU7wmUS3c02Uau0TRot27gas2erPZaJkyxfv7fy7m7m/ffs05KMtoJc74GxLcvceGH+eQTRRIS7o1G3NlEsr39NXww4YCeB035us+QTvibQJsiXxKRMG6eHjEj6fcJoE9okCf4JugloJVb77TVf6gAuidkYTsEweAVxgmITxiZFJgSQJ9uK4JcEuqQ0Te3vacwnvgSdpE3iz/RPdWXxILxOCVCeQAMImMEgSbGJ9AkCePJWQR9WQTeBPsA4RIiNcg42HPzeVRAV+A=</t>
  </si>
  <si>
    <t>20329</t>
  </si>
  <si>
    <t>TEMP.HP CONTR.VALVE CHAMBER 2</t>
  </si>
  <si>
    <t>@@UU@@C@@AA8kAAo6SQpTHOc5jnMY5znMdB0oQg5lJQpCEIUdCgAShCToUhIFKSlQFKUhAAAUBIAKAACAKSpQEoUpKFKApSQAQBKUpSkAAKAoCkJUACFJQlKgAAAAAAAAAAAAAAAAAAAAAAAAAAAAAAAAAAAAUAAAAAAAFAAAAAAAAAAAAAAAAAAAAAAAAAAAAAAAAAAAAAAAAAAAAAAAAAAAAAAAAAAAAAAAABCr5fB2HP93k9YlH9Cd0E6xOyc+Dq5D7TkWPv/eIh/Hoy3eYLKPb5J4On+6efKY/LKuU/H//N450VSI7n4ZkG9dkA/8AHm6EOnpyaAMWUXDG8a07or0Keea8+SQu5W4IMUpEpQQ/nEoCIlBK0SSYkIS/DcQvyP0ArQgSJFEFEEumTIgiYUE4W4L5fTQjISLdBTG0JRkpjAX5lBhi8txcmSSFSXJRnCJZJWRdEgDKfqfGhNvWYmklQgbEIUwU09yWSiO6AHeBH+A1CcJCyYcIkEoOqUkiNX7CcQ2QEhIE80hJ7u0hjAmJ6PQ9/z49e4h6vShO/p2CemuL2MTGK4E1Ab24JVw1JLAJBlxZMWmqXz61WDT7RNWr1Ulz6DvIbAldkIWks8Hhz8Oyhx6OOfs+amaG3G4S8Jb7L0666ce+J8Qlui2MF7b7BNejdoDaqnbu9uvEJu5iLl/DZv6d/NbpsorBMN8DPbir4g/n6xNbTITPafLv9vRriWV2F3ZqphsgLkDsy6jvibgmcE2RKhLwle2cfEJH2e8TYE9wkCf4JvAmMEwY/hjNqr1gBeE64yHWJXwCtgJlE+kTMpMEkCeLLcEuCXlIbs/do0ZxPhAlDfE+Qxf6J78JUJBSUAmATlADIJYCQJOwT6hIE8GbCQRyZhOAE8QHCJERq5Q42HX/LmEEFe0</t>
  </si>
  <si>
    <t>20330</t>
  </si>
  <si>
    <t>B1JBA-1305-U14</t>
  </si>
  <si>
    <t>B1-TT-13932-B01</t>
  </si>
  <si>
    <t>TEMP.IP OUT.CASING_PLN.I-BOTT</t>
  </si>
  <si>
    <t>B1-TT-13932</t>
  </si>
  <si>
    <t>-U14</t>
  </si>
  <si>
    <t>@@UU@@C@@AA8kAAo8UQpjGOY5jmOc5jHOc5zoShCEHQdCEpOhKlIUdCEKUhQAJUpQFIUpQFKAoAAAApKQKUkCkpUpKEgUBSQJSpClKQACgKAoCkJUACFJQlKgAAAAAAAAAAAAAAAAAAAAAAAAAAAAAAAAAAAAUAAAAAAAFAAAAAAAAAAAAAAAAAAAAAAAAAAAAAAAAAAAAAAAAAAAAAAAAAAAAAAAAAAAAAAAABCwfP8PYdIkf0J4/cBOsTsnm4ermPoOZY8C/b+Hlo+sPDP6fumq9H91eK083klgl35f/4Ps8NGCRG7nyoNMpAP/AB5udCzz2W7QFmIW/FO9tRPSK+RTomXxYs0wu9ea4LZSJSghoiUBESgltiSTChCXYaELsjnAwIQJEieCeCX5yZEETBOTQtAv3/rOMhIA2bsGgSay7epkTtxabxcssmQrTcuzRTlCUwFsscXRIAxHOdpCZx12tRKcRuwU+Wq2eNnhADiBH+A4xNZCyYaBIJQdUpJEcf4icg44CQkCflISbt5kLAJhOjoeD0WbFCG7vdCE9XclpowU2CWCt5eIDub4l/3d1Zd0SD9MeDDX8GeuerF6ROPl2aijYQziX6Z9jFOhGSDvbXTr2UNGb29e3rp4r9SEo7x0zStr3Lt3gE3BM+Pbo0mm5LsEvYd+cLn80aO3lw1ib+WNGDVwZP338OKisEwlmkC+Zst6bDk+QTeDNqmEz07eYS29o7VWqG2BKtXUcondE0Am0JfEpEwaT3+QSOb1iZxPUJAn+CagSwEvWeyw0X/2ACkTri06xMGsVxgmIT4hMikwJIE+rFQJQJSpDcm9XDtZhPZAk7dE94w/6J66y+JBUTgl4T5gAtExgkCTYxPjEgTmyVkEfLkE1gn0gcQkRHInKw5/H3xBBX2g</t>
  </si>
  <si>
    <t>20331</t>
  </si>
  <si>
    <t>TEMP.LP STEAM TO STG - BOTT.</t>
  </si>
  <si>
    <t>@@UU@@C@@AA88AApRUQpjmOhBznOdB0HOhCEIShKUISlSkJSlSkoUlKEKSlKlKUlKQJABCgAAkAAKUBSlKUoCQIUpQEpUBIFASBSUqSoAAKAoCkpUACVJSlKgAAAAAAAAAAAAAAAAAAAAAAAAAAAAAAAAAAAAUAAAAAAAFAAAAAAAAAAAAAAAAAAAAAAAAAAAAAAAAAAAAAAAAAAAAAAAAAAAAAAAAAAAAAAAAAjzcnzfQ9bsPMj+kcKOVyrI9KOV67uLz8jvcklPuk8XhYPrO/6PD+F2Lx/3i/HXfSrL4Pt+z/6+/v4M1lXNMJftWE/4HMb3gHjePX5wyaEl7Lb3ZbCkngkfrdJta9kmtimKma1lrUqflVqKq1Lc1FozKqSjVqXjaYrnhGsKRSy+mClsNpZSrpVYF1SXpPg8uAsikdVvItn1L6X4JUmfPjGKMmG5WwVZcrPd5LpNOqi7ANdosrfhaYN6s8xrsAaaJqfniuzcIOMifwcSOJUlpU30UtTz1FlcXiRxpposikfpZF3BpGcXI8ky9ZW75Ruuh5Rg1eitgyYceZGZJMcnVHPRwZeHektrIp8ejOz0yddny+Z0vQjUdjj1erDbRkz0NNn79vbHUw9S74d7i4sd482ywvemZXG1Omjno3G3j3MO+31etGy0dBgL93JsMuZHM7TSrm5ej0tj3+DXyF9EaxeMTM2VL27lXv57iOwbDguRi19CMmPcbOrz6meka3ndlHdRzCNxGRGFG+7PXR3fYjaR6kUj/EbZGsRtZ/bnc7N+wNRHp13pRm4Uk0kaEdxGxIuIsR3tF6L0akimH1dPm7SPbSMDURxP9R7MTGimqwEYkfODOjSRSNCO0ikaManJoR1CPlHyIqq63bPilTa5fqSSEk9w</t>
  </si>
  <si>
    <t>20332</t>
  </si>
  <si>
    <t>TEMP.LP STEAM TO STG - TOP</t>
  </si>
  <si>
    <t>@@UU@@C@@AA8eAAo8UQpTGMdBzmOY5zHMdCDoOhCTpQhKVIQpSUAUhCUJOlAAAShSVASBCgAUpQAKAACVAUoCQISlQEJApSQKQBQEIQkAAKAoCkJUACFJQlKgAAAAAAAAAAAAAAAAAAAAAAAAAAAAAAAAAAAAUAAAAAAAFAAAAAAAAAAAAAAAAAAAAAAAAAAAAAAAAAAAAAAAAAAAAAAAAAAAAAAAAAAAAAAAABCs5PJ9/adQkf0JvCcvLITsE5ePtvU+Hr5D7TkWPx/WIhyS9dPnD0c3u9M8HP/d/1ZDPzSslou//8Py9FOKREoyoNN6QD/wAbG3zIc/PboAxZBcMXEqRXmU/ea8tshcWFvwWSkSlBD6olAREoJbIkhsQgNSGlDUkfn6wMSECRMpgpglVJkQRMKCcLSL8/RQEhIEzmgSWO9fqkVUsLvW24UK0v3pxVqhKii2d0yWoJAFpNch3UKGvR0WtZOkQ6IQrgv/phniq4AA8QI/wGkThIWTDtiQSg65SSI0+wTxjlgJCQJ+0hJ7vfQtAmJ09Lk8WPXpQo6UJ3sxRVRgns2CWCuBPCBtCV7W/Yk/AJBu4/mxxXt6uG/u+4S9waYwHEb6GuJZbCHUSywce/riYO5H0cF6lC6Kto2z2xgvbgmuJm1vbrzq0dombWu2qQ1s9/VsxCeW6K6+Hv7m7q6fBuXWFUAltIGPNFBoxfz9QlrqxuTE1O4ZLhK8Gxs58HehtgT5djrOITzCd0E2RLBKhMXeOLSJHm+AmcT3iQJ/gmcExgmDH8cZtYeoALwnZFp2CWb4rcCZBPKJlUmCSBPuyUiUiXlIap+/e2dYT4wJQ6gm6Yv9E+FZhEgvlAJgE+sALRLgSBJ3CfSJAnky1kEcmUTfBPsA4xIiOGA8bDm9PnVQFfkA</t>
  </si>
  <si>
    <t>20333</t>
  </si>
  <si>
    <t>@@UU@@C@@AA9EAApUUQxjHOY5zoOc5znQhJ0JSlCUIQlKEKUBSkpSk6AJUlSlAUoCVKApQFKAkAFKABKlKUBIAIUoCUAAoCgJUBKkJSAAFKAoCkpUACVJSlKgAAAAAAAAAAAAAAAAAAAAAAAAAAAAAAAAAAAAUAAAAAAAFAAAAAAAAAAAAAAAAAAAAAAAAAAAAAAAAAAAAAAAAAAAAAAAAAAAAAAAAAAAAAAAAAjzfR3Psep3HlR/SOwjlcqxHoRyvVbyeb53e0SU/CbVSuZd3zwefm5bcf6/3j/HS+tWXw/f9v//db4KzWK8DchMG7YJ/wOm4PCPE8WrfGfbSYGVv3rL0k8Mjx7t0labEmKY6ZbLFllKmurKKqylm8ixM0KL6mAX2Pycw584sRS5hphpZUpSsFpduVgqTCk6+G4sRSOY4EWX34KWzAmPRo2hki7Darnayy5dptvRQ0rtNVwwulslODPMSy2JMO/itydcHIRP4NiNipLJU4UUsp5qixWz80ciaqLEUj9LEW8fCNAtR45sZun+w8jnFt/trLsOSzKjKkmNNg4UZOLs4uol2ZFPhze4w58vA7boZ+zfsedGRf8HahhRtaOwsG5a+PXuw5/LtcFu7tY7xttO+xZFbF/EjqIvbubXhz7yvUjW3m3cUwdHcYmXLmRk+RqVkdKur1tvG6Dg1ZGUvoi5mcYxGXA6Vj+e6jccXWqWoxakY9vjacXDU6NHVUmfT5nIj90bxHSRmRejquTtI+b1o3UelFI/xHERnI6Oj2aHBm8gL0ejS9CM3aSTbI1I+JG5ItIsI72rAjAi+RTD6fd3taPZSLl6O2/1HrxsiKYlxGNHyg0I2yKRqRxopGrIp3dSOwR9Q99FVWz6T3pU18vfQRJPaA==</t>
  </si>
  <si>
    <t>20334</t>
  </si>
  <si>
    <t>TEMP.1 STEAM STG OUT.BEH. SPRAY-L</t>
  </si>
  <si>
    <t>@@UU@@C@@AA8uAApEUQhTGOY5zmOc5kHOdCEIQlCEnQhKUKQBIEKQhKEoSgCVKQBQFIUBQFJAoAAAApAFKAlSlKUpAEqSgClIUBKVKQAAAKAoCkJUACFJQlKgAAAAAAAAAAAAAAAAAAAAAAAAAAAAAAAAAAAAUAAAAAAAFAAAAAAAAAAAAAAAAAAAAAAAAAAAAAAAAAAAAAAAAAAAAAAAAAAAAAAAAAAAAAAAABCx/Nx9p1CR/QnNvCfDyfZQTsE7bKeHr5TymRY+p/CGk+efpDzev7ZvX/1/vB91x5+ecc6vN/8/X5pxyRT8c6DXqSA/8AHRWh09N3cA1LcovRjP0wRN8V/JT07tS55zUFvuGC6ZJmDES88UiiwzFIJyCSoWQ1WSSB6AMaECRQpBVBNkskEUcNJivciYWwXn/aoJEjJ6fQ7YlQGDBZBQriBy5MSFqV5KTphFKZqTeEymiqNpCVMuNvk3qhHLBZ0VZMVcb4AcQI/wHjE8JCyw7QkEwdcykR4vzE4hzwEiQJ0yJTczbSGku9FYnqeK7h7vChsepCngwTirtuEuFcA5ANsTBucF20NXgEg8lXeuItz6mLBn9Yll7OaseQ+BCRLYulCZywfFvdRZqoVZdnNp8XBbfQsNGU6rxOSzvia4nH1a1eSuO0TRbQNGnl18WzScInx5Yw3tie/uZu5gugqgEv4/fAsx5418+P+fkE0u9p7fFSKxIMN7umoJmt1slu7DpQJg6zxibomyCbAlol4TFtHFwiRy+0TVE9gkCf4JoBLgTDd7rjRi/cALBOyNI7BMe+K5gTKJyCZ1KAkgn0ZaxKxLFIb1PZvbGoJ7oEqb4niMn+ie20xCQYCoEwifKAGkJmBIEpmE5BIE5M9pBHLnE3wT5wOATyxHDIcbDrffzKiCvvA=</t>
  </si>
  <si>
    <t>20335</t>
  </si>
  <si>
    <t>@@UU@@C@@AA8uAApJUQpTGMY5jIOY5jnOc6DqQlCEJQhCUpQACUpUhB0oQhQFIQoAEoSBQFKABQAAUBSVKUpIFAUpAEqUhQEpSBIEKQAAFKAoCkJUACFJQlKgAAAAAAAAAAAAAAAAAAAAAAAAAAAAAAAAAAAAUAAAAAAAFAAAAAAAAAAAAAAAAAAAAAAAAAAAAAAAAAAAAAAAAAAAAAAAAAAAAAAAAAAAAAAAABCu+bi7DpEj+hPr8AnycnmmJ1idlc9/q5T6DEsfYzhnLzy+oPu9nmlzWer+7PwvPPzSuli8v/632/fTikRP8s6DVVIB/4AOelD0+m/tAaupkF57j0WRLAK/mp692hc0ssxcDbBfKRKUEPNEouIYWUpwSxCSUK4aK5EgP0AuQgSJk4KIJVyZEETbYp7sUwtYvN0UBISMXr2NoSiyzoJmCZUTIiBhct9yGFKL5y1Q2pTzylmKsAlUznqiaElMtzYSqoBav1ndbTG8AHCCP8BxCaSFkw7YkEoOqUkiOD0CcI5YCQkCeqQk+9l2kMa+GKROh4b/FseJDd6EJ9+z9id1WHGJjFbRvA3BLdO7tjPwCQcebuXyiWpn0YbM/sErq+HjLT4kNAmG+EIywfLRTnQx18mbDPetrQ3rdiuUbMSoq3BNAnx9OrTr0x2CY75how262SVgndM+SLa9aW3uZdq2+CiATBi7gFeLNGtmu/nxiY8/bmJpCynMJjs4qtF1vehvgS3qOAT9xNcE7QlwlQmLtnBpEjye4TQJ7RIE/wTZBLwS2/33mzh6QArE64xnWJd4RXKCZBOQTMpMEkCfTkpEpErUhqn7e/r6onvgShwCaTF/onu1DCJBYUAlonkADGJlBIEnlE5BIE8ebUII5cwm8CfOBxib8Rv8ocTDrfj5VRBX4A==</t>
  </si>
  <si>
    <t>20336</t>
  </si>
  <si>
    <t>TEMP.3 STEAM STG OUT.BEH. SPRAY-L</t>
  </si>
  <si>
    <t>@@UU@@C@@AA8sAApFUQhTHOY5jnOY5kIMdBzoAhCFIUdSkoSkClIUdKEJQkCUqABCkqUBSlKAoAAAApKkgUlSlKUBKkqSkClIUBKVKQAAAKAoCkJUACFJQlKgAAAAAAAAAAAAAAAAAAAAAAAAAAAAAAAAAAAAUAAAAAAAFAAAAAAAAAAAAAAAAAAAAAAAAAAAAAAAAAAAAAAAAAAAAAAAAAAAAAAAAAAAAAAAABCt+Tt9RziR/Qnf94Tu8v2UE6ROqunZ6PjPnMyx4H8IaT45+kPD6PtnDi/X+7PuuPH4ptnT4P/+qfDVbJFPrzoOHRID/wAeX8UObm2N0DTlvF8tp+lkTiFfyU83YqXam+guJxwXTJMwQ6ImAtJmVpJTMJINcCVVySB5ALUIEihSCqCa5ZIIoFXWiqFwi+L9qgkSM3m3H2hKrLK4KGCIHyX0L7syFqVXUnQe/BIE02qTWJnK8mCNSEqZ7mwmuoFw+WmazBGsAO0CP8ByCcRCyw6hIJg6JlIjtfmJyDfASJAnNIlODUhcvDFQnneTNx73Gh2POhTgsnLgyZhMwrYOYDUJZ2evvjT3RIOvfquIyYtGSy/F6BMWjT3DhQ0iW7EIRfB8HOYdCGDayc+TWY60N7QXa4xVk0r1CaRO3z27WHbwx1CbOWgYfZ35Mm5nnGJVy7MY9NU6vbv1WXQVQCW4vcArtzxuZc/894TYz79BOJsgwbxtCbOTTbj4IboEsz9BxidYTdBNwTKJWJbvnFrEj4vUJtiekSBP8E3wS4Ex3eu438v7gBWJ0xsHSJbwit4Jsid0TOpQEkE+jZwCYBK1IcNPTu7ugT1wJU4hOIzf6J6shlEgsKgTGJ3gA2BLwSBKXidwSBOXPkII+HOJrBPlA1ifNEcScjDt/f3xRBX2AA==</t>
  </si>
  <si>
    <t>20337</t>
  </si>
  <si>
    <t>TEMP.1.2 REAR BRG LOAD.PAD FRNT SD</t>
  </si>
  <si>
    <t>@@UU@@C@@AA8uAApGUQpTGOY5znOcxzGOdB0oQhCEHQhCFIUhCkpShKEHSlAEpUpAEqApAAAUkAAKABClKUpQFIUBKFAABKlKSpKkoQAAAKAoCkJUACFJQlKgAAAAAAAAAAAAAAAAAAAAAAAAAAAAAAAAAAAAUAAAAAAAFAAAAAAAAAAAAAAAAAAAAAAAAAAAAAAAAAAAAAAAAAAAAAAAAAAAAAAAAAAAAAAAABCxcvydpz9Qkvp5v6E74nl6JCdgnbTPh66jzHKsYPREQz6LJcwff7PwuTven+73PYYfPLFL6vs//6/t+6muRE5ZUGnNIB/4APz6ENn02WgYLRcH6xKVE6RXoU9U1x/jZMXbxOCCuUiUoIfPEoCIrJwsieuJIS7ANN2RID8gK0IEiZOCiCVUmRBH7UBSYaZLUL0eugJCR4DZElVZduQUFyIWzFgQvpTinLMEMrZeqFxXRJ2mxTG0hJS/mMbfJVUgtW1OMdF074AcQI/wGgTwELJh2RIJQdcpJEcXoE0DkgJCQJ+khJ7u0hjXuxQJ+7n+Phsz+tDp6UJ3tclv13MVglgrcvpwWgT3BMNm9Wk6xIN23Rbt1+PTxX9+PYJeL988ZwIagmHHCHUSywfLZ3ENOV2jLnqqQt2DOaLkuGrS3BLoldvVTc7naJsYZhravHm0tKvGJn5NzNKi/rZ8fH4fi3tS9bu5qaATFl3wLureyV/z5RNPekJc1PEGyd74acwmTDr4NmGyAyQOvtdZxid0TVBNcTCJUJi3TxaBI+b3CawntEgT/BNsExgl/H78Zt4ekAKhOyLDsExaBXICWicgmVSYJIE81tIlIlSkNyft72tmE98CUN0TfK/9E92AwiQXigEvicoAWCZASBJ5BOMSBOTLgII+fKJxAn0AcInkiPD5A4GHU5+ZUQV+AA==</t>
  </si>
  <si>
    <t>20338</t>
  </si>
  <si>
    <t>TEMP.3.2 REAR BRG N/LOAD.PAD REAR SD</t>
  </si>
  <si>
    <t>@@UU@@C@@AA8yAApKUQpTHMcxjoMc5jHOdSEHQhCUHSg6EIShKFIShSEqQhSVKQAClKSpSlAUBIAAAhSlAUoCVJSpKVKApKgKQpKkpSgAAKAoCkJUACFJQlKgAAAAAAAAAAAAAAAAAAAAAAAAAAAAAAAAAAAAUAAAAAAAFAAAAAAAAAAAAAAAAAAAAAAAAAAAAAAAAAAAAAAAAAAAAAAAAAAAAAAAAAAAAAAAABCw/NydR4PQJL6v6E3xPi5b8xOkTqpn7vRUfSfKsYPJEQz8VkuUPu9PfpnXzf3X99xZ+EsMtWv/+X7PtvXpEToyIMe3IB/4APJ4kObmtuAwXC6Xf/WcXqKRXxia0eWhcngyTF0WtkF0pEpQQ4olARErUJE+sJISqMMKU1yJAfiBahAkTJwUQSqkyIImGpeKIWkXw+agJCRrGwJLHjqpgoKYhb2PDYhgSnDE41AiWSVUF8TGSXxxGdCT+0AakrWuyKCqkFq/KdtF83wA4QR/gO2JwELJh2RIJQdEpJEcP5idsckBISBP0kJPsbKFq7UUCeVz7xwl2f90PP5kJ165Ls4qcNwlwrTgTgxgT2xLLt3Ek8QkG5j94x6MWjNhwbvpErKzB752kNUSy2EPOSywcnJmQ483HVz7Vd9Dr6DaL0Zufiq3RKBNvLTz69/W6hNvDMOvn7Gxuadtwnw7l8050Fezh4u57nW1KuzlomCY98CnNdZ/PyCae9ITU7QbBoyCW4Nc1sHWhtgKIHVl0HwCb4mcE1hNIS+JZoO5xiR3fWJmE9QkCf4JnBLQTBb7LTPZ6AAvidMXHSJh4RXICYxPjEyqTBJAnex3hLwl9SGmfq3tfTE9kCUNQm4Yv9E9ekWCQVlAJgE+gALhMgJAk8gndEgTky6RBHz5ROAE4wOATvRHDAcTDm8P1oKCvtA=</t>
  </si>
  <si>
    <t>20339</t>
  </si>
  <si>
    <t>TEMP.2.2 REAR BRG LOAD.PAD REAR SD</t>
  </si>
  <si>
    <t>@@UU@@C@@AA8uAApJUQpTHMcxjnOc5jHOdR0IUlCEHOg6FIQhSEoAo50JSoAFAQpSVJUpQFKUoAAAAlKQKAoCkpSpKVKApKgJQpKkoQAAAKAoCkJUACFJQlKgAAAAAAAAAAAAAAAAAAAAAAAAAAAAAAAAAAAAUAAAAAAAFAAAAAAAAAAAAAAAAAAAAAAAAAAAAAAAAAAAAAAAAAAAAAAAAAAAAAAAAAAAAAAAABCw/Ty9Z4ugSXf/oTjE7neuzE6hOumerpqPsPoWL3miIZ+TBLvB9/q/CmdfN/dfhtMH4ywy8H3f/4JzjBIiVONBuZZAP/AB5vIhzc2KwC/fFv3/POLlFIr5VPRNbfDXjoF0YnBBZKRKUEPjiUBESsJELPsCTErhLlUiQEL+QFiECRInBRBK7uzZkEUBcJwtIvj9NASEi7xm4JPHbXdnIoKYhbtuHAhfSnDE6dgJzxyv1CWk/LBGdCQhmsaiRTQo/tGGr87lty4U8YAawR/gOQT4SFkw7okEoOmUkiNf6Ccg5YCQkCfrISfBpQtXfigT0Ofi1luf90Of0oTr2yXFz2XcWMTGK3b6asgE98TDj4rEnYJBoydsx72KvZwXvg9QlZWfGakNkS/hskh0EskHya9hDa7Ozl16a7qGbdNJ0b12dVW+JUJpy19inN1iacEwz7lG1py4cQm78vvnuyoL2fF2r3Bw5qtvLRMEt0AU7FuD+fmEw8EhM20bwaMgll7Zr24cUCbHFudJ2xOETOCbQmASoTDpO1rEju+wT3hPWJAn+CaASwEvWe2w0YOcALonVFp1CYdQrkBMYnKJlUmCSBPtx3BLgl1SGmfr7O1mE9sCUNQnCYv9E9l8wCQVlAJeE+cALRMgJAk8gncEgTly3yCO7lE1An1AahPriOSYfEw7Pi76ogr7gA==</t>
  </si>
  <si>
    <t>20340</t>
  </si>
  <si>
    <t>TEMP.4.2 REAR BRG N/LOAD.PAD FRNT SD</t>
  </si>
  <si>
    <t>@@UU@@C@@AA8yAApMUQpTGOY5znOY5jHOdCEHQlKEoOdCEJShCEJShCEASpSFAQACUKABKlAAkAAKABCgKUpQFIUBCFAUBKQKSpSUoQAAAKAoCkJUACFJQlKgAAAAAAAAAAAAAAAAAAAAAAAAAAAAAAAAAAAAUAAAAAAAFAAAAAAAAAAAAAAAAAAAAAAAAAAAAAAAAAAAAAAAAAAAAAAAAAAAAAAAAAAAAAAAABCr8/J3HP1iS+vm/oTyCcvTITtE7qZ8PZUeg86xg9MRDPptlzB+Hu/G5O96/7vc9ph6JVy+2X//Z93301yInpZUG5KQD/wAerpQ1/XZaBfsFwc/6zimi4K9Inej96FyflkwUC7FjXBbKRKUEPREoCIlBahPwCTEvQ03ZEgIMUL+YFqECRIogpgldkyIImFBOFpF6PbQEhI3zOJLHbd1qpFJVELjrwoYEpJZglgxUZKPFTdElkNKmNCEmiBNSJQtjeKCqgFqzzsorN4AOAEf4DhE8hCyYdAkEoOyUkiOD9BOEckBISBPTISfi2ELF0RQJ+zr7vD7Mef2IdXtQnf1iW7dsqxYxMYrVgTgyAT8IlePcsSdgkFmPy49jFs5q7+5HuEvF44zfQ1RMFkIYuonlg5N/Mh48u/n4dm9UhopNkpjU6+K7m2xKRNrT66bmp3CbNcwz6/H4NrTxWCcfh3NSdF/RtWTq3dbUu7eWiYJgt3gKs1/D/PKJpbshNPWOMNGUS2/mva0OKA34HvbPYfOJ4xNUE74mESoSvaOP5RI+j4CaonvEgT/BM4JYCX7PjYZ8PUAFQnbFp2iV8QrkBMYnKJlUmCSBPRjpEpEqUhuT9+939MT4wJQ3RNsxf6J8MBhEgvFAJfE+oALRMgJAk8gnlEgTky4CCPpyicAJ5gOATzRHFyh8zDq8/MgoK/I</t>
  </si>
  <si>
    <t>20341</t>
  </si>
  <si>
    <t>@@UU@@C@@AA84AApJUQpjnOc5zoOc6DnOdCEKShCUJSlSUpSkAFJShKUJQlKkgUBKgJApIAKUkAAAApIFASpIFJAlSUJUBIFJUBSUpSBQAKAoCkpUACVJSlKgAAAAAAAAAAAAAAAAAAAAAAAAAAAAAAAAAAAAUAAAAAAAFAAAAAAAAAAAAAAAAAAAAAAAAAAAAAAAAAAAAAAAAAAAAAAAAAAAAAAAAAAAAAAAAAjzdzr+96kf0jvPnR9LwLI9qPfbg9fbfZmkp98/KpXGvfcfh7PH+N2P9f7x+HQ8isvjxbn/13/BeUrvtUJf27Cf8Dy8Y8zzbO8LmbQk2GBvWwpJxyP28N6StmyTJMdMtrLWpU8VWoqrUywu3kXIw02lYqYRTyDMKRS0LqXqW6K0spV0ytu2DnVgqTEk8XovFkVxnLRbDhv0ul9NWnIMcX7K2ypnu13YEamy5UL0jXmmG5V1g89SGD88WwvVf6QOEifwcKOFUlpU5iKWp66iyuHyo6yaqLIpH6WRdz+WNAuR55o4Wfd6g9L0C7Fhtkv5UZUkxJ1RykY+Dm8lLuiinZ0dBn2OIptZel7EYXCw6/o4IWRkz9NYa7nV0dnixvlhxbXJ2+pn1s2IYHM9StrrMHQRvo5HpwX9q+r3o0Nm4pp3dDE05ciNx0dK2dsN2/bmOdz9ew23N15mcw0ReXNgYTU5H8/UjbcrVcjDZxGlGbXv58fQqbtH70mT1uwjpo3yOQjKjAj5nX6yO38EbiPcikf4jmkZyNzZ+Oy383pBhR7dD2ozcCSaiNKO0jXIuIsR3dN9F9GGRTB7upvbaPjSLzCjqv9R8MbIimJeIxo7gNlGoikaUdpFI05FPr0o6ZH2jsI7tV1eE68qbnh7xJCSfIA=</t>
  </si>
  <si>
    <t>20342</t>
  </si>
  <si>
    <t>@@UU@@C@@AA8gAAo6SQpTHOY5jGMZBznMdJwKOg6EoOhSTqUlSUqSdSDpSpIEqUpQEpUBQAJSoAAAApKlAAhSgIAlSUIApSgJUBKkoQAAAKAoCkpUACFJQlKgAAAAAAAAAAAAAAAAAAAAAAAAAAAAAAAAAAAAUAAAAAAAFAAAAAAAAAAAAAAAAAAAAAAAAAAAAAAAAAAAAAAAAAAAAAAAAAAAAAAAAAAAAAAAABCu+v5ek5xI/oTydoT6PwkJ0CdOGez1UniLVj738oZy5JfaHF6/xl5qv2/urjyHL5pXS4sv//dxUF0ES4syDgpkA/8AH6ciHn8+PSBOzILYYdMqRXkU9HHQt8skxbGuC6UiUoIfLEoCIlBcThdIkxKYasOKZIDlAuQgSJqTgoglVJkQR8RQGDXGCFpF8vpoCQkaHfEllxYuSmRgKYgb9y1CxMEozhGOeaZhEvLZxvoSUzXNJLDQi4Y5Z3WURC/GAHCCP8BtE2ELJh1CQSg9UpJEcP5ibRvgJCQJ+shJ69SG4vZigT0O3c07EPT+6E6Y5rMFdwlwrUNwGoSvZXr6w0dgSDv5dVOS2Xdlnur7WH1iVbSrHn75sQkJdl7ckJdWDh5ufFoQ57beCzRdluqQo1U2xtw6xNAmfHnwV4I6RN4xzCOtoyYsttYne+nLFemODr681ec699lxTAJRP4AMWIv3f58AmfgvmJTLuO9F4mPq46uxDuwGWBrlr9R3ROyJvAm6JaJiEu987nCJHh9onvCewSBP8E1AmMErx+7Gb9vMAFInRGQ6BLtgreCZRPnEzKTBJAn2ZcAmASlSHDP2fJpzie6BKHEJ8Juf6J7bC0SCooBKxPqADIJeCQJO8T5hIE8Gawgjw5hNgJ4gO8J44jb4w7bDo4/IAIK9QA==</t>
  </si>
  <si>
    <t>20343</t>
  </si>
  <si>
    <t>B1-TT-13652-JB</t>
  </si>
  <si>
    <t>B1-TT-13652-B01</t>
  </si>
  <si>
    <t>@@UU@@C@@AA8gAAo5UQpjnQc5znOdBkHQg6EIAhCUpScCUpQlKkKSlCUJSACgASoAFJSBQFJAoAAKSpSgJApQFJUlKVAUpQFJUBKUpSAAAKAoCkpUACVJSlSgAAAAAAAAAAAAAAAAAAAAAAAAAAAAAAAAAAAAUAAAAAAAFAAAAAAAAAAAAAAAAAAAAAAAAAAAAAAAAAAAAAAAAAAAAAAAAAAAAAAAAAAAAAAAAAj0fN2vc9KPwfyjjR3lI9iPdbq+ruO73JKY5PDmYPpO/68P23Y/2/rJ9178VZ/DXe//6vs7+HRZWpuQmxawn/A/PwjyPJfwDRoSZq/WWwpJ4pHluk+++wa88yU0WstalTVVqKq1LcKLaEqVKTHUx02B4xoFIpcupgpapSlWkXLqkpgSeDz3SLIrjnNRbZxYGGzBLpPFffmGWNiyvG1FtnBtXa/NqyzCqTcaGuGPKpHE17cyLYCTFfkux8YOQifuciORUlpU1opanqqLK6/5I5U00WRSP0si7i6AvFyPLOV5lNnhuHoecXYqyYMyMyScxjk5RzkZOTi5kl3GinZ2vhdNtWZ9bd0cXrRjzuo+PrQ30Zuxh03C2fVgefBTeFX8zjtvejr5MY57Xw0w16WBysXEjfRq9PBhzT3Iz3rjXt8GvbZ9COi0txbFrcOz0uLVscGnOw0Re6Yvbrazv4+VG46NkYtLn9M52pF+bfy71S+kZfU7KOkjhI30ZUbCOe7HXR2/ejeR7UUj+0dAjZI1X/5e5uj0AxI9m09iNHVSTbI0o7SNyRcRYj6NOFGFGKRTY9vU4d1H+UjAxI5X+o9+RlRTGwEZEdwF6NsikaUfIikacqnb0o6pHzj4kd2q63YRu+D6whJPgA==</t>
  </si>
  <si>
    <t>20344</t>
  </si>
  <si>
    <t>4 x 1.5  mm²</t>
  </si>
  <si>
    <t>@@UU@@C@@AA8aAAo7SQpTGOcyDmMYxznMZKEIQdCUISk6UAUBKkpUhKDoSlSlAQAAFJSpSgAUBQAKSpSkpUBIAKQBSkgSBKlASlSEoQoAAKAoCkJUACFJQlKgAAAAAAAAAAAAAAAAAAAAAAAAAAAAAAAAAAAAUAAAAAAAFAAAAAAAAAAAAAAAAAAAAAAAAAAAAAAAAAAAAAAAAAAAAAAAAAAAAAAAAAAAAAAAABCt+ji8vT4uYSX2/0J8QJ0CdM57/P9P1HzrF3kH0y8lP3Bd7L/V5qK/79GTOfZ+krc1Gf/5eP8JQWEpXoMvHIB/4AP1/JCu66QFVdwsjTFIrxqck18t0hfU1QWSkSlBgSfxicTWGUTgltiSOSqSBENUH5gWoQJFU4AiIKIJQwQRom71EoKYicpLiF496gNfHQJOucb0QbolAFOtZEymNyQ358iFiRiNhirDzoV4trFsesrEv2DIYnr2OsSpoBafNOZZKQHcADugj/AcAm+QsmHsiQSgjniQ8HnE1LnhkJAnokJPtaULgJifs+m3c0ciHN60J1Ry9pDe5bqswmYVrGnL8IEhLNXyd3t9gaZiQcufXnmttos9gnCWbNOLASq2uSEZoO3ljVghTnpx8VezkqQ1v32JW6J5sfe0iYhM+Gvw4VbWScHSJsXzce3td/XuyiatrNptts7Gmjq0FPf6t+O0E+ACv+fAJfuSEwytxwucSvNhbu13w9aA0QNmjnO8JpErBNkS0TGJdunDwCR4PcJtCe0SBP8E0gmUEyZfflOvZzABjE6IzHQJb3BW8EzicQmCkwSQJ9eekSkTGpDin7d/b1xPfAlDUJvl3+ie6ssEg1igEyCeEAMwl4JAk7xPEJAnzYVkR4cBOAE+MDUJ8sRwyDUw7PH96KAr1A==</t>
  </si>
  <si>
    <t>20345</t>
  </si>
  <si>
    <t>12 x 1.5  mm²</t>
  </si>
  <si>
    <t>@@UU@@C@@AA8cAAo8UQpSmOcyDnOY5zHOc50HOhCEoShCEgSgCVAShCUJQhKVAUkAAIAhQAAUpQAKSpSlJUpQFKQBSAKUpSlKShSAIQoAAKAoCkJUACFJQlKgAAAAAAAAAAAAAAAAAAAAAAAAAAAAAAAAAAAAUAAAAAAAFAAAAAAAAAAAAAAAAAAAAAAAAAAAAAAAAAAAAAAAAAAAAAAAAAAAAAAAAAAAAAAAABCs+D3/r7fP1CS+X+hPCCdgnbOe918nwnIseh9MMHop8wWermyT1Of+/yvWnyfnKzFbrf/d+j6asMiKSyoMqSAf+AD9PuQv4cMgK7+EWRtRUK8qnRNfqwyF52uDBKRKUEP2RKPtIYWUpwS1hOiuihENcHMBYhAkVzgCIgpBKGCCJPeidIicpLULy96gZrtyoSk9i/3BKUgquX4mXWNiQwSXHbWhgSKGcI/BC9TRTPn1BMxIo9zE3SVTQFq5pzL0pAe6AG8CP8BvieEhZMO0JBKCOuJDv/eJ4hxwEhIE/GQk+/3UMIExOd/WzX0/sh09CE646um5uobnTivYxMYrdGq3dAkJZ4vLv+DbGqYkHTj1Z22WUweoT3jTSrKJdwXpIRbBwYYyIcPmj99NZFdxCmrf1pcVzcEqEwZMuW7or1ZUO0S22YcNeto4s2K0S549G5ZZtbc8+KrizZLu2YQTdAwfzxiZdmQma04QyCXrdva1MkOzAXs0bDMcHWcQmwJrgmkTCJcExd04eASOP2CaBPWJAn+CbgJiBL2L24jZwdQAXROyLTsEs3hXICYxPMJlUmCSBPjx1CVCXVIbk/Xva+cT2wJRrE8Zh/0T2XzAJBqFAS8JyABaJkBIEnkE84kCceW+RHJlE3QTygeAT4ojg8geRh08vzioCvuA</t>
  </si>
  <si>
    <t>20346</t>
  </si>
  <si>
    <t>@@UU@@C@@AA8aAAo7UQhTGOc5zmOcxznOdCEHSlCUIOlSEAApKgKOpCDoSlQFJUBSgIApSgASBQAAQpKVJUACQAQBIFKAlSVAShSEqOAAAKAoCkJUACFJQlKgAAAAAAAAAAAAAAAAAAAAAAAAAAAAAAAAAAAAUAAAAAAAFAAAAAAAAAAAAAAAAAAAAAAAAAAAAAAAAAAAAAAAAAAAAAAAAAAAAAAAAAAAAAAAABCxfZ9HZ5ubYJT7/6E1AnWJ2Up8vV9viPrWLfKPqny1+MLfZm6Pyqs/v9MGU5vTOLJ4/J//4T+NUGImc6DXZID/wAfr50LLbZAvYbRZOCKxXnU6aL5rZF6G9BhmSZghyxMBpJmVpJTdEu0BiBLsHnAwoQJF2kAREFUE9MskEUCqkcMytwXn4ag2rt+sSrhpVEkbwlWC5gsioux3JGS/lyShiSKjbf2kC/6ELLnar3PWWCbZoa3TY3ia6gWv86ULJkDUAHGCP8BrE4iFlh4BIJgjqiR1+gTkXLDIkCemRKd7gQtAoJ0vRi7na9aGz90KXuGdneQpstvZBMgrYNeP4wJEw6/n1aR+SugkGzLt0yYsVWH2CeEuaK7mcS9hwShGSDktjdzoZdyyvjyRfuoce5b25r0iVCX8+DRc0bdIOwTax0DRoz5sVolNX06bPBh092ra79ffu7Wa9aCb4F4uYZ/nlEz70ibWQuEa3MJhy04NODPDvQG7A4LOo5BM4nbBNAlol0THvmviEjl9wmgT2iQJ/gnwgmMEwY/fjN/DsAC6J1xkOsTFqFcwJlE8ImdSgJIJ92WsSsS6pDcp7dW7tie+BKm8JrLf9E91hhEgvlQJgE5QAyCZgSBKZhOYSBPqz2ERy5xOIE+YD4hPFEcaeBh0c/kRQFfg</t>
  </si>
  <si>
    <t>20347</t>
  </si>
  <si>
    <t>@@UU@@C@@AA8cAAo9UQpTmMcyDnMY5zmOZB0IOg6FHQpKTpApIFJQlKDqQhIEgUkAAJUhQAASpQAASpKVISAClAQBKgASBKlASlSEoQoAAKAoCkJUACFJQlKgAAAAAAAAAAAAAAAAAAAAAAAAAAAAAAAAAAAAUAAAAAAAFAAAAAAAAAAAAAAAAAAAAAAAAAAAAAAAAAAAAAAAAAAAAAAAAAAAAAAAAAAAAAAAABCs+z6uv8fJ0CT+/+hN8E6hOuc+708fjONY5HHD65clHlDF7ssvzwez+/VgtMf6SsyeX8P/83J56MciPPLMg02SAf+AD9fQhZkySAqsyCyNUUCvKpzTX8sUhfY1QVykSlBDbEoCIuJwsie4JfmJEA34PQBWhAkVTgCIgvQSokyIImF6capSWkXl1Xguv081IlHaovEjSJevYKb+GKqSqN2Q1W5JIWJFJmCH0oT267wGb2mwJsm0UMabXYJUUAtHzTmYJSA7gAd4Ef4DgE7pCyYewJBKCOmJDwekTWNsBISBPVISfz9lDEBMT9n12bufmQ6PahOqOftodrnxVV5BMgrWNOPtgSEs4PBv7w/RRMSDny7U7bLL1fuE8BnzUU5hKrMMkItg144uQv6O5xfvw/TgqQ8NGjHvSuv6hKBMeba0U7ks51ibdsw3dvFdZiEp17OrDh7HZndxUcV2G/WCaQL7h/nxCW7shNN2SoifCGUSu29qulvV7MPywGiBr6TiEqE3ATOJYJSJi0nDrEjxfATOJ7xIE/wTMCYwTBj+OM019AAXxOqMh1CWb4rlBLRPCJcpMEkCfdbQJQJfUhpn79/RmE+MCXmoTWYv9E+GErEg2C8CYBOMAMgmUEgSeUTyCQJ9d2EiOO4TvAnfA4BPtiNfjDvsOfl8wqAr8gA=</t>
  </si>
  <si>
    <t>20348</t>
  </si>
  <si>
    <t>1 x 2 x 1.5  mm²</t>
  </si>
  <si>
    <t>PRESS.OIL VAPOUR DEVICE SUCT.</t>
  </si>
  <si>
    <t>@@UU@@C@@AA9CAApNUQpjIOZCDnOc5znQhKEJQhCkoUBKUoSlIEJSlCUKQkCgKUoClAUlIFKSAAAKAlQFASACkpSBKkgUBSkgSkCkpSAAAKAoCkpUACVJSlKgAAAAAAAAAAAAAAAAAAAAAAAAAAAAAAAAAAAAUAAAAAAAFAAAAAAAAAAAAAAAAAAAAAAAAAAAAAAAAAAAAAAAAAAAAAAAAAAAAAAAAAAAAAAAAAjzdv6Pc8D0o/pHEjuqR7Efk913X9Xa7Xc7clPL3njqVpa34Gj1+Pv3ebJ/ex4Nl96sufTr//b8e9a+yvC2YS/bsJ/wP21h5Xlz5hlzpNZkYlYkk8Uj97pNWeyTCa9MlrLWpjWngq6rpKlqupbcRaQwqYU/MZRSKWwFVS+lsnkulylXzWutVnPtaTBJ4efeWRXEb6LDC/BsL2KrLRp0ZBjimdg3ehLX7OO7PtY0bDxPJDFOi4NUyYquwxEl/juuy0OIHGRP4ONFca0llTnopanqqLK4/0R2JNVSyKR+tkXdLQ3RoF6PNPQz73ZHoX9QX4a1utwMmvM6M6SYRrdAUjY1+o0xw33Ip5nn1Z8nzOyvczNwuR60YuOG6w3EZNpp6zpXi+958vLsbNaW6L+L5N7Zv0ZcB870uRfwo4EacvByM2GVznuRtLS5zOFqYOXNnRyuc5i2Nv5bdLp7WNuLvjwxsqRcwbg1fz9SNp0cy5GljVkdBpRfquv19+puUdNw71yZLvU7KLI3iOajMjEjgcvIj6/ejbR7UUj/EcBGcjm6Phoc7N5wYI9ml7EZuqkmyRqR9KNqRcRYjuatZGsjCRTF7etv7aPhSL2COw/1Hv2GNFNdeRsI7QNCNkikakdFFI1Y1Ps1I6pH2jlR91V17Hyypt9/uwIknxA=</t>
  </si>
  <si>
    <t>20349</t>
  </si>
  <si>
    <t>@@UU@@C@@AA9CAApQUQxjHOY5znOc50HOhKEoSlCEJQpKUoSBKkJQlCUpUhIFAUlSVAAlIAKSAAAKAlQAJUACkpSBKkgUBSkgSkCkpSAAAKAoCkpUACVJSlKgAAAAAAAAAAAAAAAAAAAAAAAAAAAAAAAAAAAAUAAAAAAAFAAAAAAAAAAAAAAAAAAAAAAAAAAAAAAAAAAAAAAAAAAAAAAAAAAAAAAAAAAAAAAAAAjz936/g8T1o/pHCjvqR7kfk+FvV9nc7ne7slPP+Ly1K2GD8DT7fL4bfRl/vH4tb71ZtGrwf/s+C27NYrxtmEw4LBP+B+2Aed59GcZtCTAysKsKSeSR+9smrRYkvmKmWyxZZSp4qsrKqVJZZbSzloskL6l9PzGYUill4qqXUs81ksUq2XVTn3WSYUnj59xYitPCbiLcVMGJkWsNVF9kmxpzDLFLtCuZf0Jbg15babORGXI8jzQvmvoudrmZZiwkmJ5bbc9DhBxkT+DjRXGsksVOeillPZUWK4/0R1pNVSxFI/WxFvS1NoaRcj0T1NG5yD1LvoF19dTnMt80I0JJkjBwCkY+Lhb0dO61FPQ9OvTpzcD6WBtaL3tRg44bbDtIya2nidK4XXPTm631aXMHFk5t/Wz5bxjetjYWDgRuox7vXbeHM5r4I21ktb3Qal7sZs6N9uuUsyNyuh0dnG6XZ22DXvVmaEi1jYhi1/z20cpwaFqNTKrM2EW6vnl2LdqbdHbc2xMnsdlHTRuEcxGdGFG+5Owj7fijaR70Uj/Eb5Ggjb0/LS3s/pBej3bD3Iz8SSayNSPsRsyLSLCO9qwIwIvkUw+/q7m0j5Ui5ejrv9R8cbIimJcRjR3QaUayKRqR0UUjVkU7mpHUI+4ciO1VdXtHJKnL8PfgRJPm</t>
  </si>
  <si>
    <t>20350</t>
  </si>
  <si>
    <t>PRESS.LUBE OIL MOP 1 DISCHARGE</t>
  </si>
  <si>
    <t>@@UU@@C@@AA8kAApBSQhTHMY5jmMYxjGMZCDnQlCEoShCEJSdCEASg6ToSlCEpSkAEJSlIEpSBIAAABKAASlIEpSkCUpSBKUoSkCEpQkAAJAkCUJSACEpQlKQAAAAAAAAAAAAAAAAAAAAAAAAAAAAAAAAAAAASAAAAAAAEgAAAAAAAAAAAAAAAAAAAAAAAAAAAAAAAAAAAAAAAAAAAAAAAAAAAAAAAAAAAAAAABDo7fW8fIdXhEP4vsI8GyCOMRyRQycXam7x20m9/t8VjKD+uPeCv7+R/V8J/xL5riT3PPVvP/7vD471DjNpXIFHicBf4AN/0oPhXXWBTWJTF5rwkvQkcEEvLTVASmUrE7uO7DK1nYJx3dKDkM4Q4K+whpHPSBQgYQ0kGAZmImH33TjDQWredh4nSjEvPqRA4hqVoCHkikJYiMbluhyuqdBMhoua0monAitfMzHnwCIrj0G+gjUWjJJYsBFKSAlL6oQL/xhADoABlBC+gbQhsg6TjLUEMOxxO6GbL7BG0laycQwj3OIhj1UFIEBFfAuCnO3EHDsIIPfww4PlPkpv1iKxJThp88BhFHR2aghsQEOTU2/KE2puYqLT7iIjHhlyoL+ERNdZVZs60aDmRSMXWXPdiQbGXL0KcEaDJ8+rcz87ak1xEYizQfR0o+ldn8gjO0SCu0syXDVSI06M1pdeh2x6z5mC3CXnsmoBENcCKf67oi7na0BGfYImtxrdKr+my5bBnjCxcR1BHZEaAIzRFAiMRTpHU2xDdn9iMIj9CGEfkRqgioEYKv5UaM/CAEgjjas4xFGyJK0EWCOwIuSIAhwR37Lwi8IkSGUcP1kz80R/GERK+I55T/RH7mJxDEpECMAjugBWItBDCIWiMYhhG5dMMN3LhHTBG2BtiOuzZEdNMsXm3hAgSXKA</t>
  </si>
  <si>
    <t>20351</t>
  </si>
  <si>
    <t>PRESS.LUBE OIL MOP 2 DISCHARGE</t>
  </si>
  <si>
    <t>@@UU@@C@@AA9CAApSUUpjGOc5znOc5znOdR0oQpCkpQpKEASlKUqSg6VJSlCgKSoCgJUpKgASBQAAABKlASoCkqSpKkqUBSkgSkCUpSkAAKAoCkpUACVJSlKgAAAAAAAAAAAAAAAAAAAAAAAAAAAAAAAAAAAAUAAAAAAAFAAAAAAAAAAAAAAAAAAAAAAAAAAAAAAAAAAAAAAAAAAAAAAAAAAAAAAAAAAAAAAAAAjy9jrez8FOs8yPvf0jtOIj1I9ldvow/V2exJR4e20UlP0Xdozenv9yzxY/7w/jqXlMeXtaP/p93btyVUmmEu9+on/A/fvDwvDnzDLnSY1ylySd6R47JO5mqkxTBRjrVWtFJ3aVoUpjWUkqs3UVRfoS/RV+YyCiKLMApSi6ivgrKqKWS3oVq4bqyX0n5cNpVFL5yUVvy2+wrV6lIz5sYxRRc3eW4ZZLdVRrx4UeDW5SsL05Wvc1TGtuYKBdQmDv22Y7qjng2kT+DainErJVSctFFaPRSKqbf1R0pNVJVFEftVFnM2DMLEeKeJl+DqjyPL0BbYwV8fEyXZkZkkxR8XMFEYtvRb8Wc+xFWN5NWdrtyanG2Ztb0o3Lp5XndOGDdRj2NDVtc64UXWtefp/Nqbw+Pirmsy4rR0mD4VPO6a9zUXIzblW7vr3IexGxurJob+lfceXIjjalMDnMlebztWFvNi2ujGyEWOAZP566NTgcNiMWnQjHp4Z12fDv0m5Q3aJi9D5UbUbxGdGVF5HKcfUR9PtRsR60UR/iOAjMRuZ/dncnL5gX0erQ9SMvRSTURpR9CNciwipH2abkXIvyKL3r6O9sR7qItX0fI/1HtwsSKMC0jCj6wZ0aiKI0o5qKI04lHY0o6hHWHVR89KcXZOrKTkd37YEST3g=</t>
  </si>
  <si>
    <t>20352</t>
  </si>
  <si>
    <t>PRESS.JACKING OIL DICHARGE JOP</t>
  </si>
  <si>
    <t>@@UU@@C@@AA9CAApJUQpjnOc5znOc5znQlB0pQhKEoABCEpSlKgISlCVISlKkgUpSlKAlIAASoAAAUBSQJUoAAJUoCEpAoCUgSkCkpSAAAKAoCkpUACVJSlSgAAAAAAAAAAAAAAAAAAAAAAAAAAAAAAAAAAAAUAAAAAAAFAAAAAAAAAAAAAAAAAAAAAAAAAAAAAAAAAAAAAAAAAAAAAAAAAAAAAAAAAAAAAAAAAjz976Pg8L1o+9/KPA6xHuR8Ldf2d3u9/vSU8/4uWpXkX/Aavb4/Fd6Mv9Y/z2mZWbPz9f/7Xh/K/nsrwtuEwYrCf8Dy8o87z6tI0akmVfVfSTlkftdJ4tFkmSYqZbWWtSppq1FVbLCy7cRZGGiYaeMZhSKWxCqpepbzWllKul6qcN60mBJ+nDeLIrcN5FsN17CxsrAv1UWadGYZYpgbm9LXa7bVMJlpOBlXpOV5oWm/qmRbBeJMHkuuyUPlB2CJ+5xorjWksqcCKWp7KiyuP9UdiTXUsikeWyLunwDQLkeidJ1PQ073bHpYBd6seK7HvrLs3Fj0o0pJmjF0hSMvXxcTfi91bkWdx6dvSzdx223o43I9qOswT1MvZhTHuIzbFzXyOL5mAbGHA4ebr0OH17HQH0393o9Haz4RhY2N2l/qo1o0Z7N3qMG6+CN1zV01OZrYXz58yM++5isbbZrdTq4cbbXbNWVmIuc8Zv4+xG04bI1ZNKMmrgmfFwVNlHTc6yZfY7aOBG6RpRnRgR0Ha5Efb8UbEe9FI/tHARoI52n/NLez+oGFHu1PcjPxJJtEa0fUjmSLiLEfdrvovowyKYPfxc/Yj/KReYUdh/qPjjZEUxLxGNHeBpRtEUjWjoopGvIp3daOQjvjso+uq69HJKmzxfhAiSfIA==</t>
  </si>
  <si>
    <t>20353</t>
  </si>
  <si>
    <t>TEMP.1 LUBE OIL IN MAIN OIL TANK</t>
  </si>
  <si>
    <t>@@UU@@C@@AA9GAApTUQpjnOc5znOdBznOdCTpQpAEoSlKEqUpSlISlR0qSkCVASACgJUpIFASoAAAABCgASBSlJApSUpApSgJSpSkpSBQAKAoCkpUACVJSlSgAAAAAAAAAAAAAAAAAAAAAAAAAAAAAAAAAAAAUAAAAAAAFAAAAAAAAAAAAAAAAAAAAAAAAAAAAAAAAAAAAAAAAAAAAAAAAAAAAAAAAAAAAAAAAAjz9vs+t5kd12X1v5RyrOoR6UYHru+Lz/Pk7nbkp4+6zVK8K/ymj0X7fZ+eT+sf26ngVmz/Vy//ru7tZrKs1wl7fsJ/wPx+8eN49G8MmhJl8Sl9JO/I/W6TvaLJMsxUzWstalTZVqKq2VZUl3Ai5GGophtDwDMKRS2IVVL1LVKUrxXTKv2px4LSYUn3cd4siuQ5yLYb2FlXmCqTToyjJFL7jcPMl17ZbTiRl1r3fqV4oWRxaZjWwXiTB4brsVDkBuIn7m5FblpLKnQRS1PPUWVu/BHVk1VLIpH5WRd7vRG8LkdOfo6De9vrjyPfF1mLa8t7kz4NCNCSZI5/SFIy9THzou974UWZmzXhu2M1m/mtf9COtfdOFbEYtJvN9o23xyMF55OB1dRzR2HybNu7JgGkwTEX1vM1M3VY+kjGje8tjgw4N560cS0523bxb7PmRfa1YNnR49Vbc+MjM9wWam3I/j5UanE47kaeF+zWjNkz9GaeZl7FTVRwUmfzusjiRwkZEZ0YEcT49yO17Ec1HqRSP7RxkbxHN0f5oc/P5QYUenS9KM/IkmsjUjso2SLiLEfTqvovowyKYPV8HDzEf5SLzCjc/1HsxsiKYl4jGj5gaEayKRqR2EUjVkU7WpHXI+gbkdyq6ncN0qbe9yyCJJ7Q</t>
  </si>
  <si>
    <t>20354</t>
  </si>
  <si>
    <t>TEMP.2 LUBE OIL IN MAIN OIL TANK</t>
  </si>
  <si>
    <t>@@UU@@C@@AA9GAApWUQpjmOg5znOdBznOhCEJSlCkoShIEJSlSgJUhSEpSgAFASlQAKSlIAJUpQAAABKVKSBSlASBKkqApSgJSpSkpSkAAKAoCkpUACVJSlSgAAAAAAAAAAAAAAAAAAAAAAAAAAAAAAAAAAAAUAAAAAAAFAAAAAAAAAAAAAAAAAAAAAAAAAAAAAAAAAAAAAAAAAAAAAAAAAAAAAAAAAAAAAAAAAjz9vr+150d92H2P5R3VnER60YXtu+P04+18/bkp5O+zVK/Bf3TR6r7fb+mT+sf3aniVmz/V3v/1/X3789lWbUJfuWE/4H5eEeR5NOgZ9KTL41L0k++R+10ng0WSZZipmtZa1Knhq1FVamWF28i5GxU2KLKk8QzCkUtiFVS+lrWllKtLqpw4LSXpPDw+O8uRXEc5FtLHfjZV7Yqo06M4zRS90Hjc3dmDHh27tGRGbacDLDDJzqk0zGuw4CTDzrrsVDpg4yJ+5xorjWksqcCKWp6aiyuP8UdSTVUsikfnZF3R542Rcj4p+rntnmcg8rpC6zF5rsmW/OjOkmON/hFIycXvxbpfCizK16ra2XkbebnPUjkxcbBhcUK3EZNZh0uUxaqwjibGB5d51dRyxgt5vRd1cWEbJ15iL1vQ0usxdFGJGf0WOZfvvajgWnN2tPBrZsqOU1q5W3w9DXWXZxkZnRFmtu5H8fMjU33DcjTvNSMuPgmjbx/JU0Ucuky+lyI4UcwjIjMjCjfdbqI7PuRuI9iKR/aOeRskbuj/NDm5/ODYR69L1oz9NJNZGpHYRtSLiLEfTqvRejYkUw+z4N7cR/lIwNhHG/1HuxsiKYmAjGjtA0I1kUjUj5UUjVkU7OpHWI7g4kfRVcXcOSVN3wd6QRJPeA=</t>
  </si>
  <si>
    <t>20355</t>
  </si>
  <si>
    <t>TEMP.LUBE OIL BEFORE COOLERS</t>
  </si>
  <si>
    <t>@@UU@@C@@AA82AApESQpjnOc6DnOc50nOlCEpSk6FISo4FJQlSAJQhKUoQpIAAUpQFKSlIAJAkAAKABIFJUACVJApKlKUBSUqSkCkpSAAAKAoCkpUACVJSlKgAAAAAAAAAAAAAAAAAAAAAAAAAAAAAAAAAAAAUAAAAAAAFAAAAAAAAAAAAAAAAAAAAAAAAAAAAAAAAAAAAAAAAAAAAAAAAAAAAAAAAAAAAAAAAAjzdv5/c777HpR/SLOoR7Ee63D6uz2e52pKeXvvwqV+a/3jP679vB5sf97X36XjVlzYeh/+n7fuvqVTVCXtuwn/A8fiHlaNGcZdCTI/ZV9JPFI/e6TwaLJMkxUy2stalTw1aiqtTJC7nouRhqYaPxGUUilpLysQqqX6WqUpVpeqmy9aTAk8Oy8WRXk1m6i7FfxMa8wVUaM+UZIpfa9jcl17Va3Mx7SMmp4nkhim9y5kuVdgukGD8rrpiocAOqRP4OJFcS0llT40UtT1VFldX9EdaTTUsikfrZF2/sGcXI80y87kHnb413qub7F6L+TXV9WDOjOkmSMfyCkZOHdi2/kRZ12V59VpwMvApuZuw9aMeLhhgm2jFpZ+lcOtevPPrcd/Q5w9G1l5Ojx5mbEMfXbkwK9LS5GLpo3kavTZ0M659DD0XuRsWm8wbNtlyo2NSs05lzpb+lktvZ8ZGZwDU4Mr+fqRqbHTuRq1tSM21uzbxb1TPRp59kyep2EdNGsjCjKjAjefNxo+v3o3Ee1FI/xGwjORzdHw0PizegGFHs5b2IzdRJNRGlH0o5ki4ixHd030X0YZFMHt+XXuI+FIvMKOF/qPftMaKYl4jaR2waEaiKRpRyIpGnGp2tKOQjuDiR3ari65ySpzfD3pEhJOUA==</t>
  </si>
  <si>
    <t>20356</t>
  </si>
  <si>
    <t>TEMP.LUBE OIL BEHIND COOLERS</t>
  </si>
  <si>
    <t>@@UU@@C@@AA82AApGUQpjnOY6DmOc6EHOhCEpAlCUpAhCUpSlClAQhKVAQkCQAUoAEgAhIAASoAFKApIFJAACVJApKlKUBSUqSkCkoSAAAKAoCkpUACVJSlKgAAAAAAAAAAAAAAAAAAAAAAAAAAAAAAAAAAAAUAAAAAAAFAAAAAAAAAAAAAAAAAAAAAAAAAAAAAAAAAAAAAAAAAAAAAAAAAAAAAAAAAAAAAAAAAj0d76Pe8L63qR/SPtcRHtR77cfr5eXv96Snn0PwqV+bH4DT7MdvF6M397H36nlVn0eH7v/12uYUrba4THawn/A8vkHnadOgZ9KTB+ysaSeSR+90ni2bJMJlpntZa1Knjq1FVamC6pOei5F9S+n4jOKRS0yihVMVLVKUq0uqm/itJjSePfxGVci3m+Y6KLtjMyZmDGvqo2dm8Z4pjdDcnAuxa7beVGG1qaPI80Msx9PVMFsufJEmWvyxWwqSfKDskT+DjRXGtJZU30UtT11Fldn9EdqTXUsikfrZF3X6g0i5Homfe5B6W8LrOuv5sXVwxsmhGhJOowjfyikYcXRi3XwRZnenVacLC9Tbw9iOTuOKGPcRfZtMOZs9bOvGTE5uTeZHOFZOfr3e1iZrx2m3yUyK9TBi7LL1kdJG16rN6/SxL+m96NS06Hb7fButOlHPbitO7c6vW22u3O2sxGhwjcdjO/nuo1uB2Lka+k1o0bHVm5l36mmjepM2Rr9bto6yN4jEjOi9G+5PnR3fgjdR7kUj/EcBGkjnbPx2XS0cwL0e3ae1GjjSTWRqR9KNuRcRYj6tWNGNF8imT3cO9uo+NIxL0cT/UfDYZkUysRGwjlBso1kUjUj7EUjVmU5dSOQjvjjR3KrhuOSVN3x+CRIST5A</t>
  </si>
  <si>
    <t>20357</t>
  </si>
  <si>
    <t>TEMP.LUBE OIL BEHIND AMOT</t>
  </si>
  <si>
    <t>@@UU@@C@@AA8qAAo/UQpznOc6DnOc50HOlCEJSlKAJQhB0IQlKAKUhCVKQlKlAUoAEqUlIFASoCgAApIFJUACkqSpKQKUBSkqSkCkoSAAAKAoCkpUACVJSlKgAAAAAAAAAAAAAAAAAAAAAAAAAAAAAAAAAAAAUAAAAAAAFAAAAAAAAAAAAAAAAAAAAAAAAAAAAAAAAAAAAAAAAAAAAAAAAAAAAAAAAAAAAAAAAAjy9v5fY+t3nnR/SPsfAR6key3H6O12u525KeTM/GpX5L3dM3pvW+/y4v71u/oeNWTLX2//o733XsllXGmEvbFhP+B+vhGZ5M+cYsqTG/ZV5JPDI/e5J389gxzDTJay1qVPBVqKq1LdBFsiVKlJgqYKeIZBSKWwiqpdpbb6NyXFKuovVTeu2kpgSeDeuSLIrE8fvm4i7rX9ZjXV+qjRoyjJFLzb2pa5ptqbOFGPQ8WFXjhhmbd15kWw3iTBquXMVDiByET+DjRXGtJZU1IpanoqLK5PzR1pNFSyKR+lkXOrvDMLiPLNTL0uUeZwi5ZeYOa75d3JgzIzJJqZI3uAUjJ1unFs6KY3m09W5OJj+NtZOB6UcnWckL+0jW0uZdaOK8M9+65uxuNd0Bu6/n1crFfHK2OBS8rAxN9h6iN1GfhszXt5vPYiy0+Tn7+xv7LLkRg4WjnLW6V3Z6nV2Kv6+IjCysw5zoY389lGluuG4jFttCMutqmzh3Kmajo0mLc9Dro30bZHPRlRgRuuX4UfP7UbSPWikf4jURmI5+f3Z3Ty8wMCPVrvUjLxpJpI0I+ZHOkXCLEfVovIvIwSKX/XxdLZR7qRdYEfE/1Ht1mJFMK6RrI7QM6NJFI0I7KKRoxKfRoR2CPpHIjuVXJ10bP4d2IhJPeA</t>
  </si>
  <si>
    <t>20358</t>
  </si>
  <si>
    <t>LVL.1 LUBE OIL IN MOT BEHIND SEEVES</t>
  </si>
  <si>
    <t>@@UU@@C@@AA9aAApdUQpznOY50HOg50GOhKEoSlKUpQhCUpQpSQKAhCFKSpSUgSpQFJUBSkgUpQAAABSVAUpSQIUlKVKUoClKSlSkoSAAAKAoCkpUACVJSlKgAAAAAAAAAAAAAAAAAAAAAAAAAAAAAAAAAAAAUAAAAAAAFAAAAAAAAAAAAAAAAAAAAAAAAAAAAAAAAAAAAAAAAAAAAAAAAAAAAAAAAAAAAAAAAAj1/k7Ppd55EfY+B3X9I7jhR3FI86PTb3PL8ut9Hbkp4dZ99SvxYvqNHmvtx+LN/eX7tT9FZ9Gxk/+31/bbDZXfaoTDtWE/4H64hutGjXGfQkzbimJJO/I/fBJ3dNkmaZKZ7WWtSpx1aiqtS22ixnqhVyiql1PAM4pFLZBVUw0tUpSrTWYbSm9itJjSce9hiWRU6PVOejBlky48uZWJdVRur78ozxTG53SlsGq19yM+p3n5wxzc2Jl2KwXYiS7wYMGWh1QcBE/g4EVwLSWVN5FLU8tSypw/gjik1VLIpH5WRg3+Y3hpGFHimvzfaHjfsMFm+u5MPTzY9CNCSb7NG91BSM3B0YtoRTM8d+jhYZm1NT23K0XPMj3sTghj5aNbUvcjg2cT2aG0uwuTTs4bZL2ptjTp4tzJkz0uF7A2bMy3kWZGLpIxoy+Szbux9B0HpRetPhbWw1a+dG61K5fK3ulibNzaYdPY5V+MjMwN8Yt/+fiRst51MCMeXYYl6M+rpzFl7FToUc2k6ubV5XWRvo55G2jQi5G693iR2vUjmI9CKR/iOmRoI5mn16W5r8gLkefYedGvwpJqIvR2UbMjARYj578SMSLpFMfo4edtI9dIwrkdZ/qPVlayKZGEjKj4waUaiKRej30Ui/WU7V6OuR2x2EfNVcVjryptcf0xIiSewA==</t>
  </si>
  <si>
    <t>20359</t>
  </si>
  <si>
    <t>LVL.2 LUBE OIL IN MOT BEHIND SEEVES</t>
  </si>
  <si>
    <t>@@UU@@C@@AA9aAApgUQpzHOdB0HOc50HOhKEJShKEgShCUIAhKUpSlCUoUlCgKSpKgKUpKlAUBIAAAACVAAkCQJSpIEAUoCkqUlSlJQkAAKAoCkpUACVJSlKgAAAAAAAAAAAAAAAAAAAAAAAAAAAAAAAAAAAAUAAAAAAAFAAAAAAAAAAAAAAAAAAAAAAAAAAAAAAAAAAAAAAAAAAAAAAAAAAAAAAAAAAAAAAAAAjy97ue597lR4XdeJ/SPA4UeBSPYj3W7XqxfX3/skp+mq5Klfgv/cZvXot4/Pj/vF5NLzKyZtHh//X8N67JZWq0wmC/YT/gfnyDcZ8+YZc6TH0VL6SeWR+16TxZ7JMc1KZLWWtSp46tRVWpbmotGSFYVHmtaalOQZRSKWxCqpdS1SlKtL1U6V1pL6TydK6JZFTqnORbWamJgxaqsDUpUbm6wyadNhlimFt70te17Z8KMul5Xmhgm5omJbBcSaMPJddi89h1gdkifwdlFdlaSypvIpanqqWVO1+KOKTXqWRSPysi9094ZheR+sybW26o/d1BdZ02p6LtrJgzIzJJwMcbu+KRj4eHHF7MimR6NPUwrpjyNDrNjNhetHHfcMMGwjV0tDlabnBQv3nLl6/M1mhzRi9PHtX+LJTCOdoXNizGt11mJusG+jCjR6bOff6LXe5G2tM+s+f5KyY0a+65itu9vb99puwuYv7Oe4jEvOmOD+foRpbjgvI1M65uaEZNa9vysGL5anQo2qTH6nGjfRtEbKMqMCOi7fEj6fejZR7UUj/EbpGYjm5/hndDLygwo9ms9iMvYSTSRoR3Ua8i8RYjv6L6L6MMimD29jn7CPhSLmFHE/1HvxNVFNRcRiR3gZ0aSKRoR8aKRo1VPq0I7ZHzDjR9tVw9w45U2fJ4IkRJPiA=</t>
  </si>
  <si>
    <t>20360</t>
  </si>
  <si>
    <t>LVL.3 LUBE OIL IN MOT BEHIND SEEVES</t>
  </si>
  <si>
    <t>@@UU@@C@@AA9aAApgUQpjnOdB0nOg5znOlCEHUpKUoSlR0IUhKkgSpKkKSlCUpUoCQKUBKkqApIAAAACVAUpSgJSpSUpSBQEpUpSlJQoAAKAoCkpUACVJSlKgAAAAAAAAAAAAAAAAAAAAAAAAAAAAAAAAAAAAUAAAAAAAFAAAAAAAAAAAAAAAAAAAAAAAAAAAAAAAAAAAAAAAAAAAAAAAAAAAAAAAAAAAAAAAAAj2ez8fqfe40fY7D7n9I7jpI7ikehHqtw+btdrt/RJT8uQ8FSvEv/UZfPot3fzx/3i72l41ZMuq3/6fr+2/ksrvuTCYNywn/A8nhGtnz5xlzpMfuqX0k78j9bpO7m2LkmOYqZLWWtSpyatRVWpb20WjBCsKiqnj2LPCNkUilsQqqXqW/a0spV0vVTfvWkwJPw37yWRSOibqLYb2HEq8wVUbzSxtOmwyRTC5m970uvDati2EW2ngZvJC9NeiYlsN4kw+K67YodEHCRP4OFFcK0llTeRS1PNUsqfF+KOnJoqWRSPHZF3P1jKLkfpMmroDyvfF1nAw8d7g5zJhyoypJwMkc7fFIydLdi2ZFMby6ef8K9MfE2nQasuF50YL74IYNtGLQzuNovOChfucez++LMztwbfN29nqcOzTCNC5tarmRdlWbrBvIwI0dez3L+hy3qRylplzOpj7DGjra3JVrbu5vb+BtYm4vatF4jEucwcH8/Kjab7guRrxZl9nRk0a5V/F16nNo+TmWTHdh8zqo56OWRqRfRhRrcXTR83rRqR6UUj/EayMpGrN7Mzd2eMGFHozvQjZ4Uk0kaEdhHJkXEWI7ei+i+jDIpg9PDyttHspF5hRxP9R68TkIpsLxGJHzgzI0kUjQjiRSNHIU7OhHWI+kdVHZqulHFKm33u5EiJJ7QA=</t>
  </si>
  <si>
    <t>20361</t>
  </si>
  <si>
    <t>LVL.LUBE OIL BEFORE SEEVES</t>
  </si>
  <si>
    <t>@@UU@@C@@AA8yAApJUQpjnOdB0HOc50GQhSEKShKEpSlCToSkCUpQlKUISlIAASoAFJSpIFKAoAAAApKgJAoAEpUpSUqUBSkgSpSVJQAAAKAoCkpUACVJSlKgAAAAAAAAAAAAAAAAAAAAAAAAAAAAAAAAAAAAUAAAAAAAFAAAAAAAAAAAAAAAAAAAAAAAAAAAAAAAAAAAAAAAAAAAAAAAAAAAAAAAAAAAAAAAAAjz9/ue54XIj+kfW6qKUj2I91uH1d7vfT88lPP4XkqV+LD4DR6/Lbxfrl/vJ49l+is2j7L//rw/bgzWVttqExWsJ/wPN5B52nToGfSkyt9WFJPwkei6TxabJMs1qZrWWtSp91WoqrUtykWjMqpKxqlVMdPN5RnFIpdkFVTDS1SlKtLsdrNWG0mJJ9+rAWRSP34Tmou1qYdbKq5iqox6l9+cZopjb2Poy7BNi3BdJt5Efttt954bOSdDFs7UzsGTFEmT8rrslDhBxET+DiRXEtJZU4EUtT1VLKnH+aOzJfUsikeayLunwDQLkeiZt3qj0uoLrOmx/JyYejmx6EaEkyxz8QpGv2N6LZ0U13acl/U42GZrzptvRZietGXsQxfGjJe02aqF1zk1+Vp0NLbHFl3Ol1uvnpjHXXNx12fGwakcxF/JZu/Kxc17kby0y6Xay66MjbbCuXNroasK/WbTBy9OAizpDo/z8yNl0HBcjY5zSwthGa/nzDk51Teo3aTL6nZRqRukbiMyMSOc4+wju+9G4j2opH+I3yNBG5p+GlzM/pBjR7Nh7EZ+FJNki9HcRtSLiLEfVfhRhRjkUxe3rcvbR8KRgY0cT/Ue/I10U1mAjIjvA0o2SKRejjRSL9dTu3o7RHfHbR9FV1u4duVNzx+CEhJPiA==</t>
  </si>
  <si>
    <t>20362</t>
  </si>
  <si>
    <t>@@UU@@C@@AA8EAAo1UQpjnQdBznMZB0HQhCUJQpKUqSlKFJUlCkoSlKFJShKkAABSkqSBKlAABQAJABSlKUBIFJABClKAoCAJSpSVJSkAAAUBQFJSkCkqQlSgAAAAAAAAAAAAAAAAAAAAAAAAAAAAAAAAAAAAUAAAAAAAFAAAAAAAAAAAAAAAAAAAAAAAAAAAAAAAAAAAAAAAAAAAAAAAAAAAAAAAAAAAAAAAAAjw7/DyvOivX/KOsR/SOW67f9PdzfRKk+vkqqllq8B9vH6vDdq/p6+T79dXHa+3g1//t9n3Wvsq2TTCWyWE/4HJxo8mHNF+ZJmeOsaSccjy+HENdbRdJP1mWmFrLWpnWniq6rpKlqupbcRZdUGSpkp+IwRSNNzUpjpapSlWkWqmPp1ahi1Eni81wxlyKz85Fhq4Y8rE/Aqk0at+eKhjbRVstvNqI6VvHsPydKGxqzUv8m5dpmC7NkFURTN+ds+JnwdgHaIn7nbRwLWkpU3UUtSvTVk7XIjtps0WRSPHZF29uo15OvWJHlmHvc/9kUi2Pm2y+i9F6SasXjcRl+HNFt5FPPrbvE1s+nPl7HqR3L9GXidmHX5iMMm9fcjfxcynovR1utv8DDJqI31Le+jBHDwejb1Op0eVF9jD3eb278EdLby1h1Pg1+nrXZSN4b38fKjdpGi/nsEZdHCdDL1anOpHU2vS7iPmRuEbaL0d7IjW6L4+FFd72o3EcqKR/aOmRrkZuxl0/5pdHF5waqPZWl7Ea3ZSTZI2Ed1G1IuIsR9OxjRjRkkVNS6uXr9DbRzqRimjKjqtH+ovz+2lkUzMRGdHzg0o2SKRdWyj5EUjubWdSu/tI7JHxDiRxVXBYulTb8X1ICSe4A==</t>
  </si>
  <si>
    <t>20363</t>
  </si>
  <si>
    <t>@@UU@@C@@AA8EAAoyUQhjHOc5jmMcxznOc6ToQhCknShCVJSlQFIOk6kpQhKkAUACVKQpIFAABQAKUpSlKUBSlJABCkgUBSEqSpSFJQgAAAUBQFISkCkqOlSgAAAAAAAAAAAAAAAAAAAAAAAAAAAAAAAAAAAAUAAAAAAAFAAAAAAAAAAAAAAAAAAAAAAAAAAAAAAAAAAAAAAAAAAAAAAAAAAAAAAAAAAAAAAAABCw+Li2HQJHp/kT3AT+hNlFHB1fBg+Nhfp5oiGSY+UPr5fR9tF/9PTzffjI5ZsnF83//P9X2XMMkU38qDNyQH/gA5uUTzW7YFmAXAfnFwV5VOf7qQMZOKhX9WqDDMkzBDmiYsIYWZognbEooUL0N6DyAYRIEyUF2C5BMMEESDNzfiYApui+Pz0AXAoEivdEm/BTfJPwCIGFtxX7K0hC4Zwibs3BPLjPIaUMd27Bv5qtGNknBdAiBPPAklf4zZSWXdQAd4Ef3DviayZWCHfEgmCOqJHvfkJ3xzQEiQJ5ZEo7nZExrwRSJuc7lxezz/sJAk3tu7RX02iWitSWgbgmDsVpPtiQdGLt8ZbXlrq7voE8FmKrRxmtDVoEtv2SJwUdaDpsUs3NWqy9dExEE74mETi129Oe92evsEwyHDl0cOG0TsbVVPtdrHvYb1NQJ3AN3+PCJvQJZo0lolWLhDTV2od2BMfUcQnwibQJ1hKxOS8Jh0ng4RI5PWJtCbBIE/sTeBMYJg1VZP8yGmnoAC+J6oyHqEt1iuYEyieETOpQCSCfJluCXBLykN2iNnB19Am7AlLiqE7Zi/0Syv1wSJBgKQSsTxABkEzAkCURmE98SBOLPWQR8WcTugnugcYnvRGvkClh2vH9AgAr7AA=</t>
  </si>
  <si>
    <t>20364</t>
  </si>
  <si>
    <t>@@UU@@C@@AA8EAAovUQpjnQc5znOc5zoQhCTpShKUJSpCUqSlQEoShSEAShCUgAACVKSpIFAABQAKUpKlKUBQEqUBClKAoCFKUpKQKSgAAAUBQFJSkCkqQlSgAAAAAAAAAAAAAAAAAAAAAAAAAAAAAAAAAAAAUAAAAAAAFAAAAAAAAAAAAAAAAAAAAAAAAAAAAAAAAAAAAAAAAAAAAAAAAAAAAAAAAAAAAAAAAAjzeLi53nRXq/lHbI/pHPddvej38fxSpPn5aqpZavkPp5PTb68P6+rl8mlXJbLb5fm//x/R9V/NZV7DsQluhYT/gcvIj9NG2M2NJjfnV9JOSR5vJeGlbRdJPLMVM1rLWpU2KtRlWtaS6y7bRdcTBSMFPvGZFI17mtS/S1SlKsS1/r1ahe1kn2/tcL5cisnURbDewrn3FUlNGDJjioXm0UNN1Wvo/LS3HVhp1ps+5q7GvMq7HgFURTH+Fsl5k3gcBE/c4Ub61pKVN1FLUr0VZOD8UcKbFFkUjlsi7tddGiTeq8jyzNueXzIpFr+q3U5snNnRnSTHGcbaMm9ix5YvdtFPPp93sMOnNs5se/relHHm18ffcEN/ooz4Mtkdy7VTmyI5snS7fRzYcCL69ZduozI4+HJs627i50ZbHFq6HFlzI6vQxX+v2NPWzXYiOyOzj/jwI9ukaNXGzox6e6bmLs1OnR0aTP6HEj4EbZGpGVHhwIz9Vx91FeH2I6SOdFI/tG6RpIx9zFr/5rute84MKPXWu9aM++kmyRsI8CNqRcRYj49i+i+jBIqa11c/c3NSOnSL00Ykdpo/1GXJ7KWRTGvEZEeIGujZIpF1bKO+ikcW1kUr4dpHvEcI7yO9VcEXSpq+zxoCSe0A</t>
  </si>
  <si>
    <t>20365</t>
  </si>
  <si>
    <t>B1JBA-1310-X01</t>
  </si>
  <si>
    <t>@@UU@@C@@AA8EAAoxUQpjnOc5zIOdBzoQhCEIUlCUJSpClIUlQEoShKEpShSVKUBSlKSpQEgABQAKApKlKUBQEqAlAFKAoCFKUpKQJSlQAAUBQFJSkCkqQpSgAAAAAAAAAAAAAAAAAAAAAAAAAAAAAAAAAAAAUAAAAAAAFAAAAAAAAAAAAAAAAAAAAAAAAAAAAAAAAAAAAAAAAAAAAAAAAAAAAAAAAAAAAAAAAAjz/Jyc7yIr0fwjqkfyjnuu4fN8N/dlSfRzVVSy1fMfVy+f7Lsn6ejm7+lXLbNb5+9//e+n68OeysGTXhLbVhP+BzcqPz0dAZ70l78qwpJyyPF38A0raLpJ4ZlpntZa1Kngq1FVmXVJZduowXIx0THT7hnRSNa5iphpapSlWJbD7FWoYMSTweO4YS5Fam8i2TBkXOiVSaMepfFQwtkqW0/jcLYkXaXRdKGLTTewbeiXrY8mMVSN+kWY/vthwL+EHGRP2OwjiWtJSpvopalearJx/gjsJsUWRSOayLupvo0SblYEeGZ93w+JFIth27ZfJmRmSTJGYbiMvtXxbqIp49Xgz36b8nD50e45P1z+XWzYPdccMPFuI04surci7rYNumTMit3XuxamK5HVUt00ZkcnX8uzizbvOjNY7W5tdrNnR0NrLi3/X07ee7KRwDg/f4EdOkaNXb9tqov09k3r+Cpu0i/zO0j4keqRtI1EdzGjP0nJ2UV3P7RuI50Uj+kesRpIv4cut/ms6WDyAyI9Naz0o1eJJNgjXR76NmRcRYj5dfCjCjHIqYrq5+tvbaN2kYJoyo9lo/1GbU/ulkUvYCNRHxg1kbBFIurYR7yKRybOopXc2UcRHGO2jt1XX7pglTc+3vICSeoA</t>
  </si>
  <si>
    <t>20366</t>
  </si>
  <si>
    <t>@@UU@@C@@AA8CAAorUQhTmQcxjHOYx0HQc6EKOhCEKQlKEAQpSEISlKEAQlAEqSACVISpIFAABQAKABKQKUBSlKSBAEqAoCFKUpCVKQpQAAUBQFISkCkqQlSgAAAAAAAAAAAAAAAAAAAAAAAAAAAAAAAAAAAAUAAAAAAAFAAAAAAAAAAAAAAAAAAAAAAAAAAAAAAAAAAAAAAAAAAAAAAAAAAAAAAAAAAAAAAAABCu8nh7DqEj1/yJwAn9CdlKcPXzHyPMvm6IiGSY+YPn5/V9NK/y9fR9emRzzjnR5v/8s/RgxyRgw5UGc8gP/AB0c4n436ALrRbY/CahXnU9NFyH1ZKK7fS2wXzJMwQ+eJgIibkJKbAmCglcA1wegC8SBNShpQVQTDBBEgzURC0qF8/6UAqCgkW7Ik311QUNdiFyYcVqQhUZwidOcsGkJ9+UotXoPeQplgnVyOkThqAiASMP2zhwFe5wgBxAj+4cYndIWWHtCQTBHXEjxfcJxjmgJEgTokSm92xNNeCMAnS3bHT6RIEmr3SbPz6rhLhWxLgNcS3gxJZTfEgm/eut07a931CcmK+w5TuIY+DOJfXjkTfKZoOr9vDeJmnV4bbrMIleyfBMUnB2hMgnf7366NLa7BLpDk2dHJixiauiyy7c3Z3MFKwTeA3v48Qm7Al+qctwll/IG1Zvw68CZt3rO+JzCaATWExieOsS/bOXkEjx+0TQJ2CQJ/YnbBNMEt4rMv+ZTbwdQAVieyMp7BL+6K5gTUE8QmdSgJIJ8upUJUJhUh0qR2dza1hNiBMDksE98yf6Jjxe2CRILTACYhPIAGUTMCQJSMwnxCQJ8OfEQR8ecTvAnGB4BPBEcUBRh1vs8qAAr7g=</t>
  </si>
  <si>
    <t>20367</t>
  </si>
  <si>
    <t>@@UU@@C@@AA8CAAorSQhTHOc5zHOY5znOc6EIQlCEKQdKlKQpSUKShCEJQhKkKUAClJUhIFAAACgKAACFKUBQEgUo4FAUBSFJSpSAJQhQAAUBQFISkCkqOlSgAAAAAAAAAAAAAAAAAAAAAAAAAAAAAAAAAAAAUAAAAAAAFAAAAAAAAAAAAAAAAAAAAAAAAAAAAAAAAAAAAAAAAAAAAAAAAAAAAAAAAAAAAAAAABCs8nx6jrEj1fyJvgn9CaqU+Dt8Z87416OmIhkmPpD69Pp+2l39PV0+XGRpnBPR9X/9FPsjBJFLmRBnPID/wAdOkTz4dkDBWLXHmm0K6VOqi4jy4qK7v6tcGGZJmCH74mAiJsJIWm0JVUJdhLsIfgBhEgTLQtwWoJ88skEUBm2RC0ti6fRQC0FBIv7gk4rtqChwMQuO5frSELRrBE5Jy2xPNlKvxiNCE5IM0Le18bJN2oCIBIu6JvVF7wABxgj+4eEThIWWHQJBMEdsSPH+QnhHLASJAn5yJTe7wmJd+KhOp4sO31bYkCTb2Ca+uwSwVupYBsiXu/Wk++JB6MO9ZXVkru+5V6ROS/hrPEeBDfziYbmCRO+UzQdfxbdglrD2bVhetibm4RNN0TEJy8PZg/a5u6hLJDltbWzy4LBLWvrTXt5vd3svt46XwTaA7v8fKJ3oEybJ8Ngl7HyBjve9DtwJrdpyifMJ3QTWEvic9wSzQeLkEjn9gmwJqEgT+xNAJjBK+C9k/zIe1V2ABdE9cZD1iYeEVzAmUT5BM6lASQT6MtoS0JcUht0jVwbmuJtQJU4rwm8Yv9EwX/ZBIkFZUCXxPIAGQTMCQJSMwnEJAnNnvkEc+cTgBOIDmE5ojh4wqYdj7uhAAV7g</t>
  </si>
  <si>
    <t>20368</t>
  </si>
  <si>
    <t>@@UU@@C@@AA8CAAorUQpTGOc5zGOY5jmOg6DoQBAEJQhCAJOcCkJSlCkIQgCgIQBQFJQpSlAABQAKABKlJUBQEqAlAFAUBSFJSlSAJOACgAUBQFISkCkqOlSgAAAAAAAAAAAAAAAAAAAAAAAAAAAAAAAAAAAAUAAAAAAAFAAAAAAAAAAAAAAAAAAAAAAAAAAAAAAAAAAAAAAAAAAAAAAAAAAAAAAAAAAAAAAAABCs+fp1moSPb/InECf0JrnPwd3jPpfGv2dkRDIlH1h5ev2ffPB6vb2ebIR1yxS+3B//k8v3U0yIov3IMs0gH/gA7OsT049sCyoWqPRKkV61O2a2nmtmrvfq1QY5SJSgh88SgIiUFiE9wSigTBDghT8QMYkCZZl6CmCUMEESBlSRCzpF8/rmBSExI9Ve6JO3DegmeJiFyX8VaQhSbIRK6WW8J6Mp+RvoXjLHfg2oXI1s8FAEQCRg35YaDD4QA5AR/cOUTjIWTDwCQSgjuiQ8n5ico5YCQkCfpISengEtXwRQJ2tm526BIElTnOWdWqwSwVwpYBtiVcVaS+ESD126bKrqtGHR7BOevFbWT0nhQ4tkS3BikJxE80GrosE5umq34rMN8TvbxEp8ImQSva1Z727rExSDmtyZK8QmXNh2dng4bv238lFYJoAp0fx8om/AlF22fHPGJVdzBvVaYd2BM/cc4nfE3ATOJWJ1XxLOA5+USOr3ibYmsSBP7E4ATICVcOG7/Ljeo1ABgE90XHuEx8YrsAmUT5BMykwSQJ9WWkSkS+pDenGvxbucTcgShtwiaS3/RMVfvgkJBUUAlYnzABcJsAkCTjYE6RIE6M1ZBHVmE4wTkA6BOiI4/oChh2vw8iAAr8A=</t>
  </si>
  <si>
    <t>20369</t>
  </si>
  <si>
    <t>EADCV SPRAY.REAR GLAND</t>
  </si>
  <si>
    <t>@@UU@@C@@AA8qAApCUQpTGOdBjnMY5jmOc50pSlCkIOhSEIQAADpQlKkoQg6AKUoCgJUpKgKABIAKAoCkpUpQAAOpSkpUBCkqSBCUqQoAAKAoCkJUACFJQlKgAAAAAAAAAAAAAAAAAAAAAAAAAAAAAAAAAAAAUAAAAAAAFAAAAAAAAAAAAAAAAAAAAAAAAAAAAAAAAAAAAAAAAAAAAAAAAAAAAAAAAAAAAAAAABCs8PJ1nQJGv+hNInmgTqE66J8PT4D6StY8bzQzl45fWH2+uPv8tXo/vNgxln4ysl9Xk/+XknKuRGWeRBiUgH/gA/TGh7/oxWgV2i4T9diV4V/BTn+6hbpY5i87gg/OUiUoNZJ1xOJrDKJwSrEkTgYAhS/Dfg8oFiECRIpgoglVWTZkEUMogp3olC3xdfqoDNfoEn+TAG2JAFVVFMignEDertkhgSUqTMEcyE+xO28zhbjKU0wRnsb5K9SCzveajz07G73QA74I/wHEJ8JCyYdwSCUEdMSHi5hOMcsBISBPPISfBaB3Jic7x+mMW+hl29q8hy+lCeCOBDdw4L+HfuEuFax1XAcgmLF3/gGekSD1WSz6f2yYu1Zg4vWJVPT8Z2RKrIQi6DoMyHJs5NW5++irYQ4t6o2qeATKJqw56do6xLJBubfZq37pVifFbvYq9GzLMb/Bm5d6zNTIEvrhiqz+fAJumXTMTNaXXCWYbjQag0WiV54duAvQOGXScomyJsgnbExCXxLdw1cYkfN7RO0J7BIE/wTtgloJgt91por6AAvidUYzqEs4RXICXCfKJlUmCSBPFdSJSJfUhvT9nDs5xPdAlDsCdwxf6J7cJWJBUUAmAT6AAxiZASBJ5BPkEgT58uEgjw5RO8Cd0Q8UR3pBxsPY1/YiIK+8</t>
  </si>
  <si>
    <t>20370</t>
  </si>
  <si>
    <t>LVL.IN VSC</t>
  </si>
  <si>
    <t>@@UU@@C@@AA8SAAo0SQhinOc50HMc5znOdJznQdKDpSlCUIQhKEoShKEJQlCUgAlQEqUpQFAUoAAAAlSgKAkCUpABCAJSBCVKUpKkoSAAAKAoCkJUACFJQlKgAAAAAAAAAAAAAAAAAAAAAAAAAAAAAAAAAAAAUAAAAAAAFAAAAAAAAAAAAAAAAAAAAAAAAAAAAAAAAAAAAAAAAAAAAAAAAAAAAAAAAAAAAAAAABCvfZ4Ok94kf0JuAnQJ6OmlN3n8h9pdWPx5Y5IaT6p8oeb4R58Op+v93PRiPTxzenFP/+X8vNYvSRQxoMUkB/4APZhQ9X6X9UCu+LdNX2TZFeRT2+ei45xcdBf2bsHLMkzBDxxMchDCzNUE5BKs9BkCEbkNuD1gYEIEiSxBSCbUskEVBJTbiYWyLye6gSJFv1sga4kW7clmSTZszA2pXDgrQupNKosZwntIU0VYbQmIyFGmamBtFVKWAWzlq00sbwAcAI/wHfE3yFlh1xIJg55liHv8onCOOAkSBPzkSravgbFQnta9hDV7aHN+6FVrPO7toW7V8S+K6iXgOAS7vcV5Kt0SD3Yty/d1+rXc72Q+AnFO1qeIzCV28Mobc9WDmye/6NVDsdzRo3t+7aQmdM4zRVX2rdrZE1hNG/rWL/SJ2DBUGnFm08PFeviXqska1dyNnax6cp2dGSzfBOuB2/58gmbuSJly13MIkYst1C5tQ6YDYCBz854BM4nWBMwlYlkS92Th4BI+n5CZxPiJAn+Ca4JgBNTB88B16+YALQnRGE6BL3dFcYJiE8YmRSoEkE+/FYEsCWlIbNXx7vWyifOBKNsTaL/+ifK6ViQXCgJqCfWAGETGCQJVjE8QkCeHJdII+rIJvAnCIfdEbnjDhYc/p/BBAV6g</t>
  </si>
  <si>
    <t>20371</t>
  </si>
  <si>
    <t>@@UU@@C@@AA8eAAo/SQpTGOY5jnOc5jmOc5zoQBCAJQdCQJShCEgQhKUJQdKUpSlIEpSpKgAUoAAAUpAFKSoAAIUBKVKAlSVJSpCVJSAAAKAoCkJUACFJQlKgAAAAAAAAAAAAAAAAAAAAAAAAAAAAAAAAAAAAUAAAAAAAFAAAAAAAAAAAAAAAAAAAAAAAAAAAAAAAAAAAAAAAAAAAAAAAAAAAAAAAAAAAAAAAABCw+XV0HvEj7P6E64JzicnH0U08HN5Pp+oxLFb6YZy+6X2h5vhbL0V+z+/0vWn4+eWGXHx//H3/hRBhPNTlQY1pAP/AB08iH7ezHsAYrRb564pFfOpy8lC5JY5i8rXB6ZSJSghzxKAzEpSWcidok5jAEDVCGKLsH5gYkIEiRcgoglhJMiCJv5ROnciULUL6P3oDPVQJPdYA0iRXRWTKYgbkjJbNC8kpUGgIQ9SE7Z225cFYkspmKamiWiVTWTquAtWef60V9gAO0CP8BxCcJCyYdoSCUEc0SHi9QmockBISBPXISfVxAdeYnK8Wf22bm4hp6dKHd9qE7l+W6h766rRLRXu3xtA1CX+GvbHDRwCQe7LLf0XcGtmw3uH4CdnvUbPgNcS/ZCEZoO+aEKs+/2M2rVXdQ1+5cK6dwS0TLrdXPcvHQJhkGzorrsviadFe31LO5umLTFN4EoAgzfz4hNos3piW71VgleOwt3p7NSF/rQ7EBqCBu8x2xNsTYBNcTAJcEs2jV2hI8fyE1xPiJAn+CdQEsBL1nzsNOD3ABUJzxjOcTDviuQEtE8ImVSYJIE+u2kSkSpSG5P47+xnE+cCUN0ThMX+ifK+YBIKygEvCeUAMYmQEgSeQTwCQJ5Mt8gj6MonZBOAQ70RvJqYdHJxqoCvS</t>
  </si>
  <si>
    <t>20372</t>
  </si>
  <si>
    <t>@@UU@@C@@AA8gAAo/SQpTHMY5zHOc5jGOdBzpQhCEIOpKFISgCVIQlCEIShCgKABKgKUpKgAUkAAAUpClKUACQKSpKQKAgCAKSlKkoUACgKAoCkJUACFJQlKgAAAAAAAAAAAAAAAAAAAAAAAAAAAAAAAAAAAAUAAAAAAAFAAAAAAAAAAAAAAAAAAAAAAAAAAAAAAAAAAAAAAAAAAAAAAAAAAAAAAAAAAAAAAAABCx+Lk7D9hI8n2f0JvAnWJzdlFHf6vn+n6jIsYFlH2y+sPv9lkvNf9H989dp0eaWOXNd//N934XoMhFGZBiqQD/wAbNyHp9FmqBjtFwn6ReFfyU9XkoW2Vsxc7gg/OUiUoIfLEoCIzk4WRO4SiYwBAVQDVB5wMaECRZMpgvQShggiQSo+GJQtIvl9dAak0Konf3JAbQkV+enCUFLEDdbWhiSJReNAQ86E7Z6LJLhviZTUL15mS0Ut8lReQM8KVXUT6IwU74AcII/wHEJwELJh0iQSgjqiQ8XOJxjmgJCQJ0SEnuWAfFMT0vHd6rO6hp2aEOn9UJ17OCe6ht139/KJlFeXGBlA8AmTh2xyT3xIPXnlvW4dXgxYOLXl7BPjlr/IaomHJCHAS1IOk0CXFWfBw8ZfqQotKaO6JYJ4M+5mp1jsExyDuXXV124hNOpX8Hct28m1FGAE190CWj+flEs3ZCYru9+8Z7hMOXNGzkQxbkOxAcgQNXUcom0JsAmsJiEpEx6Tk4xI+b3CawntEgT/BNgEsBK7PfYacXSAFQnXFp1iY98VyglwnhEzKTBJAnjuvCXhKlIaZ+3v6+cT3wJQ3xOIyf6J7sJiEgwFAJWJ4gAtEygkCTyicokCb2bCQR9GYTgBOUQ8cR3vCHIw9v8eYAQV7Q</t>
  </si>
  <si>
    <t>20373</t>
  </si>
  <si>
    <t>@@UU@@C@@AA8YAAo6SQpTHMY5znMc5zmMZCEIQdCUpSdKQJQgCgIOpKToQcClAUlSgJUlAAKAoAAAAlIEASBSQKAhSlKUBR1JSBCUqUACgKAoCkJUACFJQlKgAAAAAAAAAAAAAAAAAAAAAAAAAAAAAAAAAAAAUAAAAAAAFAAAAAAAAAAAAAAAAAAAAAAAAAAAAAAAAAAAAAAAAAAAAAAAAAAAAAAAAAAAAAAAABCx8uvrPv/YSXo/oTiBOoTrnPT0+Pl+oxrHM/nDOXNLyh5/b9krMHq/vZhsMv3SxyzeX//Nzee9BkKb1yDGKQD/wAbLENHqzZwMlguI9MXhXnU6PRQtss0xehwQflKRKUEN0SgIiXOhInYJRMYAgKoBqg/ADGhAkSL0FEEoYIIrJhOjvxKFpF5/ZQG1NCqJ77AHbEjBsvYSgpiB/GLbMKFaSkUm4EbEJ707La5l8S9RcULtkTgrlu32olVSC1ZZ/pRf8AAcYI/wHIJqIWTDoEglBHTEh5NgmsbYCQkCemQk+DIBxTE6Hk1ZOBDudr1ofL60J4Y4UOHTow37RLRXENgGsSvVh7o6aMshJHsulpqy17teDVT7RJ72fb+Y3BMVmWSEXQattDsl/DRtaqqkL/x1XRe7olgnHjt8NOM6xMkgz7VODNiE8VVmDuaMuu6qiMAJwAZDP/P0CdkzcMxLb5H75hMVmYtlv5EMXehzwHIEDV0msTxCb4JuiViUiZO2a+MSPH7xN4T3CQJ/gneBMoJhy/DKaK/1ACoTqjMdQmPiFbQSwT5xLlJgkgT67Lwl4SpSGmfu07+2J8IEob4nhMn+ie/EViQYCgEwicoAZhLQSBJ2ifIJAn03YiCPJcJ4ATSIeSI+KA1MO59vmBQFewA=</t>
  </si>
  <si>
    <t>20374</t>
  </si>
  <si>
    <t>@@UU@@C@@AA8cAAo9SQpTGOY5znMY5jnOc50ISg6UpQhCUoQlKEgQlJ0HQhSlKAlSgJApAAKUkCgAApSEgSBQAKAlIEASpKEgSpKUpUACgKAoCkJUACFJQlKgAAAAAAAAAAAAAAAAAAAAAAAAAAAAAAAAAAAAUAAAAAAAFAAAAAAAAAAAAAAAAAAAAAAAAAAAAAAAAAAAAAAAAAAAAAAAAAAAAAAAAAAAAAAAABCs4+LpP2Ej9P6E7onngToE6aJ7/P4eP7SxY8bzQzl45fgHk9/5S5b2X++a/jPv80rJcnJ//JPyRBYU0ZEGNaQD/wAc2NDZ9VuwBZiF/Ws9UXBXzKevPQuWWOYt1vQeeUiUoIfLEoCIlmJELPGJRQMAQFUJVCHKBYhAkSKYKIJQwQRWTCdG5EoW4L5fbQGaYlU91gDsCRepvEymL8hjFbeQwJK5OIzBLl6/oQp6tN/JZfEylOeIgSk17jdJV1XAWqc/TRdO8AHACP8BqE0kLJh2hIJQRzxIdXoE4RyQEhIE9MhJ7uEDYmJ63VZp3EOx1vYh8/sQnf0S7aGzeqxiYxW+OIDhEwaduwZ2d0SR7cst62vWru6Y94mvwW7EvpNYTBPDJCUssHuzoRk0Yt479VSFenPaU9kTMJq289Np0iWSC/nu1xhwCeC7mja27eHPdw0xIE2N0Dtdr+frEpMXcmJkP3xCYMeIsMk7OtCGDch0QHCEDVznEJ4BNAJriViXBLdk4tQkeH4idUT4CQJ/gnZBLQS/b8rTar9wAVCdEYjoEs3xXICYxPqEyqTBJAnix0iUiVKQ3J/Df0ZxPlAlDdE4DD/onxwFYkF4oBL4nGAGITICQJPIJ8wkCfRlwEEfZlE0gneEPFEb33BpYdf8/xFQFeoA</t>
  </si>
  <si>
    <t>20375</t>
  </si>
  <si>
    <t>@@UU@@C@@AA8cAAo7SQpjGOY5jHOY5jmOY6EHQhKEpShClIUlCkIUkCDoQhCQAUlQAISpIFKABKgAApSkKQBQAAUBAEgSpKEgSpKVKQoAAKAoCkJUACFJQlKgAAAAAAAAAAAAAAAAAAAAAAAAAAAAAAAAAAAAUAAAAAAAFAAAAAAAAAAAAAAAAAAAAAAAAAAAAAAAAAAAAAAAAAAAAAAAAAAAAAAAAAAAAAAAABCs8nF2HSJH5/0JuieeBOsTsnm+bq5PJ9ZYscr0QzS5ZfaHN7fxl5qr/76K7j7OeVkuW7//u/DmogyHNRnQY0SAf+ADovQ2fVdsAZMwv6Yz1RgFedT16J1vldMLhaoPPKRKUEPPEoCIlBnQmuEnnGAICmGmFPMBYhAkSKIJ4JQwQRjJgmn+SJQuAXn/WcM8wlM3cYA7wkVUVExREDltwoVpKiaIzhK/0IT6s+W7H3axLzUKUwYoktLUT4JxHFBTVP6ZT1eAANII/wHAJvkLJh7wkEoI6okPB6BOEb4CQkCemQk23kA3ZhPW8Fm/toa2x7EPD7EJq476HTXVKnKJlFaxtA4hMWxp2Rmybwkj9rZbu3dZosq0x7RNbD85qCVduySEZoOni1ULafFnur014UKrP3mrniKPjEvE4/iz0a52CWSDX1cPHGTEJiz1aI2dqjj0YclESBNHfA2v55BJy3cmEuNy0SvLaXWE1mxCGLbh14DcCBw9RwifQJrgmqJjEwCW904dIkeP3iawnuEgT/BNoEtBK7fhabOPpACkTrjKdYlm8K5gS4TxCXqTAkgTy3UCUCUqQ4JvdvdvUE+ECTuETfMn+ie/EYxIKicErE+kAMomYEgSbMJ4RIE5L8RBHjvE3wTwCHliPl+oN9h0fl94qAr2gA==</t>
  </si>
  <si>
    <t>20376</t>
  </si>
  <si>
    <t>B1-TT-27011A-B01</t>
  </si>
  <si>
    <t>TEMP.1 LP STEAM BEFORE LPSF</t>
  </si>
  <si>
    <t>@@UU@@C@@AA80AApGUQhjHOcxznMc5jmOdB0IShCkHSlKEIQhCEqQA6AISlCVAQBQFKAlAAAUkAAAUBKgKSACVISlKVAUBKVKUpKkKQAAAKAoCkJUACFJQlKgAAAAAAAAAAAAAAAAAAAAAAAAAAAAAAAAAAAAUAAAAAAAFAAAAAAAAAAAAAAAAAAAAAAAAAAAAAAAAAAAAAAAAAAAAAAAAAAAAAAAAAAAAAAAABCxc3L2Hl6RJ5fs/oThE54E6xOymjT1eI+s5lj7ln0fhPkDH7vNdoq/T+7/32FXpmuc/2//M+Wa5Inz2oM5pAf+AD12ofl+dmsBiyC4dExNwV9KntoW3zZKBdFbggyzJMwVkvPFEULDMUQTkEkohPREgQpfhvweoCxCBIkuQUwTDBBEtdEwUkQtwXz9FKShFz5rYoA0CQBbfvQUE3Jhbcl9DAk3DUCKcs12WXhMhb6jQhU03s+O1rKLl0Fqv0eym/3gA0gj/AaROEhZYdAkEwdUykRp/ETiHLASJAnrkSjb2LAOCkT9Xix7iGz7UOj9kKN+/N25jExitS1gd0Srh2VnCJBx/PZuY+CJr5NTFxV8G9re4SyjkOJDtCYu9qShfnVg6OnXQpwV5Ont8ZgqQzHcxF67PHt1bolQmHpxeGy93XsEz7dlIXtrt7G1Vq2ZBKtrPGuUYt3ez0a1luG7AJZvgbtmrs4f5+kTU3JEvWWiYqsxr6taGDfhxwHgCBvdRyCbwnygnaExCXRMfcPBxiR9XwE1hPeJAn+CbQJYCYLPjYaK/3AC8J1xkOsTFpFcoJaJ9AmZSgEkE8dtwS4JeUhu0e/g2M4nxgSlqE75j/0T4YSsSC+UgmATmADIJlBIEoyieESBOXNhII8WYTSCaRDxxHBId9h1efyCKCvyAA==</t>
  </si>
  <si>
    <t>20377</t>
  </si>
  <si>
    <t>TEMP.2 LP STEAM BEFORE LPSF</t>
  </si>
  <si>
    <t>@@UU@@C@@AA80AApDUQhjHOc5jnOcxjHOdB0nSk6koOhKkAQhBwKQlCEKSpCQJSkCQKUpKQAUBIAAUACAJSoAEpUlKkqUpSVKSBKkpQBQAKAoCkJUACFJQlKgAAAAAAAAAAAAAAAAAAAAAAAAAAAAAAAAAAAAUAAAAAAAFAAAAAAAAAAAAAAAAAAAAAAAAAAAAAAAAAAAAAAAAAAAAAAAAAAAAAAAAAAAAAAAABCx97t9B4uUSe59n9Cb4nkgTnE6KaODmvn1n1LHh/OIho834TyBZ7fHdoq9P91eS0v/fOKbPD//J4vtuVyRThyoM3JAf+AD0ZEP19NugDHkFw6pibgr5lPVQuTx20C6sTgg/GZJmCHyxMYyGFmaIJtEooTREgQjVDVB5wLEIEiS5BTBMMEESE0EQtIvl9dKShFzfJA6gkW21UF6SSbswsLbZUhgSaTYCKck14rolh5zZQuuWm9sWuAmm6C371H6U3/lADhBH+A4ROuQssOyJBMHNMpEcP5CcQ5YCRIE9EiUbdYGugT1PDj20NPV/ZD2etCndwaSi/dsEsFakrA2hKt/Ak4RIPm7Vu9XvROK7sYuDDvdL2iXt3CYfnOuhoEryZZQ3iijPB7K+300M04M9fBVeQznVwbJHLenav7Yl8Svl6mi7q6BOnox0hp/fpZ72euwTu5o09qMej5Nzd0XO1czYrsAlusCzRqq1Yf5+gTPuSJdq1HWozCWYNnc01oYtcOSA4wgdPMdkTWJtAnxiViXRLNw4+wJH0+8TSJ7hIE/wTcBLATBZ8LDrYuUALwnPFpziY+wK5QTIJ3RMylAJIJ4MlwS4JeUhu0e7f05xPhAlLfE1lf+ie/CYhIKikEwCd8ALRMoJAlGUTuCQJx5sJBHezCcQJxCHgiNffDssOj7uQRQV+I=</t>
  </si>
  <si>
    <t>20378</t>
  </si>
  <si>
    <t>@@UU@@C@@AA84AApJSQpjGOcxjmOc5zHMg6DoSdB0oShR0JQg4DqShCEJQlAEpUAClAQBKgAUBIAAUpSgJUoClJSpSUJABKUqSBKkqSgAAKAoCkJUACFJQlKgAAAAAAAAAAAAAAAAAAAAAAAAAAAAAAAAAAAAUAAAAAAAFAAAAAAAAAAAAAAAAAAAAAAAAAAAAAAAAAAAAAAAAAAAAAAAAAAAAAAAAAAAAAAAABCweDu9R9/tEl3/r/oTtieOBOkTqnm4OjlPqMKx4vPFcM8vNL7Qw+78Zc171f3V48ZT5ZX5fZV//X8X4UUSIn/O1BllkA/8AHotQ/X1WZgMOMWsuZpXBXyqev8p1tlZMLfb0GOUiUoIdaJQGAlKSzSJsQk0yfpEgIGmBKYOYDChAkSKIJ4JQwQRJriafREoW4L5PZOkkIuczemA2hIqquwegnJrsoG7Ix2XkK0lOa4QBPbKygSk8x2UKGajXxNOSJqLgLTRN6Z6e2AHECP8BxCcBCyYdsSCUHRKSRHF5xO4NsBISBPTISbtbGIDVOJ63uYdxDP+yH7+xCbeq+XPPTdsEsFbyYQPkEvb95JXxIOP5rNOHTF+LmS/w18GX3CTl3TVyHAhsCYLd+SGqbLBw97a2UIy8dXPXVdQyZTblzx2e1uU7wlImzz581zR1CW6C2cI2uxkp3KcGETZMkdiuIy7u9kqo2Ddtrv0wCT6QKc/8/QJk3ZCUZ7BL2LVZoLMCFeqHNAUd0JDsTdByCcomcEzCYhLolmg5OMSOX4CZhPeJAn+CaATECXsXxxG3f9oAXROmLDpEwcIraCYxPnE1lJgSQJ4cdAlAl1SG5N7+DZ1xPjAk7SJpMP+ifCsviQVE4JeE+kALBLQSBJrRO8JAnf1qyCPBrCcIJviHhiNScbDl8n3AqCvWA==</t>
  </si>
  <si>
    <t>20379</t>
  </si>
  <si>
    <t>@@UU@@C@@AA84AApMSQhjHMcxznOY5znOhB1HOhCFIShCEnUhCkgQhCToQgClASpSgIApIAASoAAAUBCgKQACQIUBCkKUBKUqSBKkpQAAAKAoCkJUACFJQlKgAAAAAAAAAAAAAAAAAAAAAAAAAAAAAAAAAAAAUAAAAAAAFAAAAAAAAAAAAAAAAAAAAAAAAAAAAAAAAAAAAAAAAAAAAAAAAAAAAAAAAAAAAAAAABCs8nJ3HP1iT4/v/oTfE6IE7RO6mjh7Kzylix+Pni9DTP6TzBg93mnqu+r+7nRjK/zm/PNz//+HPRTZJFN3GgzlkB/4APRjQ/b1Ys4GDGLeKs81CvSp6/NSuScVAt9uwfrMkzBD+UTARFhRCyUYRKaE6YkCArgGuDqAwIQJElqCmCfZLJBFATToiYWoXpt0pKEVUdTQBrCRiuXK4KSap9BI148V5ChJqJyhLTknDC1CYj5TvoUtFrLhayabQLq1xR6aa6N8ANII/wGkThIWWHaEgmDsmUiNPnE4hyQEiQJ6ZEo0YQPDQJ63FxYNCGvsfuh7fYhTu3rtFdWETCK3EwAbQlzgupN4SDj8eLdwG7f5LeWzTps4c/uEtFfz2Z754kNYTDq8EoeGjPB4qOvYQ29/Z2dy/dtoZzHmL0W6tzQJbEz9etmt7ncJm2zHSEbGvqV+CuzAJp+rVjZvxE493e1btWY3dS9ZXAJT3wK9j+fsEy6JEtYsQl3DtYLyFzehzwHgiCEj5Ow5BOUTWBMwlglQmDbOTiEjl+AmYT3iQJ/gm2CYQS7h+OE2b/tAC2J2xiO0SzhFcgJjE+sTUUoBJBPux2hLQltSGqj38GvlE+MCUtYnzGD/RPheL4kFwpBLonkADEJkBIEoyCfQJAn06l4gj7dQTgBOMQ8sRvcocbDm6OYFQV7w</t>
  </si>
  <si>
    <t>20380</t>
  </si>
  <si>
    <t>@@UU@@C@@AA8qAApGUQpjGOg5jHOYxjGMhJzpQpCDpUlCEoQpCUIUlCjoUhSEgQAAEqApSlKAkAAAApKlKUpKgIUoCEpAoCkqSpKkJQAAAKAoCkJUACFJQlKgAAAAAAAAAAAAAAAAAAAAAAAAAAAAAAAAAAAAUAAAAAAAFAAAAAAAAAAAAAAAAAAAAAAAAAAAAAAAAAAAAAAAAAAAAAAAAAAAAAAAAAAAAAAAABCr+bi6zoEj8Px/oTfE8sCdQn19dE/B0/KeEsWMdUJN9P2S+oPu9Xj8lU/n/vsVXnm5pVysl//i+376LJETmCDGaQD/wAaL0Oz57dYCu0XIfrFAr+Sno8c63yuvnFzNUHllIlKCHliUBESrQkTXiTzDAEBjgHUg5gLEIEiRRBPBKGCCJJnmn2olC4heXnzUBMJGfGSA0CRTTig7E5iiFrvusQrSUsRnCJYSvxc8xPqCT0k68x7yEscFGtFrSTUY8QLj8k3mno+AAPhBH+A0icBCyYdoSCUEdMSHT+YnCOEBISBP0kJNu2Ae/MJ6H9+GzcQ/btUIdHOhNT7stnHip7lwlwrx5RuA7gld2m0Zt8SD018c12Tdpz5avij1CVS3auQ0odkSuyEO7KyDowjMhk383e1tOirGhdr9uO3FG2JnE08W3w7GptHWJbII7Wi/JkyiW6stena29zDDbunpBNndAlX/PgEw3JCYV60WWiVX4b3JoLUK96HRAYQPxhT0nGJyCaATXEtExCXbJx8QkfJ7BNgT1iQJ/gmwCWglVvttNnL6QA1BOqLjqEr7wrgCXieATVUmBJAnhvoEoE1FIcU3r4NfMJ7YEncYndLP9E9mQyiQUk4JUJ9AAXCYAkCTYCd8SBO/q5CCPn1RNIJpEOSI3YDeYc/L4kRBX3A=</t>
  </si>
  <si>
    <t>20381</t>
  </si>
  <si>
    <t>@@UU@@C@@AA8qAApEUQhjHOY5znMY5jGOc6EoUlCEoSg6FKQlIFIOpKEIUpKgJSACkpABQFJUAAAAUkCkgSpQFJUpSUKUpSVKSpCUKUAAAKAoCkJUACFJQlKgAAAAAAAAAAAAAAAAAAAAAAAAAAAAAAAAAAAAUAAAAAAAFAAAAAAAAAAAAAAAAAAAAAAAAAAAAAAAAAAAAAAAAAAAAAAAAAAAAAAAAAAAAAAAABCs+T4ek/cSPs/oT3hPvgToE6aaNfP3zwFax4n8oaJ8U+EPH6Y+rkx+f+9OS4s+6bJ+j5//ifHFckaKc6DEyA/8AHmuQ2/PmtArtFyn6Ypwiv2qcv00rfN1AvK5IPwmSZgh8kTARE2EkLRWJTSMAQFUJVCHIBYhAkSYIKYJrJZIIodiKMG9EwtQvk5qQ01UiUeVgDrCRjx04JKSiIHDfdKGRJnAbAROebbsLTC3mDyxG4hNUIdTM4iaasCBXCG1Bj5MH501VawA4QR/gOITtELLDqEgmCOeJHi/ETjHTASJAnmkSjsWge7QJyvHf6Jt30OH9d3Ch8XoQoy5J38eHJ2LxLxXKPbvA3xLK/c1DRwCQc1k6bq8/Urx8XpExUdnuHChsiZbIQqm+D9sUaRM12mrXtY6hNvcKqdQmcTjt3Yqw9U6RK5DrXbGTVdNglvXybem7epjVvaePVXowSCVAYrP5+MTdM+qgTRmLRMuS0v2rBMmiHagThDDznEJ3ROqCbIlgmETN1zi7Qkd71ibInqEgT/BPbBLQTJb7LTcr5gAqE6IuOgSzgFc4JeJ3BNClAJIJ81+ATAJUpDho9XBtbAnsgSlxCazN/onrylYkGMpBMgnfAC4TOCQJRnE7okCdvRlII72gT3wTWIeCI7Pyh8DDs/X4URBX2g=</t>
  </si>
  <si>
    <t>20382</t>
  </si>
  <si>
    <t>@@UU@@C@@AA8iAAo+UQpjGOY5znMYxzGOdCEHOg6UqQhKToQpKkIQpR0nQpSlJUoAFIUBIFKAoAAAUpKkpUoCgKAhQFJUBAEKUlCkJSAAAKAoCkJUACFJQlKgAAAAAAAAAAAAAAAAAAAAAAAAAAAAAAAAAAAAUAAAAAAAFAAAAAAAAAAAAAAAAAAAAAAAAAAAAAAAAAAAAAAAAAAAAAAAAAAAAAAAAAAAAAAAABCr8Pwdh6BI+z+hOATywJ1idk83F1ch9JUsePDCTfR9svrDyen7/ywz/t/fNhuK+WVcvHd//i8n3UY5ERPlQYpkA/8AHNchm/XHaBXaLiOeKBXlU6PwnW2VswvmcEH6SkSlBDyxKAiJQVITWiTzjAEBTDTCn5gVoQJEiiCeCUMEESSU2mJQtAvL05aAmEibY3iYD2xIwYNF+RsUFMQuS6xCpJSoLdoJTZZZOmkSfhvnlO4hfvwG3C2t8mnpoBad2a3nove8AHfBH+A1iaiFkw6RIJQR1RIdfMJxjlgJCQJzyEm92wDuTCdDr/ez3EOjcnQ9HShNg0S07+CnDv3CXCtQ/HcBvCWXa67Rn4hIPPZqmvXVy2qsHHP6RLcvgvcGL5TjQziWGOEOCWzBqM6G5g4dFueL+5fQ0Xt2J9u9pE2RO3ZmorOwSyQR3as+a7jqrE7WbDt93Tksv7FtEwJvAbX8/MJduyEuqzxXYJitu7+axCrfh0Ql0JuN+Oo1ieATQCZxLBKRMe4a9QkcnrE0CeoSBP8E0AmMEw4/ZjN2rzgBSJ1xadYlfCK5AS4T5BMqkwJIE+q6gSgSlSG9N6uLRsieyBJ2+J3iz/RPXiKhIMBOCYRPnAC0TICQJNkE+ISBPhy4iCOTKJqBNQh78R3vCHCw5vx8SAgr7QA=</t>
  </si>
  <si>
    <t>20383</t>
  </si>
  <si>
    <t>@@UU@@C@@AA8mAAo/SQpTGOY5zHOY5zHMc6EoOc6EJQlKEIApCQISpKUIQpAEqUlQAJSpQFKApQAAUpSUqUoCgAQpSkJUBIEpUlSkKQoAAKAoCkJUACFJQlKgAAAAAAAAAAAAAAAAAAAAAAAAAAAAAAAAAAAAUAAAAAAAFAAAAAAAAAAAAAAAAAAAAAAAAAAAAAAAAAAAAAAAAAAAAAAAAAAAAAAAAAAAAAAAABCs+P3uo5xI5OX+hN8E6ROqc+50eE+UxLHkrhJ/J45fQH1+r7fxro/P+89eU8v4Sslg+n//q8n2UkETLkGOvIB/4APNlQ0ejJpAxWi4Tz0SpFfvU/T7qFyytmL6WuD8pSJSgh1olAREoLEJ2iSooGAICqGqA5QLEIEiSFMFEEoYIIkkie5EoWkXk5s1ITEjPukgOwJGDBegzUF6IXVddjQsSUrxrhErpZbuaoSRym0hTedFrgmROiqhQKvLP0UU+6AHACP8Bwid4hZMO2JBKCOiJDw+YTiG6AkJAnnkJPexgbMxP1eGzdQ9OxzIc/7ITwaZbt+9g3LRLRXCOQCO0Jiyd7GPfo3xIOOy2duHt39ayvh9Qnfqo3q5/AcCGgSyirHNCfbnng59dCNmzL+9+nZv30OxsV6pcGnFf3BLhOPb007R1CWyCNjTd2a72ES0yaK7tvcy58+HtU4gTdA9/Jp/nwiZ9yQlOPVGS0TFdmjWsQw5YdUBlgauEOg4hPAJqBNAlglQmPaOLgEjxewTSJ6xIE/wTSCZASvJ7chtYucAKhOmLTpEs3xW4EyieATMpMEkCfPlpEpEqUhvT9fc1awntgShvie4Y/9E9mExCQYCgErE+IALRLgSBJ3CfCJAnHmwkEeLMJ3QTuiHzRG9wBvsOvyeNQQV6wA=</t>
  </si>
  <si>
    <t>20384</t>
  </si>
  <si>
    <t>@@UU@@C@@AA8sAApDUQpTGOc5zHMZBjnOg5zpQhCEHShSEIUdCkASlCUHScAFAABCgIApIFKAoAAASBSQAQBSlKSpSkJSBCkgQBKkpQAAAKAoCkJUACFJQlKgAAAAAAAAAAAAAAAAAAAAAAAAAAAAAAAAAAAAUAAAAAAAFAAAAAAAAAAAAAAAAAAAAAAAAAAAAAAAAAAAAAAAAAAAAAAAAAAAAAAAAAAAAAAAABCs8mruOsSPP/QnEJ5YE7RO6ifg7OY+wrWL/THRDRKuXlDn933y6Kur+7/44j0/rKyXP5v/83PQWQRMxoMZpAP/AB+2JDq6rdkCvCLgNm5K4K/op6/woXFLDMWtqg9MpEpQQ+eJQERKCwnC2iUSoGQEBdjpiIvQegDWQgSJKXIKIJQwQRIJE+CJQtIv5+ygJCR0MAd8SLt2mCZTEDbbUhfSUqXKEbUTwy1rgm5iIM6FFLvZvRhaidy/dRb8XZ+qdML4QA5AR/gNIniIWTDvCQSg7JSSI09InjHHASEgT1SEnosA2Ziet0/vrcCG5ND2+xCd7YlcpsEsFc99LAO+JVx4ElwiQeO3RntwV7ujVmts4/cJpLlGiv6DjQ2RLasnhmhxT2IOTH4vlnuIZe9t5K7MF1DBu4JR1zqo2eS9v6BNoTb68Nze7hMhjmEZ9vJd38FYmPKRf2pyp+bRinkMuGq/gvQCU8IF7Y/n6RMe/ISnYwiVYrKkL2/DlgTJ84dhqE5hMoJmErEuiWZzVpEjm+AmYT3iQJ/gm6CWglVvxtNyv2gBdE7YwnaJZxCuMExCcomupMEkCfbipEpEuqQ3J+/i2sonxgShvCcBrf6J8MBWJBfKASoTyABhExgkCTxicokCatfAQR9WuJ4ATSIcsRw/WGlh735fcKIK/IA=</t>
  </si>
  <si>
    <t>20385</t>
  </si>
  <si>
    <t>@@UU@@C@@AA8qAAo/UQhjGMY5znOY5jnOhBznQhAEHSlCEpAhClAQlCUIQgClAAkCgIUpQAJAoAAASBKgKUpSlKSpSkKSBCkgQBKkpQAAAKAoCkJUACFJQlKgAAAAAAAAAAAAAAAAAAAAAAAAAAAAAAAAAAAAUAAAAAAAFAAAAAAAAAAAAAAAAAAAAAAAAAAAAAAAAAAAAAAAAAAAAAAAAAAAAAAAAAAAAAAAABCt+jl7TqEjzf0J8QnkgTsE7aaODr5jxmJYv9Ec8NM4p8gfZ7PunnwdP93/wynn/SbZj6v/8v1/bVbJFJmQY0SA/8AH7ZUOnpu2QLbRcJs1zWK/mp6fvpXLOSgAxOCDzzJMwQ+aJgIiYJuEooxjDDBIEBZDZBzgWoQJElUFME9BLJBFCk6au/FELBYL+XqoUkSK2ANQkWWVQUFUQN12BC+kzUZwibpt2qKxMhzmpCyyDd0XN8mq9WBmgEv/rT6Ka/AAHECP8BxieEhZYd0SCYOuZSI4+gTkHWgJEgT0SJRvYwNmgT0vH+8Y9KG3Sh67/qQpv7E02V2iWiurAmMDuCYeHEk74kHJk3uW7DvlGfFg4fYJxldO9g+Q4UNIluXwSh8NGeDizaZhCnH1ZMBerQ1d0rnw1bneEziYOrFdZt9om2ZKAirY0Zr2rFaJZuZtedWLRXN/d72vi0mHc1pusgEp74FmTJ/Pyia+5Ile1kEw5seFC9nh0QJy6dnjDrOQTmE1wTYExiXhLu6cnEJHN7hNgT2iQJ/gm6CXAmC733HcxesALBOyMh2CW8ArmBMoniE1lKASQT6ctQlQlikNdHt4NrOJ74Epbwm8Y/9E92ExCQXykEwCfOAGQTMCQJRmE8QkCfHrYSCPm1hOEE5RDxxG/yCaPx8qIgr8AA==</t>
  </si>
  <si>
    <t>20386</t>
  </si>
  <si>
    <t>PRESS.STEAM BEH.CV</t>
  </si>
  <si>
    <t>@@UU@@C@@AA8iAAo6SQhjnOYxznOc5jmMhCEIOdCEKQhKEIOhSUqAdKUnQpSlKSBQEpUBQFKAoAAAUpSlAUkCQJUoCVIUlKAJQBKlJQAAAKAoCkJUACFJQlKgAAAAAAAAAAAAAAAAAAAAAAAAAAAAAAAAAAAAUAAAAAAAFAAAAAAAAAAAAAAAAAAAAAAAAAAAAAAAAAAAAAAAAAAAAAAAAAAAAAAAAAAAAAAAABCx/R8PWfj0CT/QnbBOoTroo+Dp8B9JhWPv88eWG5PLP2h4vX45/TBz/3f8lhk8s45+z8P/mfFOKSJLEGNeQH/gA5sqHPz5MwGKsXCefPTRSK+VT0+O4ts2UC43DB5pkmYIfyiYCImCcolFVwK4gCKAICqGqDlAxoQJEl2C5BPMSyQRQMlzhiYW8L+f73EZEjlYA3hIqWqq9BcL0QPossqQwJN6iNkInLOS6JlN39TfQvOvW3yb9V0Fp81G5duxpADUCP8BqE7pCyw8AkEwdMykRq5hOQbYCRIE9EiUceQDZoE9LyY+FDb/ZD1cCFGi/nopvdusSsVwJkA3xMGnCk4hIO/Xx5DB8fxdrYx4bPWJqKdrjxfKdxDMJXrad2hDtTczQd7Zz7aFnyYrpiqvIb1vRGv3r3BxCbYmTopvdnrE3yugI3LbKbcOITgsi/tcM4OLRbg2DRotx6KqwS7vAX89N/c/nwCbXFIl2rZ3bbmsJXsY8aGG2HPAmbUHScgnCJlBM4mISkTH2TV3RI8PtEzCewSBP8EzAlYJgr91Z72L1ABSJ1RlOoTHpFbQSwTviaylAJIJ9dl0S6JSpDeo9nc29gT3QJcahNBk/0T24TEJBfLgJgE+cAMoloJAlFonzCQJp1sJBHh1hNIJyCH1RHvyGph2fJ9yAgr2AA==</t>
  </si>
  <si>
    <t>20387</t>
  </si>
  <si>
    <t>@@UU@@C@@AA84AApFSQhTGMYxzmOY5jGMY6DnOlCUIShJ0oSg6UJSlKAIOhCAJAkCUISlCUgABAAAAlKQJSkCQJSgCUoSBKUoSACEpQkAAJAkCUJSACEpQlKQAAAAAAAAAAAAAAAAAAAAAAAAAAAAAAAAAAAASAAAAAAAEgAAAAAAAAAAAAAAAAAAAAAAAAAAAAAAAAAAAAAAAAAAAAAAAAAAAAAAAAAAAAAAABDo3djmPLxiH+wjVBHKI5oQ63JtngJ0m8ftb1Mon4H8Ieb7+d/Xd+H4ueiso9T0PV5P/4vL5o77jRb+BAnjcBf4APdYg4fhVWBRWJTknPbihKJL1pHF6IkrXrgJUKdix3Hdhlvs+BwdoMPWIhBFSBhwGCZlMxwAX0DCGcjYiYdkwwzg8OmzslGJb/xiQnQMcCYDRENLLMSORDyOwveRpVUuguoeQxA0VL34xFJ7DSQRq3OqVweW40gJTaUOGKPsABrghfQNcRrDJOmWQQw7HI7oZtf3CMwrGBxDCOFxEOpjpAwxCOJa/xpy9RBoxIOP5IIXM/ShLllrEViSuo2agLgifWvIe6IY7dWW/Ps6rauGifO+4jMWTRdW9X2jWQPjEVYOy6DrQxMYIXbYY0GbDmvbFE8qDo9L5s9OnJ09QRoiND56DSZOYRhKoA2K2zTm071AjJga6Wtt6mWy5NhMtkNSWgER9UCbP+u4IzsriJ5JOhgrEXrcnPa5MgnrZY2CNhYn2Q5DaEZ4ikEYxF8RMIp0jZzCG7v7EYxH6EMI/IjICKQRdp/lJ0b3GAEojlao5RFHXElYCKxHcEWpEAQ4I3q4xEYiVIZSQ/XXz84R/GERKYRqF/+iP3OXhDFwiBF0R3wAqEWAhhELBG4IYRtWzjDbtojsgjYEG8zZe8GwmWL0+MEkCS5w</t>
  </si>
  <si>
    <t>20388</t>
  </si>
  <si>
    <t>@@UU@@C@@AA8iAAo+SQhTGMg5znMg5zmOdCEIQhCEHQhCUoShIEoShKUKQlQFIUpQEpUpQFAUoAAAApSlAUlSVJShSkAUBKgJUpIEJSBQAKAoCkJUACFJQlKgAAAAAAAAAAAAAAAAAAAAAAAAAAAAAAAAAAAAUAAAAAAAFAAAAAAAAAAAAAAAAAAAAAAAAAAAAAAAAAAAAAAAAAAAAAAAAAAAAAAAAAAAAAAAABC0fm7/UeoT755P6E4ATpE6qU7nR4D5y1Y+x/GHxTzV/UHiu9c+PB+v93/wuJ5ZtnUvf/P2/dNUkaXlyoNdJAf+ADzZEPP58euBo5BcJ+mvNgr+Sno8dSxkkW1vwXTJMwYSXyRSKLDMUgnGnlhKActJArhmQL9KQX4OYDEhAkSWQVQTAQQRLbSYq3omFsF5eeoJEgwxvS7glAL16bJJaxhC7JhQwJFQaQTlpjsEuLjbQrc+vib+eKsFgLgv82GqvgADugj/Ad4ThIWWHdEgmDomWIe9+YnEOaAkSBPNIlOzrYwKCb/7Ozi66GrWhz+hCl6K+evdxCYhW+O2BuiYO52s407QkHPdjwaFMeK9mtng3z1iRx++cKGoJivXSJGaDkm/6s+qhn7fb2LLNzDF5CeTTjW3NAr7AmUTH6dWK9o6hNox0D9927Y47dETOdfSiNm3e7OX4NQnQ18tloJTbA1/58AmlvSJm3rcgmG7LUYUL+/DtQJbZ0HfE7AmsCaYlolgmjuHHxCR4faJqCewSBP8EzgmMEwY/djNm30gBoCdMZDpE0eEVyglwnxCZlKAkgn03ViViaCkNlPZwbGmJ7oEqbwnvGL/RPbhLRIL5UCYBPlADIJlBIEplE4hIE8ObCQR8mYThBPhA4xPoiPjkONh1fJ9aAgr1g==</t>
  </si>
  <si>
    <t>20389</t>
  </si>
  <si>
    <t>@@UU@@C@@AA8oAApFSQpjnOhBznOdBznOhCFJQlCEpQlSUKQlCUpQpKkJSlKgKSAClKApKlKAoAAASBSkgUpKlKQlSkqUBKgJUBKkpSBQAKAoCkpUACVJQlKgAAAAAAAAAAAAAAAAAAAAAAAAAAAAAAAAAAAAUAAAAAAAFAAAAAAAAAAAAAAAAAAAAAAAAAAAAAAAAAAAAAAAAAAAAAAAAAAAAAAAAAAAAAAAAAjy9vscjzI7ztP6R1CPSjktw+fA+bHJT6p+FSvAvdw+v0Zrd7D+v94ftzrKx9/N3f/7nduvZLKxNEJgv2E/4HhzDxPFm5Yy50mN+jatgSTvyPH9l6Ss9kmSYaflay1qVPuq1ZFSpLWupbMiycakvCpNWpxsNln4jWFIpcwUv0tUpSrF29V6pL6Tj8l4sipibym2i7Qw4bmpZaYEqSaM+QY4pemwW03MzAi2hobsLp4q3a1phXYbwbdE3cPgx3sHTB1SJ/B1UdVUlpU6CKWp56llT3vzRxJr0WRSPDZF3R1hZHtTx7jLvDc5rpDyP2F7FWC9lRlSTUTcHPRq8PSc1LuBFNGfLi4lzf1Gxk6fuPQjV7HDDZRkxM1keXXueTh5nmbQ4a4b/X4uhipgFmT4OWqzI3l/oo0o2vLtX+c5Ec5muP3e3obnZyZUbrfbCqaXOy9Hg2NvA5mm/kIudMcz+fiRsN+yNffZkYs+nTUxjDwVObSL/ne+jgRtEbKMaMCOe7PXR8frRso9SKR/iOeRrEbOb2Zm5l8oNRHpzvSjL7qSaSNCPhRryLiLEfRovovo1JFMHq6m3so9lIvNRHWf6j14WJFNVeIwo+UGZGkikaEcSKRoxKdvQjqEfIOsjtVXz3HWlTZ+/6SISTlA</t>
  </si>
  <si>
    <t>20390</t>
  </si>
  <si>
    <t>@@UU@@C@@AA8oAApCUQpjnMg5zoOdCDnOhB0pUhCkJSlCUoSpIFISlCVJQkClKSoAEpUBSlAUoAAASBSQKUBKQKUlIEgSBKgJUpKkpUkAAKAoCkpUACFJSlKgAAAAAAAAAAAAAAAAAAAAAAAAAAAAAAAAAAAAUAAAAAAAFAAAAAAAAAAAAAAAAAAAAAAAAAAAAAAAAAAAAAAAAAAAAAAAAAAAAAAAAAAAAAAAAAjzfT1/Y/dHdfO/pHCRyI9lun6e0+vLJTuTwVK8LB2z8PVnt3cf6f3j72dZWv39Vv/7fc+/Dlsr8mmEv1WE/4Hj0DyPJn3BsZ0mu/Nu2vSTwSPL3sElZ9q5JmmSnitZa1KmqrUZlrWkusuzosnfUYBTHSMVPCNgeCyLLrqvphpa5aWUq4wcFYKkvSd/zYCyKmQ4G+i7FivpdL0oaVNGfKNeKYEai2m7ZXo0NDnQwzb2JiWuiTD4dbHgrdt8QOIifwcSOJUlpU5yKWp6allTq+JHxpposikeOyLuDMLI/WW3GXfG58I8zyi7HitzGtflRlSTGnEOajJw9JvJd0kU/bRmyedc6Os1ZelvvUjr/J1IcpGbIz2RtWebbx6GqHDt7vou5uSl4s7GpXoYmvzV/QRpRy/mvw7z2I3mzcaGnQ9/jy5kcp8DbWpuX6s3P6G38vLbm1h2CLnRG7r/z2UanPsjVlc9nRl0bW2Zhk4KnMpGH0uNHAjdI5aNdF6N91uqjte1HKR60Uj/Eb5GwRq2fdst7N5wayOTO5EZuJJNJGhHYRtSLiLEfbowowo1pFL/Xw7upHupGBrI43+o9uNkRTEwEY0fQDZRpIpGhHWRSNGRTtaEdMjsjqI+yq+qOOVNX4/cRCSe8A==</t>
  </si>
  <si>
    <t>20391</t>
  </si>
  <si>
    <t>B1-PIT-13504-B01</t>
  </si>
  <si>
    <t>@@UU@@C@@AA8yAApFSQpjGMY5zmMY5jHMcBzoQo6EJShRzgApIEIQhCkKSlIAIUBSkKABIEgSAAFAUkClAQBKkqSlSVJApQAJUlKkKUACgKAoCkJUACFJQlKgAAAAAAAAAAAAAAAAAAAAAAAAAAAAAAAAAAAAUAAAAAAAFAAAAAAAAAAAAAAAAAAAAAAAAAAAAAAAAAAAAAAAAAAAAAAAAAAAAAAAAAAAAAAAABCt7/d8fWfsJH9Cb4J1Cdc03B08x4CtY+tsh55fhR9Qc/3+z7Zsn5/3j8mY+nzStl4p//j7OeeyRKWjBBplIB/4APyvQ9Ppu+AC28Wso26imeoV8ynr8c6xdIWpyQeiUiUoIfuiUBEWk0LImyiSWeGAKpB5YAxQecC1CBIkUwTwS0BJkQRM7NqVM0UQtQvl6JwkJGQN0SVVUqJEmgdUgM19aGRInHSEsJgLqRMxmN1ChwyuIlXOoxGKrz48lEb4AcQI/wHGJwkLJh7IkEiDplIeP0CfGOeAkJAn4yEm2ZQJCer1PxW60NNCHR60JsUY6e3Tqi0S0VyDrA7u8JZwWbozHbEg/TCi+vDk0YW158caD2CRi7xwobQlubfkh+s2iDl4tri1IdHay8vc3brMSFF90rrKdgm2Jou0RRadYm92S+cI3r80+nctyiZPhzxXnjXswx97STa7q8uLKCUU6tYGG7/PzCTbL5hMJYCWTZ78iGK+HcgJ4HKWVdJyCfuJtgmkS0SkTL2jk4xI5vcJpE9okCf4JuAlwJku99xuWdAAVCdUXnUJbwiuAJmE5RM6kwJIE8OagSgSpSGmb28GrQJ74EncQnIZf9E91ZYJBjJwTIJ9AAXiYAkCTYCaxIE+fPWQRzZxOEE+UD5BPDEd/wB3GHb8niQUFewA</t>
  </si>
  <si>
    <t>20392</t>
  </si>
  <si>
    <t>B1-PIT-13507-B01</t>
  </si>
  <si>
    <t>@@UU@@C@@AA8wAApBSQpTGOY5zmOYxzGOdRznShCEIOhSEpUpSlIQhKUISpQFJSACkpABIFAUoAAAUpKlAQACUqAlCkgQBIAJUlKkJUACgKAoCkJUACFJQlKgAAAAAAAAAAAAAAAAAAAAAAAAAAAAAAAAAAAAUAAAAAAAFAAAAAAAAAAAAAAAAAAAAAAAAAAAAAAAAAAAAAAAAAAAAAAAAAAAAAAAAAAAAAAAABCs8Pz9R4/2El/QnzAnSJ1Tnv9HfPrK1j8HJDyS81P3Bycvs8c8f6f3i8l5l8srJeKj//v/HkpskRg5M6DVOQD/wAee9D0ei7ZAtvFrKaNjmw04RXlU9XkoWLpC4GuDmlIlKCHyxKAiJWoSJ5RJLRDAFUgaoNPmAsQgSJmCCmCX5hJkQRMKPiiiFwC8vPQEhIxBrElVVG3PBQScAwBdlrQxpFDoCV823AJcTW41oSC2xwkpgtWDbw4qY3wA7QI/wHbE4SFkw7gkEoOiUkiO3zCcQ5oCQkCeeQk960CQnp9Lk3UNFCHP6kJ1fLLaq+OrdtEtFax4QPoxCZODHtjP5BIP1zZa8fH8F1mPITznsEirTRzy+k4UMuoTLTm35oTnog72fj4dhCjVuas3ctrwod271yyyyWVdgTaE2OvsRTqOoTXrL6AjTfmw9zdstE2cmiVeiN7sZsW3pJ7WeuqwEo+HWB2f5+oTT2ZCX3XiVzx5ra0MWiHVAmTBUVdBxCfuJ1wTQJYJhEt1nF2hI8HuE0ie0SBP8E3ATKCY8vvym1k9YAVCdMXHSJZwCuYEvE7omdSYJIE+2+kSkSpSHBP27+zoE98CUOETiLf9E91ZkEgxFAJjE8AAXCZgSBJ5hN4SBO9nrII7+cTgBO+BxifZEeGA42HV+XiAUFes</t>
  </si>
  <si>
    <t>20393</t>
  </si>
  <si>
    <t>@@UU@@C@@AA9IAApUSQxjHOZBznOg5znOhKEISlKEoQlKUpUpSUJQhKUoUoCgAUoCkpUBQFASoAAKUpKgJApSQJSpKkgUBQAJSpKUpUACgKAoCkpUACFJQlKgAAAAAAAAAAAAAAAAAAAAAAAAAAAAAAAAAAAAUAAAAAAAFAAAAAAAAAAAAAAAAAAAAAAAAAAAAAAAAAAAAAAAAAAAAAAAAAAAAAAAAAAAAAAAAAj1/o+Lkd9+yP6RvkcaOSzrertPpySU+6ZKleNd9Z3vX+X4W4vL/eLv6GZWX8e79n//bb3q17FTVCXY7BP+B+mgeR5M/MGXQkyMDmXmFdeknhkeb77pKz2JL5jp47LFllKnLqyiqs11ipLcyLUXC+yL6h4HiGuKRS1hpgpZ4d2pbLVKuMHSq6pL0ng9FxYisZuosvvpgsWzAlDc06MgxxTA3lbZbsW516NS3TVb0LEZc01lq2iTB4r8V1fADgIn8HAjgVJZKm8ilkp6qTh8aOummixFI/OxFvUzCxHlmToDb/Ueh5hbfW/h6rDMqMqSYk64+FvIycO4lk6qKefTmx7r3nLye/qmw9aMOfh4IbSMujfWDDa8+56PTzRq9PO5l+TLk1hd8lZmRbmXbPYa3TRz0bejDtWMPPciNTltVxTd1bC5xc9mzo25sqysjZro9LVifHtujnyszWzEYGJ0HOHU/n5kbLp6FqNSzUjLbsaMY1tFTcpGDM9TiR+6OaRtIyovRvOLsI7ftRso9iKR/iNwjMRtZ/dnbmv6QXo49DjRr8KSaiNKPlRsSLSLCPq04EYEXyKYfZ1udso91IuXo7L/Ue3ExoprLiMSPnBnRqIpGlHRRSNONTt6Ub5HaHZR3Krt9w4pU2vB3SESTlA=</t>
  </si>
  <si>
    <t>20394</t>
  </si>
  <si>
    <t>@@UU@@C@@AA9EAApSSUpjHOY5znOY50GOhCUJQlAEAUdCUIABSUpShCVJSkAAKAoCkpABIFKAoAAKAlSVJABSQKSkCVJUpQAJSpKUqSAAAKAoCkpUACVJQlKgAAAAAAAAAAAAAAAAAAAAAAAAAAAAAAAAAAAAUAAAAAAAFAAAAAAAAAAAAAAAAAAAAAAAAAAAAAAAAAAAAAAAAAAAAAAAAAAAAAAAAAAAAAAAAAjv7va5nhetH9I6hHuRzV6vs7b6s8lHfmekp+S37Twe3yfhZl8/95fDtNKmjx9/vf/3vv8GLTVS1twlM9RP+B+uA8zzbXRF+CTOxLXR/NkYsiSeOR6PDbJTaqkxzPR5a1VrRSeKlaFKVo0ws1IsRaLqy6kjyDQKIoqxUW0V3isqopYlvFS2kmNJ4vVaeRYivFYbEWZMlGOqyYkoNrVnGaKLZwbpZrt1LkYMGyGKMvCrJpmVbYSY9mTNbTpg5CJ/ByI5FJKyk2IorR7KRVTl8qOumFCqKI/SqLOPSKo88z7BvfsPU9Asu6deBd0116L0kzJ1x2mRGflyuXgS3qIo9OvVo2ONz7/lvl72ox+ly8sL3QRftdZUblj1evb17wx5tPr6+hnuH0aWNXKuY+NG+jn7mjiqx6XMjgYMLSi7XhrZXZ32nUjJsbimlobmKvD0tvM4+g4dy9dpItfI0Dj/nto3XSqjBq49aNFtm3qzjLu0m9RGLU9jsI4kb5G6i9FyNj5uVHc+CN1HvRRH+I4SNJHQ1fHU4L/3Bcj3bT3Iv5Ek1kYI+dG3IsIqR9mGJGJF0ijH7+tv89Hxoi1cjsP9R8MrMijItIyo7gNSNZFEYI4UURhmUdvBHVI+kdhH10p3e4dmUm7+P3IIknOA</t>
  </si>
  <si>
    <t>20395</t>
  </si>
  <si>
    <t>@@UU@@C@@AA9EAApTSQpTHMc5znMc5jnOc5zoQg6EHSpB0HUBSgASdKDnQhQEKApSUgApIFAApSgAABIAKUpKFIAoCUoUpSVAQBSkpQAAAKAoCkJUACFJQlKgAAAAAAAAAAAAAAAAAAAAAAAAAAAAAAAAAAAAUAAAAAAAFAAAAAAAAAAAAAAAAAAAAAAAAAAAAAAAAAAAAAAAAAAAAAAAAAAAAAAAAAAAAAAAABCveTl7jzefrEnz8/9CawTtE6e6ijj7PIfWVrH39MRD0fZ5qftD8PR7Pxnd6v79NzEeX8pXpWr///dz9FggiebGgylIB/4ANWFDV1V7wFWAWV06pSsCvSp+2ShYrkLxNuD0ykSlBD54lAREoKkJ1iZqFsQwBak2oD8wLyECRJCxBRBLpkyIIkzSdHwxKFpF9HqyWAmJF3LBoEnbtypkSbC6ZAYsN5CpIodwJY5+rRjtCZDIfAhZaa23MicgWzC0/pat0RwGsAOQEf4DlE4yFkw6RIJQR2RIdv6icg44CQkCdUhJ/FWBIT5PW80r2pD992hDr60J245bVr4yzqot1iVisk5APlOIS9q5u/wrRfEgyXpYKsvhqw29sHsEsZdZxobgl3JgrmhGKD5t7WbqHhv7at3ZYuWUMFWbPmiZOniE3BLl/fOHdILM+4SuQV6MVy5dE4DPsw3cnDpw71mWrNip374JopQlP+fEJm0yEpyVF+dYlzDTRwVIXNEO/Al7LTn7DYJpEzgm4JWJaEwd849YkeP3CbwntEgT/BN8ErBLlfvrNFXrACyJ2xgO0S94BXECYROYTGpMEkCfVhsCWBLKkNM/brz5RPfAlDaE2F//RPddKhILZQCXBPGAGATECQJPEJtEgT58d0gjxYxNYJzAbBPpiPo8AbWHd6PKICK94A==</t>
  </si>
  <si>
    <t>20396</t>
  </si>
  <si>
    <t>@@UU@@C@@AA8aAAo5SQpjGOc5zHMc5jnMc6EHOdCEpOpR0HShKgHSpR0IQpCAAApKkqSpQEgUkAAAUBSVJSBSgKUlAFKSBCkqSBSUJQAAAKAoCkJUACFJQlKgAAAAAAAAAAAAAAAAAAAAAAAAAAAAAAAAAAAAUAAAAAAAFAAAAAAAAAAAAAAAAAAAAAAAAAAAAAAAAAAAAAAAAAAAAAAAAAAAAAAAAAAAAAAAABCv/V8vWdAkf0J8Qn6QJ1Cdc82vp754S8seOmE8vh8dr7A8nm9n33p/T/fNTYejllfl5fJ//3SmL8ETbdiDKUgH/gA/XChm9ODOBVWLeP2uStCvKp+/4TrFchcjdg88pEpQQ/lEoCIlBUTQt4SZZ4YAtybcH5gVIQJElKIJ4JQwQRys0QEp9UUQtoXzc+OgJhI1bUHNoEnpplbkSbSwBZZgQqSiVBvRlCbJNz3BLMho2j4ULbNW3SUyBkhS7FuPPdpmiF+MAOAEf4DhE2ELJh0iQSgjpiQ8PMJxDjgJCQJ6JCTdy+BIT1epq3kODt5bSHRzoTXcsvXppt9uqfCJhFah4gNIl/k4axm7okFdUq6clNdzgPYJsy3e6bENsSq/CHRKyDvbNtDjxS49fD2rtCFd3d+CKN3UJnEy6c1rtHWJgkGKW5nxU8cVCfPbzxLe1YdqNNyuiQJo3wN/+e+Ji1SExVZowacIl+y/jtS7NYl/fh3YCggcNybpOITkEzgmYTAJbEr0HFwCR9HuE3BPaJAn+CbgJWCU1++s0VesALYnVGE6hL+sVsBMQnzCY1JgSQJ4sVAlAltSG1N7de5tCe+BJ24J3DB/onuvFQkF0nBKRPpADCJYCQJNYJyCQJyY7xBHgxibATwAfIJ4ojvfWGthzfj9qKAr2A==</t>
  </si>
  <si>
    <t>20397</t>
  </si>
  <si>
    <t>TEMP.1 HP STEAM BEFORE HPSV 1</t>
  </si>
  <si>
    <t>@@UU@@C@@AA84AApQUQhTHOY5zHOg5znMdJ0JUg6EpQhCUIQg4FJSdKEIUpSgKSpQFJUBKgKAkAAAApSgKQkAFJSpKFJABSVKQBSkoQAAAKAoCkJUACFJQlKgAAAAAAAAAAAAAAAAAAAAAAAAAAAAAAAAAAAAUAAAAAAAFAAAAAAAAAAAAAAAAAAAAAAAAAAAAAAAAAAAAAAAAAAAAAAAAAAAAAAAAAAAAAAAABC1vF4OvljydAk/N9n9CahPNAnUJ11U4enxHjPqWOTJEQ08/on7gx+v8LtL/N/d/y5DPyzrTT7//nk8k4ZI5PxzINzXkB/4APTah+vNl2AMVouDcmJuCvKp+1Ft82Sgu5hbILZkmYMJLmikUWGYpBOQSQCqGq9MgQXoPyAxIQJElUFUEz6aNCCKOHDVSLpELWL5/V6LgQUQicFffNoSoCyy9BRm5MLdnLlohgSomkoZwplpvZLomIxm2hN1zmNvk1VAt3bpzZ7kd4AOIEf4DiE75Cyw7YkEwdMykRxfmJxjbASJAn6SJTf2MYHdqEyvDi3UNH7oc/qQpwX9WgqvV5BMgrYmIDbEsssScAkHH8uPTiIwTbg02b/Y9YmEvFw0ndQziYckIaiaZpOfwa6Gzp9/4NrVfrQ2s/RuTF2a690TOJ8W50aNiurudYmxTWqDta+jdu158WMT580do3sRO/wZ+C2yquQTHlA1uxs3f5+gS3fkTuXjZO3aJis18KFmmHFAmfpPhE4BNAJ2RMAl0TDtnHwiR4faJ2RPYJAn+CbgJjBLMfuxnbw84AVidUZDqE1tQraCZRPAJmUoCSCePLcEuCVqQ3aezTozie6BKm8JvGL/RPbgMIkF8qBLBPpADIJaCQJS0T4xIE+TNgII8OYTvAmoDUJ9cRMhxMOv5ftBUFfe</t>
  </si>
  <si>
    <t>20398</t>
  </si>
  <si>
    <t>TEMP.2 HP STEAM BEFORE HPSV 1</t>
  </si>
  <si>
    <t>@@UU@@C@@AA84AApPSQhjHMc5zHOYxzIOg50IShCUJOBKEoShCUJQhCEpUpCkgQBKlKABCgAAkAAAUpSgJUkAEpSBKEqUoCQKQBSkoQAAAKAoCkJUACFJQlKgAAAAAAAAAAAAAAAAAAAAAAAAAAAAAAAAAAAAUAAAAAAAFAAAAAAAAAAAAAAAAAAAAAAAAAAAAAAAAAAAAAAAAAAAAAAAAAAAAAAAAAAAAAAAABCs5OPr5Y8/QJPk+7+hN8T1QJ1CddNHD04DynIsfjkiIaPX+U/gGT3+iqjDzf3h9Nx9vLNk3Yf/q83nvXpI81eVBv1SA/8AHtuQ/Xmu1QLdIXFomJvCvrU/ahcvouoF0Y2uD85kmYIc0TFhDCzNEE3CShTAlOCZAgwQewC1CBIkpgpgmGCCJa4pKYW8L6vdSEoRyhh3jWEpuxV0GCSWaphYAuusQxpSUQhmCm6icV4TZotMh20JvtOaMjXREXrwLf9lHNTnPAAHCCP8Bwib5Cyw6BIJg6ZlIjh/QTwjlgJEgT2yJRtWgbtAlzwWd1Dta37oc/uQp269YowVZBMgrhS0DQJh3q0nEJB4fHduWkYtrNj3LMe3qWe8SMZeKzwIZxLNKEOcmjHJz8eohu7u9wHBgqQ0ZuiO4VTs3+8JnE+fo2dfWv7PWJrVWUhsX9fu381lonkxZZ2Lot2qqdTb3M+3msprkE0u+Bdq9qr+fqEz7cicWAymjKJbX2caFe7DbAnZ6T6BO+JsAmqJiEqEx7JxfMJH1/ETVE+AkCf4J3ATICV5PlkO3j5wAvidUXHUJZwCuUE0hPpE01KASQTy6V4S8JfUhqo+G5r5xPlAlLgE2i3/RPjiMYkGEpBKxPsAC4TKCQJRlE4hIE8eniII5NMTeBN8DfE44ieQPEw6vp+8FQV7AA==</t>
  </si>
  <si>
    <t>20399</t>
  </si>
  <si>
    <t>TEMP.3 HP STEAM BEFORE HPSV 1</t>
  </si>
  <si>
    <t>@@UU@@C@@AA84AApOUQhjGMc6DGOc5zmOc50IOlKFIAdQEIShCgJQdSUISpSlKUlSlKUpSQKAkAAAAlSgAQoAFIUpKFIApSlKQBKkoSAAAKAoCkJUACFJQlKgAAAAAAAAAAAAAAAAAAAAAAAAAAAAAAAAAAAAUAAAAAAAFAAAAAAAAAAAAAAAAAAAAAAAAAAAAAAAAAAAAAAAAAAAAAAAAAAAAAAAAAAAAAAAABCw/T8XZzR9vnEn5PH/QmsT74E6xOymjvdXhPEeFY5MkRDR5OefsDH6Puro2Oj+9jlyHj5pwztcn/18lFOCSJ8mVBr0SA/8AH6XIft0ZNIGK4W3VMTUK8ynloXLy5KBdWBsg/KZJmCHPEwGEmZWiSjIJK0wlMX5AlC/BzgYkIEiSmCmCYYIIlsikphahfw81IShH4hsa9EbglVtl+ChmqYW6W67EhhSkogA0BTdReqExGM3EJqd3RjdgmqpAshSi/z1dFWyXuEAOIEf4DiE9whZYdQkEwdUykRxfmJxjmgJEgT9ZEo7mMDu0CXOTvYt1Db/dDp8yFG/Z2iymL97GJjFbExAahLOG1JwCQcfw5ODERbdmwcFu/o9AmG0qOA7qGyJhuhDN0lFNEnT4NoS3b4eHXfrQqy+eNJXOq9uiZxOL4NWnTe1dgmmvDSGfSe1Xnw4hPjyx2y2/XvdzNvb2S7DXZIJZvgW59u/e/n5RM29Inf3LD2Sc4mOzawoWcEOOBNrqPdE3xNsE0iWiViYNR3+ISPm9Qm0J6RIE/wTdBMYJZj9eM3MHSAF4TrjIdYmHWK5QS4TwCZlKASQTxXVCVCXlIa6PT7fb0CeuBKW+JvGL/RPVaYBINgpBLBPoADIJlBIEoyie8JAnv5rSCPnzCcIJrA1ifVESnGw7PL9YKgr7AA=</t>
  </si>
  <si>
    <t>20400</t>
  </si>
  <si>
    <t>TEMP.IP OUT.CASING_PLN.II-BOTT</t>
  </si>
  <si>
    <t>@@UU@@C@@AA84AApIUQpTGOc5jnMc5jHOdB0HQo6DoAdCUJOlCkoShKEASgAEgSkAFIUpQEgUoAAAApSAKUkCkpUpSAJUBIEKSBKkoSAAAKAoCkJUACFJQlKgAAAAAAAAAAAAAAAAAAAAAAAAAAAAAAAAAAAAUAAAAAAAFAAAAAAAAAAAAAAAAAAAAAAAAAAAAAAAAAAAAAAAAAAAAAAAAAAAAAAAAAAAAAAAABCw/V4uw9okf0J5+6CdYnZRPg6uU8hyrHN6YiGf6eiX2h5fd+NydXq/urzWnRzywy5pf/zff5acMiPwjKg3NmQD/wAdGRCz1WW7QFmMWuLurPFF0V/NT1zXL5sl+gXVs1tEHolIlKCHPEoCIsJwsieUSQlEQBDVAFUGDnAsQgSJlyCmCUMEESCZOFoF/L2UBISMIcBuCTtvXIJlMQsW2YEL6RROAdgJ45gZKRMZiM6FLk7WJqJ0XYBbvPP9s1McAAd8Ef4DiE4SFkw6hIJQdUpJEcX6icY5ICQkCemQk+3iA4JiWvRh3kNHrQ6f3QnezmuerdqvWiWiuBLAN0SvhqwpPfEg9mOnDv4OHNX82DJVT7hOS9gO6X86GyJhwccZJodJKnNI6bPHtIbmLxd75eO/dQlSe3tE526c2irWJpEz27dOim3sEv4tVAXP58O3bmsrE1bEacOirt683cy5KKwSwvb4GzmqxYtj5xNjXITwbNV7QaZ5hMde1iQr7kNsBvQNevqOQTSJuAm2JhEuiYt08HGJHL8BNAnvEgT/BNYJYCX7PjYbtfSAF0Tri06xMPCK5ATGJ4xMqkwSQJ9mOkSkS6pDcn7+9ozCfGBKG8JvmL/RPhgKxIKigEvifSAFomQEgSeQTeEgTw5cBBH0ZRO+CcQHEJ9cRLyByMOfz/cCoK/I</t>
  </si>
  <si>
    <t>20401</t>
  </si>
  <si>
    <t>TEMP.HP OUT.CASING-BOTT</t>
  </si>
  <si>
    <t>@@UU@@C@@AA8qAApBUQpTmOY5znMc5zmMZBznOhKUJOhCkIQhKUpUhKUoQkClISpQAISpQFAApQAAAkCQJAkCkqUpClJSBIEKQBSkpQBQAKAoCkJUACFJQlKgAAAAAAAAAAAAAAAAAAAAAAAAAAAAAAAAAAAAUAAAAAAAFAAAAAAAAAAAAAAAAAAAAAAAAAAAAAAAAAAAAAAAAAAAAAAAAAAAAAAAAAAAAAAAABCxfV4eo5xI/oT7+2CdInVcn3OjjPrONY8nqiIZ8nol4w83t+67O/zf3f8+U5fylilr+P/48vmuYpEeW9ag055AP/ABy2IZOb0164GWoWqKdondFeRT9ZrZ565q7V9wQemUiUoIdaJQERLEhInWJ+MxKIgCL8CX4PzAyIQJEiiC5BL9JMiCJsouEoXHdF5PXQEhIwB1zUJOu/dgmURCxXlqQwJFycCZgnZO2CgSwkuM1ISa8TeJXbiBuQpT6LnNmojfADvgj/AcAneIWTDsiQSg6JSSI4PUJwjbASEgTlkJPdxgfJMTK82LbQ626h7P2Qne0G7PZvU5BMgrgTGBsiYd+pJdkSD15auzg4tbD2sFftE4vl7lRFHaNKGgTHRw2zQn7CdGeR4LbdKE9jNO/3r00PCc9JROnFTuCaRK/j0UaKNjqEy4tVwLuDPqtngE2LI04f34tvc1t3TvWUW4wSssugZ7+TJ/PGJm25CcOinrkuxmEy4azXxoVb0OWBKug8Am8J2ATXEqEuiYto4e+JHi94mkT3CQJ/gm2CZATBk+GQ1Vc4AUidMZTpExb4rYCVifOJapMEkCfbXQJQJSpDdn7u31swnwgS43hN4x/6J78JUJBfLgJgE+kAMolgJAk7BPoEgT5rcJBHitE3wTugd0T7IiUBwMOf8PIiIK/EA=</t>
  </si>
  <si>
    <t>20402</t>
  </si>
  <si>
    <t>TEMP.HP INN.CASING-BOTT</t>
  </si>
  <si>
    <t>@@UU@@C@@AA8qAApBUQpTHOc5zHOc5jGMc6EJOg6lKQdKVHQg6VKQg6UJQpSlASkClIUpQFASoAAAApSVKAkCkKAlKkqSpSkpSBKkoSAAAKAoCkJUACFJQlKgAAAAAAAAAAAAAAAAAAAAAAAAAAAAAAAAAAAAUAAAAAAAFAAAAAAAAAAAAAAAAAAAAAAAAAAAAAAAAAAAAAAAAAAAAAAAAAAAAAAAAAAAAAAAABCx/T2uk9Akcv9Ce+CdAnTOfwc/IfUcix3f1iIZ+D85fYHe9P4XZ4PL/eDlrPH+Uscvus//uz70Y5EffdyoN2UgH/gA8diGTy+KvOBksFxRt6Sd0V8CnmmuXltmLpqcMHilIlKCHaiUBESyEiFnaJNe/DciAIwQ4IQ8IFSECRIuQUQShggiQTJwtAvf89AVTElgDgN0SdeCVN6ZMuxCxXVdQwpFFFEhMwUWTtuCWE8kRuoSErxt8ldoBbvhn5M1yN7gADsAj/AcQmwhZMOkSCUHPKSRHF+gnZHLASEgT9pCT1VAcExLHyY/eQ0eZDm/dCd/Ob09N+9UJUK0pkA0iYdmJJaxIPPXi36dObDrps9Imz4sJRqOohtiY+zTbNDmJXNqRx8Pb3EM1mfhxdim8hgv3O1OJejrF+jDovRFO+JlEzatFzRp6RNzJtUBcludXbxYxLLY0YdPx6t7Nv57aMQJUawLdu/kyfz8wmbVITr7ftnu5hK6c+NCnXDVAVwNcuc+ETWJ7gJnExCXhMfVOPiEjk9YmcT1CQJ/gnWBKgSmr2VG7i5gAvCdEVnQJj4RW0EsE7YmVSYJIE+uy4JcEvKQ3Z+rr6NoT2QJQ3xN4yf6J68JiEgwFAJSJ9AAViWgkCTtE+USBPky4SCPnyicIJsA2CdyIl3A42Hqfj9qIgr7QA==</t>
  </si>
  <si>
    <t>20403</t>
  </si>
  <si>
    <t>TEMP.HP CONTR.VALVE CHAMBER 1</t>
  </si>
  <si>
    <t>@@UU@@C@@AA82AApKSQpTHMc5znOY5zGOc6DnQg6UpShCAHOlKgJQhBzoUpSlASkAFJUlSgKUoAAJABAFJUACkJAhSQKUBKgKQBKkISAAAKAoCkJUACFJQlKgAAAAAAAAAAAAAAAAAAAAAAAAAAAAAAAAAAAAUAAAAAAAFAAAAAAAAAAAAAAAAAAAAAAAAAAAAAAAAAAAAAAAAAAAAAAAAAAAAAAAAAAAAAAAABCq+rxdnojzcvsEn/QnACdYnZOfD1eU+08qx5/VEQz9NcuQLPb+NM7vP/d3lrPN+Uqpffyf/T5/wtVSIpoxoNO1IB/4AP1sQ5+evbAvWC343zLOkV5lPXNcfLZMXdwt+D85SJSghyxKAiJQYUJ2CTE5rUoAi7F2FPSBiQgSJFqCiCXekyIIm4ItFELSLzdFASEivgwBfluiWr965BMtRCwWV1IYEiicCZgnjnktCYzFTG6hSlkLU3SdugFp70/22rUafCAHECP8BrE4SFkw7wkEoOqUkiNf6CbByQEhIE9UhJ6sQHBMSxr4+fFpQ7nrQ6f3Qne6NBP4rkW7BLBW8lYG8Jf2X0ldEgrqxVeC/LwZcFud7v+0TZ0XSjbOFDMJVZCG4SnlkdOXMhRV7NHEXKUJnjzxTTLumu5e3xM4nzZ8NuVvu9gmWruUBb0bM+7mw4hLfyZSKclFUatOrLpsngBL1sDa7dWD+foEx78hOPLt9s1ac2YTHVt1oVXIbIE3NzqPjE1CZgTQJgEpEq3jj1iR5PeJoE9wkCf4JpBMQJexfDEb2DpAC2J1xWdYlXCK4wSwTxCZFJgkgT7rLQloS2pDTP3eHRtCfCBKG4J3zD/onvvmASC6UAl4T6QArExgkCTxieMSBPnyXyCPJkE1gmwDiE+yIl9YfKw5/RyKKCva</t>
  </si>
  <si>
    <t>20404</t>
  </si>
  <si>
    <t>TEMP.IP OUT.CASING_PLN.I-TOP</t>
  </si>
  <si>
    <t>@@UU@@C@@AA80AApJUQpTGOc5zHMY5zHMc50HOhAFJOgCToQpSkIShCEJUkCgKSkAEoABQFKAoAAAApClKUoCkpUpKQJUBKlKQBKkoSAAAKAoCkJUACFJQlKgAAAAAAAAAAAAAAAAAAAAAAAAAAAAAAAAAAAAUAAAAAAAFAAAAAAAAAAAAAAAAAAAAAAAAAAAAAAAAAAAAAAAAAAAAAAAAAAAAAAAAAAAAAAAABCs+bv9h6hI/oTx8AJ1idlE+Hq5j5zmWPr88RDPyeaX1B9/r/C9PD0f3h8Vpn8krJYOf/+f7PupII+2jMgxtSAf+AD9LkOjot2wLceUWuL92mKMAr+SnomubxXTF3anFB5pSJSgh0RKAiJQY0J3CTEojJICWqqVUB5QLUIEiSF6CiCUMEESCJk4WgX8fTQEhI4cLEdoSduC9BMvRC1ytyWIYkulSXqZKaAounmpEuLTaQpasbgmRO9NQL3ln+2imOEAOMEf4DkE4iFkw6xIJQdUpJEcn5ico3QEhIE88hJ72MDgmJa/rZsQ2/Qh0/uhPBs1Heo3cOC0S0VxJkA3RK+KtJfEJB6ctdtUs1Xw4bfWJ3uDAaCnuIaBK+WjLNDpJU55HT4NKGGV6vPyYL6Eu+eqUrNOs1d3DvCbYlvb28l6n3+wSrat10hn/nk016bbBNemLLMPb2b2jf1Z81NgJbl+ADRpw7MVu14RNNMhM1/To3CZoEy4tViGLehyQJVs6juib4naBNwSsS+JZunLxiRze0TUJ7BIE/wTeBMgJVk92Q119IAXxOuLTrEs7grcCZRPlEzKTBJAn05aRKRL6kN6fs4dzQJ7oEocAm+Y/9E9uIrEgwlAJUJzABaJcCQJO4TwCQJ8mbEQR4cwnECcYHGJ9ERLlD42HT4+cRQV94A=</t>
  </si>
  <si>
    <t>20405</t>
  </si>
  <si>
    <t>B1-PIT-13217A-B01</t>
  </si>
  <si>
    <t>@@UU@@C@@AA82AApMSQpjHOY5jnOYxzGOY50IQlCEJQhKEpOhKVKQhJ0AQdKQKAAClIABSlKUoAFAApQEqSoCAJSpKUAAoCgJSBSjpSAAFKAoCkJUACFJQlKgAAAAAAAAAAAAAAAAAAAAAAAAAAAAAAAAAAAAUAAAAAAAFAAAAAAAAAAAAAAAAAAAAAAAAAAAAAAAAAAAAAAAAAAAAAAAAAAAAAAAAAAAAAAAABCq+fV1nsEjn+T+hPjBOoTn655+Pp5j6ipY8b54ZpdEvuD8fbzy6KfV/dPlsPt9EqpeTx//t+Scqgj8PyzIN/ZkA/8AG/ch6fTbuAV5Rc+Mvy3NifAK+dT9dqdc8sswtbjgulIlKCHNEoCIlBkJoW0SYSeIAiiPNgkegCtCBIkpfgnglDBBEnFE/BF6Fvi+bXOEhIw7riC4SemmiDHOURAxZZUhjSJ5oEzBNbNvxeE12FhvoXnPTkcJNReAxQiYI6J/VNbC8QAaQR/gOQTjIWTDwCQSg6ZSSI0/mJyDdASEgT9JCTaLawOKcS1019xDd9epCP2Qm79MtVF/IJkFaRqA7YlOndGXxCQa7MZTZpuxd/DdHIe0SjMeBDOJjy28MyHDNevSNdexZCHLkn5demvDgQu3j2cl7QJeE5asXZ2qO0dYm6ZJgslvbWXBVVRWJqujRvY9yO7oz4tk8PazVUVgk/eAlX/Pyid3Y0TCeHJaJTltujMW1oYt6HswF+BowTdJ4hP3E2wTaEviUCV9s8WoSOb3ibInuEgT/BOAEyAmHJ8MhvY/WAFAnVFh1CVeAVyglonzCXKTAkgT7Lbwl4ShSG/N7uPbzifCBJ3AJylf+ie/EYxIKScEwifSAFgmUEgSbKJ3hIE5rsRBH0XCcQJxgcImqIl9YcrDs+X71FBXsA==</t>
  </si>
  <si>
    <t>20406</t>
  </si>
  <si>
    <t>@@UU@@C@@AA82AApPUQpjHMY5zHMY5jmOdBzoQdCkpOhCFIOhIEpSg6UJShAEgUAClASBKgKApQFAABSVJABKVAQBSUoUBIFAQpQEKQkAAKAoCkJUACFJQlKgAAAAAAAAAAAAAAAAAAAAAAAAAAAAAAAAAAAAUAAAAAAAFAAAAAAAAAAAAAAAAAAAAAAAAAAAAAAAAAAAAAAAAAAAAAAAAAAAAAAAAAAAAAAAABCs8vH2HSJHp+f+hO8CdYnp7J5+HqpPrK1j8PZHqhnlzS+8PR7vxlzVc/94OW4+71yslHn//zS9E9ciPPVkQac8gH/gA03Ic/Pj0AW2i5ayiWjFPfFfyU/bPOuxLJMAYmuD85SJSgh2IlAREoJXCSxjDDAzxAEUxy35HrAxIQJEiiCeCVEmRBEyk+9E8LBQLy9EykhIvnqcok2PBgpgrrhoL8QPRVNddahiSJ708hMwT3Tbt4Sgmwm4hJzX7XATU3gWnmm/We7hADiBH+A8ImshZMO8JBKDqlJIji9gnhHJASEgT9JCTasQHfmExvgs30NvN08iEdCE/cq0TX6LRLRXAmIDSJg18eFJu6JB+91hVv+DNX3KsscR7hKarTWhmEsyXd6ZDpmvXpHTrz5NlDT3Z9rXiqpQzbp7eGmje1CUiW7ft7Xy37ewTcLpgjt6MtNddgm7sRq3MPajx6uDNh2jTlsoxAk+kDjmt/n6RNWfgmE37e3kEq2Nmw2TJahXph24E0dRyCeQTCCaBLBKBMW8cniEjyfATaE94kCf4J8wJaCVW/G03K+kAKROuMZ1iWaxXICXCfQJlUmBJAn23XhLwlKkNE3v17eYT4wJO3xNRi/0T4YSsSDATglQn1ABjEyAkCTZBOASBPHlwkEeXKJ3wThA4xPsiJeITPy+ZRQV+QA=</t>
  </si>
  <si>
    <t>20407</t>
  </si>
  <si>
    <t>@@UU@@C@@AA82AApQSQpTHOZBzHMc5zHOc6EJQdJ0oQg6EoUlCFJQc6UIQlCkAUoAFKQBQFJABQAKABKlAUpKVASBKFIApIFAQBSkoQBQAKAoCkJUACFJQlKgAAAAAAAAAAAAAAAAAAAAAAAAAAAAAAAAAAAAUAAAAAAAFAAAAAAAAAAAAAAAAAAAAAAAAAAAAAAAAAAAAAAAAAAAAAAAAAAAAAAAAAAAAAAAABCvfT5O06hI9Hzf0J4gTsE9HbRRo6+U8peWPu9cc0NEueXmDz+38Zc9XR/dz04T7Pylel5vv/+X4eeV6RGxzZEG1ryAf+ADPjQ6OjDmAv4hdWstyza1GoK8yn669C6ssUxb7XB+cpEpQQ6sSgIiUEsIkgsiAISiIAimKYPVzgX0IEiZbgtQShggiQz3IohbQvq9lCMhIuc7jEncW5cpgqulsg1JQNkrLKkLyRROBMgTsng28VIk5QVmdC2zjJcnY1FE7QLTnn0UYtAAcAI/wHCJpIWTDnEglB1ykkRwesThHFASEgT9JCT3L4G/MSx8d7cQzdPGhH7IT3LmvPLqU4BMArUl8DZEq0XUlvCQeyyvjirSZLu9VjjxntEpuVGlDIJXhs35odM7VqR06eLF3UPFm0bXDgu0oa1o6rfBb8HhEpE4s3Jsd/Uz9om2YZhG1mx0113hMuSN3Plr2I/fd3tavKbOS/bwAlHxgSwfz84nh1t2YnyX9jCJVj1e7hvoXdmHvQGUgcvWcgnKJUCZRLwlsS/tnJxiRy+8TXE9wkCf4J4ATACVYPhgNqvqACkTsiw7BL2kVxAmET6BMakwSQJ9eG0JaEpUhtz92nvaonwgSh1BPiL/+ie+6ViQXCgEqE8oAWCYgSBJ4hNsSBOTHdII+rGJvgmgDyCfLESkHEw63p+1RQV7gA==</t>
  </si>
  <si>
    <t>20408</t>
  </si>
  <si>
    <t>TEMP.1 HP STEAM BEFORE HPSV 2</t>
  </si>
  <si>
    <t>@@UU@@C@@AA84AApQUQpTGOc50GMcxzHOc5znQBKkJQhCAIQhCkoSdR1IQhSlKSpIFKApClAAkAAAApSgKSkAFIUhSEqApSQJSBKkoQAAAKAoCkJUACFJQlKgAAAAAAAAAAAAAAAAAAAAAAAAAAAAAAAAAAAAUAAAAAAAFAAAAAAAAAAAAAAAAAAAAAAAAAAAAAAAAAAAAAAAAAAAAAAAAAAAAAAAAAAAAAAAABCwcvg7To8nUJP5/t/oTSJ+UCdgnbRPV18p4j61jx2xEM/z/SX3hh9f43J3/R/d/mtLOiWCWe//8vw8kqJEePnyINNUgH/gA82JDz+i3XAsxC1bUolSK9CnpmuPmtmLtVutBjlIlKCsk88TiawyicErRJAFEJRelIC9Iy+UDChAkTKYKYJQwQRJrnKKCIWkXn9VASQjvmwJIC27FMibKmqcVxMiEttrQqS6GUJ2z24AtuqTqKjuoSuOXWwutRFFM0CIUu+Wf7UZpz4QA1Aj/AahNJCyYdkSCUHXKSRGr9RPiHHASEgTzSEnu2WgTE73paNVm6hsfuh0+pCfBVfZ9Om/etEtFakwgbglXw1pLAJBx+DFw2EVbmavhq73ya/rEsrLhSakM4mDFCHUSywdXh0CVbFWnVeuIU4jZpltHFd3RMgm5pz2XNntEzbdlASyZNfbu5rMInJyZo7hZRx7/Bn3t7LXTfkCW/ABh0bNz+foEy70hLp3TaxiYL+ipC/wQ4IE0dZ8Ym+J74JnEqEuCV7hycQkfT7RM4nsEgT/BNsEwgmth92E2K+kALonZFp2CYNQrjBMQnhEyKTBJAnixUiUiXVIbk/Zv9zMJ7oEobwm6Wf6J7aisSC+UAmsJygBaJjBIEnjE+USBPmyVEEfVkE74JxgaROSI+yQcTDo5vuBUFfe</t>
  </si>
  <si>
    <t>20409</t>
  </si>
  <si>
    <t>TEMP.2 HP STEAM BEFORE HPSV 2</t>
  </si>
  <si>
    <t>@@UU@@C@@AA84AApMUQhjGOc5zmOY5zHOg5znSpSUJOlKUoShCUKShJ0KQgCUqSpIFKUlIEgAkAAAApSQAQoAEpUlKUqUpSQKSBKkoQAAAKAoCkJUACFJQlKgAAAAAAAAAAAAAAAAAAAAAAAAAAAAAAAAAAAAUAAAAAAAFAAAAAAAAAAAAAAAAAAAAAAAAAAAAAAAAAAAAAAAAAAAAAAAAAAAAAAAAAAAAAAAABCs8Hd5z0fhyCUd77v6E3hPxgTmE56aNfLePEeBY4scRDR5/ynxhj93kuUX/X/d/y2mL0TZNHF//j4qKcMkcWDKg3bkgP/AB6rUP29dukDFkFr1TE1CvnU9lC5fJbQLqwuCD85kmYIfNExYQwszRBNokoUwDTemQL0npAxIQJGigqgqgmGCCJCkohahfN7aQlCOyfKJNtt6KC5QSzcnDJhISChbbbEMKUhmCi2hCy4pgL5soTU9TNGNvlFVSLd9NH605/nADWCP8BrE3iFlh1CQTByzKRGv9BN8csBIkCeqRKNrEBIm77HXZtIdHP+6HH7UKdyvrXSnjm/etEtFa0xgdUSvtXxmwSDg7uTdxXYmuc1e7X2L2j3CWdzAXSTtIZxLMkIchOxByd7Qhu4MdWjZvXUNm5246VydR9F7rCZhL2LRqtu4+cTNVipCehn09O7nxYxOHhzxfLN/h6+3o29vNZVfkEybgFunVc/n6xM/XkS6dI6eUSy/prQv9iGyBNPKcIm4J0QTQJWJcEw9U4N8SPs+AmgT3iQJ/gnUBMYJgx/HGbOHjAC6JzRacwlmsVygmQT6hNhSgEkE8WSoSoS6pDco9+382cT4wJS3hNoxf6J8KzCJBfKQTAJ3wAtEygkCUZRO4JAn07FZBH27AnZBPCBvCduI8PfDgYeh5fvBUFfk</t>
  </si>
  <si>
    <t>20410</t>
  </si>
  <si>
    <t>TEMP.3 HP STEAM BEFORE HPSV 2</t>
  </si>
  <si>
    <t>@@UU@@C@@AA84AApNUQhjGOY5znOc5jIOc6DnApCUIQg6lAQhKUJShKDpSlIEJUkCQKSpSVAApQAAAoCAKSkAFKQBCAJUpSlKSBSkKQkAAKAoCkJUACFJQlKgAAAAAAAAAAAAAAAAAAAAAAAAAAAAAAAAAAAAUAAAAAAAFAAAAAAAAAAAAAAAAAAAAAAAAAAAAAAAAAAAAAAAAAAAAAAAAAAAAAAAAAAAAAAAABCxfP8nWc3o6BKPJ9f9CcAnJAnUJ100cPT5j6TzLHntiIaOX0zxhZ7PtuUXvV/d77rTHzTinPP/8f2eirFJHn5cyDXhkB/4APyyIfp6tb4QLNYXBpmJqFeZT9aFycltCunC34PwmSZghzxMBiJmVokotElaYFpuzIF2T0gY0IEiSmCmCYYIIkKCiFz1C8vPUEoRwG0JNl2KpKGapgwQl4LaS23EhhSnngTXCnWoQu1qYC+baE1Oaxuk00qPxxX99O3TnudwANQI/wGoTukLLDuCQTB0zKRGr8RO8OWAkSBPzkSjdsAkTt/s6sW6h2OdDo/dCjtX9gojou12CWCt9MYGkS/w30nCJB4PHb28ZGDizYd/uYd/R7BMduIwTWScKGcTHVklCfWUZoPX5NCE7OaszV3ENnKbNU3TVXpEyicXBoz3NrrEt3MdITsd3Y016+OwTw8OvHYMffu7u9n2cuGm7vUAlvZAt0bdf8/KJZvSJWbRuZBMV6rPgQvdqHFAmfpPAJ2RNgE0CYRLgmL4jv6hI8vuEzie0SBP8E0glgJfs99hs4egAKxOqLTqExcIrkBNYTxiZVKASQT6taoSoStSG5R7d7Y1xPfAlLdE3TH/onuwGESC8Ugl8T5gAtEyAkCUZBOISBPFlwEEeXKJvgn0AcAnhiPEneYdHJxgqCvwAA==</t>
  </si>
  <si>
    <t>20411</t>
  </si>
  <si>
    <t>B1-TT-13602-B01</t>
  </si>
  <si>
    <t>@@UU@@C@@AA8oAAo+UQpTGMgxzmOY5jnOc50HQlCEIOkCUIQkADoSlCEJSkCQKQAAFJQBSQKAoAAKSpSgJApSgKQgCVKUlQEpUpKkJSoAAKAoCkJUACFJQlKgAAAAAAAAAAAAAAAAAAAAAAAAAAAAAAAAAAAAUAAAAAAAFAAAAAAAAAAAAAAAAAAAAAAAAAAAAAAAAAAAAAAAAAAAAAAAAAAAAAAAAAAAAAAAABCt+Xk6z2CRzf0JqE8kCdQnXRPudPKfMcqxeWXPZL6A8vt+yqdf6f3e+24/DnlbL6fJ/8fX5aLZESzZUGqUgH/gA8+ND0+m7YAtxC2R6CVIrzqeqa4/uxTF02t+D8ZSJSgh5olARFpOFkTxCSWcLRXKQELXB5gMKECRIogoglDBBEkmThaBeboodETEjgNwSV1cqZEimIWoLrrEL6RUOYJXTAMdSmIvG2hjqcvaub5OukFr80/PRe4AA4QR/gOITukLJh0iQSg6ZSSI4vyE4xyQEhIE/OQk97CBITV+rx+rDvobc0Oj9kJ3uxLo1qsImEV031wgdkSzh9mlZ8AkHgyaqs2KeC2ee2zt6vaJ4aPjOJDQJgnXkmhZLNB6/318+5RsIV6+eWxnt47a0MG5flFMblFlN6zjv7omgTw8OzTmesTFlmGm7a7OfBaJ4Ktcjawbu9k17r9EAlvbAty9iz+fkEyb0hNbZxCYK8ZlsQvbsNsCU9J3xN8TQCZxLBKhMG2d7iEjxe8TOJ7hIE/wTSCXAl+74XG1g9YAawnVGI6hLdQrkBMYnIJlUmCSBPnx0iUiaykNU/dv7OcT4QJQ1icJh/0T32GASC8UAl8TlADEJkBIEnkE5BIE5MthBHiyidwE8YHdE78R45h3mHR9/1AiCvxA</t>
  </si>
  <si>
    <t>20412</t>
  </si>
  <si>
    <t>TEMP.AUX.STEAM CONGES.GLAND</t>
  </si>
  <si>
    <t>@@UU@@C@@AA8yAApDUQpTHMY5kHOcxjHMg6EHQlCUHSk6kIQACUqQlCUHAkClJSkAFIUBKlAABQAAAkCVKSoClKUpCgIApCkpSACEpQoAAKAoCkJUACFJQlKgAAAAAAAAAAAAAAAAAAAAAAAAAAAAAAAAAAAAUAAAAAAAFAAAAAAAAAAAAAAAAAAAAAAAAAAAAAAAAAAAAAAAAAAAAAAAAAAAAAAAAAAAAAAAABCyeTxdZ5+gSX9Cd0E6hOuc/k6eM+o41jzc0RDP8+WXlD7vb99M6/V/df4XGPklkltXf/5fs8+CyRH21ZkGqUgH/gA5r0PT6rsoFmUXFHpKueioV/RTnmt/45Zi6bHHB+spEpQQ8kSjZhlE7kJE7xJI0VykBCFcHKBahAkSKIKIJQwQRIJk4WgXk9dAdiaEts0CSuw1zpmSJUyhagusqQ1kpDOE7poXwUqXElrNCEnNY4SVJQC08s/2ozcAAcQI/wHEJwkLJh0iQSg6ZSSI4uYTUN8BISBPRISe9YBITd53v+vVbub6GjAh0exCeLbJV9GHucNd4l4rjTDlA3RMnfsSWISDx3922MXi9mfHrbPB7RMvhoxnjNSGcSy+EKP3J7EF2WNlCjHt7mow0oaO0U4JUlGHVh3RM4mnvZO3KntdYmm2YU9ira05sOPIJ4K9GxGvOzJm3d66u3dv002gmDfAy7OPft/njEz78hMNXZKtGYSyfZzVIa18NsCbXSahN4TcBNoTGJSJk7ZxcIkfR7xM4nuEgT/BPjBLQTWt+Fpox9AAVCdUXHUJk4BW8EyieETXUmCSBPry4BMAlSkNM/d3NvYE+ECUOETfLP9E9+IxiQVlAJrCcYAXCXgkCTvE8QkCfLr4iCPn1xO8CfSBwifNEeSA8DDn/LzIKCvxAA==</t>
  </si>
  <si>
    <t>20413</t>
  </si>
  <si>
    <t>@@UU@@C@@AA9cAApkUQpjnOc50HOc6EHOg50JUhKUISlQEoQBSgIShKUpSlKgASpSgKSlQFKUpQAAApKlAUkAEpSpKUpAoCQKSBKkpSpQAKAoCkpUACVJSlKgAAAAAAAAAAAAAAAAAAAAAAAAAAAAAAAAAAAAUAAAAAAAFAAAAAAAAAAAAAAAAAAAAAAAAAAAAAAAAAAAAAAAAAAAAAAAAAAAAAAAAAAAAAAAAAjzfR1O89jtPOjrPuf0jjR3VI9SPZboejsPs2ZKfjMdSvCvdkzenwdu7H4/7x9zaalZe/+HZ//Bd2qy2V+TTCX9dhP+B4tA/TxtrdGbQkyMDdtgSTvyPJ270lbNkmSY6bVrLWpU1VaiqtlWVJdnRdJcqMNXxTDUPAMopFLL1L1LZ7SylXTI5i2C1X6kwpO55bx3rhbxMrwG+i9sbGGlxZV9MRk06bDLGCay7TdC+jMtiqt+Fy6YKk3rZpiXXiTD4cN2r4gdAifwcaONUlpU5aKWp6Kiyuf+aOgmiiyKR4rIu4NTZFyPJOezcwbv6jzPKLuax7t2HBnRnSTGnPHLRj528lsqKdF8e1ws8ycLA1ZeK9relHGw5zq86G4jLo4lhqucfOxadPIGff62a/uZ8uIbzV51fAv8pzUbiNnze/tsO+9iP2aWi8U3NW2xNWJmzo+Vtq5LIqubwbeJ+/IcPDt5WZjyLEX2+Nhi3v5+dGtwWRfwStCNjJpz5Bj+GpyKRrYPQ6iOBF4jWjIjAjlun0Udf2o1o9aKR/iOYRnI17Pu2XKzecGFHq2nqRm40k0kaEfIjbkXEWI+3RfRfRhkUwevi5OtHupF5hR0n+o9uNsIpiXiMaOwDZRpIpGhHVRSNGwp19COIj6R0kfXVfV8x05U3O796SIknvA=</t>
  </si>
  <si>
    <t>20414</t>
  </si>
  <si>
    <t>@@UU@@C@@AA88AApPUQhjHOY5zHOY5jnOdCEIQhCFIQk6EgQhKkpAhB1IShCVKQBSgKUlIAKSpQAAApSQKSkCgJSgCEpABSFKSBKkpQoAAKAoCkJUACFJQlKgAAAAAAAAAAAAAAAAAAAAAAAAAAAAAAAAAAAAUAAAAAAAFAAAAAAAAAAAAAAAAAAAAAAAAAAAAAAAAAAAAAAAAAAAAAAAAAAAAAAAAAAAAAAAABCs8HF1nN5OgSjk+/+hN8TzQJ1CddNGjp759pasePHGCGmfRP4Bi9v5T56/T/d/y5C3mmyfx8X/6/j8lzFJF3l0kGrDID/wAc+VD9fTk2ALcouAu7E3RXmU9XlpXNOOgXC1wZJkmYIeWJgIiYLEKLRKFohKapkCqVPOBYhAkSUwUwTDBBEtcU9mLkLdF5fXSEoas856HbEov34qkoZuTZI3gyZLEMKVEwaYTkoQuKXy8baE0ppQtjUUU0gcEAlW3Tz06m+AHygj/AcImghZYc4kEwdMykRw/mJ3RzQEiQJ+kiUbuO0CgTuep4cXZQ2f2Q9nrQo3q8NHsvVWiWitaYgM4lejAk4RIOLPj7WIwcl3Sw18Hb1PaJ3S9gqOQ0IaomLLwSh0UakHDbrCcc8d79671SFnY4tPPMxd3N0TSE1dGtgqz5+sTW7BlpCPj2dK/uXsVone+nTjbwxGzvdrUr1zdzYLKq5BLnyAXtr+fqE096RLhtZcgmDD3C3ChX24deAuakjXt09Jxib4lQJqiWCXhMW4cXCJH1+8TVE9wkCf4JnBLQSu34Wm1h6AAqE6oxnUJZoFcoJkE+gTMpQCSCfdkuCXBKlIbtHu4NjTE+ECUt4TdMX+ie/AYRIL5SCVieAAMYmUEgSjKJ8wkCfPmwEEd/MJvgnhA4hO9EfZ4Q42HW83iFUFfiA=</t>
  </si>
  <si>
    <t>20415</t>
  </si>
  <si>
    <t>B1-PIT-26021B-B01</t>
  </si>
  <si>
    <t>@@UU@@C@@AA88AApVUQpjHMY5jHOY5znMY50oOg6UKOhKEoSBClHUhCEIShQAAUgClKSlQFAApQAKApSQKSkClKSlKkpUBSEqSBKkpSpQAKAoCkJUACFJQlKgAAAAAAAAAAAAAAAAAAAAAAAAAAAAAAAAAAAAUAAAAAAAFAAAAAAAAAAAAAAAAAAAAAAAAAAAAAAAAAAAAAAAAAAAAAAAAAAAAAAAAAAAAAAAABCs+bk8PSd70iS5fr/oTfE78CdAnTPNw898+gxLHda4ZpeOX2BZ6vul4qvL/dX4ZD6vxlZK/3P/o+3vXiCO7Xag0Z5AP/ABzZUP08uXZAxWi4CjZlQK+FTzffOt0skwuFrg/KUiUoIfBEoCIlBYhNjEmWaEnplICmQeICxCBIkhPBPBIhggiTuRPKJ4W8L4PPOEkI0VcxmwbTpEptsswQTsqJQNNtuRDGY4YadFMnYCi6ZCV8TrxcVGpCVDsZGqYiaeZQKPHNzT2awA4gR/gOETfIWTDuCQSg55SSI4fzE4htgJCQJ5JCTb2ICQmvzPHZ2ENO1+qHo86E+9gl6L9GMTGK1DiA6wlW77oywiQcnxZfetx3RZt38+KnD8Hv1+oTgKqDWcCGgTFdvyQl1IOHhs2UNu3Pp0zYa6UNVWTVKmjcEuEz4NfUrp1HSJ+2oyzhG3puv9a/ixiaOXNHVwxHX3c1X76DsXYLL9cgS9qAq2v5+QTPuyEvGQSqvLZWhf3odiBL3OdkTtibAJmEwCUCYdR2eISO17BMwnrEgT/BNQJjBK8ftxmnD6QApE6IyHQJZwCtoJlE5RLlJgSQJ9OW8JeEpUhom9evTnE9sCTt8TjMX+iezAYRIKicErE7YAZBLQSBJrRPhEgT5bsBBHauE1gnzgcYnJEfHxBxsOjv9wVQV9wA==</t>
  </si>
  <si>
    <t>20416</t>
  </si>
  <si>
    <t>@@UU@@C@@AA88AApVSQpjHOY5zGMY5jnOdJzJQdCVIShCFJQlAFISdCEHShSlKAhSlJApIFKAkAAAApKgJSoCQJQBSEqSACFJSBSUJSAAAKAoCkJUACFJQlKgAAAAAAAAAAAAAAAAAAAAAAAAAAAAAAAAAAAAUAAAAAAAFAAAAAAAAAAAAAAAAAAAAAAAAAAAAAAAAAAAAAAAAAAAAAAAAAAAAAAAAAAAAAAAABCs8HF1HL+ftEm4/x/oTSJyQJ0idU83B0YDwmJY8lsVQzy/WXiDF7vLLz0+r+8PmyFvLKyXk8f//lKYrgjx05UG/VIB/4AObGh6fVj1gMWQWov60r4r+in7+Wdc0scwtbTB6JSJSgh5IlAREoLCaFtEmWUJPRKQFEjzgWIQJElJ4J4JQwQRIJtuJ4W8Lyc84SQjW5XmNcSfJTTGCROyolZIfXTly2oYknDAErgnyz5YAoElFRewHaQmvt/PFrhJr15Foj0TftNghdIAagR/gNQnAQsmHaEglB0SkkRq5hO8OWAkJAnpkJNuWASE3vW6rO2h2c/Ohtc6E+5Vfm9mCi0S0VpTEBsiU79SSrEg73Hj3cRVu3+vXTvZ/cJqKKb59RvoXCWZNMkPbNng4c13YQ7vd35+GvDQhs3bMcN7b3BLhNHBr6KNrb6hNG2ZbwR2tjr4dfBitEu488bFcR29zuXU6DuZqrKKZAl7dAwZtj+fsEru3ZhKJ42MgldltSGH5odECZy7oOITviTAnYEqEviV7JxahI7/wEuE94kCf4JsgloJTb8bT5K/YAFAnTGM6RLN8VygmQT6xMykwJIE8OS8JeEoUhvze/Tr5xPjAk7gE+Uxf6J8KisSDCTglIngADGJlBIEmyifQJAn05qiCPuzCbwJ9oGkT54j7/wDiYdbzeIVQV6w</t>
  </si>
  <si>
    <t>Ethernet</t>
  </si>
  <si>
    <t>CAT6</t>
  </si>
  <si>
    <t>Eletric room</t>
  </si>
  <si>
    <t>Machine hall</t>
  </si>
  <si>
    <t>DCS</t>
  </si>
  <si>
    <t>B1JBA-1309</t>
  </si>
  <si>
    <t>B1JBA-1306</t>
  </si>
  <si>
    <t>B1JBA-1305</t>
  </si>
  <si>
    <t>B1JBA-1301</t>
  </si>
  <si>
    <t>PJT Name : Turkistan CCGT Project, Date : 2024-06-04, Revision: 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</si>
</sst>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Noto Sans CJK KR Medium"/>
      <family val="2"/>
      <charset val="129"/>
    </font>
    <font>
      <b/>
      <sz val="10"/>
      <name val="Noto Sans CJK KR Medium"/>
      <family val="2"/>
      <charset val="129"/>
    </font>
    <font>
      <sz val="10"/>
      <name val="Noto Sans CJK KR Medium"/>
      <family val="2"/>
      <charset val="129"/>
    </font>
    <font>
      <vertAlign val="superscript"/>
      <sz val="10"/>
      <name val="Noto Sans CJK KR Medium"/>
      <family val="2"/>
      <charset val="129"/>
    </font>
    <font>
      <b/>
      <u/>
      <sz val="11"/>
      <color theme="1"/>
      <name val="Noto Sans CJK KR Medium"/>
      <family val="2"/>
      <charset val="129"/>
    </font>
    <font>
      <sz val="11"/>
      <name val="Noto Sans CJK KR Medium"/>
      <family val="2"/>
      <charset val="129"/>
    </font>
    <font>
      <sz val="12"/>
      <name val="¹ÙÅÁÃ¼"/>
      <family val="3"/>
      <charset val="129"/>
    </font>
    <font>
      <sz val="8"/>
      <name val="돋움"/>
      <family val="3"/>
      <charset val="129"/>
    </font>
    <font>
      <b/>
      <sz val="11"/>
      <color theme="1"/>
      <name val="Noto Sans CJK KR Medium"/>
      <family val="2"/>
      <charset val="128"/>
    </font>
    <font>
      <sz val="11"/>
      <color theme="1"/>
      <name val="Noto Sans CJK KR Medium"/>
      <family val="2"/>
      <charset val="128"/>
    </font>
    <font>
      <b/>
      <sz val="12"/>
      <name val="Noto Sans CJK KR Medium"/>
      <family val="2"/>
      <charset val="128"/>
    </font>
    <font>
      <b/>
      <sz val="11"/>
      <name val="Noto Sans CJK KR Medium"/>
      <family val="2"/>
      <charset val="128"/>
    </font>
    <font>
      <b/>
      <sz val="10"/>
      <name val="Noto Sans CJK KR Medium"/>
      <family val="2"/>
      <charset val="128"/>
    </font>
    <font>
      <sz val="10"/>
      <name val="Noto Sans CJK KR Medium"/>
      <family val="2"/>
      <charset val="128"/>
    </font>
    <font>
      <b/>
      <u/>
      <sz val="10"/>
      <name val="Noto Sans CJK KR Medium"/>
      <family val="2"/>
      <charset val="128"/>
    </font>
    <font>
      <b/>
      <u/>
      <sz val="11"/>
      <color theme="1"/>
      <name val="Noto Sans CJK KR Medium"/>
      <family val="2"/>
      <charset val="128"/>
    </font>
    <font>
      <sz val="10"/>
      <color theme="1"/>
      <name val="Noto Sans CJK KR Medium"/>
      <family val="2"/>
      <charset val="128"/>
    </font>
    <font>
      <b/>
      <u/>
      <sz val="11"/>
      <name val="Noto Sans CJK KR Medium"/>
      <family val="2"/>
      <charset val="128"/>
    </font>
    <font>
      <sz val="9"/>
      <name val="Noto Sans CJK KR Medium"/>
      <family val="2"/>
      <charset val="128"/>
    </font>
    <font>
      <sz val="8"/>
      <name val="Noto Sans CJK KR Medium"/>
      <family val="2"/>
      <charset val="128"/>
    </font>
    <font>
      <sz val="11"/>
      <name val="돋움"/>
      <family val="3"/>
      <charset val="129"/>
    </font>
    <font>
      <b/>
      <u/>
      <sz val="11"/>
      <name val="Noto Sans CJK KR Medium"/>
      <family val="2"/>
      <charset val="129"/>
    </font>
    <font>
      <sz val="11"/>
      <name val="굴림"/>
      <family val="3"/>
      <charset val="129"/>
    </font>
    <font>
      <sz val="10"/>
      <color theme="1"/>
      <name val="Noto Sans CJK KR Medium"/>
      <family val="2"/>
      <charset val="129"/>
    </font>
    <font>
      <b/>
      <u/>
      <sz val="11"/>
      <color theme="1"/>
      <name val="맑은 고딕"/>
      <family val="2"/>
      <charset val="129"/>
    </font>
    <font>
      <sz val="12"/>
      <color theme="1"/>
      <name val="맑은 고딕"/>
      <family val="2"/>
      <scheme val="minor"/>
    </font>
    <font>
      <b/>
      <sz val="10"/>
      <name val="Noto Sans CJK KR Medium"/>
      <family val="2"/>
      <charset val="129"/>
    </font>
    <font>
      <b/>
      <sz val="10"/>
      <color theme="1"/>
      <name val="Noto Sans CJK KR Medium"/>
      <family val="2"/>
      <charset val="129"/>
    </font>
    <font>
      <b/>
      <sz val="8"/>
      <name val="Noto Sans CJK KR Medium"/>
      <family val="2"/>
      <charset val="129"/>
    </font>
    <font>
      <sz val="8"/>
      <name val="Noto Sans CJK KR Medium"/>
      <family val="2"/>
      <charset val="129"/>
    </font>
    <font>
      <i/>
      <sz val="8"/>
      <name val="Noto Sans CJK KR Medium"/>
      <family val="2"/>
      <charset val="129"/>
    </font>
    <font>
      <sz val="8"/>
      <color theme="1"/>
      <name val="Noto Sans CJK KR Medium"/>
      <family val="2"/>
      <charset val="129"/>
    </font>
    <font>
      <b/>
      <i/>
      <sz val="9"/>
      <name val="Noto Sans CJK KR Medium"/>
      <family val="2"/>
      <charset val="129"/>
    </font>
    <font>
      <b/>
      <i/>
      <sz val="8"/>
      <name val="Noto Sans CJK KR Medium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7" fillId="0" borderId="0"/>
    <xf numFmtId="0" fontId="4" fillId="0" borderId="0"/>
  </cellStyleXfs>
  <cellXfs count="209">
    <xf numFmtId="0" fontId="0" fillId="0" borderId="0" xfId="0">
      <alignment vertical="center"/>
    </xf>
    <xf numFmtId="0" fontId="4" fillId="0" borderId="0" xfId="1" applyFont="1" applyAlignment="1"/>
    <xf numFmtId="0" fontId="5" fillId="0" borderId="0" xfId="1" applyFont="1" applyAlignment="1"/>
    <xf numFmtId="0" fontId="7" fillId="0" borderId="3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11" xfId="1" applyFont="1" applyBorder="1" applyAlignment="1">
      <alignment horizontal="justify" vertical="center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justify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justify" vertical="center"/>
    </xf>
    <xf numFmtId="0" fontId="7" fillId="0" borderId="0" xfId="1" applyFont="1" applyAlignment="1">
      <alignment horizontal="left" vertical="center" indent="1"/>
    </xf>
    <xf numFmtId="0" fontId="7" fillId="0" borderId="11" xfId="1" applyFont="1" applyBorder="1" applyAlignment="1"/>
    <xf numFmtId="0" fontId="7" fillId="0" borderId="54" xfId="1" applyFont="1" applyBorder="1" applyAlignment="1"/>
    <xf numFmtId="0" fontId="7" fillId="0" borderId="2" xfId="1" applyFont="1" applyBorder="1">
      <alignment vertical="center"/>
    </xf>
    <xf numFmtId="0" fontId="7" fillId="0" borderId="10" xfId="1" applyFont="1" applyBorder="1" applyAlignment="1">
      <alignment horizontal="left" vertical="center"/>
    </xf>
    <xf numFmtId="0" fontId="7" fillId="0" borderId="0" xfId="1" applyFont="1">
      <alignment vertical="center"/>
    </xf>
    <xf numFmtId="0" fontId="7" fillId="0" borderId="54" xfId="1" applyFont="1" applyBorder="1" applyAlignment="1">
      <alignment horizontal="justify" vertical="center"/>
    </xf>
    <xf numFmtId="0" fontId="7" fillId="0" borderId="2" xfId="1" applyFont="1" applyBorder="1" applyAlignment="1">
      <alignment horizontal="justify" vertical="center"/>
    </xf>
    <xf numFmtId="0" fontId="7" fillId="0" borderId="0" xfId="1" applyFont="1" applyAlignment="1"/>
    <xf numFmtId="0" fontId="7" fillId="0" borderId="54" xfId="1" applyFont="1" applyBorder="1" applyAlignment="1">
      <alignment horizontal="left" vertical="center"/>
    </xf>
    <xf numFmtId="0" fontId="7" fillId="0" borderId="11" xfId="1" applyFont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4" xfId="1" applyFont="1" applyBorder="1" applyAlignment="1">
      <alignment horizontal="left" vertical="center"/>
    </xf>
    <xf numFmtId="0" fontId="5" fillId="0" borderId="7" xfId="1" applyFont="1" applyBorder="1" applyAlignment="1"/>
    <xf numFmtId="0" fontId="7" fillId="0" borderId="8" xfId="1" applyFont="1" applyBorder="1" applyAlignment="1">
      <alignment horizontal="center" vertical="center"/>
    </xf>
    <xf numFmtId="0" fontId="5" fillId="0" borderId="10" xfId="1" applyFont="1" applyBorder="1" applyAlignment="1"/>
    <xf numFmtId="0" fontId="5" fillId="0" borderId="4" xfId="1" applyFont="1" applyBorder="1" applyAlignment="1"/>
    <xf numFmtId="0" fontId="7" fillId="0" borderId="11" xfId="1" applyFont="1" applyBorder="1" applyAlignment="1">
      <alignment horizontal="left" vertical="center" indent="1"/>
    </xf>
    <xf numFmtId="0" fontId="6" fillId="0" borderId="0" xfId="1" applyFont="1" applyAlignment="1">
      <alignment horizontal="center" vertical="center"/>
    </xf>
    <xf numFmtId="0" fontId="7" fillId="0" borderId="11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 indent="1"/>
    </xf>
    <xf numFmtId="0" fontId="6" fillId="0" borderId="54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6" fillId="0" borderId="54" xfId="1" applyFont="1" applyBorder="1" applyAlignment="1">
      <alignment horizontal="justify" vertical="center"/>
    </xf>
    <xf numFmtId="0" fontId="6" fillId="0" borderId="2" xfId="1" applyFont="1" applyBorder="1" applyAlignment="1">
      <alignment horizontal="justify" vertical="center"/>
    </xf>
    <xf numFmtId="0" fontId="21" fillId="0" borderId="2" xfId="0" applyFont="1" applyBorder="1">
      <alignment vertical="center"/>
    </xf>
    <xf numFmtId="0" fontId="14" fillId="0" borderId="0" xfId="1" applyFont="1" applyAlignment="1"/>
    <xf numFmtId="0" fontId="14" fillId="0" borderId="2" xfId="0" applyFont="1" applyBorder="1">
      <alignment vertical="center"/>
    </xf>
    <xf numFmtId="0" fontId="15" fillId="0" borderId="0" xfId="1" applyFont="1" applyAlignment="1"/>
    <xf numFmtId="0" fontId="16" fillId="0" borderId="0" xfId="1" applyFont="1" applyAlignment="1"/>
    <xf numFmtId="0" fontId="18" fillId="0" borderId="3" xfId="1" applyFont="1" applyBorder="1" applyAlignment="1">
      <alignment horizontal="center" vertical="center"/>
    </xf>
    <xf numFmtId="0" fontId="18" fillId="0" borderId="4" xfId="1" applyFont="1" applyBorder="1" applyAlignment="1">
      <alignment horizontal="justify" vertical="center"/>
    </xf>
    <xf numFmtId="0" fontId="18" fillId="0" borderId="5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8" fillId="0" borderId="2" xfId="1" applyFont="1" applyBorder="1" applyAlignment="1">
      <alignment horizontal="left" vertical="center"/>
    </xf>
    <xf numFmtId="0" fontId="18" fillId="0" borderId="7" xfId="1" applyFont="1" applyBorder="1" applyAlignment="1">
      <alignment horizontal="justify" vertical="center"/>
    </xf>
    <xf numFmtId="0" fontId="18" fillId="0" borderId="10" xfId="1" applyFont="1" applyBorder="1" applyAlignment="1">
      <alignment horizontal="justify" vertical="center"/>
    </xf>
    <xf numFmtId="0" fontId="18" fillId="0" borderId="11" xfId="1" applyFont="1" applyBorder="1" applyAlignment="1">
      <alignment horizontal="justify" vertical="center"/>
    </xf>
    <xf numFmtId="0" fontId="18" fillId="0" borderId="0" xfId="1" applyFont="1" applyAlignment="1">
      <alignment horizontal="left" vertical="center"/>
    </xf>
    <xf numFmtId="0" fontId="18" fillId="0" borderId="0" xfId="1" applyFont="1" applyAlignment="1">
      <alignment horizontal="justify" vertical="center"/>
    </xf>
    <xf numFmtId="0" fontId="18" fillId="0" borderId="8" xfId="1" applyFont="1" applyBorder="1" applyAlignment="1">
      <alignment horizontal="left" vertical="center"/>
    </xf>
    <xf numFmtId="0" fontId="18" fillId="0" borderId="9" xfId="1" applyFont="1" applyBorder="1" applyAlignment="1">
      <alignment horizontal="justify" vertical="center"/>
    </xf>
    <xf numFmtId="0" fontId="19" fillId="0" borderId="11" xfId="1" applyFont="1" applyBorder="1" applyAlignment="1">
      <alignment horizontal="center" vertical="center"/>
    </xf>
    <xf numFmtId="0" fontId="19" fillId="0" borderId="0" xfId="1" applyFont="1" applyAlignment="1">
      <alignment horizontal="justify" vertical="center"/>
    </xf>
    <xf numFmtId="0" fontId="17" fillId="0" borderId="0" xfId="1" applyFont="1" applyAlignment="1">
      <alignment horizontal="left" vertical="center"/>
    </xf>
    <xf numFmtId="0" fontId="17" fillId="0" borderId="0" xfId="1" applyFont="1">
      <alignment vertical="center"/>
    </xf>
    <xf numFmtId="0" fontId="23" fillId="0" borderId="4" xfId="1" applyFont="1" applyBorder="1">
      <alignment vertical="center"/>
    </xf>
    <xf numFmtId="0" fontId="23" fillId="0" borderId="0" xfId="1" applyFont="1">
      <alignment vertical="center"/>
    </xf>
    <xf numFmtId="0" fontId="18" fillId="0" borderId="0" xfId="1" applyFont="1" applyAlignment="1">
      <alignment horizontal="left" vertical="center" indent="1"/>
    </xf>
    <xf numFmtId="0" fontId="18" fillId="0" borderId="11" xfId="1" applyFont="1" applyBorder="1" applyAlignment="1"/>
    <xf numFmtId="0" fontId="13" fillId="3" borderId="20" xfId="1" applyFont="1" applyFill="1" applyBorder="1" applyAlignment="1">
      <alignment horizontal="center" vertical="center" wrapText="1"/>
    </xf>
    <xf numFmtId="0" fontId="13" fillId="3" borderId="21" xfId="1" applyFont="1" applyFill="1" applyBorder="1" applyAlignment="1">
      <alignment horizontal="center" vertical="center" wrapText="1"/>
    </xf>
    <xf numFmtId="0" fontId="13" fillId="3" borderId="23" xfId="1" applyFont="1" applyFill="1" applyBorder="1" applyAlignment="1">
      <alignment horizontal="center" vertical="center" wrapText="1"/>
    </xf>
    <xf numFmtId="0" fontId="13" fillId="2" borderId="26" xfId="1" applyFont="1" applyFill="1" applyBorder="1" applyAlignment="1">
      <alignment horizontal="center" vertical="center" wrapText="1"/>
    </xf>
    <xf numFmtId="0" fontId="13" fillId="2" borderId="27" xfId="1" applyFont="1" applyFill="1" applyBorder="1" applyAlignment="1">
      <alignment horizontal="center" vertical="center" wrapText="1"/>
    </xf>
    <xf numFmtId="0" fontId="21" fillId="0" borderId="28" xfId="1" applyFont="1" applyBorder="1" applyAlignment="1">
      <alignment vertical="center" wrapText="1"/>
    </xf>
    <xf numFmtId="0" fontId="21" fillId="0" borderId="29" xfId="1" applyFont="1" applyBorder="1" applyAlignment="1">
      <alignment vertical="center" wrapText="1"/>
    </xf>
    <xf numFmtId="0" fontId="21" fillId="0" borderId="30" xfId="1" applyFont="1" applyBorder="1" applyAlignment="1">
      <alignment horizontal="left" vertical="center" wrapText="1"/>
    </xf>
    <xf numFmtId="0" fontId="13" fillId="2" borderId="31" xfId="1" applyFont="1" applyFill="1" applyBorder="1" applyAlignment="1">
      <alignment horizontal="center" vertical="center" wrapText="1"/>
    </xf>
    <xf numFmtId="0" fontId="13" fillId="2" borderId="32" xfId="1" applyFont="1" applyFill="1" applyBorder="1" applyAlignment="1">
      <alignment horizontal="center" vertical="center" wrapText="1"/>
    </xf>
    <xf numFmtId="0" fontId="21" fillId="0" borderId="33" xfId="1" applyFont="1" applyBorder="1" applyAlignment="1">
      <alignment vertical="center" wrapText="1"/>
    </xf>
    <xf numFmtId="0" fontId="21" fillId="0" borderId="34" xfId="1" applyFont="1" applyBorder="1" applyAlignment="1">
      <alignment horizontal="left" vertical="center" wrapText="1"/>
    </xf>
    <xf numFmtId="0" fontId="21" fillId="0" borderId="34" xfId="1" applyFont="1" applyBorder="1" applyAlignment="1">
      <alignment vertical="center" wrapText="1"/>
    </xf>
    <xf numFmtId="0" fontId="21" fillId="0" borderId="35" xfId="1" applyFont="1" applyBorder="1" applyAlignment="1">
      <alignment horizontal="left" vertical="center" wrapText="1"/>
    </xf>
    <xf numFmtId="0" fontId="13" fillId="2" borderId="36" xfId="1" applyFont="1" applyFill="1" applyBorder="1" applyAlignment="1">
      <alignment horizontal="center" vertical="center" wrapText="1"/>
    </xf>
    <xf numFmtId="0" fontId="21" fillId="0" borderId="37" xfId="1" applyFont="1" applyBorder="1" applyAlignment="1">
      <alignment vertical="center" wrapText="1"/>
    </xf>
    <xf numFmtId="0" fontId="21" fillId="0" borderId="38" xfId="1" applyFont="1" applyBorder="1" applyAlignment="1">
      <alignment horizontal="left" vertical="center" wrapText="1"/>
    </xf>
    <xf numFmtId="0" fontId="21" fillId="0" borderId="38" xfId="1" applyFont="1" applyBorder="1" applyAlignment="1">
      <alignment vertical="center" wrapText="1"/>
    </xf>
    <xf numFmtId="0" fontId="21" fillId="0" borderId="39" xfId="1" applyFont="1" applyBorder="1" applyAlignment="1">
      <alignment horizontal="left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21" fillId="0" borderId="42" xfId="1" applyFont="1" applyBorder="1" applyAlignment="1">
      <alignment vertical="center" wrapText="1"/>
    </xf>
    <xf numFmtId="0" fontId="21" fillId="0" borderId="43" xfId="1" applyFont="1" applyBorder="1" applyAlignment="1">
      <alignment horizontal="left" vertical="center" wrapText="1"/>
    </xf>
    <xf numFmtId="0" fontId="21" fillId="0" borderId="43" xfId="1" applyFont="1" applyBorder="1" applyAlignment="1">
      <alignment vertical="center" wrapText="1"/>
    </xf>
    <xf numFmtId="0" fontId="21" fillId="0" borderId="44" xfId="1" applyFont="1" applyBorder="1" applyAlignment="1">
      <alignment horizontal="left" vertical="center" wrapText="1"/>
    </xf>
    <xf numFmtId="0" fontId="13" fillId="2" borderId="45" xfId="1" applyFont="1" applyFill="1" applyBorder="1" applyAlignment="1">
      <alignment horizontal="center" vertical="center" wrapText="1"/>
    </xf>
    <xf numFmtId="0" fontId="21" fillId="0" borderId="46" xfId="1" applyFont="1" applyBorder="1" applyAlignment="1">
      <alignment vertical="center" wrapText="1"/>
    </xf>
    <xf numFmtId="0" fontId="21" fillId="0" borderId="47" xfId="1" applyFont="1" applyBorder="1" applyAlignment="1">
      <alignment horizontal="left" vertical="center" wrapText="1"/>
    </xf>
    <xf numFmtId="0" fontId="21" fillId="0" borderId="47" xfId="1" applyFont="1" applyBorder="1" applyAlignment="1">
      <alignment vertical="center" wrapText="1"/>
    </xf>
    <xf numFmtId="0" fontId="21" fillId="0" borderId="48" xfId="1" applyFont="1" applyBorder="1" applyAlignment="1">
      <alignment horizontal="left" vertical="center" wrapText="1"/>
    </xf>
    <xf numFmtId="0" fontId="21" fillId="0" borderId="38" xfId="1" quotePrefix="1" applyFont="1" applyBorder="1" applyAlignment="1">
      <alignment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21" fillId="0" borderId="51" xfId="1" applyFont="1" applyBorder="1" applyAlignment="1">
      <alignment vertical="center" wrapText="1"/>
    </xf>
    <xf numFmtId="0" fontId="21" fillId="0" borderId="52" xfId="1" applyFont="1" applyBorder="1" applyAlignment="1">
      <alignment vertical="center" wrapText="1"/>
    </xf>
    <xf numFmtId="0" fontId="21" fillId="0" borderId="53" xfId="1" applyFont="1" applyBorder="1" applyAlignment="1">
      <alignment horizontal="left" vertical="center" wrapText="1"/>
    </xf>
    <xf numFmtId="0" fontId="18" fillId="0" borderId="54" xfId="1" applyFont="1" applyBorder="1" applyAlignment="1"/>
    <xf numFmtId="0" fontId="18" fillId="0" borderId="2" xfId="1" applyFont="1" applyBorder="1">
      <alignment vertical="center"/>
    </xf>
    <xf numFmtId="0" fontId="18" fillId="0" borderId="2" xfId="1" applyFont="1" applyBorder="1" applyAlignment="1"/>
    <xf numFmtId="0" fontId="18" fillId="0" borderId="10" xfId="1" applyFont="1" applyBorder="1" applyAlignment="1">
      <alignment horizontal="left" vertical="center"/>
    </xf>
    <xf numFmtId="0" fontId="18" fillId="0" borderId="0" xfId="1" applyFont="1">
      <alignment vertical="center"/>
    </xf>
    <xf numFmtId="0" fontId="18" fillId="0" borderId="4" xfId="1" applyFont="1" applyBorder="1" applyAlignment="1">
      <alignment horizontal="left" vertical="center" indent="1"/>
    </xf>
    <xf numFmtId="0" fontId="24" fillId="0" borderId="0" xfId="1" applyFont="1" applyAlignment="1">
      <alignment vertical="top"/>
    </xf>
    <xf numFmtId="0" fontId="23" fillId="0" borderId="0" xfId="1" applyFont="1" applyAlignment="1">
      <alignment horizontal="center" vertical="top"/>
    </xf>
    <xf numFmtId="0" fontId="18" fillId="0" borderId="4" xfId="1" applyFont="1" applyBorder="1">
      <alignment vertical="center"/>
    </xf>
    <xf numFmtId="0" fontId="17" fillId="0" borderId="4" xfId="1" applyFont="1" applyBorder="1" applyAlignment="1">
      <alignment horizontal="left" vertical="center"/>
    </xf>
    <xf numFmtId="0" fontId="17" fillId="0" borderId="4" xfId="1" applyFont="1" applyBorder="1" applyAlignment="1">
      <alignment horizontal="center" vertical="center"/>
    </xf>
    <xf numFmtId="0" fontId="18" fillId="0" borderId="54" xfId="1" applyFont="1" applyBorder="1" applyAlignment="1">
      <alignment horizontal="justify" vertical="center"/>
    </xf>
    <xf numFmtId="0" fontId="18" fillId="0" borderId="2" xfId="1" applyFont="1" applyBorder="1" applyAlignment="1">
      <alignment horizontal="justify" vertical="center"/>
    </xf>
    <xf numFmtId="0" fontId="18" fillId="0" borderId="7" xfId="1" applyFont="1" applyBorder="1" applyAlignment="1">
      <alignment horizontal="left" vertical="center" indent="1"/>
    </xf>
    <xf numFmtId="0" fontId="18" fillId="0" borderId="10" xfId="1" applyFont="1" applyBorder="1" applyAlignment="1">
      <alignment horizontal="left" vertical="center" indent="1"/>
    </xf>
    <xf numFmtId="0" fontId="18" fillId="0" borderId="0" xfId="1" applyFont="1" applyAlignment="1"/>
    <xf numFmtId="0" fontId="18" fillId="0" borderId="54" xfId="1" applyFont="1" applyBorder="1" applyAlignment="1">
      <alignment horizontal="left" vertical="center"/>
    </xf>
    <xf numFmtId="0" fontId="18" fillId="0" borderId="11" xfId="1" applyFont="1" applyBorder="1" applyAlignment="1">
      <alignment horizontal="center" vertical="center"/>
    </xf>
    <xf numFmtId="0" fontId="18" fillId="0" borderId="54" xfId="1" applyFont="1" applyBorder="1" applyAlignment="1">
      <alignment horizontal="center" vertical="center"/>
    </xf>
    <xf numFmtId="0" fontId="17" fillId="0" borderId="7" xfId="1" applyFont="1" applyBorder="1" applyAlignment="1">
      <alignment horizontal="left" vertical="center"/>
    </xf>
    <xf numFmtId="0" fontId="6" fillId="0" borderId="0" xfId="1" applyFont="1">
      <alignment vertical="center"/>
    </xf>
    <xf numFmtId="0" fontId="28" fillId="0" borderId="0" xfId="0" applyFont="1">
      <alignment vertical="center"/>
    </xf>
    <xf numFmtId="0" fontId="6" fillId="0" borderId="0" xfId="5" applyFont="1" applyAlignment="1">
      <alignment horizontal="left"/>
    </xf>
    <xf numFmtId="0" fontId="6" fillId="0" borderId="0" xfId="5" applyFont="1" applyAlignment="1">
      <alignment vertical="center" shrinkToFit="1"/>
    </xf>
    <xf numFmtId="0" fontId="6" fillId="0" borderId="0" xfId="5" applyFont="1" applyAlignment="1">
      <alignment horizontal="center" vertical="center"/>
    </xf>
    <xf numFmtId="0" fontId="6" fillId="0" borderId="0" xfId="5" applyFont="1" applyAlignment="1">
      <alignment horizontal="center" vertical="center" shrinkToFit="1"/>
    </xf>
    <xf numFmtId="0" fontId="28" fillId="0" borderId="2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28" fillId="0" borderId="0" xfId="0" applyFont="1" applyAlignment="1">
      <alignment vertical="center" wrapText="1"/>
    </xf>
    <xf numFmtId="0" fontId="7" fillId="4" borderId="1" xfId="5" applyFont="1" applyFill="1" applyBorder="1" applyAlignment="1">
      <alignment horizontal="center" vertical="center" wrapText="1"/>
    </xf>
    <xf numFmtId="0" fontId="7" fillId="4" borderId="1" xfId="5" applyFont="1" applyFill="1" applyBorder="1" applyAlignment="1">
      <alignment horizontal="center" vertical="center" wrapText="1" shrinkToFit="1"/>
    </xf>
    <xf numFmtId="0" fontId="10" fillId="5" borderId="1" xfId="5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4" fillId="0" borderId="0" xfId="7"/>
    <xf numFmtId="0" fontId="4" fillId="0" borderId="1" xfId="7" applyBorder="1"/>
    <xf numFmtId="0" fontId="4" fillId="0" borderId="59" xfId="7" applyBorder="1"/>
    <xf numFmtId="0" fontId="4" fillId="0" borderId="61" xfId="7" applyBorder="1"/>
    <xf numFmtId="0" fontId="4" fillId="0" borderId="63" xfId="7" applyBorder="1"/>
    <xf numFmtId="0" fontId="4" fillId="6" borderId="1" xfId="7" applyFill="1" applyBorder="1"/>
    <xf numFmtId="0" fontId="4" fillId="7" borderId="1" xfId="7" applyFill="1" applyBorder="1" applyProtection="1">
      <protection locked="0"/>
    </xf>
    <xf numFmtId="0" fontId="31" fillId="0" borderId="0" xfId="5" applyFont="1" applyAlignment="1">
      <alignment vertical="center" shrinkToFit="1"/>
    </xf>
    <xf numFmtId="0" fontId="31" fillId="4" borderId="1" xfId="5" applyFont="1" applyFill="1" applyBorder="1" applyAlignment="1">
      <alignment horizontal="center" vertical="center" wrapText="1" shrinkToFit="1"/>
    </xf>
    <xf numFmtId="0" fontId="32" fillId="0" borderId="0" xfId="0" applyFont="1" applyAlignment="1">
      <alignment vertical="center" wrapText="1"/>
    </xf>
    <xf numFmtId="0" fontId="33" fillId="0" borderId="0" xfId="5" applyFont="1" applyAlignment="1">
      <alignment horizontal="center" vertical="center"/>
    </xf>
    <xf numFmtId="0" fontId="34" fillId="4" borderId="1" xfId="5" applyFont="1" applyFill="1" applyBorder="1" applyAlignment="1">
      <alignment horizontal="center" vertical="center" wrapText="1"/>
    </xf>
    <xf numFmtId="0" fontId="35" fillId="5" borderId="1" xfId="5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37" fillId="5" borderId="1" xfId="5" applyFont="1" applyFill="1" applyBorder="1" applyAlignment="1">
      <alignment horizontal="center" vertical="center" wrapText="1"/>
    </xf>
    <xf numFmtId="0" fontId="31" fillId="0" borderId="0" xfId="5" applyFont="1" applyAlignment="1">
      <alignment horizontal="center" vertical="center" shrinkToFit="1"/>
    </xf>
    <xf numFmtId="0" fontId="38" fillId="5" borderId="1" xfId="5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18" fillId="0" borderId="0" xfId="1" applyFont="1" applyAlignment="1" applyProtection="1">
      <alignment horizontal="left" vertical="center" wrapText="1"/>
      <protection locked="0"/>
    </xf>
    <xf numFmtId="0" fontId="18" fillId="0" borderId="0" xfId="1" applyFont="1" applyAlignment="1">
      <alignment horizontal="left" vertical="center"/>
    </xf>
    <xf numFmtId="0" fontId="18" fillId="0" borderId="8" xfId="1" applyFont="1" applyBorder="1" applyAlignment="1">
      <alignment horizontal="left" vertical="center"/>
    </xf>
    <xf numFmtId="0" fontId="18" fillId="0" borderId="9" xfId="1" applyFont="1" applyBorder="1" applyAlignment="1">
      <alignment horizontal="left" vertical="center"/>
    </xf>
    <xf numFmtId="0" fontId="13" fillId="3" borderId="12" xfId="1" applyFont="1" applyFill="1" applyBorder="1" applyAlignment="1">
      <alignment horizontal="center" vertical="center" wrapText="1"/>
    </xf>
    <xf numFmtId="0" fontId="13" fillId="3" borderId="13" xfId="1" applyFont="1" applyFill="1" applyBorder="1" applyAlignment="1">
      <alignment horizontal="center" vertical="center" wrapText="1"/>
    </xf>
    <xf numFmtId="0" fontId="13" fillId="3" borderId="14" xfId="1" applyFont="1" applyFill="1" applyBorder="1" applyAlignment="1">
      <alignment horizontal="center" vertical="center" wrapText="1"/>
    </xf>
    <xf numFmtId="0" fontId="13" fillId="3" borderId="22" xfId="1" applyFont="1" applyFill="1" applyBorder="1" applyAlignment="1">
      <alignment horizontal="center" vertical="center" wrapText="1"/>
    </xf>
    <xf numFmtId="0" fontId="13" fillId="3" borderId="15" xfId="1" applyFont="1" applyFill="1" applyBorder="1" applyAlignment="1">
      <alignment horizontal="center" vertical="center" wrapText="1"/>
    </xf>
    <xf numFmtId="0" fontId="13" fillId="3" borderId="16" xfId="1" applyFont="1" applyFill="1" applyBorder="1" applyAlignment="1">
      <alignment horizontal="center" vertical="center" wrapText="1"/>
    </xf>
    <xf numFmtId="0" fontId="13" fillId="3" borderId="17" xfId="1" applyFont="1" applyFill="1" applyBorder="1" applyAlignment="1">
      <alignment horizontal="center" vertical="center" wrapText="1"/>
    </xf>
    <xf numFmtId="0" fontId="13" fillId="3" borderId="18" xfId="1" applyFont="1" applyFill="1" applyBorder="1" applyAlignment="1">
      <alignment horizontal="center" vertical="center" wrapText="1"/>
    </xf>
    <xf numFmtId="0" fontId="13" fillId="3" borderId="24" xfId="1" applyFont="1" applyFill="1" applyBorder="1" applyAlignment="1">
      <alignment horizontal="center" vertical="center" wrapText="1"/>
    </xf>
    <xf numFmtId="0" fontId="13" fillId="3" borderId="19" xfId="1" applyFont="1" applyFill="1" applyBorder="1" applyAlignment="1">
      <alignment horizontal="center" vertical="center" wrapText="1"/>
    </xf>
    <xf numFmtId="0" fontId="13" fillId="3" borderId="25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16" fillId="0" borderId="0" xfId="1" applyFont="1" applyAlignment="1">
      <alignment horizontal="left"/>
    </xf>
    <xf numFmtId="0" fontId="17" fillId="2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/>
    </xf>
    <xf numFmtId="0" fontId="18" fillId="0" borderId="2" xfId="1" applyFont="1" applyBorder="1" applyAlignment="1">
      <alignment horizontal="left" vertical="center"/>
    </xf>
    <xf numFmtId="0" fontId="17" fillId="0" borderId="8" xfId="1" applyFont="1" applyBorder="1" applyAlignment="1">
      <alignment horizontal="left" vertical="center"/>
    </xf>
    <xf numFmtId="0" fontId="17" fillId="0" borderId="9" xfId="1" applyFont="1" applyBorder="1" applyAlignment="1">
      <alignment horizontal="left" vertical="center"/>
    </xf>
    <xf numFmtId="0" fontId="18" fillId="0" borderId="2" xfId="1" applyFont="1" applyBorder="1" applyAlignment="1">
      <alignment horizontal="justify" vertical="center"/>
    </xf>
    <xf numFmtId="0" fontId="18" fillId="0" borderId="0" xfId="1" applyFont="1" applyAlignment="1">
      <alignment horizontal="justify" vertical="center"/>
    </xf>
    <xf numFmtId="0" fontId="6" fillId="0" borderId="8" xfId="1" applyFont="1" applyBorder="1" applyAlignment="1">
      <alignment horizontal="justify" vertical="center"/>
    </xf>
    <xf numFmtId="0" fontId="6" fillId="0" borderId="9" xfId="1" applyFont="1" applyBorder="1" applyAlignment="1">
      <alignment horizontal="justify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7" fillId="0" borderId="8" xfId="1" applyFont="1" applyBorder="1" applyAlignment="1">
      <alignment horizontal="justify" vertical="center"/>
    </xf>
    <xf numFmtId="0" fontId="7" fillId="0" borderId="9" xfId="1" applyFont="1" applyBorder="1" applyAlignment="1">
      <alignment horizontal="justify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 wrapText="1"/>
    </xf>
    <xf numFmtId="0" fontId="7" fillId="0" borderId="9" xfId="1" applyFont="1" applyBorder="1" applyAlignment="1">
      <alignment horizontal="left" vertical="center" wrapText="1"/>
    </xf>
    <xf numFmtId="0" fontId="7" fillId="0" borderId="0" xfId="1" applyFont="1" applyAlignment="1">
      <alignment horizontal="justify" vertical="center"/>
    </xf>
    <xf numFmtId="0" fontId="26" fillId="0" borderId="0" xfId="5" applyFont="1" applyAlignment="1">
      <alignment horizontal="center" vertical="center"/>
    </xf>
    <xf numFmtId="0" fontId="7" fillId="4" borderId="1" xfId="5" applyFont="1" applyFill="1" applyBorder="1" applyAlignment="1">
      <alignment horizontal="center" vertical="center" wrapText="1"/>
    </xf>
    <xf numFmtId="0" fontId="34" fillId="4" borderId="1" xfId="5" applyFont="1" applyFill="1" applyBorder="1" applyAlignment="1">
      <alignment horizontal="center" vertical="center" wrapText="1"/>
    </xf>
    <xf numFmtId="0" fontId="4" fillId="6" borderId="57" xfId="7" applyFill="1" applyBorder="1"/>
    <xf numFmtId="0" fontId="4" fillId="0" borderId="56" xfId="7" applyBorder="1"/>
    <xf numFmtId="0" fontId="4" fillId="0" borderId="55" xfId="7" applyBorder="1"/>
    <xf numFmtId="0" fontId="4" fillId="0" borderId="1" xfId="7" applyBorder="1"/>
    <xf numFmtId="0" fontId="4" fillId="0" borderId="3" xfId="7" applyBorder="1"/>
    <xf numFmtId="0" fontId="4" fillId="0" borderId="58" xfId="7" applyBorder="1"/>
    <xf numFmtId="0" fontId="30" fillId="0" borderId="57" xfId="7" applyFont="1" applyBorder="1" applyAlignment="1">
      <alignment horizontal="center" wrapText="1"/>
    </xf>
    <xf numFmtId="0" fontId="4" fillId="0" borderId="56" xfId="7" applyBorder="1" applyAlignment="1">
      <alignment horizontal="center"/>
    </xf>
    <xf numFmtId="0" fontId="4" fillId="0" borderId="55" xfId="7" applyBorder="1" applyAlignment="1">
      <alignment horizontal="center"/>
    </xf>
    <xf numFmtId="0" fontId="4" fillId="0" borderId="65" xfId="7" applyBorder="1" applyAlignment="1">
      <alignment horizontal="center"/>
    </xf>
    <xf numFmtId="0" fontId="4" fillId="0" borderId="0" xfId="7" applyAlignment="1">
      <alignment horizontal="center"/>
    </xf>
    <xf numFmtId="0" fontId="4" fillId="0" borderId="64" xfId="7" applyBorder="1" applyAlignment="1">
      <alignment horizontal="center"/>
    </xf>
    <xf numFmtId="0" fontId="4" fillId="0" borderId="57" xfId="7" applyBorder="1" applyAlignment="1">
      <alignment horizontal="left" wrapText="1"/>
    </xf>
    <xf numFmtId="0" fontId="4" fillId="0" borderId="56" xfId="7" applyBorder="1" applyAlignment="1">
      <alignment horizontal="left"/>
    </xf>
    <xf numFmtId="0" fontId="4" fillId="0" borderId="55" xfId="7" applyBorder="1" applyAlignment="1">
      <alignment horizontal="left"/>
    </xf>
    <xf numFmtId="0" fontId="4" fillId="0" borderId="65" xfId="7" applyBorder="1" applyAlignment="1">
      <alignment horizontal="left"/>
    </xf>
    <xf numFmtId="0" fontId="4" fillId="0" borderId="0" xfId="7" applyAlignment="1">
      <alignment horizontal="left"/>
    </xf>
    <xf numFmtId="0" fontId="4" fillId="0" borderId="64" xfId="7" applyBorder="1" applyAlignment="1">
      <alignment horizontal="left"/>
    </xf>
    <xf numFmtId="0" fontId="4" fillId="0" borderId="62" xfId="7" applyBorder="1"/>
    <xf numFmtId="0" fontId="4" fillId="0" borderId="19" xfId="7" applyBorder="1"/>
    <xf numFmtId="0" fontId="4" fillId="0" borderId="60" xfId="7" applyBorder="1"/>
  </cellXfs>
  <cellStyles count="8">
    <cellStyle name="Normal 2" xfId="7" xr:uid="{00000000-0005-0000-0000-000000000000}"/>
    <cellStyle name="표준" xfId="0" builtinId="0"/>
    <cellStyle name="표준 121 2" xfId="4" xr:uid="{00000000-0005-0000-0000-000002000000}"/>
    <cellStyle name="표준 182" xfId="1" xr:uid="{00000000-0005-0000-0000-000003000000}"/>
    <cellStyle name="표준 2" xfId="2" xr:uid="{00000000-0005-0000-0000-000004000000}"/>
    <cellStyle name="표준 2 2 5" xfId="5" xr:uid="{00000000-0005-0000-0000-000005000000}"/>
    <cellStyle name="표준 3" xfId="3" xr:uid="{00000000-0005-0000-0000-000006000000}"/>
    <cellStyle name="표준 7 48" xfId="6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315\Panglima\PROJECT\SKS\Allow%20F&amp;M\pipeplus%20(iran)\EXP_MOVEMENT(IRAN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\&#53945;&#49688;&#50689;&#50629;\Documents%20and%20Settings\h112919\My%20Documents\Project_&#44204;&#51201;%20&amp;%20&#49688;&#54665;\&#49688;&#54665;\Sohar%20_%20Oman%20(W03026B)\Design\Cables\Cable%20List%20(&#49444;&#44228;&#50857;)\Cable%20List_Rev%20B_2005052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chtner_server\depts\MECH\USER\KUM\SPLHJ80\SPLHTL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CHTNER_SERVER\DEPTS\MECH\USER\RKM\MISC\TESTRKM\HEA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5387\Sohar\PROJECT\Rehab\Meeting\&#45824;%20Owner\Attachment%20I&amp;C-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_MOV"/>
      <sheetName val="EXP_MOV (2)"/>
      <sheetName val="EXP_MOV (3)"/>
      <sheetName val="EXP_MOV (5)"/>
      <sheetName val="EXP_MOV (6)"/>
      <sheetName val="EXP_MOV (7)"/>
      <sheetName val="EXP_MOV (8)"/>
      <sheetName val="EXP_MOV (9)"/>
      <sheetName val="EXP_MOV (10)"/>
      <sheetName val="TABLE"/>
      <sheetName val="예산서"/>
      <sheetName val="예산"/>
      <sheetName val="작성기준"/>
      <sheetName val="자바라1"/>
      <sheetName val="#REF"/>
      <sheetName val="해외 연수비용 계산-삭제"/>
      <sheetName val="EXP_MOVEMENT(IRAN)"/>
      <sheetName val="해외 기술훈련비 (합계)"/>
      <sheetName val="단가집"/>
      <sheetName val="당초"/>
      <sheetName val="기계내역서"/>
      <sheetName val="csdim"/>
      <sheetName val="cdsload"/>
      <sheetName val="chsload"/>
      <sheetName val="CLAMP"/>
      <sheetName val="cvsload"/>
      <sheetName val="pipe"/>
      <sheetName val="7.6.3(B) UG Piping"/>
      <sheetName val="재료비"/>
      <sheetName val="CODE"/>
      <sheetName val="C"/>
      <sheetName val="Beam Sizes"/>
      <sheetName val="Sheet1"/>
      <sheetName val="Sheet2"/>
      <sheetName val="Sheet3"/>
      <sheetName val="현장지지물물량"/>
      <sheetName val="Eq. Mobilization"/>
      <sheetName val="45,46"/>
      <sheetName val="ITEM-LIST"/>
      <sheetName val="kich thuoc"/>
      <sheetName val="DTHH"/>
      <sheetName val="표지"/>
      <sheetName val="COMMON"/>
      <sheetName val="Man Power"/>
      <sheetName val="내역서"/>
      <sheetName val="Input"/>
      <sheetName val="Units Def'n"/>
      <sheetName val="5"/>
      <sheetName val="H4-발주"/>
      <sheetName val="MTL$-INTER"/>
      <sheetName val="가격분석@1100(990104)"/>
      <sheetName val="Escalation"/>
      <sheetName val="1.Manual"/>
      <sheetName val="DETAIL LIST"/>
      <sheetName val="MEDIUM Balance"/>
      <sheetName val="FG1500"/>
      <sheetName val="FGHIGH"/>
      <sheetName val="Instructions"/>
      <sheetName val="EXP_MOV_(2)"/>
      <sheetName val="EXP_MOV_(3)"/>
      <sheetName val="EXP_MOV_(5)"/>
      <sheetName val="EXP_MOV_(6)"/>
      <sheetName val="EXP_MOV_(7)"/>
      <sheetName val="EXP_MOV_(8)"/>
      <sheetName val="EXP_MOV_(9)"/>
      <sheetName val="EXP_MOV_(10)"/>
      <sheetName val="해외_연수비용_계산-삭제"/>
      <sheetName val="해외_기술훈련비_(합계)"/>
      <sheetName val="7_6_3(B)_UG_Piping"/>
      <sheetName val="EXP_MOV_(2)1"/>
      <sheetName val="EXP_MOV_(3)1"/>
      <sheetName val="EXP_MOV_(5)1"/>
      <sheetName val="EXP_MOV_(6)1"/>
      <sheetName val="EXP_MOV_(7)1"/>
      <sheetName val="EXP_MOV_(8)1"/>
      <sheetName val="EXP_MOV_(9)1"/>
      <sheetName val="EXP_MOV_(10)1"/>
      <sheetName val="해외_연수비용_계산-삭제1"/>
      <sheetName val="해외_기술훈련비_(합계)1"/>
      <sheetName val="7_6_3(B)_UG_Piping1"/>
      <sheetName val="PI"/>
      <sheetName val="Load Location"/>
      <sheetName val="BATCH"/>
      <sheetName val="소화실적"/>
      <sheetName val="상반기손익차2총괄"/>
      <sheetName val="97 사업추정(WEKI)"/>
      <sheetName val="설산1.나"/>
      <sheetName val="본사S"/>
      <sheetName val="Progress Register"/>
      <sheetName val="육각볼트"/>
      <sheetName val="CBE-VSL"/>
      <sheetName val=" Table"/>
      <sheetName val="BOQ"/>
      <sheetName val="DATA_LIST"/>
      <sheetName val="도면자료제출일정"/>
      <sheetName val="CAUDIT"/>
      <sheetName val="1SGATE97"/>
      <sheetName val="SR97-1"/>
      <sheetName val="Material"/>
      <sheetName val="Eq__Mobilization"/>
      <sheetName val="kich_thuoc"/>
      <sheetName val="Beam_Sizes"/>
      <sheetName val="Man_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 Data_Sohar"/>
      <sheetName val="ECL"/>
      <sheetName val="Cable List"/>
      <sheetName val="BOM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ing"/>
      <sheetName val="제출계산서"/>
      <sheetName val="RFP009"/>
      <sheetName val="RFP005"/>
      <sheetName val="ECL"/>
      <sheetName val="WORK"/>
      <sheetName val="정부노임단가"/>
      <sheetName val="Y-WORK"/>
      <sheetName val="COVER"/>
      <sheetName val="TABLE"/>
      <sheetName val="XL4Poppy"/>
      <sheetName val="월선수금"/>
      <sheetName val="Mp-team 1"/>
      <sheetName val="Break Dw"/>
      <sheetName val="TblPriceDB"/>
      <sheetName val="triconex"/>
      <sheetName val="Sheet3"/>
      <sheetName val="견적서"/>
      <sheetName val="예산M12A"/>
      <sheetName val="Cable Data_Sohar"/>
      <sheetName val="data"/>
      <sheetName val="DWTables"/>
      <sheetName val="Control valve datasheet sample"/>
      <sheetName val="노임단가"/>
      <sheetName val="공사계획서"/>
      <sheetName val="품셈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T"/>
      <sheetName val="Testing"/>
      <sheetName val="ht"/>
      <sheetName val="LC#1"/>
      <sheetName val="Mp-team 1"/>
      <sheetName val="Break Dw"/>
      <sheetName val="TblPriceDB"/>
      <sheetName val="triconex"/>
      <sheetName val="Sheet3"/>
      <sheetName val="Sea Water MOV Datasheet"/>
      <sheetName val="Sheet1"/>
      <sheetName val="General Data"/>
      <sheetName val="FLD"/>
      <sheetName val="General_Data"/>
      <sheetName val="Main Menu"/>
      <sheetName val="Price Factors"/>
      <sheetName val="견적서"/>
      <sheetName val="HEAT.XLS"/>
    </sheetNames>
    <definedNames>
      <definedName name="itera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ease Print #1"/>
      <sheetName val="Please Print #2"/>
      <sheetName val="Sheet보호(미출력요)"/>
      <sheetName val=""/>
      <sheetName val="Attachment I&amp;C-3"/>
      <sheetName val="Testing"/>
      <sheetName val="EC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A1:R155"/>
  <sheetViews>
    <sheetView tabSelected="1" view="pageBreakPreview" zoomScale="70" zoomScaleNormal="100" zoomScaleSheetLayoutView="70" zoomScalePageLayoutView="70" workbookViewId="0">
      <selection activeCell="K13" sqref="K13"/>
    </sheetView>
  </sheetViews>
  <sheetFormatPr defaultColWidth="9" defaultRowHeight="17.399999999999999"/>
  <cols>
    <col min="1" max="1" width="8.296875" style="1" customWidth="1"/>
    <col min="2" max="2" width="6.8984375" style="1" customWidth="1"/>
    <col min="3" max="4" width="11.59765625" style="1" customWidth="1"/>
    <col min="5" max="5" width="16.8984375" style="1" customWidth="1"/>
    <col min="6" max="6" width="17.69921875" style="1" customWidth="1"/>
    <col min="7" max="7" width="15.59765625" style="1" customWidth="1"/>
    <col min="8" max="8" width="14.3984375" style="1" customWidth="1"/>
    <col min="9" max="9" width="21.8984375" style="1" customWidth="1"/>
    <col min="10" max="10" width="24" style="1" bestFit="1" customWidth="1"/>
    <col min="11" max="11" width="31.296875" style="1" customWidth="1"/>
    <col min="12" max="12" width="33.69921875" style="1" customWidth="1"/>
    <col min="13" max="13" width="1.69921875" style="1" customWidth="1"/>
    <col min="14" max="16384" width="9" style="1"/>
  </cols>
  <sheetData>
    <row r="1" spans="1:18" ht="34.950000000000003" customHeight="1">
      <c r="A1" s="163" t="s">
        <v>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37"/>
      <c r="O1" s="37"/>
      <c r="P1" s="37"/>
      <c r="Q1" s="37"/>
      <c r="R1" s="37"/>
    </row>
    <row r="2" spans="1:18" ht="25.2" customHeight="1">
      <c r="A2" s="165" t="s">
        <v>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37"/>
      <c r="O2" s="37"/>
      <c r="P2" s="37"/>
      <c r="Q2" s="37"/>
      <c r="R2" s="37"/>
    </row>
    <row r="3" spans="1:18" ht="19.95" customHeight="1">
      <c r="A3" s="36" t="s">
        <v>381</v>
      </c>
      <c r="B3" s="38"/>
      <c r="C3" s="38"/>
      <c r="D3" s="38"/>
      <c r="E3" s="38"/>
      <c r="F3" s="39"/>
      <c r="G3" s="39"/>
      <c r="H3" s="40"/>
      <c r="I3" s="40"/>
      <c r="J3" s="166"/>
      <c r="K3" s="166"/>
      <c r="L3" s="166"/>
      <c r="M3" s="37"/>
      <c r="N3" s="37"/>
      <c r="O3" s="37"/>
      <c r="P3" s="37"/>
      <c r="Q3" s="37"/>
      <c r="R3" s="37"/>
    </row>
    <row r="4" spans="1:18" ht="18.600000000000001">
      <c r="A4" s="167" t="s">
        <v>2</v>
      </c>
      <c r="B4" s="168" t="s">
        <v>3</v>
      </c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37"/>
      <c r="O4" s="37"/>
      <c r="P4" s="37"/>
      <c r="Q4" s="37"/>
      <c r="R4" s="37"/>
    </row>
    <row r="5" spans="1:18" ht="18.600000000000001">
      <c r="A5" s="167"/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37"/>
      <c r="O5" s="37"/>
      <c r="P5" s="37"/>
      <c r="Q5" s="37"/>
      <c r="R5" s="37"/>
    </row>
    <row r="6" spans="1:18" ht="18.600000000000001">
      <c r="A6" s="41">
        <v>1</v>
      </c>
      <c r="B6" s="148" t="s">
        <v>4</v>
      </c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42"/>
      <c r="N6" s="37"/>
      <c r="O6" s="37"/>
      <c r="P6" s="37"/>
      <c r="Q6" s="37"/>
      <c r="R6" s="37"/>
    </row>
    <row r="7" spans="1:18" ht="18.600000000000001">
      <c r="A7" s="43"/>
      <c r="B7" s="149" t="s">
        <v>5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42"/>
      <c r="N7" s="37"/>
      <c r="O7" s="37"/>
      <c r="P7" s="37"/>
      <c r="Q7" s="37"/>
      <c r="R7" s="37"/>
    </row>
    <row r="8" spans="1:18" ht="18.600000000000001">
      <c r="A8" s="44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6"/>
      <c r="N8" s="37"/>
      <c r="O8" s="37"/>
      <c r="P8" s="37"/>
      <c r="Q8" s="37"/>
      <c r="R8" s="37"/>
    </row>
    <row r="9" spans="1:18" ht="18.600000000000001">
      <c r="A9" s="41">
        <v>2</v>
      </c>
      <c r="B9" s="150" t="s">
        <v>6</v>
      </c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47"/>
      <c r="N9" s="37"/>
      <c r="O9" s="37"/>
      <c r="P9" s="37"/>
      <c r="Q9" s="37"/>
      <c r="R9" s="37"/>
    </row>
    <row r="10" spans="1:18" ht="18.600000000000001">
      <c r="A10" s="43"/>
      <c r="B10" s="48"/>
      <c r="C10" s="49"/>
      <c r="D10" s="50"/>
      <c r="E10" s="50"/>
      <c r="F10" s="49"/>
      <c r="G10" s="50"/>
      <c r="H10" s="49"/>
      <c r="I10" s="50"/>
      <c r="J10" s="50"/>
      <c r="K10" s="50"/>
      <c r="L10" s="50"/>
      <c r="M10" s="42"/>
      <c r="N10" s="37"/>
      <c r="O10" s="37"/>
      <c r="P10" s="37"/>
      <c r="Q10" s="37"/>
      <c r="R10" s="37"/>
    </row>
    <row r="11" spans="1:18" ht="18.600000000000001">
      <c r="A11" s="41">
        <v>3</v>
      </c>
      <c r="B11" s="51" t="s">
        <v>7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47"/>
      <c r="N11" s="37"/>
      <c r="O11" s="37"/>
      <c r="P11" s="37"/>
      <c r="Q11" s="37"/>
      <c r="R11" s="37"/>
    </row>
    <row r="12" spans="1:18" ht="18.600000000000001">
      <c r="A12" s="43"/>
      <c r="B12" s="53" t="s">
        <v>8</v>
      </c>
      <c r="C12" s="54"/>
      <c r="D12" s="55" t="s">
        <v>9</v>
      </c>
      <c r="E12" s="37"/>
      <c r="F12" s="56" t="s">
        <v>10</v>
      </c>
      <c r="G12" s="37"/>
      <c r="H12" s="56" t="s">
        <v>11</v>
      </c>
      <c r="I12" s="37"/>
      <c r="J12" s="37"/>
      <c r="K12" s="37"/>
      <c r="L12" s="37"/>
      <c r="M12" s="57"/>
      <c r="N12" s="58"/>
      <c r="O12" s="58"/>
      <c r="P12" s="58"/>
      <c r="Q12" s="37"/>
      <c r="R12" s="37"/>
    </row>
    <row r="13" spans="1:18" ht="16.5" customHeight="1">
      <c r="A13" s="43"/>
      <c r="B13" s="48"/>
      <c r="C13" s="56"/>
      <c r="D13" s="59" t="s">
        <v>12</v>
      </c>
      <c r="E13" s="37"/>
      <c r="F13" s="59" t="s">
        <v>13</v>
      </c>
      <c r="G13" s="37"/>
      <c r="H13" s="37"/>
      <c r="I13" s="37"/>
      <c r="J13" s="37"/>
      <c r="K13" s="37"/>
      <c r="L13" s="37"/>
      <c r="M13" s="57"/>
      <c r="N13" s="58"/>
      <c r="O13" s="58"/>
      <c r="P13" s="58"/>
      <c r="Q13" s="37"/>
      <c r="R13" s="37"/>
    </row>
    <row r="14" spans="1:18" ht="18.600000000000001">
      <c r="A14" s="43"/>
      <c r="B14" s="60"/>
      <c r="C14" s="56"/>
      <c r="D14" s="59" t="s">
        <v>14</v>
      </c>
      <c r="E14" s="37"/>
      <c r="F14" s="59" t="s">
        <v>15</v>
      </c>
      <c r="G14" s="37"/>
      <c r="H14" s="37"/>
      <c r="I14" s="37"/>
      <c r="J14" s="37"/>
      <c r="K14" s="37"/>
      <c r="L14" s="37"/>
      <c r="M14" s="57"/>
      <c r="N14" s="58"/>
      <c r="O14" s="58"/>
      <c r="P14" s="58"/>
      <c r="Q14" s="37"/>
      <c r="R14" s="37"/>
    </row>
    <row r="15" spans="1:18" ht="18.600000000000001">
      <c r="A15" s="43"/>
      <c r="B15" s="60"/>
      <c r="C15" s="59"/>
      <c r="D15" s="37"/>
      <c r="E15" s="37"/>
      <c r="F15" s="59" t="s">
        <v>16</v>
      </c>
      <c r="G15" s="37"/>
      <c r="H15" s="37"/>
      <c r="I15" s="37"/>
      <c r="J15" s="37"/>
      <c r="K15" s="37"/>
      <c r="L15" s="37"/>
      <c r="M15" s="57"/>
      <c r="N15" s="58"/>
      <c r="O15" s="58"/>
      <c r="P15" s="58"/>
      <c r="Q15" s="37"/>
      <c r="R15" s="37"/>
    </row>
    <row r="16" spans="1:18" ht="18.600000000000001">
      <c r="A16" s="43"/>
      <c r="B16" s="60"/>
      <c r="C16" s="59"/>
      <c r="D16" s="37"/>
      <c r="E16" s="37"/>
      <c r="F16" s="59" t="s">
        <v>17</v>
      </c>
      <c r="G16" s="37"/>
      <c r="H16" s="37"/>
      <c r="I16" s="37"/>
      <c r="J16" s="37"/>
      <c r="K16" s="37"/>
      <c r="L16" s="37"/>
      <c r="M16" s="57"/>
      <c r="N16" s="58"/>
      <c r="O16" s="58"/>
      <c r="P16" s="58"/>
      <c r="Q16" s="37"/>
      <c r="R16" s="37"/>
    </row>
    <row r="17" spans="1:18" ht="19.2" thickBot="1">
      <c r="A17" s="43"/>
      <c r="B17" s="60"/>
      <c r="C17" s="59"/>
      <c r="D17" s="59"/>
      <c r="E17" s="37"/>
      <c r="F17" s="37"/>
      <c r="G17" s="37"/>
      <c r="H17" s="37"/>
      <c r="I17" s="37"/>
      <c r="J17" s="37"/>
      <c r="K17" s="37"/>
      <c r="L17" s="37"/>
      <c r="M17" s="57"/>
      <c r="N17" s="58"/>
      <c r="O17" s="58"/>
      <c r="P17" s="58"/>
      <c r="Q17" s="37"/>
      <c r="R17" s="37"/>
    </row>
    <row r="18" spans="1:18" ht="18.600000000000001">
      <c r="A18" s="43"/>
      <c r="B18" s="60"/>
      <c r="C18" s="152" t="s">
        <v>18</v>
      </c>
      <c r="D18" s="153"/>
      <c r="E18" s="154" t="s">
        <v>19</v>
      </c>
      <c r="F18" s="156" t="s">
        <v>20</v>
      </c>
      <c r="G18" s="157"/>
      <c r="H18" s="158"/>
      <c r="I18" s="159" t="s">
        <v>21</v>
      </c>
      <c r="J18" s="159" t="s">
        <v>22</v>
      </c>
      <c r="K18" s="159" t="s">
        <v>23</v>
      </c>
      <c r="L18" s="161" t="s">
        <v>24</v>
      </c>
      <c r="M18" s="57"/>
      <c r="N18" s="58"/>
      <c r="O18" s="58"/>
      <c r="P18" s="58"/>
      <c r="Q18" s="37"/>
      <c r="R18" s="37"/>
    </row>
    <row r="19" spans="1:18" ht="19.2" thickBot="1">
      <c r="A19" s="43"/>
      <c r="B19" s="60"/>
      <c r="C19" s="61" t="s">
        <v>25</v>
      </c>
      <c r="D19" s="62" t="s">
        <v>26</v>
      </c>
      <c r="E19" s="155"/>
      <c r="F19" s="63" t="s">
        <v>27</v>
      </c>
      <c r="G19" s="63" t="s">
        <v>28</v>
      </c>
      <c r="H19" s="63" t="s">
        <v>29</v>
      </c>
      <c r="I19" s="160"/>
      <c r="J19" s="160"/>
      <c r="K19" s="160"/>
      <c r="L19" s="162"/>
      <c r="M19" s="57"/>
      <c r="N19" s="58"/>
      <c r="O19" s="58"/>
      <c r="P19" s="58"/>
      <c r="Q19" s="37"/>
      <c r="R19" s="37"/>
    </row>
    <row r="20" spans="1:18" ht="55.2" customHeight="1" thickTop="1">
      <c r="A20" s="43"/>
      <c r="B20" s="60"/>
      <c r="C20" s="64" t="s">
        <v>30</v>
      </c>
      <c r="D20" s="65" t="s">
        <v>31</v>
      </c>
      <c r="E20" s="66" t="s">
        <v>32</v>
      </c>
      <c r="F20" s="67"/>
      <c r="G20" s="67"/>
      <c r="H20" s="67" t="s">
        <v>33</v>
      </c>
      <c r="I20" s="67" t="s">
        <v>34</v>
      </c>
      <c r="J20" s="67" t="s">
        <v>35</v>
      </c>
      <c r="K20" s="67" t="s">
        <v>36</v>
      </c>
      <c r="L20" s="68" t="s">
        <v>37</v>
      </c>
      <c r="M20" s="57"/>
      <c r="N20" s="58"/>
      <c r="O20" s="58"/>
      <c r="P20" s="58"/>
      <c r="Q20" s="37"/>
      <c r="R20" s="37"/>
    </row>
    <row r="21" spans="1:18" ht="55.2" customHeight="1">
      <c r="A21" s="43"/>
      <c r="B21" s="60"/>
      <c r="C21" s="69" t="s">
        <v>38</v>
      </c>
      <c r="D21" s="70" t="s">
        <v>39</v>
      </c>
      <c r="E21" s="71" t="s">
        <v>40</v>
      </c>
      <c r="F21" s="72" t="s">
        <v>41</v>
      </c>
      <c r="G21" s="73"/>
      <c r="H21" s="73" t="s">
        <v>41</v>
      </c>
      <c r="I21" s="73" t="s">
        <v>42</v>
      </c>
      <c r="J21" s="73" t="s">
        <v>35</v>
      </c>
      <c r="K21" s="73" t="s">
        <v>43</v>
      </c>
      <c r="L21" s="74"/>
      <c r="M21" s="57"/>
      <c r="N21" s="58"/>
      <c r="O21" s="58"/>
      <c r="P21" s="58"/>
      <c r="Q21" s="37"/>
      <c r="R21" s="37"/>
    </row>
    <row r="22" spans="1:18" ht="55.2" customHeight="1">
      <c r="A22" s="43"/>
      <c r="B22" s="60"/>
      <c r="C22" s="64"/>
      <c r="D22" s="75" t="s">
        <v>44</v>
      </c>
      <c r="E22" s="76" t="s">
        <v>45</v>
      </c>
      <c r="F22" s="77"/>
      <c r="G22" s="78"/>
      <c r="H22" s="78"/>
      <c r="I22" s="78"/>
      <c r="J22" s="78"/>
      <c r="K22" s="78"/>
      <c r="L22" s="79" t="s">
        <v>46</v>
      </c>
      <c r="M22" s="57"/>
      <c r="N22" s="58"/>
      <c r="O22" s="58"/>
      <c r="P22" s="58"/>
      <c r="Q22" s="37"/>
      <c r="R22" s="37"/>
    </row>
    <row r="23" spans="1:18" ht="55.2" customHeight="1">
      <c r="A23" s="43"/>
      <c r="B23" s="60"/>
      <c r="C23" s="64"/>
      <c r="D23" s="75" t="s">
        <v>47</v>
      </c>
      <c r="E23" s="76" t="s">
        <v>48</v>
      </c>
      <c r="F23" s="77"/>
      <c r="G23" s="78"/>
      <c r="H23" s="78"/>
      <c r="I23" s="78"/>
      <c r="J23" s="78"/>
      <c r="K23" s="78"/>
      <c r="L23" s="79" t="s">
        <v>46</v>
      </c>
      <c r="M23" s="57"/>
      <c r="N23" s="58"/>
      <c r="O23" s="58"/>
      <c r="P23" s="58"/>
      <c r="Q23" s="37"/>
      <c r="R23" s="37"/>
    </row>
    <row r="24" spans="1:18" ht="18.600000000000001">
      <c r="A24" s="43"/>
      <c r="B24" s="60"/>
      <c r="C24" s="64"/>
      <c r="D24" s="75" t="s">
        <v>49</v>
      </c>
      <c r="E24" s="76"/>
      <c r="F24" s="77"/>
      <c r="G24" s="78"/>
      <c r="H24" s="78"/>
      <c r="I24" s="78" t="s">
        <v>50</v>
      </c>
      <c r="J24" s="78" t="s">
        <v>50</v>
      </c>
      <c r="K24" s="78" t="s">
        <v>50</v>
      </c>
      <c r="L24" s="79" t="s">
        <v>51</v>
      </c>
      <c r="M24" s="57"/>
      <c r="N24" s="58"/>
      <c r="O24" s="58"/>
      <c r="P24" s="58"/>
      <c r="Q24" s="37"/>
      <c r="R24" s="37"/>
    </row>
    <row r="25" spans="1:18" ht="18.600000000000001">
      <c r="A25" s="43"/>
      <c r="B25" s="60"/>
      <c r="C25" s="64"/>
      <c r="D25" s="75" t="s">
        <v>52</v>
      </c>
      <c r="E25" s="76"/>
      <c r="F25" s="77"/>
      <c r="G25" s="78"/>
      <c r="H25" s="78"/>
      <c r="I25" s="78" t="s">
        <v>53</v>
      </c>
      <c r="J25" s="78" t="s">
        <v>53</v>
      </c>
      <c r="K25" s="78" t="s">
        <v>53</v>
      </c>
      <c r="L25" s="79" t="s">
        <v>54</v>
      </c>
      <c r="M25" s="57"/>
      <c r="N25" s="58"/>
      <c r="O25" s="58"/>
      <c r="P25" s="58"/>
      <c r="Q25" s="37"/>
      <c r="R25" s="37"/>
    </row>
    <row r="26" spans="1:18" ht="34.799999999999997">
      <c r="A26" s="43"/>
      <c r="B26" s="60"/>
      <c r="C26" s="64"/>
      <c r="D26" s="75" t="s">
        <v>55</v>
      </c>
      <c r="E26" s="76"/>
      <c r="F26" s="77"/>
      <c r="G26" s="78"/>
      <c r="H26" s="78"/>
      <c r="I26" s="78"/>
      <c r="J26" s="78" t="s">
        <v>56</v>
      </c>
      <c r="K26" s="78"/>
      <c r="L26" s="79"/>
      <c r="M26" s="57"/>
      <c r="N26" s="58"/>
      <c r="O26" s="58"/>
      <c r="P26" s="58"/>
      <c r="Q26" s="37"/>
      <c r="R26" s="37"/>
    </row>
    <row r="27" spans="1:18" ht="34.799999999999997">
      <c r="A27" s="43"/>
      <c r="B27" s="60"/>
      <c r="C27" s="64"/>
      <c r="D27" s="75" t="s">
        <v>57</v>
      </c>
      <c r="E27" s="76"/>
      <c r="F27" s="77"/>
      <c r="G27" s="78"/>
      <c r="H27" s="78"/>
      <c r="I27" s="78"/>
      <c r="J27" s="78" t="s">
        <v>58</v>
      </c>
      <c r="K27" s="78"/>
      <c r="L27" s="79"/>
      <c r="M27" s="57"/>
      <c r="N27" s="58"/>
      <c r="O27" s="58"/>
      <c r="P27" s="58"/>
      <c r="Q27" s="37"/>
      <c r="R27" s="37"/>
    </row>
    <row r="28" spans="1:18" ht="18.600000000000001">
      <c r="A28" s="43"/>
      <c r="B28" s="60"/>
      <c r="C28" s="64"/>
      <c r="D28" s="75" t="s">
        <v>59</v>
      </c>
      <c r="E28" s="76"/>
      <c r="F28" s="77"/>
      <c r="G28" s="78"/>
      <c r="H28" s="78"/>
      <c r="I28" s="78"/>
      <c r="J28" s="78" t="s">
        <v>60</v>
      </c>
      <c r="K28" s="78"/>
      <c r="L28" s="79"/>
      <c r="M28" s="57"/>
      <c r="N28" s="58"/>
      <c r="O28" s="58"/>
      <c r="P28" s="58"/>
      <c r="Q28" s="37"/>
      <c r="R28" s="37"/>
    </row>
    <row r="29" spans="1:18" ht="18.600000000000001">
      <c r="A29" s="43"/>
      <c r="B29" s="60"/>
      <c r="C29" s="64"/>
      <c r="D29" s="75" t="s">
        <v>61</v>
      </c>
      <c r="E29" s="76"/>
      <c r="F29" s="77"/>
      <c r="G29" s="78"/>
      <c r="H29" s="78"/>
      <c r="I29" s="78"/>
      <c r="J29" s="78" t="s">
        <v>62</v>
      </c>
      <c r="K29" s="78"/>
      <c r="L29" s="79"/>
      <c r="M29" s="57"/>
      <c r="N29" s="58"/>
      <c r="O29" s="58"/>
      <c r="P29" s="58"/>
      <c r="Q29" s="37"/>
      <c r="R29" s="37"/>
    </row>
    <row r="30" spans="1:18" ht="34.799999999999997">
      <c r="A30" s="43"/>
      <c r="B30" s="60"/>
      <c r="C30" s="80"/>
      <c r="D30" s="81" t="s">
        <v>63</v>
      </c>
      <c r="E30" s="82"/>
      <c r="F30" s="83"/>
      <c r="G30" s="84"/>
      <c r="H30" s="84"/>
      <c r="I30" s="84"/>
      <c r="J30" s="84" t="s">
        <v>64</v>
      </c>
      <c r="K30" s="84" t="s">
        <v>65</v>
      </c>
      <c r="L30" s="85"/>
      <c r="M30" s="57"/>
      <c r="N30" s="58"/>
      <c r="O30" s="58"/>
      <c r="P30" s="58"/>
      <c r="Q30" s="37"/>
      <c r="R30" s="37"/>
    </row>
    <row r="31" spans="1:18" ht="34.799999999999997">
      <c r="A31" s="43"/>
      <c r="B31" s="60"/>
      <c r="C31" s="69" t="s">
        <v>66</v>
      </c>
      <c r="D31" s="70" t="s">
        <v>67</v>
      </c>
      <c r="E31" s="71"/>
      <c r="F31" s="72" t="s">
        <v>68</v>
      </c>
      <c r="G31" s="73" t="s">
        <v>69</v>
      </c>
      <c r="H31" s="73"/>
      <c r="I31" s="73"/>
      <c r="J31" s="73"/>
      <c r="K31" s="73"/>
      <c r="L31" s="74"/>
      <c r="M31" s="57"/>
      <c r="N31" s="58"/>
      <c r="O31" s="58"/>
      <c r="P31" s="58"/>
      <c r="Q31" s="37"/>
      <c r="R31" s="37"/>
    </row>
    <row r="32" spans="1:18" ht="34.799999999999997">
      <c r="A32" s="43"/>
      <c r="B32" s="60"/>
      <c r="C32" s="64"/>
      <c r="D32" s="75" t="s">
        <v>70</v>
      </c>
      <c r="E32" s="76"/>
      <c r="F32" s="77" t="s">
        <v>71</v>
      </c>
      <c r="G32" s="78" t="s">
        <v>72</v>
      </c>
      <c r="H32" s="78"/>
      <c r="I32" s="78"/>
      <c r="J32" s="78"/>
      <c r="K32" s="78"/>
      <c r="L32" s="79"/>
      <c r="M32" s="57"/>
      <c r="N32" s="58"/>
      <c r="O32" s="58"/>
      <c r="P32" s="58"/>
      <c r="Q32" s="37"/>
      <c r="R32" s="37"/>
    </row>
    <row r="33" spans="1:18" ht="34.799999999999997">
      <c r="A33" s="43"/>
      <c r="B33" s="60"/>
      <c r="C33" s="64"/>
      <c r="D33" s="75" t="s">
        <v>73</v>
      </c>
      <c r="E33" s="76"/>
      <c r="F33" s="77"/>
      <c r="G33" s="78"/>
      <c r="H33" s="78"/>
      <c r="I33" s="78" t="s">
        <v>74</v>
      </c>
      <c r="J33" s="78" t="s">
        <v>75</v>
      </c>
      <c r="K33" s="78"/>
      <c r="L33" s="79"/>
      <c r="M33" s="57"/>
      <c r="N33" s="58"/>
      <c r="O33" s="58"/>
      <c r="P33" s="58"/>
      <c r="Q33" s="37"/>
      <c r="R33" s="37"/>
    </row>
    <row r="34" spans="1:18" ht="34.799999999999997">
      <c r="A34" s="43"/>
      <c r="B34" s="60"/>
      <c r="C34" s="64"/>
      <c r="D34" s="75" t="s">
        <v>76</v>
      </c>
      <c r="E34" s="76"/>
      <c r="F34" s="77"/>
      <c r="G34" s="78"/>
      <c r="H34" s="78"/>
      <c r="I34" s="78" t="s">
        <v>77</v>
      </c>
      <c r="J34" s="78" t="s">
        <v>78</v>
      </c>
      <c r="K34" s="78"/>
      <c r="L34" s="79"/>
      <c r="M34" s="57"/>
      <c r="N34" s="58"/>
      <c r="O34" s="58"/>
      <c r="P34" s="58"/>
      <c r="Q34" s="37"/>
      <c r="R34" s="37"/>
    </row>
    <row r="35" spans="1:18" ht="69.599999999999994">
      <c r="A35" s="43"/>
      <c r="B35" s="60"/>
      <c r="C35" s="64"/>
      <c r="D35" s="86" t="s">
        <v>79</v>
      </c>
      <c r="E35" s="87"/>
      <c r="F35" s="88"/>
      <c r="G35" s="89"/>
      <c r="H35" s="89"/>
      <c r="I35" s="89"/>
      <c r="J35" s="89"/>
      <c r="K35" s="89" t="s">
        <v>80</v>
      </c>
      <c r="L35" s="90" t="s">
        <v>81</v>
      </c>
      <c r="M35" s="57"/>
      <c r="N35" s="58"/>
      <c r="O35" s="58"/>
      <c r="P35" s="58"/>
      <c r="Q35" s="37"/>
      <c r="R35" s="37"/>
    </row>
    <row r="36" spans="1:18" ht="69.599999999999994">
      <c r="A36" s="43"/>
      <c r="B36" s="60"/>
      <c r="C36" s="64"/>
      <c r="D36" s="86" t="s">
        <v>82</v>
      </c>
      <c r="E36" s="87"/>
      <c r="F36" s="88"/>
      <c r="G36" s="89"/>
      <c r="H36" s="89"/>
      <c r="I36" s="89"/>
      <c r="J36" s="89"/>
      <c r="K36" s="89" t="s">
        <v>83</v>
      </c>
      <c r="L36" s="90" t="s">
        <v>84</v>
      </c>
      <c r="M36" s="57"/>
      <c r="N36" s="58"/>
      <c r="O36" s="58"/>
      <c r="P36" s="58"/>
      <c r="Q36" s="37"/>
      <c r="R36" s="37"/>
    </row>
    <row r="37" spans="1:18" ht="55.2" customHeight="1">
      <c r="A37" s="43"/>
      <c r="B37" s="60"/>
      <c r="C37" s="64"/>
      <c r="D37" s="86" t="s">
        <v>85</v>
      </c>
      <c r="E37" s="87"/>
      <c r="F37" s="88"/>
      <c r="G37" s="89"/>
      <c r="H37" s="89"/>
      <c r="I37" s="89"/>
      <c r="J37" s="89"/>
      <c r="K37" s="89" t="s">
        <v>86</v>
      </c>
      <c r="L37" s="90" t="s">
        <v>87</v>
      </c>
      <c r="M37" s="57"/>
      <c r="N37" s="58"/>
      <c r="O37" s="58"/>
      <c r="P37" s="58"/>
      <c r="Q37" s="37"/>
      <c r="R37" s="37"/>
    </row>
    <row r="38" spans="1:18" ht="52.2">
      <c r="A38" s="43"/>
      <c r="B38" s="60"/>
      <c r="C38" s="80"/>
      <c r="D38" s="81" t="s">
        <v>88</v>
      </c>
      <c r="E38" s="82"/>
      <c r="F38" s="83"/>
      <c r="G38" s="84"/>
      <c r="H38" s="84"/>
      <c r="I38" s="84"/>
      <c r="J38" s="84" t="s">
        <v>89</v>
      </c>
      <c r="K38" s="84" t="s">
        <v>90</v>
      </c>
      <c r="L38" s="85"/>
      <c r="M38" s="57"/>
      <c r="N38" s="58"/>
      <c r="O38" s="58"/>
      <c r="P38" s="58"/>
      <c r="Q38" s="37"/>
      <c r="R38" s="37"/>
    </row>
    <row r="39" spans="1:18" ht="34.799999999999997">
      <c r="A39" s="43"/>
      <c r="B39" s="60"/>
      <c r="C39" s="69" t="s">
        <v>91</v>
      </c>
      <c r="D39" s="70" t="s">
        <v>92</v>
      </c>
      <c r="E39" s="71"/>
      <c r="F39" s="72" t="s">
        <v>93</v>
      </c>
      <c r="G39" s="73" t="s">
        <v>93</v>
      </c>
      <c r="H39" s="73" t="s">
        <v>93</v>
      </c>
      <c r="I39" s="73" t="s">
        <v>94</v>
      </c>
      <c r="J39" s="73" t="s">
        <v>95</v>
      </c>
      <c r="K39" s="73"/>
      <c r="L39" s="74"/>
      <c r="M39" s="57"/>
      <c r="N39" s="58"/>
      <c r="O39" s="58"/>
      <c r="P39" s="58"/>
      <c r="Q39" s="37"/>
      <c r="R39" s="37"/>
    </row>
    <row r="40" spans="1:18" ht="34.799999999999997">
      <c r="A40" s="43"/>
      <c r="B40" s="60"/>
      <c r="C40" s="64"/>
      <c r="D40" s="75" t="s">
        <v>96</v>
      </c>
      <c r="E40" s="76"/>
      <c r="F40" s="77" t="s">
        <v>97</v>
      </c>
      <c r="G40" s="78" t="s">
        <v>97</v>
      </c>
      <c r="H40" s="78" t="s">
        <v>97</v>
      </c>
      <c r="I40" s="78" t="s">
        <v>98</v>
      </c>
      <c r="J40" s="78" t="s">
        <v>99</v>
      </c>
      <c r="K40" s="78"/>
      <c r="L40" s="79"/>
      <c r="M40" s="57"/>
      <c r="N40" s="58"/>
      <c r="O40" s="58"/>
      <c r="P40" s="58"/>
      <c r="Q40" s="37"/>
      <c r="R40" s="37"/>
    </row>
    <row r="41" spans="1:18" ht="34.799999999999997">
      <c r="A41" s="43"/>
      <c r="B41" s="60"/>
      <c r="C41" s="64"/>
      <c r="D41" s="75" t="s">
        <v>100</v>
      </c>
      <c r="E41" s="76"/>
      <c r="F41" s="77" t="s">
        <v>101</v>
      </c>
      <c r="G41" s="78"/>
      <c r="H41" s="78"/>
      <c r="I41" s="78"/>
      <c r="J41" s="78"/>
      <c r="K41" s="78"/>
      <c r="L41" s="79"/>
      <c r="M41" s="57"/>
      <c r="N41" s="58"/>
      <c r="O41" s="58"/>
      <c r="P41" s="58"/>
      <c r="Q41" s="37"/>
      <c r="R41" s="37"/>
    </row>
    <row r="42" spans="1:18" ht="18.600000000000001">
      <c r="A42" s="43"/>
      <c r="B42" s="60"/>
      <c r="C42" s="64"/>
      <c r="D42" s="75" t="s">
        <v>102</v>
      </c>
      <c r="E42" s="76" t="s">
        <v>103</v>
      </c>
      <c r="F42" s="77"/>
      <c r="G42" s="78"/>
      <c r="H42" s="78"/>
      <c r="I42" s="78"/>
      <c r="J42" s="78" t="s">
        <v>103</v>
      </c>
      <c r="K42" s="78"/>
      <c r="L42" s="79"/>
      <c r="M42" s="57"/>
      <c r="N42" s="58"/>
      <c r="O42" s="58"/>
      <c r="P42" s="58"/>
      <c r="Q42" s="37"/>
      <c r="R42" s="37"/>
    </row>
    <row r="43" spans="1:18" ht="34.799999999999997">
      <c r="A43" s="43"/>
      <c r="B43" s="60"/>
      <c r="C43" s="64"/>
      <c r="D43" s="75" t="s">
        <v>104</v>
      </c>
      <c r="E43" s="76"/>
      <c r="F43" s="77" t="s">
        <v>105</v>
      </c>
      <c r="G43" s="78"/>
      <c r="H43" s="78"/>
      <c r="I43" s="78"/>
      <c r="J43" s="78"/>
      <c r="K43" s="78"/>
      <c r="L43" s="79"/>
      <c r="M43" s="57"/>
      <c r="N43" s="58"/>
      <c r="O43" s="58"/>
      <c r="P43" s="58"/>
      <c r="Q43" s="37"/>
      <c r="R43" s="37"/>
    </row>
    <row r="44" spans="1:18" ht="34.799999999999997">
      <c r="A44" s="43"/>
      <c r="B44" s="60"/>
      <c r="C44" s="64"/>
      <c r="D44" s="75" t="s">
        <v>106</v>
      </c>
      <c r="E44" s="76"/>
      <c r="F44" s="77" t="s">
        <v>107</v>
      </c>
      <c r="G44" s="78"/>
      <c r="H44" s="78"/>
      <c r="I44" s="78"/>
      <c r="J44" s="78"/>
      <c r="K44" s="78"/>
      <c r="L44" s="79"/>
      <c r="M44" s="57"/>
      <c r="N44" s="58"/>
      <c r="O44" s="58"/>
      <c r="P44" s="58"/>
      <c r="Q44" s="37"/>
      <c r="R44" s="37"/>
    </row>
    <row r="45" spans="1:18" ht="34.799999999999997">
      <c r="A45" s="43"/>
      <c r="B45" s="60"/>
      <c r="C45" s="64"/>
      <c r="D45" s="75" t="s">
        <v>108</v>
      </c>
      <c r="E45" s="76"/>
      <c r="F45" s="77" t="s">
        <v>109</v>
      </c>
      <c r="G45" s="78" t="s">
        <v>109</v>
      </c>
      <c r="H45" s="78"/>
      <c r="I45" s="78" t="s">
        <v>110</v>
      </c>
      <c r="J45" s="78"/>
      <c r="K45" s="78"/>
      <c r="L45" s="79"/>
      <c r="M45" s="57"/>
      <c r="N45" s="58"/>
      <c r="O45" s="58"/>
      <c r="P45" s="58"/>
      <c r="Q45" s="37"/>
      <c r="R45" s="37"/>
    </row>
    <row r="46" spans="1:18" ht="34.799999999999997">
      <c r="A46" s="43"/>
      <c r="B46" s="60"/>
      <c r="C46" s="64"/>
      <c r="D46" s="75" t="s">
        <v>111</v>
      </c>
      <c r="E46" s="76"/>
      <c r="F46" s="77" t="s">
        <v>112</v>
      </c>
      <c r="G46" s="78" t="s">
        <v>112</v>
      </c>
      <c r="H46" s="78"/>
      <c r="I46" s="78" t="s">
        <v>113</v>
      </c>
      <c r="J46" s="78"/>
      <c r="K46" s="78"/>
      <c r="L46" s="79"/>
      <c r="M46" s="57"/>
      <c r="N46" s="58"/>
      <c r="O46" s="58"/>
      <c r="P46" s="58"/>
      <c r="Q46" s="37"/>
      <c r="R46" s="37"/>
    </row>
    <row r="47" spans="1:18" ht="34.799999999999997">
      <c r="A47" s="43"/>
      <c r="B47" s="60"/>
      <c r="C47" s="64"/>
      <c r="D47" s="75" t="s">
        <v>114</v>
      </c>
      <c r="E47" s="76"/>
      <c r="F47" s="78"/>
      <c r="G47" s="78"/>
      <c r="H47" s="78"/>
      <c r="I47" s="78" t="s">
        <v>115</v>
      </c>
      <c r="J47" s="78"/>
      <c r="K47" s="78"/>
      <c r="L47" s="79"/>
      <c r="M47" s="57"/>
      <c r="N47" s="58"/>
      <c r="O47" s="58"/>
      <c r="P47" s="58"/>
      <c r="Q47" s="37"/>
      <c r="R47" s="37"/>
    </row>
    <row r="48" spans="1:18" ht="18.600000000000001">
      <c r="A48" s="43"/>
      <c r="B48" s="60"/>
      <c r="C48" s="64"/>
      <c r="D48" s="75" t="s">
        <v>116</v>
      </c>
      <c r="E48" s="76"/>
      <c r="F48" s="78"/>
      <c r="G48" s="78"/>
      <c r="H48" s="78"/>
      <c r="I48" s="78" t="s">
        <v>117</v>
      </c>
      <c r="J48" s="78" t="s">
        <v>117</v>
      </c>
      <c r="K48" s="78"/>
      <c r="L48" s="79"/>
      <c r="M48" s="57"/>
      <c r="N48" s="58"/>
      <c r="O48" s="58"/>
      <c r="P48" s="58"/>
      <c r="Q48" s="37"/>
      <c r="R48" s="37"/>
    </row>
    <row r="49" spans="1:18" ht="18.600000000000001">
      <c r="A49" s="43"/>
      <c r="B49" s="60"/>
      <c r="C49" s="64"/>
      <c r="D49" s="75" t="s">
        <v>118</v>
      </c>
      <c r="E49" s="76"/>
      <c r="F49" s="78"/>
      <c r="G49" s="78"/>
      <c r="H49" s="78"/>
      <c r="I49" s="78" t="s">
        <v>119</v>
      </c>
      <c r="J49" s="78" t="s">
        <v>119</v>
      </c>
      <c r="K49" s="78"/>
      <c r="L49" s="79"/>
      <c r="M49" s="57"/>
      <c r="N49" s="58"/>
      <c r="O49" s="58"/>
      <c r="P49" s="58"/>
      <c r="Q49" s="37"/>
      <c r="R49" s="37"/>
    </row>
    <row r="50" spans="1:18" ht="18.600000000000001">
      <c r="A50" s="43"/>
      <c r="B50" s="60"/>
      <c r="C50" s="64"/>
      <c r="D50" s="75" t="s">
        <v>120</v>
      </c>
      <c r="E50" s="76"/>
      <c r="F50" s="78"/>
      <c r="G50" s="78"/>
      <c r="H50" s="78"/>
      <c r="I50" s="78" t="s">
        <v>121</v>
      </c>
      <c r="J50" s="78" t="s">
        <v>121</v>
      </c>
      <c r="K50" s="78"/>
      <c r="L50" s="79"/>
      <c r="M50" s="57"/>
      <c r="N50" s="58"/>
      <c r="O50" s="58"/>
      <c r="P50" s="58"/>
      <c r="Q50" s="37"/>
      <c r="R50" s="37"/>
    </row>
    <row r="51" spans="1:18" ht="18.600000000000001">
      <c r="A51" s="43"/>
      <c r="B51" s="60"/>
      <c r="C51" s="64"/>
      <c r="D51" s="75" t="s">
        <v>122</v>
      </c>
      <c r="E51" s="76"/>
      <c r="F51" s="78"/>
      <c r="G51" s="78"/>
      <c r="H51" s="78"/>
      <c r="I51" s="78" t="s">
        <v>123</v>
      </c>
      <c r="J51" s="78" t="s">
        <v>123</v>
      </c>
      <c r="K51" s="78"/>
      <c r="L51" s="79"/>
      <c r="M51" s="57"/>
      <c r="N51" s="58"/>
      <c r="O51" s="58"/>
      <c r="P51" s="58"/>
      <c r="Q51" s="37"/>
      <c r="R51" s="37"/>
    </row>
    <row r="52" spans="1:18" ht="49.95" customHeight="1">
      <c r="A52" s="43"/>
      <c r="B52" s="60"/>
      <c r="C52" s="64"/>
      <c r="D52" s="75" t="s">
        <v>124</v>
      </c>
      <c r="E52" s="76"/>
      <c r="F52" s="78"/>
      <c r="G52" s="78"/>
      <c r="H52" s="78"/>
      <c r="I52" s="78" t="s">
        <v>125</v>
      </c>
      <c r="J52" s="78" t="s">
        <v>125</v>
      </c>
      <c r="K52" s="78"/>
      <c r="L52" s="79"/>
      <c r="M52" s="57"/>
      <c r="N52" s="58"/>
      <c r="O52" s="58"/>
      <c r="P52" s="58"/>
      <c r="Q52" s="37"/>
      <c r="R52" s="37"/>
    </row>
    <row r="53" spans="1:18" ht="52.2">
      <c r="A53" s="43"/>
      <c r="B53" s="60"/>
      <c r="C53" s="64"/>
      <c r="D53" s="75" t="s">
        <v>126</v>
      </c>
      <c r="E53" s="76"/>
      <c r="F53" s="78" t="s">
        <v>127</v>
      </c>
      <c r="G53" s="78" t="s">
        <v>128</v>
      </c>
      <c r="H53" s="78"/>
      <c r="I53" s="91" t="s">
        <v>129</v>
      </c>
      <c r="J53" s="91" t="s">
        <v>129</v>
      </c>
      <c r="K53" s="78"/>
      <c r="L53" s="79"/>
      <c r="M53" s="57"/>
      <c r="N53" s="58"/>
      <c r="O53" s="58"/>
      <c r="P53" s="58"/>
      <c r="Q53" s="37"/>
      <c r="R53" s="37"/>
    </row>
    <row r="54" spans="1:18" ht="18.600000000000001">
      <c r="A54" s="43"/>
      <c r="B54" s="60"/>
      <c r="C54" s="64"/>
      <c r="D54" s="75" t="s">
        <v>130</v>
      </c>
      <c r="E54" s="76"/>
      <c r="F54" s="78"/>
      <c r="G54" s="78"/>
      <c r="H54" s="78"/>
      <c r="I54" s="78"/>
      <c r="J54" s="78" t="s">
        <v>131</v>
      </c>
      <c r="K54" s="78"/>
      <c r="L54" s="79"/>
      <c r="M54" s="57"/>
      <c r="N54" s="58"/>
      <c r="O54" s="58"/>
      <c r="P54" s="58"/>
      <c r="Q54" s="37"/>
      <c r="R54" s="37"/>
    </row>
    <row r="55" spans="1:18" ht="34.799999999999997">
      <c r="A55" s="43"/>
      <c r="B55" s="60"/>
      <c r="C55" s="64"/>
      <c r="D55" s="75" t="s">
        <v>132</v>
      </c>
      <c r="E55" s="76" t="s">
        <v>133</v>
      </c>
      <c r="F55" s="78"/>
      <c r="G55" s="78"/>
      <c r="H55" s="78"/>
      <c r="I55" s="78" t="s">
        <v>134</v>
      </c>
      <c r="J55" s="78" t="s">
        <v>134</v>
      </c>
      <c r="K55" s="78"/>
      <c r="L55" s="79" t="s">
        <v>135</v>
      </c>
      <c r="M55" s="57"/>
      <c r="N55" s="58"/>
      <c r="O55" s="58"/>
      <c r="P55" s="58"/>
      <c r="Q55" s="37"/>
      <c r="R55" s="37"/>
    </row>
    <row r="56" spans="1:18" ht="18.600000000000001">
      <c r="A56" s="43"/>
      <c r="B56" s="60"/>
      <c r="C56" s="64"/>
      <c r="D56" s="75" t="s">
        <v>136</v>
      </c>
      <c r="E56" s="76"/>
      <c r="F56" s="78"/>
      <c r="G56" s="78"/>
      <c r="H56" s="78"/>
      <c r="I56" s="78"/>
      <c r="J56" s="78" t="s">
        <v>137</v>
      </c>
      <c r="K56" s="78"/>
      <c r="L56" s="79"/>
      <c r="M56" s="57"/>
      <c r="N56" s="58"/>
      <c r="O56" s="58"/>
      <c r="P56" s="58"/>
      <c r="Q56" s="37"/>
      <c r="R56" s="37"/>
    </row>
    <row r="57" spans="1:18" ht="69.599999999999994">
      <c r="A57" s="43"/>
      <c r="B57" s="60"/>
      <c r="C57" s="64"/>
      <c r="D57" s="75" t="s">
        <v>138</v>
      </c>
      <c r="E57" s="76"/>
      <c r="F57" s="78"/>
      <c r="G57" s="78"/>
      <c r="H57" s="78"/>
      <c r="I57" s="78"/>
      <c r="J57" s="78"/>
      <c r="K57" s="78" t="s">
        <v>139</v>
      </c>
      <c r="L57" s="79" t="s">
        <v>140</v>
      </c>
      <c r="M57" s="57"/>
      <c r="N57" s="58"/>
      <c r="O57" s="58"/>
      <c r="P57" s="58"/>
      <c r="Q57" s="37"/>
      <c r="R57" s="37"/>
    </row>
    <row r="58" spans="1:18" ht="69.599999999999994">
      <c r="A58" s="43"/>
      <c r="B58" s="60"/>
      <c r="C58" s="64"/>
      <c r="D58" s="75" t="s">
        <v>141</v>
      </c>
      <c r="E58" s="76"/>
      <c r="F58" s="78"/>
      <c r="G58" s="78"/>
      <c r="H58" s="78"/>
      <c r="I58" s="78"/>
      <c r="J58" s="78"/>
      <c r="K58" s="78" t="s">
        <v>142</v>
      </c>
      <c r="L58" s="79" t="s">
        <v>143</v>
      </c>
      <c r="M58" s="57"/>
      <c r="N58" s="58"/>
      <c r="O58" s="58"/>
      <c r="P58" s="58"/>
      <c r="Q58" s="37"/>
      <c r="R58" s="37"/>
    </row>
    <row r="59" spans="1:18" ht="18.600000000000001">
      <c r="A59" s="43"/>
      <c r="B59" s="60"/>
      <c r="C59" s="64"/>
      <c r="D59" s="75" t="s">
        <v>144</v>
      </c>
      <c r="E59" s="76"/>
      <c r="F59" s="78"/>
      <c r="G59" s="78"/>
      <c r="H59" s="78"/>
      <c r="I59" s="78"/>
      <c r="J59" s="78"/>
      <c r="K59" s="78" t="s">
        <v>145</v>
      </c>
      <c r="L59" s="79"/>
      <c r="M59" s="57"/>
      <c r="N59" s="58"/>
      <c r="O59" s="58"/>
      <c r="P59" s="58"/>
      <c r="Q59" s="37"/>
      <c r="R59" s="37"/>
    </row>
    <row r="60" spans="1:18" ht="18.600000000000001">
      <c r="A60" s="43"/>
      <c r="B60" s="60"/>
      <c r="C60" s="64"/>
      <c r="D60" s="75" t="s">
        <v>146</v>
      </c>
      <c r="E60" s="76"/>
      <c r="F60" s="78"/>
      <c r="G60" s="78"/>
      <c r="H60" s="78"/>
      <c r="I60" s="78"/>
      <c r="J60" s="78"/>
      <c r="K60" s="78" t="s">
        <v>147</v>
      </c>
      <c r="L60" s="79"/>
      <c r="M60" s="57"/>
      <c r="N60" s="58"/>
      <c r="O60" s="58"/>
      <c r="P60" s="58"/>
      <c r="Q60" s="37"/>
      <c r="R60" s="37"/>
    </row>
    <row r="61" spans="1:18" ht="18.600000000000001">
      <c r="A61" s="43"/>
      <c r="B61" s="60"/>
      <c r="C61" s="64"/>
      <c r="D61" s="75" t="s">
        <v>148</v>
      </c>
      <c r="E61" s="76"/>
      <c r="F61" s="78"/>
      <c r="G61" s="78"/>
      <c r="H61" s="78"/>
      <c r="I61" s="78"/>
      <c r="J61" s="78"/>
      <c r="K61" s="78" t="s">
        <v>149</v>
      </c>
      <c r="L61" s="79"/>
      <c r="M61" s="57"/>
      <c r="N61" s="58"/>
      <c r="O61" s="58"/>
      <c r="P61" s="58"/>
      <c r="Q61" s="37"/>
      <c r="R61" s="37"/>
    </row>
    <row r="62" spans="1:18" ht="18.600000000000001">
      <c r="A62" s="43"/>
      <c r="B62" s="60"/>
      <c r="C62" s="64"/>
      <c r="D62" s="75" t="s">
        <v>150</v>
      </c>
      <c r="E62" s="76"/>
      <c r="F62" s="78"/>
      <c r="G62" s="78"/>
      <c r="H62" s="78"/>
      <c r="I62" s="78"/>
      <c r="J62" s="78"/>
      <c r="K62" s="78" t="s">
        <v>151</v>
      </c>
      <c r="L62" s="79"/>
      <c r="M62" s="57"/>
      <c r="N62" s="58"/>
      <c r="O62" s="58"/>
      <c r="P62" s="58"/>
      <c r="Q62" s="37"/>
      <c r="R62" s="37"/>
    </row>
    <row r="63" spans="1:18" ht="18.600000000000001">
      <c r="A63" s="43"/>
      <c r="B63" s="60"/>
      <c r="C63" s="64"/>
      <c r="D63" s="75" t="s">
        <v>152</v>
      </c>
      <c r="E63" s="76"/>
      <c r="F63" s="78"/>
      <c r="G63" s="78"/>
      <c r="H63" s="78"/>
      <c r="I63" s="78"/>
      <c r="J63" s="78"/>
      <c r="K63" s="78" t="s">
        <v>153</v>
      </c>
      <c r="L63" s="79"/>
      <c r="M63" s="57"/>
      <c r="N63" s="58"/>
      <c r="O63" s="58"/>
      <c r="P63" s="58"/>
      <c r="Q63" s="37"/>
      <c r="R63" s="37"/>
    </row>
    <row r="64" spans="1:18" ht="34.799999999999997">
      <c r="A64" s="43"/>
      <c r="B64" s="60"/>
      <c r="C64" s="64"/>
      <c r="D64" s="75" t="s">
        <v>154</v>
      </c>
      <c r="E64" s="76"/>
      <c r="F64" s="78"/>
      <c r="G64" s="78"/>
      <c r="H64" s="78"/>
      <c r="I64" s="78"/>
      <c r="J64" s="78"/>
      <c r="K64" s="78" t="s">
        <v>155</v>
      </c>
      <c r="L64" s="79"/>
      <c r="M64" s="57"/>
      <c r="N64" s="58"/>
      <c r="O64" s="58"/>
      <c r="P64" s="58"/>
      <c r="Q64" s="37"/>
      <c r="R64" s="37"/>
    </row>
    <row r="65" spans="1:18" ht="18.600000000000001">
      <c r="A65" s="43"/>
      <c r="B65" s="60"/>
      <c r="C65" s="64"/>
      <c r="D65" s="75" t="s">
        <v>156</v>
      </c>
      <c r="E65" s="76"/>
      <c r="F65" s="78"/>
      <c r="G65" s="78"/>
      <c r="H65" s="78"/>
      <c r="I65" s="78"/>
      <c r="J65" s="78"/>
      <c r="K65" s="78" t="s">
        <v>134</v>
      </c>
      <c r="L65" s="79"/>
      <c r="M65" s="57"/>
      <c r="N65" s="58"/>
      <c r="O65" s="58"/>
      <c r="P65" s="58"/>
      <c r="Q65" s="37"/>
      <c r="R65" s="37"/>
    </row>
    <row r="66" spans="1:18" ht="34.799999999999997">
      <c r="A66" s="43"/>
      <c r="B66" s="60"/>
      <c r="C66" s="64"/>
      <c r="D66" s="75" t="s">
        <v>157</v>
      </c>
      <c r="E66" s="76"/>
      <c r="F66" s="78"/>
      <c r="G66" s="78"/>
      <c r="H66" s="78"/>
      <c r="I66" s="78"/>
      <c r="J66" s="78"/>
      <c r="K66" s="78" t="s">
        <v>90</v>
      </c>
      <c r="L66" s="79"/>
      <c r="M66" s="57"/>
      <c r="N66" s="58"/>
      <c r="O66" s="58"/>
      <c r="P66" s="58"/>
      <c r="Q66" s="37"/>
      <c r="R66" s="37"/>
    </row>
    <row r="67" spans="1:18" ht="18.600000000000001">
      <c r="A67" s="43"/>
      <c r="B67" s="60"/>
      <c r="C67" s="64"/>
      <c r="D67" s="75" t="s">
        <v>158</v>
      </c>
      <c r="E67" s="76" t="s">
        <v>159</v>
      </c>
      <c r="F67" s="78"/>
      <c r="G67" s="78"/>
      <c r="H67" s="78"/>
      <c r="I67" s="78"/>
      <c r="J67" s="78"/>
      <c r="K67" s="78"/>
      <c r="L67" s="79"/>
      <c r="M67" s="57"/>
      <c r="N67" s="58"/>
      <c r="O67" s="58"/>
      <c r="P67" s="58"/>
      <c r="Q67" s="37"/>
      <c r="R67" s="37"/>
    </row>
    <row r="68" spans="1:18" ht="18.600000000000001">
      <c r="A68" s="43"/>
      <c r="B68" s="60"/>
      <c r="C68" s="64"/>
      <c r="D68" s="75" t="s">
        <v>160</v>
      </c>
      <c r="E68" s="76" t="s">
        <v>161</v>
      </c>
      <c r="F68" s="78"/>
      <c r="G68" s="78"/>
      <c r="H68" s="78"/>
      <c r="I68" s="78"/>
      <c r="J68" s="78"/>
      <c r="K68" s="78"/>
      <c r="L68" s="79"/>
      <c r="M68" s="57"/>
      <c r="N68" s="58"/>
      <c r="O68" s="58"/>
      <c r="P68" s="58"/>
      <c r="Q68" s="37"/>
      <c r="R68" s="37"/>
    </row>
    <row r="69" spans="1:18" ht="18.600000000000001">
      <c r="A69" s="43"/>
      <c r="B69" s="60"/>
      <c r="C69" s="64"/>
      <c r="D69" s="75" t="s">
        <v>162</v>
      </c>
      <c r="E69" s="76" t="s">
        <v>163</v>
      </c>
      <c r="F69" s="78"/>
      <c r="G69" s="78"/>
      <c r="H69" s="78"/>
      <c r="I69" s="78"/>
      <c r="J69" s="78"/>
      <c r="K69" s="78"/>
      <c r="L69" s="79"/>
      <c r="M69" s="57"/>
      <c r="N69" s="58"/>
      <c r="O69" s="58"/>
      <c r="P69" s="58"/>
      <c r="Q69" s="37"/>
      <c r="R69" s="37"/>
    </row>
    <row r="70" spans="1:18" ht="18.600000000000001">
      <c r="A70" s="43"/>
      <c r="B70" s="60"/>
      <c r="C70" s="64"/>
      <c r="D70" s="75" t="s">
        <v>164</v>
      </c>
      <c r="E70" s="76" t="s">
        <v>165</v>
      </c>
      <c r="F70" s="78"/>
      <c r="G70" s="78"/>
      <c r="H70" s="78"/>
      <c r="I70" s="78"/>
      <c r="J70" s="78"/>
      <c r="K70" s="78"/>
      <c r="L70" s="79"/>
      <c r="M70" s="57"/>
      <c r="N70" s="58"/>
      <c r="O70" s="58"/>
      <c r="P70" s="58"/>
      <c r="Q70" s="37"/>
      <c r="R70" s="37"/>
    </row>
    <row r="71" spans="1:18" ht="18.600000000000001">
      <c r="A71" s="43"/>
      <c r="B71" s="60"/>
      <c r="C71" s="64"/>
      <c r="D71" s="75" t="s">
        <v>166</v>
      </c>
      <c r="E71" s="76" t="s">
        <v>167</v>
      </c>
      <c r="F71" s="78"/>
      <c r="G71" s="78"/>
      <c r="H71" s="78"/>
      <c r="I71" s="78"/>
      <c r="J71" s="78"/>
      <c r="K71" s="78"/>
      <c r="L71" s="79"/>
      <c r="M71" s="57"/>
      <c r="N71" s="58"/>
      <c r="O71" s="58"/>
      <c r="P71" s="58"/>
      <c r="Q71" s="37"/>
      <c r="R71" s="37"/>
    </row>
    <row r="72" spans="1:18" ht="19.2" thickBot="1">
      <c r="A72" s="43"/>
      <c r="B72" s="60"/>
      <c r="C72" s="92"/>
      <c r="D72" s="93" t="s">
        <v>168</v>
      </c>
      <c r="E72" s="94" t="s">
        <v>169</v>
      </c>
      <c r="F72" s="95"/>
      <c r="G72" s="95"/>
      <c r="H72" s="95"/>
      <c r="I72" s="95"/>
      <c r="J72" s="95"/>
      <c r="K72" s="95"/>
      <c r="L72" s="96"/>
      <c r="M72" s="57"/>
      <c r="N72" s="58"/>
      <c r="O72" s="58"/>
      <c r="P72" s="58"/>
      <c r="Q72" s="37"/>
      <c r="R72" s="37"/>
    </row>
    <row r="73" spans="1:18" ht="18.600000000000001">
      <c r="A73" s="44"/>
      <c r="B73" s="97"/>
      <c r="C73" s="98"/>
      <c r="D73" s="99"/>
      <c r="E73" s="98"/>
      <c r="F73" s="98"/>
      <c r="G73" s="98"/>
      <c r="H73" s="98"/>
      <c r="I73" s="98"/>
      <c r="J73" s="98"/>
      <c r="K73" s="98"/>
      <c r="L73" s="98"/>
      <c r="M73" s="46"/>
      <c r="N73" s="37"/>
      <c r="O73" s="37"/>
      <c r="P73" s="37"/>
      <c r="Q73" s="37"/>
      <c r="R73" s="37"/>
    </row>
    <row r="74" spans="1:18" ht="18.600000000000001">
      <c r="A74" s="41">
        <v>4</v>
      </c>
      <c r="B74" s="151" t="s">
        <v>170</v>
      </c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7"/>
      <c r="N74" s="37"/>
      <c r="O74" s="37"/>
      <c r="P74" s="37"/>
      <c r="Q74" s="37"/>
      <c r="R74" s="37"/>
    </row>
    <row r="75" spans="1:18" ht="18.600000000000001">
      <c r="A75" s="43"/>
      <c r="B75" s="149" t="s">
        <v>171</v>
      </c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42"/>
      <c r="N75" s="37"/>
      <c r="O75" s="37"/>
      <c r="P75" s="37"/>
      <c r="Q75" s="37"/>
      <c r="R75" s="37"/>
    </row>
    <row r="76" spans="1:18" ht="16.5" customHeight="1">
      <c r="A76" s="44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46"/>
      <c r="N76" s="37"/>
      <c r="O76" s="37"/>
      <c r="P76" s="37"/>
      <c r="Q76" s="37"/>
      <c r="R76" s="37"/>
    </row>
    <row r="77" spans="1:18" ht="18.600000000000001">
      <c r="A77" s="41">
        <v>5</v>
      </c>
      <c r="B77" s="170" t="s">
        <v>172</v>
      </c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00"/>
      <c r="N77" s="37"/>
      <c r="O77" s="37"/>
      <c r="P77" s="37"/>
      <c r="Q77" s="37"/>
      <c r="R77" s="37"/>
    </row>
    <row r="78" spans="1:18" ht="18.600000000000001">
      <c r="A78" s="43" t="s">
        <v>173</v>
      </c>
      <c r="B78" s="60"/>
      <c r="C78" s="49" t="s">
        <v>174</v>
      </c>
      <c r="D78" s="49" t="s">
        <v>175</v>
      </c>
      <c r="E78" s="50"/>
      <c r="F78" s="50"/>
      <c r="G78" s="50"/>
      <c r="H78" s="50" t="s">
        <v>176</v>
      </c>
      <c r="I78" s="101" t="s">
        <v>177</v>
      </c>
      <c r="J78" s="37"/>
      <c r="K78" s="101"/>
      <c r="L78" s="101"/>
      <c r="M78" s="102"/>
      <c r="N78" s="103"/>
      <c r="O78" s="104"/>
      <c r="P78" s="58"/>
      <c r="Q78" s="37"/>
      <c r="R78" s="37"/>
    </row>
    <row r="79" spans="1:18" ht="16.5" customHeight="1">
      <c r="A79" s="43"/>
      <c r="B79" s="60"/>
      <c r="C79" s="49" t="s">
        <v>178</v>
      </c>
      <c r="D79" s="49" t="s">
        <v>179</v>
      </c>
      <c r="E79" s="50"/>
      <c r="F79" s="50"/>
      <c r="G79" s="50"/>
      <c r="H79" s="50" t="s">
        <v>180</v>
      </c>
      <c r="I79" s="101" t="s">
        <v>181</v>
      </c>
      <c r="J79" s="37"/>
      <c r="K79" s="101"/>
      <c r="L79" s="101"/>
      <c r="M79" s="105"/>
      <c r="N79" s="103"/>
      <c r="O79" s="104"/>
      <c r="P79" s="58"/>
      <c r="Q79" s="37"/>
      <c r="R79" s="37"/>
    </row>
    <row r="80" spans="1:18" ht="18.600000000000001">
      <c r="A80" s="43"/>
      <c r="B80" s="60"/>
      <c r="C80" s="49" t="s">
        <v>29</v>
      </c>
      <c r="D80" s="49" t="s">
        <v>182</v>
      </c>
      <c r="E80" s="50"/>
      <c r="F80" s="50"/>
      <c r="G80" s="50"/>
      <c r="H80" s="50" t="s">
        <v>28</v>
      </c>
      <c r="I80" s="101" t="s">
        <v>183</v>
      </c>
      <c r="J80" s="37"/>
      <c r="K80" s="101"/>
      <c r="L80" s="101"/>
      <c r="M80" s="102"/>
      <c r="N80" s="103"/>
      <c r="O80" s="104"/>
      <c r="P80" s="58"/>
      <c r="Q80" s="37"/>
      <c r="R80" s="37"/>
    </row>
    <row r="81" spans="1:18" ht="18.600000000000001">
      <c r="A81" s="43"/>
      <c r="B81" s="60"/>
      <c r="C81" s="49" t="s">
        <v>184</v>
      </c>
      <c r="D81" s="49" t="s">
        <v>185</v>
      </c>
      <c r="E81" s="50"/>
      <c r="F81" s="50"/>
      <c r="G81" s="50"/>
      <c r="H81" s="50" t="s">
        <v>186</v>
      </c>
      <c r="I81" s="50" t="s">
        <v>187</v>
      </c>
      <c r="J81" s="37"/>
      <c r="K81" s="50"/>
      <c r="L81" s="50"/>
      <c r="M81" s="102"/>
      <c r="N81" s="103"/>
      <c r="O81" s="104"/>
      <c r="P81" s="58"/>
      <c r="Q81" s="37"/>
      <c r="R81" s="37"/>
    </row>
    <row r="82" spans="1:18" ht="18.600000000000001">
      <c r="A82" s="43"/>
      <c r="B82" s="60"/>
      <c r="C82" s="49" t="s">
        <v>188</v>
      </c>
      <c r="D82" s="49" t="s">
        <v>189</v>
      </c>
      <c r="E82" s="101"/>
      <c r="F82" s="101"/>
      <c r="G82" s="101"/>
      <c r="H82" s="101" t="s">
        <v>190</v>
      </c>
      <c r="I82" s="101" t="s">
        <v>191</v>
      </c>
      <c r="J82" s="37"/>
      <c r="K82" s="101"/>
      <c r="L82" s="101"/>
      <c r="M82" s="102"/>
      <c r="N82" s="103"/>
      <c r="O82" s="104"/>
      <c r="P82" s="58"/>
      <c r="Q82" s="37"/>
      <c r="R82" s="37"/>
    </row>
    <row r="83" spans="1:18" ht="18.600000000000001">
      <c r="A83" s="43"/>
      <c r="B83" s="60"/>
      <c r="C83" s="49" t="s">
        <v>192</v>
      </c>
      <c r="D83" s="49" t="s">
        <v>193</v>
      </c>
      <c r="E83" s="50"/>
      <c r="F83" s="50"/>
      <c r="G83" s="50"/>
      <c r="H83" s="50" t="s">
        <v>194</v>
      </c>
      <c r="I83" s="101" t="s">
        <v>195</v>
      </c>
      <c r="J83" s="37"/>
      <c r="K83" s="101"/>
      <c r="L83" s="101"/>
      <c r="M83" s="105"/>
      <c r="N83" s="103"/>
      <c r="O83" s="104"/>
      <c r="P83" s="58"/>
      <c r="Q83" s="37"/>
      <c r="R83" s="37"/>
    </row>
    <row r="84" spans="1:18" ht="18.600000000000001">
      <c r="A84" s="43"/>
      <c r="B84" s="60"/>
      <c r="C84" s="49" t="s">
        <v>196</v>
      </c>
      <c r="D84" s="49" t="s">
        <v>197</v>
      </c>
      <c r="E84" s="50"/>
      <c r="F84" s="50"/>
      <c r="G84" s="50"/>
      <c r="H84" s="50" t="s">
        <v>198</v>
      </c>
      <c r="I84" s="101" t="s">
        <v>199</v>
      </c>
      <c r="J84" s="37"/>
      <c r="K84" s="101"/>
      <c r="L84" s="101"/>
      <c r="M84" s="106"/>
      <c r="N84" s="103"/>
      <c r="O84" s="104"/>
      <c r="P84" s="58"/>
      <c r="Q84" s="37"/>
      <c r="R84" s="37"/>
    </row>
    <row r="85" spans="1:18" ht="18.600000000000001">
      <c r="A85" s="43"/>
      <c r="B85" s="60"/>
      <c r="C85" s="49" t="s">
        <v>200</v>
      </c>
      <c r="D85" s="49" t="s">
        <v>201</v>
      </c>
      <c r="E85" s="50"/>
      <c r="F85" s="50"/>
      <c r="G85" s="50"/>
      <c r="H85" s="50" t="s">
        <v>202</v>
      </c>
      <c r="I85" s="101" t="s">
        <v>203</v>
      </c>
      <c r="J85" s="37"/>
      <c r="K85" s="101"/>
      <c r="L85" s="101"/>
      <c r="M85" s="107"/>
      <c r="N85" s="103"/>
      <c r="O85" s="103"/>
      <c r="P85" s="103"/>
      <c r="Q85" s="37"/>
      <c r="R85" s="37"/>
    </row>
    <row r="86" spans="1:18" ht="18.600000000000001">
      <c r="A86" s="43"/>
      <c r="B86" s="60"/>
      <c r="C86" s="49" t="s">
        <v>204</v>
      </c>
      <c r="D86" s="49" t="s">
        <v>205</v>
      </c>
      <c r="E86" s="50"/>
      <c r="F86" s="50"/>
      <c r="G86" s="50"/>
      <c r="H86" s="50" t="s">
        <v>206</v>
      </c>
      <c r="I86" s="101" t="s">
        <v>207</v>
      </c>
      <c r="J86" s="37"/>
      <c r="K86" s="101"/>
      <c r="L86" s="101"/>
      <c r="M86" s="102"/>
      <c r="N86" s="103"/>
      <c r="O86" s="103"/>
      <c r="P86" s="103"/>
      <c r="Q86" s="37"/>
      <c r="R86" s="37"/>
    </row>
    <row r="87" spans="1:18" ht="18.600000000000001">
      <c r="A87" s="43"/>
      <c r="B87" s="60"/>
      <c r="C87" s="49" t="s">
        <v>208</v>
      </c>
      <c r="D87" s="49" t="s">
        <v>209</v>
      </c>
      <c r="E87" s="50"/>
      <c r="F87" s="50"/>
      <c r="G87" s="50"/>
      <c r="H87" s="50" t="s">
        <v>210</v>
      </c>
      <c r="I87" s="101" t="s">
        <v>211</v>
      </c>
      <c r="J87" s="37"/>
      <c r="K87" s="101"/>
      <c r="L87" s="101"/>
      <c r="M87" s="102"/>
      <c r="N87" s="37"/>
      <c r="O87" s="37"/>
      <c r="P87" s="37"/>
      <c r="Q87" s="37"/>
      <c r="R87" s="37"/>
    </row>
    <row r="88" spans="1:18" ht="18.600000000000001">
      <c r="A88" s="43"/>
      <c r="B88" s="60"/>
      <c r="C88" s="49" t="s">
        <v>212</v>
      </c>
      <c r="D88" s="49" t="s">
        <v>213</v>
      </c>
      <c r="E88" s="50"/>
      <c r="F88" s="50"/>
      <c r="G88" s="50"/>
      <c r="H88" s="50" t="s">
        <v>214</v>
      </c>
      <c r="I88" s="101" t="s">
        <v>215</v>
      </c>
      <c r="J88" s="37"/>
      <c r="K88" s="101"/>
      <c r="L88" s="101"/>
      <c r="M88" s="102"/>
      <c r="N88" s="37"/>
      <c r="O88" s="37"/>
      <c r="P88" s="37"/>
      <c r="Q88" s="37"/>
      <c r="R88" s="37"/>
    </row>
    <row r="89" spans="1:18" ht="18.600000000000001">
      <c r="A89" s="43"/>
      <c r="B89" s="60"/>
      <c r="C89" s="49" t="s">
        <v>216</v>
      </c>
      <c r="D89" s="49" t="s">
        <v>217</v>
      </c>
      <c r="E89" s="50"/>
      <c r="F89" s="50"/>
      <c r="G89" s="50"/>
      <c r="H89" s="50" t="s">
        <v>218</v>
      </c>
      <c r="I89" s="101" t="s">
        <v>219</v>
      </c>
      <c r="J89" s="37"/>
      <c r="K89" s="101"/>
      <c r="L89" s="101"/>
      <c r="M89" s="102"/>
      <c r="N89" s="37"/>
      <c r="O89" s="37"/>
      <c r="P89" s="37"/>
      <c r="Q89" s="37"/>
      <c r="R89" s="37"/>
    </row>
    <row r="90" spans="1:18" ht="18.600000000000001">
      <c r="A90" s="43"/>
      <c r="B90" s="60"/>
      <c r="C90" s="49" t="s">
        <v>220</v>
      </c>
      <c r="D90" s="49" t="s">
        <v>221</v>
      </c>
      <c r="E90" s="50"/>
      <c r="F90" s="50"/>
      <c r="G90" s="50"/>
      <c r="H90" s="50" t="s">
        <v>222</v>
      </c>
      <c r="I90" s="101" t="s">
        <v>223</v>
      </c>
      <c r="J90" s="37"/>
      <c r="K90" s="101"/>
      <c r="L90" s="101"/>
      <c r="M90" s="102"/>
      <c r="N90" s="37"/>
      <c r="O90" s="37"/>
      <c r="P90" s="37"/>
      <c r="Q90" s="37"/>
      <c r="R90" s="37"/>
    </row>
    <row r="91" spans="1:18" ht="18.600000000000001">
      <c r="A91" s="43"/>
      <c r="B91" s="60"/>
      <c r="C91" s="49" t="s">
        <v>224</v>
      </c>
      <c r="D91" s="49" t="s">
        <v>225</v>
      </c>
      <c r="E91" s="50"/>
      <c r="F91" s="50"/>
      <c r="G91" s="50"/>
      <c r="H91" s="50" t="s">
        <v>226</v>
      </c>
      <c r="I91" s="101" t="s">
        <v>227</v>
      </c>
      <c r="J91" s="37"/>
      <c r="K91" s="101"/>
      <c r="L91" s="101"/>
      <c r="M91" s="102"/>
      <c r="N91" s="37"/>
      <c r="O91" s="37"/>
      <c r="P91" s="37"/>
      <c r="Q91" s="37"/>
      <c r="R91" s="37"/>
    </row>
    <row r="92" spans="1:18" ht="18.600000000000001">
      <c r="A92" s="43"/>
      <c r="B92" s="60"/>
      <c r="C92" s="50" t="s">
        <v>228</v>
      </c>
      <c r="D92" s="49" t="s">
        <v>229</v>
      </c>
      <c r="E92" s="50"/>
      <c r="F92" s="50"/>
      <c r="G92" s="50"/>
      <c r="H92" s="50" t="s">
        <v>230</v>
      </c>
      <c r="I92" s="101" t="s">
        <v>231</v>
      </c>
      <c r="J92" s="37"/>
      <c r="K92" s="101"/>
      <c r="L92" s="101"/>
      <c r="M92" s="102"/>
      <c r="N92" s="37"/>
      <c r="O92" s="37"/>
      <c r="P92" s="37"/>
      <c r="Q92" s="37"/>
      <c r="R92" s="37"/>
    </row>
    <row r="93" spans="1:18" ht="18.600000000000001">
      <c r="A93" s="43"/>
      <c r="B93" s="60"/>
      <c r="C93" s="50" t="s">
        <v>232</v>
      </c>
      <c r="D93" s="49" t="s">
        <v>233</v>
      </c>
      <c r="E93" s="50"/>
      <c r="F93" s="50"/>
      <c r="G93" s="50"/>
      <c r="H93" s="50" t="s">
        <v>234</v>
      </c>
      <c r="I93" s="101" t="s">
        <v>235</v>
      </c>
      <c r="J93" s="37"/>
      <c r="K93" s="101"/>
      <c r="L93" s="101"/>
      <c r="M93" s="102"/>
      <c r="N93" s="37"/>
      <c r="O93" s="37"/>
      <c r="P93" s="37"/>
      <c r="Q93" s="37"/>
      <c r="R93" s="37"/>
    </row>
    <row r="94" spans="1:18" ht="18.600000000000001">
      <c r="A94" s="43"/>
      <c r="B94" s="60"/>
      <c r="C94" s="50" t="s">
        <v>236</v>
      </c>
      <c r="D94" s="49" t="s">
        <v>237</v>
      </c>
      <c r="E94" s="50"/>
      <c r="F94" s="50"/>
      <c r="G94" s="50"/>
      <c r="H94" s="50" t="s">
        <v>238</v>
      </c>
      <c r="I94" s="49" t="s">
        <v>239</v>
      </c>
      <c r="J94" s="37"/>
      <c r="K94" s="50"/>
      <c r="L94" s="50"/>
      <c r="M94" s="102"/>
      <c r="N94" s="37"/>
      <c r="O94" s="37"/>
      <c r="P94" s="37"/>
      <c r="Q94" s="37"/>
      <c r="R94" s="37"/>
    </row>
    <row r="95" spans="1:18" ht="18.600000000000001">
      <c r="A95" s="43"/>
      <c r="B95" s="60"/>
      <c r="C95" s="50" t="s">
        <v>240</v>
      </c>
      <c r="D95" s="49" t="s">
        <v>241</v>
      </c>
      <c r="E95" s="50"/>
      <c r="F95" s="50"/>
      <c r="G95" s="50"/>
      <c r="H95" s="50" t="s">
        <v>242</v>
      </c>
      <c r="I95" s="49" t="s">
        <v>243</v>
      </c>
      <c r="J95" s="37"/>
      <c r="K95" s="50"/>
      <c r="L95" s="50"/>
      <c r="M95" s="102"/>
      <c r="N95" s="37"/>
      <c r="O95" s="37"/>
      <c r="P95" s="37"/>
      <c r="Q95" s="37"/>
      <c r="R95" s="37"/>
    </row>
    <row r="96" spans="1:18" ht="18.600000000000001">
      <c r="A96" s="44"/>
      <c r="B96" s="108"/>
      <c r="C96" s="109"/>
      <c r="D96" s="172"/>
      <c r="E96" s="172"/>
      <c r="F96" s="172"/>
      <c r="G96" s="109"/>
      <c r="H96" s="109"/>
      <c r="I96" s="109"/>
      <c r="J96" s="172"/>
      <c r="K96" s="172"/>
      <c r="L96" s="172"/>
      <c r="M96" s="110"/>
      <c r="N96" s="37"/>
      <c r="O96" s="37"/>
      <c r="P96" s="37"/>
      <c r="Q96" s="37"/>
      <c r="R96" s="37"/>
    </row>
    <row r="97" spans="1:18" ht="18.600000000000001">
      <c r="A97" s="41">
        <v>6</v>
      </c>
      <c r="B97" s="170" t="s">
        <v>244</v>
      </c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11"/>
      <c r="N97" s="37"/>
      <c r="O97" s="37"/>
      <c r="P97" s="37"/>
      <c r="Q97" s="37"/>
      <c r="R97" s="37"/>
    </row>
    <row r="98" spans="1:18" ht="18.600000000000001">
      <c r="A98" s="43"/>
      <c r="B98" s="60"/>
      <c r="C98" s="50" t="s">
        <v>245</v>
      </c>
      <c r="D98" s="49" t="s">
        <v>246</v>
      </c>
      <c r="E98" s="50"/>
      <c r="F98" s="112"/>
      <c r="G98" s="50"/>
      <c r="H98" s="50" t="s">
        <v>247</v>
      </c>
      <c r="I98" s="49" t="s">
        <v>248</v>
      </c>
      <c r="J98" s="50"/>
      <c r="K98" s="50"/>
      <c r="L98" s="50"/>
      <c r="M98" s="102"/>
      <c r="N98" s="37"/>
      <c r="O98" s="37"/>
      <c r="P98" s="37"/>
      <c r="Q98" s="37"/>
      <c r="R98" s="37"/>
    </row>
    <row r="99" spans="1:18" ht="18.600000000000001">
      <c r="A99" s="43"/>
      <c r="B99" s="60"/>
      <c r="C99" s="50" t="s">
        <v>249</v>
      </c>
      <c r="D99" s="49" t="s">
        <v>250</v>
      </c>
      <c r="E99" s="50"/>
      <c r="F99" s="112"/>
      <c r="G99" s="50"/>
      <c r="H99" s="50" t="s">
        <v>251</v>
      </c>
      <c r="I99" s="49" t="s">
        <v>252</v>
      </c>
      <c r="J99" s="50"/>
      <c r="K99" s="50"/>
      <c r="L99" s="50"/>
      <c r="M99" s="102"/>
      <c r="N99" s="37"/>
      <c r="O99" s="37"/>
      <c r="P99" s="37"/>
      <c r="Q99" s="37"/>
      <c r="R99" s="37"/>
    </row>
    <row r="100" spans="1:18" ht="18.600000000000001">
      <c r="A100" s="43"/>
      <c r="B100" s="60"/>
      <c r="C100" s="50"/>
      <c r="D100" s="173"/>
      <c r="E100" s="173"/>
      <c r="F100" s="112"/>
      <c r="G100" s="50"/>
      <c r="H100" s="50" t="s">
        <v>253</v>
      </c>
      <c r="I100" s="173" t="s">
        <v>254</v>
      </c>
      <c r="J100" s="173"/>
      <c r="K100" s="50"/>
      <c r="L100" s="50"/>
      <c r="M100" s="102"/>
      <c r="N100" s="37"/>
      <c r="O100" s="37"/>
      <c r="P100" s="37"/>
      <c r="Q100" s="37"/>
      <c r="R100" s="37"/>
    </row>
    <row r="101" spans="1:18" ht="16.5" customHeight="1">
      <c r="A101" s="44"/>
      <c r="B101" s="108"/>
      <c r="C101" s="109"/>
      <c r="D101" s="172"/>
      <c r="E101" s="172"/>
      <c r="F101" s="109"/>
      <c r="G101" s="109"/>
      <c r="H101" s="109"/>
      <c r="I101" s="109"/>
      <c r="J101" s="109"/>
      <c r="K101" s="109"/>
      <c r="L101" s="109"/>
      <c r="M101" s="46"/>
      <c r="N101" s="37"/>
      <c r="O101" s="37"/>
      <c r="P101" s="37"/>
      <c r="Q101" s="37"/>
      <c r="R101" s="37"/>
    </row>
    <row r="102" spans="1:18" ht="18.600000000000001">
      <c r="A102" s="41">
        <v>7</v>
      </c>
      <c r="B102" s="170" t="s">
        <v>255</v>
      </c>
      <c r="C102" s="171"/>
      <c r="D102" s="171"/>
      <c r="E102" s="171"/>
      <c r="F102" s="151"/>
      <c r="G102" s="151"/>
      <c r="H102" s="151"/>
      <c r="I102" s="151"/>
      <c r="J102" s="151"/>
      <c r="K102" s="151"/>
      <c r="L102" s="151"/>
      <c r="M102" s="111"/>
      <c r="N102" s="37"/>
      <c r="O102" s="37"/>
      <c r="P102" s="37"/>
      <c r="Q102" s="37"/>
      <c r="R102" s="37"/>
    </row>
    <row r="103" spans="1:18" ht="18.600000000000001">
      <c r="A103" s="43"/>
      <c r="B103" s="60"/>
      <c r="C103" s="49" t="s">
        <v>256</v>
      </c>
      <c r="D103" s="49" t="s">
        <v>257</v>
      </c>
      <c r="E103" s="37"/>
      <c r="F103" s="112"/>
      <c r="G103" s="49"/>
      <c r="H103" s="49" t="s">
        <v>258</v>
      </c>
      <c r="I103" s="49" t="s">
        <v>259</v>
      </c>
      <c r="J103" s="37"/>
      <c r="K103" s="37"/>
      <c r="L103" s="49"/>
      <c r="M103" s="102"/>
      <c r="N103" s="37"/>
      <c r="O103" s="37"/>
      <c r="P103" s="37"/>
      <c r="Q103" s="37"/>
      <c r="R103" s="37"/>
    </row>
    <row r="104" spans="1:18" ht="18.600000000000001">
      <c r="A104" s="43"/>
      <c r="B104" s="60"/>
      <c r="C104" s="49" t="s">
        <v>260</v>
      </c>
      <c r="D104" s="49" t="s">
        <v>261</v>
      </c>
      <c r="E104" s="37"/>
      <c r="F104" s="112"/>
      <c r="G104" s="49"/>
      <c r="H104" s="49" t="s">
        <v>262</v>
      </c>
      <c r="I104" s="49" t="s">
        <v>263</v>
      </c>
      <c r="J104" s="37"/>
      <c r="K104" s="37"/>
      <c r="L104" s="49"/>
      <c r="M104" s="102"/>
      <c r="N104" s="37"/>
      <c r="O104" s="37"/>
      <c r="P104" s="37"/>
      <c r="Q104" s="37"/>
      <c r="R104" s="37"/>
    </row>
    <row r="105" spans="1:18" ht="18.600000000000001">
      <c r="A105" s="43"/>
      <c r="B105" s="60"/>
      <c r="C105" s="49" t="s">
        <v>264</v>
      </c>
      <c r="D105" s="49" t="s">
        <v>183</v>
      </c>
      <c r="E105" s="37"/>
      <c r="F105" s="49"/>
      <c r="G105" s="49"/>
      <c r="H105" s="49"/>
      <c r="I105" s="49"/>
      <c r="J105" s="49"/>
      <c r="K105" s="49"/>
      <c r="L105" s="49"/>
      <c r="M105" s="102"/>
      <c r="N105" s="37"/>
      <c r="O105" s="37"/>
      <c r="P105" s="37"/>
      <c r="Q105" s="37"/>
      <c r="R105" s="37"/>
    </row>
    <row r="106" spans="1:18" ht="18.600000000000001">
      <c r="A106" s="44"/>
      <c r="B106" s="113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110"/>
      <c r="N106" s="37"/>
      <c r="O106" s="37"/>
      <c r="P106" s="37"/>
      <c r="Q106" s="37"/>
      <c r="R106" s="37"/>
    </row>
    <row r="107" spans="1:18" ht="18.600000000000001">
      <c r="A107" s="114">
        <v>8</v>
      </c>
      <c r="B107" s="150" t="s">
        <v>265</v>
      </c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47"/>
      <c r="N107" s="37"/>
      <c r="O107" s="37"/>
      <c r="P107" s="37"/>
      <c r="Q107" s="37"/>
      <c r="R107" s="37"/>
    </row>
    <row r="108" spans="1:18" ht="18.600000000000001">
      <c r="A108" s="114"/>
      <c r="B108" s="60"/>
      <c r="C108" s="49" t="s">
        <v>266</v>
      </c>
      <c r="D108" s="49" t="s">
        <v>267</v>
      </c>
      <c r="E108" s="50"/>
      <c r="F108" s="112"/>
      <c r="G108" s="50"/>
      <c r="H108" s="49" t="s">
        <v>268</v>
      </c>
      <c r="I108" s="101" t="s">
        <v>269</v>
      </c>
      <c r="J108" s="50"/>
      <c r="K108" s="50"/>
      <c r="L108" s="50"/>
      <c r="M108" s="42"/>
      <c r="N108" s="37"/>
      <c r="O108" s="37"/>
      <c r="P108" s="37"/>
      <c r="Q108" s="37"/>
      <c r="R108" s="37"/>
    </row>
    <row r="109" spans="1:18" ht="18.600000000000001">
      <c r="A109" s="115"/>
      <c r="B109" s="97"/>
      <c r="C109" s="45"/>
      <c r="D109" s="98"/>
      <c r="E109" s="109"/>
      <c r="F109" s="99"/>
      <c r="G109" s="98"/>
      <c r="H109" s="98"/>
      <c r="I109" s="98"/>
      <c r="J109" s="98"/>
      <c r="K109" s="98"/>
      <c r="L109" s="98"/>
      <c r="M109" s="116"/>
      <c r="N109" s="37"/>
      <c r="O109" s="37"/>
      <c r="P109" s="37"/>
      <c r="Q109" s="37"/>
      <c r="R109" s="37"/>
    </row>
    <row r="110" spans="1:18">
      <c r="A110" s="21">
        <v>9</v>
      </c>
      <c r="B110" s="180" t="s">
        <v>270</v>
      </c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5"/>
    </row>
    <row r="111" spans="1:18" ht="16.5" customHeight="1">
      <c r="A111" s="21"/>
      <c r="B111" s="12"/>
      <c r="C111" s="7" t="s">
        <v>271</v>
      </c>
      <c r="D111" s="7" t="s">
        <v>272</v>
      </c>
      <c r="E111" s="8"/>
      <c r="F111" s="19"/>
      <c r="G111" s="2"/>
      <c r="H111" s="7" t="s">
        <v>273</v>
      </c>
      <c r="I111" s="16" t="s">
        <v>274</v>
      </c>
      <c r="J111" s="8"/>
      <c r="K111" s="8"/>
      <c r="L111" s="8"/>
      <c r="M111" s="23"/>
    </row>
    <row r="112" spans="1:18" ht="18.600000000000001">
      <c r="A112" s="22"/>
      <c r="B112" s="17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24"/>
    </row>
    <row r="113" spans="1:13" ht="18.600000000000001">
      <c r="A113" s="25">
        <v>10</v>
      </c>
      <c r="B113" s="182" t="s">
        <v>275</v>
      </c>
      <c r="C113" s="183"/>
      <c r="D113" s="183"/>
      <c r="E113" s="183"/>
      <c r="F113" s="181"/>
      <c r="G113" s="181"/>
      <c r="H113" s="181"/>
      <c r="I113" s="181"/>
      <c r="J113" s="181"/>
      <c r="K113" s="181"/>
      <c r="L113" s="181"/>
      <c r="M113" s="26"/>
    </row>
    <row r="114" spans="1:13" ht="18.600000000000001">
      <c r="A114" s="21"/>
      <c r="B114" s="12"/>
      <c r="C114" s="7" t="s">
        <v>276</v>
      </c>
      <c r="D114" s="7" t="s">
        <v>277</v>
      </c>
      <c r="E114" s="11"/>
      <c r="F114" s="8"/>
      <c r="G114" s="8"/>
      <c r="H114" s="7" t="s">
        <v>278</v>
      </c>
      <c r="I114" s="16" t="s">
        <v>279</v>
      </c>
      <c r="J114" s="2"/>
      <c r="K114" s="16"/>
      <c r="L114" s="16"/>
      <c r="M114" s="27"/>
    </row>
    <row r="115" spans="1:13" ht="16.5" customHeight="1">
      <c r="A115" s="21"/>
      <c r="B115" s="12"/>
      <c r="C115" s="7" t="s">
        <v>280</v>
      </c>
      <c r="D115" s="7" t="s">
        <v>281</v>
      </c>
      <c r="E115" s="11"/>
      <c r="F115" s="8"/>
      <c r="G115" s="8"/>
      <c r="H115" s="8" t="s">
        <v>282</v>
      </c>
      <c r="I115" s="16" t="s">
        <v>283</v>
      </c>
      <c r="J115" s="2"/>
      <c r="K115" s="16"/>
      <c r="L115" s="16"/>
      <c r="M115" s="27"/>
    </row>
    <row r="116" spans="1:13" ht="16.5" customHeight="1">
      <c r="A116" s="21"/>
      <c r="B116" s="12"/>
      <c r="C116" s="7" t="s">
        <v>284</v>
      </c>
      <c r="D116" s="7" t="s">
        <v>285</v>
      </c>
      <c r="E116" s="16"/>
      <c r="F116" s="16"/>
      <c r="G116" s="8"/>
      <c r="H116" s="8" t="s">
        <v>286</v>
      </c>
      <c r="I116" s="16" t="s">
        <v>287</v>
      </c>
      <c r="J116" s="2"/>
      <c r="K116" s="16"/>
      <c r="L116" s="16"/>
      <c r="M116" s="27"/>
    </row>
    <row r="117" spans="1:13" ht="16.5" customHeight="1">
      <c r="A117" s="21"/>
      <c r="B117" s="12"/>
      <c r="C117" s="7" t="s">
        <v>288</v>
      </c>
      <c r="D117" s="7" t="s">
        <v>289</v>
      </c>
      <c r="E117" s="11"/>
      <c r="F117" s="8"/>
      <c r="G117" s="8"/>
      <c r="H117" s="8" t="s">
        <v>290</v>
      </c>
      <c r="I117" s="16" t="s">
        <v>291</v>
      </c>
      <c r="J117" s="2"/>
      <c r="K117" s="16"/>
      <c r="L117" s="16"/>
      <c r="M117" s="27"/>
    </row>
    <row r="118" spans="1:13" ht="16.5" customHeight="1">
      <c r="A118" s="21"/>
      <c r="B118" s="12"/>
      <c r="C118" s="7" t="s">
        <v>292</v>
      </c>
      <c r="D118" s="7" t="s">
        <v>293</v>
      </c>
      <c r="E118" s="11"/>
      <c r="F118" s="8"/>
      <c r="G118" s="8"/>
      <c r="H118" s="8" t="s">
        <v>294</v>
      </c>
      <c r="I118" s="16" t="s">
        <v>295</v>
      </c>
      <c r="J118" s="2"/>
      <c r="K118" s="16"/>
      <c r="L118" s="16"/>
      <c r="M118" s="27"/>
    </row>
    <row r="119" spans="1:13" ht="18.600000000000001">
      <c r="A119" s="21"/>
      <c r="B119" s="12"/>
      <c r="C119" s="7" t="s">
        <v>296</v>
      </c>
      <c r="D119" s="7" t="s">
        <v>297</v>
      </c>
      <c r="E119" s="11"/>
      <c r="F119" s="8"/>
      <c r="G119" s="8"/>
      <c r="H119" s="8" t="s">
        <v>298</v>
      </c>
      <c r="I119" s="16" t="s">
        <v>299</v>
      </c>
      <c r="J119" s="2"/>
      <c r="K119" s="16"/>
      <c r="L119" s="16"/>
      <c r="M119" s="27"/>
    </row>
    <row r="120" spans="1:13" ht="18.600000000000001">
      <c r="A120" s="21"/>
      <c r="B120" s="12"/>
      <c r="C120" s="7" t="s">
        <v>300</v>
      </c>
      <c r="D120" s="7" t="s">
        <v>301</v>
      </c>
      <c r="E120" s="11"/>
      <c r="F120" s="8"/>
      <c r="G120" s="8"/>
      <c r="H120" s="8" t="s">
        <v>302</v>
      </c>
      <c r="I120" s="16" t="s">
        <v>303</v>
      </c>
      <c r="J120" s="2"/>
      <c r="K120" s="16"/>
      <c r="L120" s="16"/>
      <c r="M120" s="27"/>
    </row>
    <row r="121" spans="1:13" ht="18.600000000000001">
      <c r="A121" s="21"/>
      <c r="B121" s="12"/>
      <c r="C121" s="7" t="s">
        <v>304</v>
      </c>
      <c r="D121" s="7" t="s">
        <v>305</v>
      </c>
      <c r="E121" s="11"/>
      <c r="F121" s="8"/>
      <c r="G121" s="8"/>
      <c r="H121" s="8" t="s">
        <v>236</v>
      </c>
      <c r="I121" s="16" t="s">
        <v>237</v>
      </c>
      <c r="J121" s="2"/>
      <c r="K121" s="16"/>
      <c r="L121" s="16"/>
      <c r="M121" s="27"/>
    </row>
    <row r="122" spans="1:13" ht="18.600000000000001">
      <c r="A122" s="21"/>
      <c r="B122" s="12"/>
      <c r="C122" s="7" t="s">
        <v>306</v>
      </c>
      <c r="D122" s="7" t="s">
        <v>307</v>
      </c>
      <c r="E122" s="11"/>
      <c r="F122" s="8"/>
      <c r="G122" s="8"/>
      <c r="H122" s="7" t="s">
        <v>308</v>
      </c>
      <c r="I122" s="7" t="s">
        <v>309</v>
      </c>
      <c r="J122" s="184"/>
      <c r="K122" s="184"/>
      <c r="L122" s="184"/>
      <c r="M122" s="27"/>
    </row>
    <row r="123" spans="1:13" ht="18.600000000000001">
      <c r="A123" s="21"/>
      <c r="B123" s="12"/>
      <c r="C123" s="7" t="s">
        <v>310</v>
      </c>
      <c r="D123" s="7" t="s">
        <v>195</v>
      </c>
      <c r="E123" s="11"/>
      <c r="F123" s="8"/>
      <c r="G123" s="8"/>
      <c r="H123" s="7" t="s">
        <v>311</v>
      </c>
      <c r="I123" s="7" t="s">
        <v>312</v>
      </c>
      <c r="J123" s="184"/>
      <c r="K123" s="184"/>
      <c r="L123" s="184"/>
      <c r="M123" s="27"/>
    </row>
    <row r="124" spans="1:13" ht="18.600000000000001">
      <c r="A124" s="22"/>
      <c r="B124" s="17" t="s">
        <v>173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24"/>
    </row>
    <row r="125" spans="1:13" ht="18.600000000000001">
      <c r="A125" s="21">
        <v>11</v>
      </c>
      <c r="B125" s="180" t="s">
        <v>313</v>
      </c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26"/>
    </row>
    <row r="126" spans="1:13" ht="18.600000000000001">
      <c r="A126" s="21"/>
      <c r="B126" s="28"/>
      <c r="C126" s="7" t="s">
        <v>314</v>
      </c>
      <c r="D126" s="16" t="s">
        <v>315</v>
      </c>
      <c r="E126" s="11"/>
      <c r="F126" s="11"/>
      <c r="G126" s="11"/>
      <c r="H126" s="7" t="s">
        <v>316</v>
      </c>
      <c r="I126" s="16" t="s">
        <v>317</v>
      </c>
      <c r="J126" s="11"/>
      <c r="K126" s="11"/>
      <c r="L126" s="11"/>
      <c r="M126" s="27"/>
    </row>
    <row r="127" spans="1:13" ht="18.600000000000001">
      <c r="A127" s="22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24"/>
    </row>
    <row r="128" spans="1:13" ht="18.600000000000001">
      <c r="A128" s="3">
        <v>12</v>
      </c>
      <c r="B128" s="180" t="s">
        <v>318</v>
      </c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26"/>
    </row>
    <row r="129" spans="1:13" ht="18.600000000000001">
      <c r="A129" s="4"/>
      <c r="B129" s="20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24"/>
    </row>
    <row r="130" spans="1:13" ht="18.600000000000001">
      <c r="A130" s="21">
        <v>13</v>
      </c>
      <c r="B130" s="176" t="s">
        <v>319</v>
      </c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26"/>
    </row>
    <row r="131" spans="1:13" ht="18.600000000000001">
      <c r="A131" s="21"/>
      <c r="B131" s="12"/>
      <c r="C131" s="117" t="s">
        <v>320</v>
      </c>
      <c r="D131" s="117"/>
      <c r="E131" s="117"/>
      <c r="F131" s="117" t="s">
        <v>321</v>
      </c>
      <c r="G131" s="117"/>
      <c r="H131" s="117"/>
      <c r="I131" s="29"/>
      <c r="J131" s="117" t="s">
        <v>322</v>
      </c>
      <c r="K131" s="117"/>
      <c r="L131" s="117"/>
      <c r="M131" s="27"/>
    </row>
    <row r="132" spans="1:13" ht="18.600000000000001">
      <c r="A132" s="21"/>
      <c r="B132" s="30"/>
      <c r="C132" s="16" t="s">
        <v>323</v>
      </c>
      <c r="D132" s="11"/>
      <c r="E132" s="11"/>
      <c r="F132" s="11" t="s">
        <v>324</v>
      </c>
      <c r="G132" s="11"/>
      <c r="H132" s="11"/>
      <c r="I132" s="11"/>
      <c r="J132" s="11"/>
      <c r="K132" s="11"/>
      <c r="L132" s="11"/>
      <c r="M132" s="27"/>
    </row>
    <row r="133" spans="1:13" ht="18.600000000000001">
      <c r="A133" s="21"/>
      <c r="B133" s="30"/>
      <c r="C133" s="16" t="s">
        <v>325</v>
      </c>
      <c r="D133" s="11"/>
      <c r="E133" s="11"/>
      <c r="F133" s="11" t="s">
        <v>326</v>
      </c>
      <c r="G133" s="11"/>
      <c r="H133" s="11"/>
      <c r="I133" s="11"/>
      <c r="J133" s="11" t="s">
        <v>327</v>
      </c>
      <c r="K133" s="11"/>
      <c r="L133" s="11"/>
      <c r="M133" s="27"/>
    </row>
    <row r="134" spans="1:13" ht="18.600000000000001">
      <c r="A134" s="21"/>
      <c r="B134" s="30"/>
      <c r="C134" s="16" t="s">
        <v>328</v>
      </c>
      <c r="D134" s="11"/>
      <c r="E134" s="11"/>
      <c r="F134" s="11" t="s">
        <v>329</v>
      </c>
      <c r="G134" s="11"/>
      <c r="H134" s="11"/>
      <c r="I134" s="11"/>
      <c r="J134" s="11"/>
      <c r="K134" s="11"/>
      <c r="L134" s="11"/>
      <c r="M134" s="27"/>
    </row>
    <row r="135" spans="1:13" ht="18.600000000000001">
      <c r="A135" s="21"/>
      <c r="B135" s="30"/>
      <c r="C135" s="16" t="s">
        <v>330</v>
      </c>
      <c r="D135" s="11"/>
      <c r="E135" s="11"/>
      <c r="F135" s="11" t="s">
        <v>331</v>
      </c>
      <c r="G135" s="11"/>
      <c r="H135" s="11"/>
      <c r="I135" s="11"/>
      <c r="J135" s="11"/>
      <c r="K135" s="11"/>
      <c r="L135" s="11"/>
      <c r="M135" s="27"/>
    </row>
    <row r="136" spans="1:13" ht="18.600000000000001">
      <c r="A136" s="21"/>
      <c r="B136" s="30"/>
      <c r="C136" s="16" t="s">
        <v>332</v>
      </c>
      <c r="D136" s="11"/>
      <c r="E136" s="11"/>
      <c r="F136" s="11" t="s">
        <v>333</v>
      </c>
      <c r="G136" s="11"/>
      <c r="H136" s="11"/>
      <c r="I136" s="11"/>
      <c r="J136" s="11"/>
      <c r="K136" s="11"/>
      <c r="L136" s="11"/>
      <c r="M136" s="27"/>
    </row>
    <row r="137" spans="1:13" ht="18.600000000000001">
      <c r="A137" s="21"/>
      <c r="B137" s="30"/>
      <c r="C137" s="16" t="s">
        <v>334</v>
      </c>
      <c r="D137" s="11"/>
      <c r="E137" s="11"/>
      <c r="F137" s="11" t="s">
        <v>335</v>
      </c>
      <c r="G137" s="11"/>
      <c r="H137" s="11"/>
      <c r="I137" s="11"/>
      <c r="J137" s="11"/>
      <c r="K137" s="11"/>
      <c r="L137" s="11"/>
      <c r="M137" s="27"/>
    </row>
    <row r="138" spans="1:13" ht="18.600000000000001">
      <c r="A138" s="21"/>
      <c r="B138" s="30"/>
      <c r="C138" s="16" t="s">
        <v>336</v>
      </c>
      <c r="D138" s="11"/>
      <c r="E138" s="11"/>
      <c r="F138" s="11" t="s">
        <v>337</v>
      </c>
      <c r="G138" s="11"/>
      <c r="H138" s="11"/>
      <c r="I138" s="11"/>
      <c r="J138" s="11"/>
      <c r="K138" s="11"/>
      <c r="L138" s="11"/>
      <c r="M138" s="27"/>
    </row>
    <row r="139" spans="1:13" ht="18.600000000000001">
      <c r="A139" s="21"/>
      <c r="B139" s="30"/>
      <c r="C139" s="16" t="s">
        <v>338</v>
      </c>
      <c r="D139" s="11"/>
      <c r="E139" s="11"/>
      <c r="F139" s="11" t="s">
        <v>339</v>
      </c>
      <c r="G139" s="11"/>
      <c r="H139" s="11"/>
      <c r="I139" s="11"/>
      <c r="J139" s="11" t="s">
        <v>340</v>
      </c>
      <c r="K139" s="11"/>
      <c r="L139" s="11"/>
      <c r="M139" s="27"/>
    </row>
    <row r="140" spans="1:13" ht="18.600000000000001">
      <c r="A140" s="21"/>
      <c r="B140" s="30"/>
      <c r="C140" s="16" t="s">
        <v>341</v>
      </c>
      <c r="D140" s="11"/>
      <c r="E140" s="11"/>
      <c r="F140" s="11" t="s">
        <v>342</v>
      </c>
      <c r="G140" s="11"/>
      <c r="H140" s="11"/>
      <c r="I140" s="11"/>
      <c r="J140" s="11"/>
      <c r="K140" s="11"/>
      <c r="L140" s="11"/>
      <c r="M140" s="27"/>
    </row>
    <row r="141" spans="1:13" ht="18.600000000000001">
      <c r="A141" s="21"/>
      <c r="B141" s="30"/>
      <c r="C141" s="16" t="s">
        <v>343</v>
      </c>
      <c r="D141" s="11"/>
      <c r="E141" s="11"/>
      <c r="F141" s="11" t="s">
        <v>344</v>
      </c>
      <c r="G141" s="11"/>
      <c r="H141" s="11"/>
      <c r="I141" s="11"/>
      <c r="J141" s="11" t="s">
        <v>345</v>
      </c>
      <c r="K141" s="11"/>
      <c r="L141" s="11"/>
      <c r="M141" s="27"/>
    </row>
    <row r="142" spans="1:13" ht="18.600000000000001">
      <c r="A142" s="21"/>
      <c r="B142" s="30"/>
      <c r="C142" s="16" t="s">
        <v>346</v>
      </c>
      <c r="D142" s="11"/>
      <c r="E142" s="11"/>
      <c r="F142" s="11" t="s">
        <v>347</v>
      </c>
      <c r="G142" s="11"/>
      <c r="H142" s="11"/>
      <c r="I142" s="11"/>
      <c r="J142" s="11"/>
      <c r="K142" s="11"/>
      <c r="L142" s="11"/>
      <c r="M142" s="27"/>
    </row>
    <row r="143" spans="1:13" ht="18.600000000000001">
      <c r="A143" s="21"/>
      <c r="B143" s="30"/>
      <c r="C143" s="16" t="s">
        <v>348</v>
      </c>
      <c r="D143" s="11"/>
      <c r="E143" s="11"/>
      <c r="F143" s="11" t="s">
        <v>349</v>
      </c>
      <c r="G143" s="11"/>
      <c r="H143" s="11"/>
      <c r="I143" s="11"/>
      <c r="J143" s="11"/>
      <c r="K143" s="11"/>
      <c r="L143" s="11"/>
      <c r="M143" s="27"/>
    </row>
    <row r="144" spans="1:13" ht="18.600000000000001">
      <c r="A144" s="21"/>
      <c r="B144" s="30"/>
      <c r="C144" s="16" t="s">
        <v>350</v>
      </c>
      <c r="D144" s="11"/>
      <c r="E144" s="11"/>
      <c r="F144" s="11" t="s">
        <v>351</v>
      </c>
      <c r="G144" s="11"/>
      <c r="H144" s="11"/>
      <c r="I144" s="11"/>
      <c r="J144" s="11"/>
      <c r="K144" s="11"/>
      <c r="L144" s="11"/>
      <c r="M144" s="27"/>
    </row>
    <row r="145" spans="1:13" ht="18.600000000000001">
      <c r="A145" s="22"/>
      <c r="B145" s="17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24"/>
    </row>
    <row r="146" spans="1:13" ht="18.600000000000001">
      <c r="A146" s="25">
        <v>14</v>
      </c>
      <c r="B146" s="178" t="s">
        <v>352</v>
      </c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26"/>
    </row>
    <row r="147" spans="1:13" ht="18.600000000000001">
      <c r="A147" s="21"/>
      <c r="B147" s="6"/>
      <c r="C147" s="7" t="s">
        <v>353</v>
      </c>
      <c r="D147" s="7" t="s">
        <v>354</v>
      </c>
      <c r="E147" s="11"/>
      <c r="F147" s="7" t="s">
        <v>355</v>
      </c>
      <c r="G147" s="7" t="s">
        <v>356</v>
      </c>
      <c r="H147" s="11"/>
      <c r="I147" s="11"/>
      <c r="J147" s="11"/>
      <c r="K147" s="11"/>
      <c r="L147" s="11"/>
      <c r="M147" s="27"/>
    </row>
    <row r="148" spans="1:13" ht="18.600000000000001">
      <c r="A148" s="21"/>
      <c r="B148" s="6"/>
      <c r="C148" s="7" t="s">
        <v>357</v>
      </c>
      <c r="D148" s="7" t="s">
        <v>358</v>
      </c>
      <c r="E148" s="11"/>
      <c r="F148" s="7" t="s">
        <v>359</v>
      </c>
      <c r="G148" s="7" t="s">
        <v>360</v>
      </c>
      <c r="H148" s="11"/>
      <c r="I148" s="11"/>
      <c r="J148" s="11"/>
      <c r="K148" s="11"/>
      <c r="L148" s="11"/>
      <c r="M148" s="27"/>
    </row>
    <row r="149" spans="1:13" ht="18.600000000000001">
      <c r="A149" s="22"/>
      <c r="B149" s="17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24"/>
    </row>
    <row r="150" spans="1:13" ht="18.600000000000001">
      <c r="A150" s="3">
        <v>15</v>
      </c>
      <c r="B150" s="9" t="s">
        <v>361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26"/>
    </row>
    <row r="151" spans="1:13" ht="18.600000000000001">
      <c r="A151" s="4"/>
      <c r="B151" s="17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24"/>
    </row>
    <row r="152" spans="1:13" ht="18.600000000000001">
      <c r="A152" s="21">
        <v>16</v>
      </c>
      <c r="B152" s="176" t="s">
        <v>362</v>
      </c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26"/>
    </row>
    <row r="153" spans="1:13" ht="18.600000000000001">
      <c r="A153" s="22"/>
      <c r="B153" s="32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24"/>
    </row>
    <row r="154" spans="1:13" ht="18.600000000000001">
      <c r="A154" s="21">
        <v>17</v>
      </c>
      <c r="B154" s="174" t="s">
        <v>363</v>
      </c>
      <c r="C154" s="175"/>
      <c r="D154" s="33"/>
      <c r="E154" s="33"/>
      <c r="F154" s="33"/>
      <c r="G154" s="33"/>
      <c r="H154" s="33"/>
      <c r="I154" s="33"/>
      <c r="J154" s="33"/>
      <c r="K154" s="33"/>
      <c r="L154" s="33"/>
      <c r="M154" s="26"/>
    </row>
    <row r="155" spans="1:13" ht="18.600000000000001">
      <c r="A155" s="22"/>
      <c r="B155" s="34"/>
      <c r="C155" s="35"/>
      <c r="D155" s="35"/>
      <c r="E155" s="35"/>
      <c r="F155" s="18"/>
      <c r="G155" s="18"/>
      <c r="H155" s="18"/>
      <c r="I155" s="18"/>
      <c r="J155" s="18"/>
      <c r="K155" s="18"/>
      <c r="L155" s="18"/>
      <c r="M155" s="24"/>
    </row>
  </sheetData>
  <mergeCells count="37">
    <mergeCell ref="B125:L125"/>
    <mergeCell ref="B107:L107"/>
    <mergeCell ref="B110:L110"/>
    <mergeCell ref="B113:L113"/>
    <mergeCell ref="J122:L122"/>
    <mergeCell ref="J123:L123"/>
    <mergeCell ref="B154:C154"/>
    <mergeCell ref="B130:L130"/>
    <mergeCell ref="B146:L146"/>
    <mergeCell ref="B152:L152"/>
    <mergeCell ref="B128:L128"/>
    <mergeCell ref="B102:L102"/>
    <mergeCell ref="B97:L97"/>
    <mergeCell ref="D100:E100"/>
    <mergeCell ref="I100:J100"/>
    <mergeCell ref="D101:E101"/>
    <mergeCell ref="B76:L76"/>
    <mergeCell ref="B77:L77"/>
    <mergeCell ref="D96:F96"/>
    <mergeCell ref="J96:L96"/>
    <mergeCell ref="B74:L74"/>
    <mergeCell ref="B75:L75"/>
    <mergeCell ref="A1:M1"/>
    <mergeCell ref="A2:M2"/>
    <mergeCell ref="J3:L3"/>
    <mergeCell ref="A4:A5"/>
    <mergeCell ref="B4:M5"/>
    <mergeCell ref="B6:L6"/>
    <mergeCell ref="B7:L7"/>
    <mergeCell ref="B9:L9"/>
    <mergeCell ref="C18:D18"/>
    <mergeCell ref="E18:E19"/>
    <mergeCell ref="F18:H18"/>
    <mergeCell ref="I18:I19"/>
    <mergeCell ref="J18:J19"/>
    <mergeCell ref="K18:K19"/>
    <mergeCell ref="L18:L19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8" scale="55" fitToHeight="0" orientation="portrait" r:id="rId1"/>
  <headerFooter>
    <oddHeader>&amp;C&amp;"Noto Sans CJK KR Medium,굵게"I&amp;&amp;C Drawing &amp;&amp; Document Sample Format</oddHeader>
    <oddFooter>&amp;L&amp;G&amp;C&amp;"Noto Sans CJK KR Medium,보통"Appendix A3 / Attachment B-2&amp;R&amp;"Noto Sans CJK KR Medium,보통"&amp;P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O418"/>
  <sheetViews>
    <sheetView view="pageBreakPreview" zoomScaleNormal="55" zoomScaleSheetLayoutView="100" workbookViewId="0">
      <pane ySplit="5" topLeftCell="A6" activePane="bottomLeft" state="frozen"/>
      <selection pane="bottomLeft" activeCell="A2" sqref="A2:O2"/>
    </sheetView>
  </sheetViews>
  <sheetFormatPr defaultColWidth="9" defaultRowHeight="17.399999999999999"/>
  <cols>
    <col min="1" max="1" width="8" style="125" customWidth="1"/>
    <col min="2" max="2" width="9.09765625" style="125" customWidth="1"/>
    <col min="3" max="3" width="24.59765625" style="139" bestFit="1" customWidth="1"/>
    <col min="4" max="4" width="16.296875" style="143" bestFit="1" customWidth="1"/>
    <col min="5" max="5" width="15.69921875" style="143" bestFit="1" customWidth="1"/>
    <col min="6" max="6" width="9.59765625" style="125" bestFit="1" customWidth="1"/>
    <col min="7" max="7" width="8.3984375" style="125" bestFit="1" customWidth="1"/>
    <col min="8" max="8" width="19.3984375" style="147" customWidth="1"/>
    <col min="9" max="9" width="19.09765625" style="125" customWidth="1"/>
    <col min="10" max="10" width="19.3984375" style="125" customWidth="1"/>
    <col min="11" max="11" width="19.3984375" style="147" customWidth="1"/>
    <col min="12" max="12" width="19.3984375" style="125" customWidth="1"/>
    <col min="13" max="13" width="18.69921875" style="125" customWidth="1"/>
    <col min="14" max="14" width="12.59765625" style="125" bestFit="1" customWidth="1"/>
    <col min="15" max="15" width="14.09765625" style="125" customWidth="1"/>
    <col min="16" max="16384" width="9" style="125"/>
  </cols>
  <sheetData>
    <row r="1" spans="1:15" s="118" customFormat="1" ht="34.950000000000003" customHeight="1">
      <c r="A1" s="185" t="s">
        <v>382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s="118" customFormat="1" ht="24.6" customHeight="1">
      <c r="A2" s="185" t="s">
        <v>384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</row>
    <row r="3" spans="1:15" s="118" customFormat="1" ht="19.95" customHeight="1">
      <c r="A3" s="123" t="s">
        <v>2858</v>
      </c>
      <c r="B3" s="119"/>
      <c r="C3" s="137"/>
      <c r="D3" s="140"/>
      <c r="E3" s="140"/>
      <c r="F3" s="120"/>
      <c r="G3" s="121"/>
      <c r="H3" s="145"/>
      <c r="I3" s="121"/>
      <c r="J3" s="121"/>
      <c r="K3" s="145"/>
      <c r="L3" s="121"/>
      <c r="M3" s="121"/>
      <c r="N3" s="122"/>
      <c r="O3" s="124"/>
    </row>
    <row r="4" spans="1:15" ht="20.25" customHeight="1">
      <c r="A4" s="186" t="s">
        <v>426</v>
      </c>
      <c r="B4" s="186" t="s">
        <v>366</v>
      </c>
      <c r="C4" s="138" t="s">
        <v>367</v>
      </c>
      <c r="D4" s="187" t="s">
        <v>368</v>
      </c>
      <c r="E4" s="187"/>
      <c r="F4" s="127" t="s">
        <v>369</v>
      </c>
      <c r="G4" s="126" t="s">
        <v>370</v>
      </c>
      <c r="H4" s="186" t="s">
        <v>371</v>
      </c>
      <c r="I4" s="186"/>
      <c r="J4" s="186"/>
      <c r="K4" s="186" t="s">
        <v>372</v>
      </c>
      <c r="L4" s="186"/>
      <c r="M4" s="186"/>
      <c r="N4" s="186" t="s">
        <v>373</v>
      </c>
      <c r="O4" s="186" t="s">
        <v>364</v>
      </c>
    </row>
    <row r="5" spans="1:15" ht="20.25" customHeight="1">
      <c r="A5" s="186"/>
      <c r="B5" s="186"/>
      <c r="C5" s="138" t="s">
        <v>374</v>
      </c>
      <c r="D5" s="141" t="s">
        <v>375</v>
      </c>
      <c r="E5" s="141" t="s">
        <v>376</v>
      </c>
      <c r="F5" s="127" t="s">
        <v>365</v>
      </c>
      <c r="G5" s="126" t="s">
        <v>377</v>
      </c>
      <c r="H5" s="138" t="s">
        <v>378</v>
      </c>
      <c r="I5" s="126" t="s">
        <v>379</v>
      </c>
      <c r="J5" s="126" t="s">
        <v>380</v>
      </c>
      <c r="K5" s="138" t="s">
        <v>378</v>
      </c>
      <c r="L5" s="126" t="s">
        <v>379</v>
      </c>
      <c r="M5" s="126" t="s">
        <v>380</v>
      </c>
      <c r="N5" s="186"/>
      <c r="O5" s="186"/>
    </row>
    <row r="6" spans="1:15" s="129" customFormat="1" ht="26.25" customHeight="1">
      <c r="A6" s="142" t="str">
        <f>Query!A3</f>
        <v>20000</v>
      </c>
      <c r="B6" s="142" t="str">
        <f>MID(Query!B3,1,2)</f>
        <v>B1</v>
      </c>
      <c r="C6" s="144" t="str">
        <f>MID(Query!B3,4,50)</f>
        <v>CP-13501-C4003</v>
      </c>
      <c r="D6" s="142" t="str">
        <f>Query!C3</f>
        <v>1- C5XFE-R /ST/</v>
      </c>
      <c r="E6" s="142" t="str">
        <f>Query!D3</f>
        <v>2 x 2 x 1.0  mm²</v>
      </c>
      <c r="F6" s="142" t="s">
        <v>260</v>
      </c>
      <c r="G6" s="142" t="str">
        <f>Query!E3</f>
        <v>30</v>
      </c>
      <c r="H6" s="146" t="str">
        <f>Query!F3</f>
        <v>B1-TCS-1301B-XD54</v>
      </c>
      <c r="I6" s="142" t="str">
        <f>Query!G3</f>
        <v>TCS I/O and marshaling cabinet</v>
      </c>
      <c r="J6" s="142" t="s">
        <v>2851</v>
      </c>
      <c r="K6" s="146" t="str">
        <f>Query!K3</f>
        <v>B1-CP-13501+ER-X100</v>
      </c>
      <c r="L6" s="142" t="str">
        <f>Query!L3</f>
        <v>BOX OF GEN.EXCITATION</v>
      </c>
      <c r="M6" s="142" t="s">
        <v>2851</v>
      </c>
      <c r="N6" s="128"/>
      <c r="O6" s="142" t="str">
        <f>Query!O3</f>
        <v>DSPW/SUPP.FI</v>
      </c>
    </row>
    <row r="7" spans="1:15" s="129" customFormat="1" ht="26.25" customHeight="1">
      <c r="A7" s="142" t="str">
        <f>Query!A4</f>
        <v>20001</v>
      </c>
      <c r="B7" s="142" t="str">
        <f>MID(Query!B4,1,2)</f>
        <v>B1</v>
      </c>
      <c r="C7" s="144" t="str">
        <f>MID(Query!B4,4,50)</f>
        <v>CP-13501-C4004</v>
      </c>
      <c r="D7" s="142" t="str">
        <f>Query!C4</f>
        <v>1- C5XFE-R /ST/</v>
      </c>
      <c r="E7" s="142" t="str">
        <f>Query!D4</f>
        <v>2 x 2 x 1.0  mm²</v>
      </c>
      <c r="F7" s="142" t="s">
        <v>260</v>
      </c>
      <c r="G7" s="142" t="str">
        <f>Query!E4</f>
        <v>30</v>
      </c>
      <c r="H7" s="146" t="str">
        <f>Query!F4</f>
        <v>B1-TCS-1301B-XD45</v>
      </c>
      <c r="I7" s="142" t="str">
        <f>Query!G4</f>
        <v>TCS I/O and marshaling cabinet</v>
      </c>
      <c r="J7" s="142" t="s">
        <v>2851</v>
      </c>
      <c r="K7" s="146" t="str">
        <f>Query!K4</f>
        <v>B1-CP-13501+ER-X110</v>
      </c>
      <c r="L7" s="142" t="str">
        <f>Query!L4</f>
        <v>BOX OF GEN.EXCITATION</v>
      </c>
      <c r="M7" s="142" t="s">
        <v>2851</v>
      </c>
      <c r="N7" s="128"/>
      <c r="O7" s="142" t="str">
        <f>Query!O4</f>
        <v>DSPW/SUPP.FI</v>
      </c>
    </row>
    <row r="8" spans="1:15" s="129" customFormat="1" ht="26.25" customHeight="1">
      <c r="A8" s="142" t="str">
        <f>Query!A5</f>
        <v>20002</v>
      </c>
      <c r="B8" s="142" t="str">
        <f>MID(Query!B5,1,2)</f>
        <v>B1</v>
      </c>
      <c r="C8" s="144" t="str">
        <f>MID(Query!B5,4,50)</f>
        <v>CP-13501-C4005</v>
      </c>
      <c r="D8" s="142" t="str">
        <f>Query!C5</f>
        <v>1- C5XFE-R /ST/</v>
      </c>
      <c r="E8" s="142" t="str">
        <f>Query!D5</f>
        <v>5 x 2 x 1.0  mm²</v>
      </c>
      <c r="F8" s="142" t="s">
        <v>260</v>
      </c>
      <c r="G8" s="142" t="str">
        <f>Query!E5</f>
        <v>30</v>
      </c>
      <c r="H8" s="146" t="str">
        <f>Query!F5</f>
        <v>B1-TCS-1301B-XD54</v>
      </c>
      <c r="I8" s="142" t="str">
        <f>Query!G5</f>
        <v>TCS I/O and marshaling cabinet</v>
      </c>
      <c r="J8" s="142" t="s">
        <v>2851</v>
      </c>
      <c r="K8" s="146" t="str">
        <f>Query!K5</f>
        <v>B1-CP-13501+ER-X200</v>
      </c>
      <c r="L8" s="142" t="str">
        <f>Query!L5</f>
        <v>BOX OF GEN.EXCITATION</v>
      </c>
      <c r="M8" s="142" t="s">
        <v>2851</v>
      </c>
      <c r="N8" s="128"/>
      <c r="O8" s="142" t="str">
        <f>Query!O5</f>
        <v>DSPW/SUPP.FI</v>
      </c>
    </row>
    <row r="9" spans="1:15" s="129" customFormat="1" ht="26.25" customHeight="1">
      <c r="A9" s="142" t="str">
        <f>Query!A6</f>
        <v>20003</v>
      </c>
      <c r="B9" s="142" t="str">
        <f>MID(Query!B6,1,2)</f>
        <v>B1</v>
      </c>
      <c r="C9" s="144" t="str">
        <f>MID(Query!B6,4,50)</f>
        <v>CP-13501-C4006</v>
      </c>
      <c r="D9" s="142" t="str">
        <f>Query!C6</f>
        <v>1- C5XFE-R /ST/</v>
      </c>
      <c r="E9" s="142" t="str">
        <f>Query!D6</f>
        <v>10 x 2 x 1.0  mm²</v>
      </c>
      <c r="F9" s="142" t="s">
        <v>260</v>
      </c>
      <c r="G9" s="142" t="str">
        <f>Query!E6</f>
        <v>30</v>
      </c>
      <c r="H9" s="146" t="str">
        <f>Query!F6</f>
        <v>B1-TCS-1301B-XD45</v>
      </c>
      <c r="I9" s="142" t="str">
        <f>Query!G6</f>
        <v>TCS I/O and marshaling cabinet</v>
      </c>
      <c r="J9" s="142" t="s">
        <v>2851</v>
      </c>
      <c r="K9" s="146" t="str">
        <f>Query!K6</f>
        <v>B1-CP-13501+ER-X210</v>
      </c>
      <c r="L9" s="142" t="str">
        <f>Query!L6</f>
        <v>BOX OF GEN.EXCITATION</v>
      </c>
      <c r="M9" s="142" t="s">
        <v>2851</v>
      </c>
      <c r="N9" s="128"/>
      <c r="O9" s="142" t="str">
        <f>Query!O6</f>
        <v>DSPW/SUPP.FI</v>
      </c>
    </row>
    <row r="10" spans="1:15" s="129" customFormat="1" ht="26.25" customHeight="1">
      <c r="A10" s="142" t="str">
        <f>Query!A7</f>
        <v>20004</v>
      </c>
      <c r="B10" s="142" t="str">
        <f>MID(Query!B7,1,2)</f>
        <v>B1</v>
      </c>
      <c r="C10" s="144" t="str">
        <f>MID(Query!B7,4,50)</f>
        <v>CP-13501-C4007</v>
      </c>
      <c r="D10" s="142" t="str">
        <f>Query!C7</f>
        <v>1- C5XFE-R /ST/</v>
      </c>
      <c r="E10" s="142" t="str">
        <f>Query!D7</f>
        <v>10 x 2 x 1.0  mm²</v>
      </c>
      <c r="F10" s="142" t="s">
        <v>260</v>
      </c>
      <c r="G10" s="142" t="str">
        <f>Query!E7</f>
        <v>30</v>
      </c>
      <c r="H10" s="146" t="str">
        <f>Query!F7</f>
        <v>B1-TCS-1301B-XD54</v>
      </c>
      <c r="I10" s="142" t="str">
        <f>Query!G7</f>
        <v>TCS I/O and marshaling cabinet</v>
      </c>
      <c r="J10" s="142" t="s">
        <v>2851</v>
      </c>
      <c r="K10" s="146" t="str">
        <f>Query!K7</f>
        <v>B1-CP-13501+ER-X300</v>
      </c>
      <c r="L10" s="142" t="str">
        <f>Query!L7</f>
        <v>BOX OF GEN.EXCITATION</v>
      </c>
      <c r="M10" s="142" t="s">
        <v>2851</v>
      </c>
      <c r="N10" s="128"/>
      <c r="O10" s="142" t="str">
        <f>Query!O7</f>
        <v>DSPW/SUPP.FI</v>
      </c>
    </row>
    <row r="11" spans="1:15" s="129" customFormat="1" ht="26.25" customHeight="1">
      <c r="A11" s="142" t="str">
        <f>Query!A8</f>
        <v>20005</v>
      </c>
      <c r="B11" s="142" t="str">
        <f>MID(Query!B8,1,2)</f>
        <v>B1</v>
      </c>
      <c r="C11" s="144" t="str">
        <f>MID(Query!B8,4,50)</f>
        <v>CP-13501-C4008</v>
      </c>
      <c r="D11" s="142" t="str">
        <f>Query!C8</f>
        <v>1- C5XFE-R /ST/</v>
      </c>
      <c r="E11" s="142" t="str">
        <f>Query!D8</f>
        <v>10 x 2 x 1.0  mm²</v>
      </c>
      <c r="F11" s="142" t="s">
        <v>260</v>
      </c>
      <c r="G11" s="142" t="str">
        <f>Query!E8</f>
        <v>30</v>
      </c>
      <c r="H11" s="146" t="str">
        <f>Query!F8</f>
        <v>B1-TCS-1301B-XD45</v>
      </c>
      <c r="I11" s="142" t="str">
        <f>Query!G8</f>
        <v>TCS I/O and marshaling cabinet</v>
      </c>
      <c r="J11" s="142" t="s">
        <v>2851</v>
      </c>
      <c r="K11" s="146" t="str">
        <f>Query!K8</f>
        <v>B1-CP-13501+ER-X310</v>
      </c>
      <c r="L11" s="142" t="str">
        <f>Query!L8</f>
        <v>BOX OF GEN.EXCITATION</v>
      </c>
      <c r="M11" s="142" t="s">
        <v>2851</v>
      </c>
      <c r="N11" s="128"/>
      <c r="O11" s="142" t="str">
        <f>Query!O8</f>
        <v>DSPW/SUPP.FI</v>
      </c>
    </row>
    <row r="12" spans="1:15" s="129" customFormat="1" ht="26.25" customHeight="1">
      <c r="A12" s="142" t="str">
        <f>Query!A9</f>
        <v>20006</v>
      </c>
      <c r="B12" s="142" t="str">
        <f>MID(Query!B9,1,2)</f>
        <v>B1</v>
      </c>
      <c r="C12" s="144" t="str">
        <f>MID(Query!B9,4,50)</f>
        <v>CP-13501-I6001</v>
      </c>
      <c r="D12" s="142" t="str">
        <f>Query!C9</f>
        <v>1- C5XFE-R /ST/</v>
      </c>
      <c r="E12" s="142" t="str">
        <f>Query!D9</f>
        <v>2 x 2 x 1.0  mm²</v>
      </c>
      <c r="F12" s="142" t="s">
        <v>385</v>
      </c>
      <c r="G12" s="142" t="str">
        <f>Query!E9</f>
        <v>30</v>
      </c>
      <c r="H12" s="146" t="str">
        <f>Query!F9</f>
        <v>B1-TCS-1301B-XD44</v>
      </c>
      <c r="I12" s="142" t="str">
        <f>Query!G9</f>
        <v>TCS I/O and marshaling cabinet</v>
      </c>
      <c r="J12" s="142" t="s">
        <v>2851</v>
      </c>
      <c r="K12" s="146" t="str">
        <f>Query!K9</f>
        <v>B1-CP-13501+ER-U514</v>
      </c>
      <c r="L12" s="142" t="str">
        <f>Query!L9</f>
        <v>BOX OF GEN.EXCITATION</v>
      </c>
      <c r="M12" s="142" t="s">
        <v>2851</v>
      </c>
      <c r="N12" s="128"/>
      <c r="O12" s="142" t="str">
        <f>Query!O9</f>
        <v>DSPW/SUPP.FI</v>
      </c>
    </row>
    <row r="13" spans="1:15" s="129" customFormat="1" ht="26.25" customHeight="1">
      <c r="A13" s="142" t="str">
        <f>Query!A10</f>
        <v>20007</v>
      </c>
      <c r="B13" s="142" t="str">
        <f>MID(Query!B10,1,2)</f>
        <v>B1</v>
      </c>
      <c r="C13" s="144" t="str">
        <f>MID(Query!B10,4,50)</f>
        <v>CP-13501-I6003</v>
      </c>
      <c r="D13" s="142" t="str">
        <f>Query!C10</f>
        <v>1- C5XFE-R /ST/</v>
      </c>
      <c r="E13" s="142" t="str">
        <f>Query!D10</f>
        <v>2 x 2 x 1.0  mm²</v>
      </c>
      <c r="F13" s="142" t="s">
        <v>385</v>
      </c>
      <c r="G13" s="142" t="str">
        <f>Query!E10</f>
        <v>30</v>
      </c>
      <c r="H13" s="146" t="str">
        <f>Query!F10</f>
        <v>B1-TCS-1301B-XD44</v>
      </c>
      <c r="I13" s="142" t="str">
        <f>Query!G10</f>
        <v>TCS I/O and marshaling cabinet</v>
      </c>
      <c r="J13" s="142" t="s">
        <v>2851</v>
      </c>
      <c r="K13" s="146" t="str">
        <f>Query!K10</f>
        <v>B1-CP-13501+ER-U501</v>
      </c>
      <c r="L13" s="142" t="str">
        <f>Query!L10</f>
        <v>BOX OF GEN.EXCITATION</v>
      </c>
      <c r="M13" s="142" t="s">
        <v>2851</v>
      </c>
      <c r="N13" s="128"/>
      <c r="O13" s="142" t="str">
        <f>Query!O10</f>
        <v>DSPW/SUPP.FI</v>
      </c>
    </row>
    <row r="14" spans="1:15" s="129" customFormat="1" ht="26.25" customHeight="1">
      <c r="A14" s="142" t="str">
        <f>Query!A11</f>
        <v>20008</v>
      </c>
      <c r="B14" s="142" t="str">
        <f>MID(Query!B11,1,2)</f>
        <v>B1</v>
      </c>
      <c r="C14" s="144" t="str">
        <f>MID(Query!B11,4,50)</f>
        <v>CP-13701-C4006</v>
      </c>
      <c r="D14" s="142" t="str">
        <f>Query!C11</f>
        <v>1- C5XFE-R /ST/</v>
      </c>
      <c r="E14" s="142" t="str">
        <f>Query!D11</f>
        <v>5 x 2 x 1.0  mm²</v>
      </c>
      <c r="F14" s="142" t="s">
        <v>260</v>
      </c>
      <c r="G14" s="142" t="str">
        <f>Query!E11</f>
        <v>30</v>
      </c>
      <c r="H14" s="146" t="str">
        <f>Query!F11</f>
        <v>B1-TCS-1301B-XD52</v>
      </c>
      <c r="I14" s="142" t="str">
        <f>Query!G11</f>
        <v>TCS I/O and marshaling cabinet</v>
      </c>
      <c r="J14" s="142" t="s">
        <v>2851</v>
      </c>
      <c r="K14" s="146" t="str">
        <f>Query!K11</f>
        <v>B1-CP-13701-XC4</v>
      </c>
      <c r="L14" s="142" t="str">
        <f>Query!L11</f>
        <v>BOX OF GEN.AVR, SYNCHR.AND MEAS.</v>
      </c>
      <c r="M14" s="142" t="s">
        <v>2851</v>
      </c>
      <c r="N14" s="128"/>
      <c r="O14" s="142" t="str">
        <f>Query!O11</f>
        <v>DSPW/SUPP.FI</v>
      </c>
    </row>
    <row r="15" spans="1:15" s="129" customFormat="1" ht="26.25" customHeight="1">
      <c r="A15" s="142" t="str">
        <f>Query!A12</f>
        <v>20009</v>
      </c>
      <c r="B15" s="142" t="str">
        <f>MID(Query!B12,1,2)</f>
        <v>B1</v>
      </c>
      <c r="C15" s="144" t="str">
        <f>MID(Query!B12,4,50)</f>
        <v>CP-13701-C4008</v>
      </c>
      <c r="D15" s="142" t="str">
        <f>Query!C12</f>
        <v>1- C5XFE-R /ST/</v>
      </c>
      <c r="E15" s="142" t="str">
        <f>Query!D12</f>
        <v>5 x 2 x 1.0  mm²</v>
      </c>
      <c r="F15" s="142" t="s">
        <v>260</v>
      </c>
      <c r="G15" s="142" t="str">
        <f>Query!E12</f>
        <v>30</v>
      </c>
      <c r="H15" s="146" t="str">
        <f>Query!F12</f>
        <v>B1-TCS-1301B-XD42</v>
      </c>
      <c r="I15" s="142" t="str">
        <f>Query!G12</f>
        <v>TCS I/O and marshaling cabinet</v>
      </c>
      <c r="J15" s="142" t="s">
        <v>2851</v>
      </c>
      <c r="K15" s="146" t="str">
        <f>Query!K12</f>
        <v>B1-CP-13701-XS4</v>
      </c>
      <c r="L15" s="142" t="str">
        <f>Query!L12</f>
        <v>BOX OF GEN.AVR, SYNCHR.AND MEAS.</v>
      </c>
      <c r="M15" s="142" t="s">
        <v>2851</v>
      </c>
      <c r="N15" s="128"/>
      <c r="O15" s="142" t="str">
        <f>Query!O12</f>
        <v>DSPW/SUPP.FI</v>
      </c>
    </row>
    <row r="16" spans="1:15" s="129" customFormat="1" ht="26.25" customHeight="1">
      <c r="A16" s="142" t="str">
        <f>Query!A13</f>
        <v>20010</v>
      </c>
      <c r="B16" s="142" t="str">
        <f>MID(Query!B13,1,2)</f>
        <v>B1</v>
      </c>
      <c r="C16" s="144" t="str">
        <f>MID(Query!B13,4,50)</f>
        <v>CP-13701-C4010</v>
      </c>
      <c r="D16" s="142" t="str">
        <f>Query!C13</f>
        <v>1- C5XFE-R /ST/</v>
      </c>
      <c r="E16" s="142" t="str">
        <f>Query!D13</f>
        <v>5 x 2 x 1.0  mm²</v>
      </c>
      <c r="F16" s="142" t="s">
        <v>260</v>
      </c>
      <c r="G16" s="142" t="str">
        <f>Query!E13</f>
        <v>30</v>
      </c>
      <c r="H16" s="146" t="str">
        <f>Query!F13</f>
        <v>B1-TCS-1301B-XD42</v>
      </c>
      <c r="I16" s="142" t="str">
        <f>Query!G13</f>
        <v>TCS I/O and marshaling cabinet</v>
      </c>
      <c r="J16" s="142" t="s">
        <v>2851</v>
      </c>
      <c r="K16" s="146" t="str">
        <f>Query!K13</f>
        <v>B1-CP-13701-XS4</v>
      </c>
      <c r="L16" s="142" t="str">
        <f>Query!L13</f>
        <v>BOX OF GEN.AVR, SYNCHR.AND MEAS.</v>
      </c>
      <c r="M16" s="142" t="s">
        <v>2851</v>
      </c>
      <c r="N16" s="128"/>
      <c r="O16" s="142" t="str">
        <f>Query!O13</f>
        <v>DSPW/SUPP.FI</v>
      </c>
    </row>
    <row r="17" spans="1:15" s="129" customFormat="1" ht="26.25" customHeight="1">
      <c r="A17" s="142" t="str">
        <f>Query!A14</f>
        <v>20011</v>
      </c>
      <c r="B17" s="142" t="str">
        <f>MID(Query!B14,1,2)</f>
        <v>B1</v>
      </c>
      <c r="C17" s="144" t="str">
        <f>MID(Query!B14,4,50)</f>
        <v>CP-13701-C4011</v>
      </c>
      <c r="D17" s="142" t="str">
        <f>Query!C14</f>
        <v>1- C5XFE-R /ST/</v>
      </c>
      <c r="E17" s="142" t="str">
        <f>Query!D14</f>
        <v>5 x 2 x 1.0  mm²</v>
      </c>
      <c r="F17" s="142" t="s">
        <v>260</v>
      </c>
      <c r="G17" s="142" t="str">
        <f>Query!E14</f>
        <v>30</v>
      </c>
      <c r="H17" s="146" t="str">
        <f>Query!F14</f>
        <v>B1-TCS-1301B-XD42</v>
      </c>
      <c r="I17" s="142" t="str">
        <f>Query!G14</f>
        <v>TCS I/O and marshaling cabinet</v>
      </c>
      <c r="J17" s="142" t="s">
        <v>2851</v>
      </c>
      <c r="K17" s="146" t="str">
        <f>Query!K14</f>
        <v>B1-CP-13701-XS4</v>
      </c>
      <c r="L17" s="142" t="str">
        <f>Query!L14</f>
        <v>BOX OF GEN.AVR, SYNCHR.AND MEAS.</v>
      </c>
      <c r="M17" s="142" t="s">
        <v>2851</v>
      </c>
      <c r="N17" s="128"/>
      <c r="O17" s="142" t="str">
        <f>Query!O14</f>
        <v>DSPW/SUPP.FI</v>
      </c>
    </row>
    <row r="18" spans="1:15" s="129" customFormat="1" ht="26.25" customHeight="1">
      <c r="A18" s="142" t="str">
        <f>Query!A15</f>
        <v>20012</v>
      </c>
      <c r="B18" s="142" t="str">
        <f>MID(Query!B15,1,2)</f>
        <v>B1</v>
      </c>
      <c r="C18" s="144" t="str">
        <f>MID(Query!B15,4,50)</f>
        <v>CP-13701-I6001</v>
      </c>
      <c r="D18" s="142" t="str">
        <f>Query!C15</f>
        <v>1- C5XFE-R /ST/</v>
      </c>
      <c r="E18" s="142" t="str">
        <f>Query!D15</f>
        <v>2 x 2 x 1.0  mm²</v>
      </c>
      <c r="F18" s="142" t="s">
        <v>385</v>
      </c>
      <c r="G18" s="142" t="str">
        <f>Query!E15</f>
        <v>30</v>
      </c>
      <c r="H18" s="146" t="str">
        <f>Query!F15</f>
        <v>B1-TCS-1301B-XA10</v>
      </c>
      <c r="I18" s="142" t="str">
        <f>Query!G15</f>
        <v>TCS I/O and marshaling cabinet</v>
      </c>
      <c r="J18" s="142" t="s">
        <v>2851</v>
      </c>
      <c r="K18" s="146" t="str">
        <f>Query!K15</f>
        <v>B1-CP-13701-XP1</v>
      </c>
      <c r="L18" s="142" t="str">
        <f>Query!L15</f>
        <v>BOX OF GEN.AVR, SYNCHR.AND MEAS.</v>
      </c>
      <c r="M18" s="142" t="s">
        <v>2851</v>
      </c>
      <c r="N18" s="128"/>
      <c r="O18" s="142" t="str">
        <f>Query!O15</f>
        <v>DSPW/SUPP.FI</v>
      </c>
    </row>
    <row r="19" spans="1:15" s="129" customFormat="1" ht="26.25" customHeight="1">
      <c r="A19" s="142" t="str">
        <f>Query!A16</f>
        <v>20013</v>
      </c>
      <c r="B19" s="142" t="str">
        <f>MID(Query!B16,1,2)</f>
        <v>B1</v>
      </c>
      <c r="C19" s="144" t="str">
        <f>MID(Query!B16,4,50)</f>
        <v>CP-13701-I6002</v>
      </c>
      <c r="D19" s="142" t="str">
        <f>Query!C16</f>
        <v>1- C5XFE-R /ST/</v>
      </c>
      <c r="E19" s="142" t="str">
        <f>Query!D16</f>
        <v>2 x 2 x 1.0  mm²</v>
      </c>
      <c r="F19" s="142" t="s">
        <v>385</v>
      </c>
      <c r="G19" s="142" t="str">
        <f>Query!E16</f>
        <v>30</v>
      </c>
      <c r="H19" s="146" t="str">
        <f>Query!F16</f>
        <v>B1-TCS-1301B-XA10</v>
      </c>
      <c r="I19" s="142" t="str">
        <f>Query!G16</f>
        <v>TCS I/O and marshaling cabinet</v>
      </c>
      <c r="J19" s="142" t="s">
        <v>2851</v>
      </c>
      <c r="K19" s="146" t="str">
        <f>Query!K16</f>
        <v>B1-CP-13701-XP1</v>
      </c>
      <c r="L19" s="142" t="str">
        <f>Query!L16</f>
        <v>BOX OF GEN.AVR, SYNCHR.AND MEAS.</v>
      </c>
      <c r="M19" s="142" t="s">
        <v>2851</v>
      </c>
      <c r="N19" s="128"/>
      <c r="O19" s="142" t="str">
        <f>Query!O16</f>
        <v>DSPW/SUPP.FI</v>
      </c>
    </row>
    <row r="20" spans="1:15" s="129" customFormat="1" ht="26.25" customHeight="1">
      <c r="A20" s="142" t="str">
        <f>Query!A17</f>
        <v>20014</v>
      </c>
      <c r="B20" s="142" t="str">
        <f>MID(Query!B17,1,2)</f>
        <v>B1</v>
      </c>
      <c r="C20" s="144" t="str">
        <f>MID(Query!B17,4,50)</f>
        <v>LS-13101-C4001</v>
      </c>
      <c r="D20" s="142" t="str">
        <f>Query!C17</f>
        <v>Cu</v>
      </c>
      <c r="E20" s="142" t="str">
        <f>Query!D17</f>
        <v>2 x 2 x 0,75  mm²</v>
      </c>
      <c r="F20" s="142" t="s">
        <v>260</v>
      </c>
      <c r="G20" s="142" t="str">
        <f>Query!E17</f>
        <v>20</v>
      </c>
      <c r="H20" s="146" t="str">
        <f>Query!F17</f>
        <v>B1-JBAY-1341-X01</v>
      </c>
      <c r="I20" s="142" t="str">
        <f>Query!G17</f>
        <v>JB HPH FI</v>
      </c>
      <c r="J20" s="142" t="s">
        <v>2852</v>
      </c>
      <c r="K20" s="146" t="str">
        <f>Query!K17</f>
        <v>B1-LS-13101-B01</v>
      </c>
      <c r="L20" s="142" t="str">
        <f>Query!L17</f>
        <v>LEVEL 1.2 IN CONTROL OIL TANK</v>
      </c>
      <c r="M20" s="142" t="s">
        <v>2852</v>
      </c>
      <c r="N20" s="128"/>
      <c r="O20" s="142" t="str">
        <f>Query!O17</f>
        <v>DSPW/SKID</v>
      </c>
    </row>
    <row r="21" spans="1:15" s="129" customFormat="1" ht="26.25" customHeight="1">
      <c r="A21" s="142" t="str">
        <f>Query!A18</f>
        <v>20015</v>
      </c>
      <c r="B21" s="142" t="str">
        <f>MID(Query!B18,1,2)</f>
        <v>B1</v>
      </c>
      <c r="C21" s="144" t="str">
        <f>MID(Query!B18,4,50)</f>
        <v>LS-13101-C4002</v>
      </c>
      <c r="D21" s="142" t="str">
        <f>Query!C18</f>
        <v>Cu</v>
      </c>
      <c r="E21" s="142" t="str">
        <f>Query!D18</f>
        <v>2 x 2 x 0,75  mm²</v>
      </c>
      <c r="F21" s="142" t="s">
        <v>260</v>
      </c>
      <c r="G21" s="142" t="str">
        <f>Query!E18</f>
        <v>20</v>
      </c>
      <c r="H21" s="146" t="str">
        <f>Query!F18</f>
        <v>B1-JBAY-1341-X01</v>
      </c>
      <c r="I21" s="142" t="str">
        <f>Query!G18</f>
        <v>JB HPH FI</v>
      </c>
      <c r="J21" s="142" t="s">
        <v>2852</v>
      </c>
      <c r="K21" s="146" t="str">
        <f>Query!K18</f>
        <v>B1-LS-13101-B01</v>
      </c>
      <c r="L21" s="142" t="str">
        <f>Query!L18</f>
        <v>LEVEL 1.2 IN CONTROL OIL TANK</v>
      </c>
      <c r="M21" s="142" t="s">
        <v>2852</v>
      </c>
      <c r="N21" s="128"/>
      <c r="O21" s="142" t="str">
        <f>Query!O18</f>
        <v>DSPW/SKID</v>
      </c>
    </row>
    <row r="22" spans="1:15" s="129" customFormat="1" ht="26.25" customHeight="1">
      <c r="A22" s="142" t="str">
        <f>Query!A19</f>
        <v>20016</v>
      </c>
      <c r="B22" s="142" t="str">
        <f>MID(Query!B19,1,2)</f>
        <v>B1</v>
      </c>
      <c r="C22" s="144" t="str">
        <f>MID(Query!B19,4,50)</f>
        <v>LS-13102B-C4001</v>
      </c>
      <c r="D22" s="142" t="str">
        <f>Query!C19</f>
        <v>Cu</v>
      </c>
      <c r="E22" s="142" t="str">
        <f>Query!D19</f>
        <v>2 x 2 x 0,75  mm²</v>
      </c>
      <c r="F22" s="142" t="s">
        <v>260</v>
      </c>
      <c r="G22" s="142" t="str">
        <f>Query!E19</f>
        <v>20</v>
      </c>
      <c r="H22" s="146" t="str">
        <f>Query!F19</f>
        <v>B1-JBAY-1341-X01</v>
      </c>
      <c r="I22" s="142" t="str">
        <f>Query!G19</f>
        <v>JB HPH FI</v>
      </c>
      <c r="J22" s="142" t="s">
        <v>2852</v>
      </c>
      <c r="K22" s="146" t="str">
        <f>Query!K19</f>
        <v>B1-LS-13102B-B01</v>
      </c>
      <c r="L22" s="142" t="str">
        <f>Query!L19</f>
        <v>LEVEL 2 IN CONTROL OIL TANK</v>
      </c>
      <c r="M22" s="142" t="s">
        <v>2852</v>
      </c>
      <c r="N22" s="128"/>
      <c r="O22" s="142" t="str">
        <f>Query!O19</f>
        <v>DSPW/SKID</v>
      </c>
    </row>
    <row r="23" spans="1:15" s="129" customFormat="1" ht="26.25" customHeight="1">
      <c r="A23" s="142" t="str">
        <f>Query!A20</f>
        <v>20017</v>
      </c>
      <c r="B23" s="142" t="str">
        <f>MID(Query!B20,1,2)</f>
        <v>B1</v>
      </c>
      <c r="C23" s="144" t="str">
        <f>MID(Query!B20,4,50)</f>
        <v>LS-13102C-C4001</v>
      </c>
      <c r="D23" s="142" t="str">
        <f>Query!C20</f>
        <v>Cu</v>
      </c>
      <c r="E23" s="142" t="str">
        <f>Query!D20</f>
        <v>2 x 2 x 0,75  mm²</v>
      </c>
      <c r="F23" s="142" t="s">
        <v>260</v>
      </c>
      <c r="G23" s="142" t="str">
        <f>Query!E20</f>
        <v>20</v>
      </c>
      <c r="H23" s="146" t="str">
        <f>Query!F20</f>
        <v>B1-JBAY-1341-X01</v>
      </c>
      <c r="I23" s="142" t="str">
        <f>Query!G20</f>
        <v>JB HPH FI</v>
      </c>
      <c r="J23" s="142" t="s">
        <v>2852</v>
      </c>
      <c r="K23" s="146" t="str">
        <f>Query!K20</f>
        <v>B1-LS-13102C-B01</v>
      </c>
      <c r="L23" s="142" t="str">
        <f>Query!L20</f>
        <v>LEVEL 3 IN CONTROL OIL TANK</v>
      </c>
      <c r="M23" s="142" t="s">
        <v>2852</v>
      </c>
      <c r="N23" s="128"/>
      <c r="O23" s="142" t="str">
        <f>Query!O20</f>
        <v>DSPW/SKID</v>
      </c>
    </row>
    <row r="24" spans="1:15" s="129" customFormat="1" ht="26.25" customHeight="1">
      <c r="A24" s="142" t="str">
        <f>Query!A21</f>
        <v>20018</v>
      </c>
      <c r="B24" s="142" t="str">
        <f>MID(Query!B21,1,2)</f>
        <v>B1</v>
      </c>
      <c r="C24" s="144" t="str">
        <f>MID(Query!B21,4,50)</f>
        <v>LSH-13001-401</v>
      </c>
      <c r="D24" s="142" t="str">
        <f>Query!C21</f>
        <v>MEGAFLEX500</v>
      </c>
      <c r="E24" s="142" t="str">
        <f>Query!D21</f>
        <v>2 x 2 x 0,75  mm²</v>
      </c>
      <c r="F24" s="142" t="s">
        <v>385</v>
      </c>
      <c r="G24" s="142" t="str">
        <f>Query!E21</f>
        <v>20</v>
      </c>
      <c r="H24" s="146" t="str">
        <f>Query!F21</f>
        <v>B1JBA-1301-X05</v>
      </c>
      <c r="I24" s="142" t="str">
        <f>Query!G21</f>
        <v>Generator JB</v>
      </c>
      <c r="J24" s="142" t="s">
        <v>2852</v>
      </c>
      <c r="K24" s="146" t="str">
        <f>Query!K21</f>
        <v>B1-LSH-13001-B01</v>
      </c>
      <c r="L24" s="142" t="str">
        <f>Query!L21</f>
        <v>LVL.WATER LEAKAGE GEN COOLER - TE</v>
      </c>
      <c r="M24" s="142" t="s">
        <v>2852</v>
      </c>
      <c r="N24" s="128"/>
      <c r="O24" s="142" t="str">
        <f>Query!O21</f>
        <v>DSPW/SKID</v>
      </c>
    </row>
    <row r="25" spans="1:15" s="129" customFormat="1" ht="26.25" customHeight="1">
      <c r="A25" s="142" t="str">
        <f>Query!A22</f>
        <v>20019</v>
      </c>
      <c r="B25" s="142" t="str">
        <f>MID(Query!B22,1,2)</f>
        <v>B1</v>
      </c>
      <c r="C25" s="144" t="str">
        <f>MID(Query!B22,4,50)</f>
        <v>LSH-13002-401</v>
      </c>
      <c r="D25" s="142" t="str">
        <f>Query!C22</f>
        <v>MEGAFLEX500</v>
      </c>
      <c r="E25" s="142" t="str">
        <f>Query!D22</f>
        <v>2 x 2 x 0,75  mm²</v>
      </c>
      <c r="F25" s="142" t="s">
        <v>385</v>
      </c>
      <c r="G25" s="142" t="str">
        <f>Query!E22</f>
        <v>20</v>
      </c>
      <c r="H25" s="146" t="str">
        <f>Query!F22</f>
        <v>B1JBA-1301-X05</v>
      </c>
      <c r="I25" s="142" t="str">
        <f>Query!G22</f>
        <v>Generator JB</v>
      </c>
      <c r="J25" s="142" t="s">
        <v>2852</v>
      </c>
      <c r="K25" s="146" t="str">
        <f>Query!K22</f>
        <v>B1-LSH-13002-B01</v>
      </c>
      <c r="L25" s="142" t="str">
        <f>Query!L22</f>
        <v>LVL.WATER LEAKAGE GEN COOLER - TE</v>
      </c>
      <c r="M25" s="142" t="s">
        <v>2852</v>
      </c>
      <c r="N25" s="128"/>
      <c r="O25" s="142" t="str">
        <f>Query!O22</f>
        <v>DSPW/SKID</v>
      </c>
    </row>
    <row r="26" spans="1:15" s="129" customFormat="1" ht="26.25" customHeight="1">
      <c r="A26" s="142" t="str">
        <f>Query!A23</f>
        <v>20020</v>
      </c>
      <c r="B26" s="142" t="str">
        <f>MID(Query!B23,1,2)</f>
        <v>B1</v>
      </c>
      <c r="C26" s="144" t="str">
        <f>MID(Query!B23,4,50)</f>
        <v>LSH-13003-401</v>
      </c>
      <c r="D26" s="142" t="str">
        <f>Query!C23</f>
        <v>MEGAFLEX500</v>
      </c>
      <c r="E26" s="142" t="str">
        <f>Query!D23</f>
        <v>2 x 2 x 0,75  mm²</v>
      </c>
      <c r="F26" s="142" t="s">
        <v>385</v>
      </c>
      <c r="G26" s="142" t="str">
        <f>Query!E23</f>
        <v>20</v>
      </c>
      <c r="H26" s="146" t="str">
        <f>Query!F23</f>
        <v>B1JBA-1301-X05</v>
      </c>
      <c r="I26" s="142" t="str">
        <f>Query!G23</f>
        <v>Generator JB</v>
      </c>
      <c r="J26" s="142" t="s">
        <v>2852</v>
      </c>
      <c r="K26" s="146" t="str">
        <f>Query!K23</f>
        <v>B1-LSH-13003-B01</v>
      </c>
      <c r="L26" s="142" t="str">
        <f>Query!L23</f>
        <v>LVL.WATER LEAKAGE GEN COOLER - EE</v>
      </c>
      <c r="M26" s="142" t="s">
        <v>2852</v>
      </c>
      <c r="N26" s="128"/>
      <c r="O26" s="142" t="str">
        <f>Query!O23</f>
        <v>DSPW/SKID</v>
      </c>
    </row>
    <row r="27" spans="1:15" s="129" customFormat="1" ht="26.25" customHeight="1">
      <c r="A27" s="142" t="str">
        <f>Query!A24</f>
        <v>20021</v>
      </c>
      <c r="B27" s="142" t="str">
        <f>MID(Query!B24,1,2)</f>
        <v>B1</v>
      </c>
      <c r="C27" s="144" t="str">
        <f>MID(Query!B24,4,50)</f>
        <v>LSH-13004-401</v>
      </c>
      <c r="D27" s="142" t="str">
        <f>Query!C24</f>
        <v>MEGAFLEX500</v>
      </c>
      <c r="E27" s="142" t="str">
        <f>Query!D24</f>
        <v>2 x 2 x 0,75  mm²</v>
      </c>
      <c r="F27" s="142" t="s">
        <v>385</v>
      </c>
      <c r="G27" s="142" t="str">
        <f>Query!E24</f>
        <v>20</v>
      </c>
      <c r="H27" s="146" t="str">
        <f>Query!F24</f>
        <v>B1JBA-1301-X05</v>
      </c>
      <c r="I27" s="142" t="str">
        <f>Query!G24</f>
        <v>Generator JB</v>
      </c>
      <c r="J27" s="142" t="s">
        <v>2852</v>
      </c>
      <c r="K27" s="146" t="str">
        <f>Query!K24</f>
        <v>B1-LSH-13004-B01</v>
      </c>
      <c r="L27" s="142" t="str">
        <f>Query!L24</f>
        <v>LVL.WATER LEAKAGE GEN COOLER - EE</v>
      </c>
      <c r="M27" s="142" t="s">
        <v>2852</v>
      </c>
      <c r="N27" s="128"/>
      <c r="O27" s="142" t="str">
        <f>Query!O24</f>
        <v>DSPW/SKID</v>
      </c>
    </row>
    <row r="28" spans="1:15" s="129" customFormat="1" ht="26.25" customHeight="1">
      <c r="A28" s="142" t="str">
        <f>Query!A25</f>
        <v>20022</v>
      </c>
      <c r="B28" s="142" t="str">
        <f>MID(Query!B25,1,2)</f>
        <v>B1</v>
      </c>
      <c r="C28" s="144" t="str">
        <f>MID(Query!B25,4,50)</f>
        <v>LSH-13236-I6001</v>
      </c>
      <c r="D28" s="142" t="str">
        <f>Query!C25</f>
        <v>1- C5XFE-R /ST/</v>
      </c>
      <c r="E28" s="142" t="str">
        <f>Query!D25</f>
        <v>2 x 2 x 1.0  mm²</v>
      </c>
      <c r="F28" s="142" t="s">
        <v>385</v>
      </c>
      <c r="G28" s="142" t="str">
        <f>Query!E25</f>
        <v>100</v>
      </c>
      <c r="H28" s="146" t="str">
        <f>Query!F25</f>
        <v>B1JBA-1309-TB2</v>
      </c>
      <c r="I28" s="142" t="str">
        <f>Query!G25</f>
        <v>Junction box IOS</v>
      </c>
      <c r="J28" s="142" t="s">
        <v>2852</v>
      </c>
      <c r="K28" s="146" t="str">
        <f>Query!K25</f>
        <v>B1-LSH-13236-B01</v>
      </c>
      <c r="L28" s="142" t="str">
        <f>Query!L25</f>
        <v>LVL.COLLECTING OIL SUMP</v>
      </c>
      <c r="M28" s="142" t="s">
        <v>2852</v>
      </c>
      <c r="N28" s="128"/>
      <c r="O28" s="142" t="str">
        <f>Query!O25</f>
        <v>DSPW/SKID</v>
      </c>
    </row>
    <row r="29" spans="1:15" s="129" customFormat="1" ht="26.25" customHeight="1">
      <c r="A29" s="142" t="str">
        <f>Query!A26</f>
        <v>20023</v>
      </c>
      <c r="B29" s="142" t="str">
        <f>MID(Query!B26,1,2)</f>
        <v>B1</v>
      </c>
      <c r="C29" s="144" t="str">
        <f>MID(Query!B26,4,50)</f>
        <v>MS-13701-C4001</v>
      </c>
      <c r="D29" s="142" t="str">
        <f>Query!C26</f>
        <v>1- C5XFE-R /ST/</v>
      </c>
      <c r="E29" s="142" t="str">
        <f>Query!D26</f>
        <v>2 x 2 x 1.0  mm²</v>
      </c>
      <c r="F29" s="142" t="s">
        <v>260</v>
      </c>
      <c r="G29" s="142" t="str">
        <f>Query!E26</f>
        <v>30</v>
      </c>
      <c r="H29" s="146" t="str">
        <f>Query!F26</f>
        <v>B1-TCS-1301C-XD33</v>
      </c>
      <c r="I29" s="142" t="str">
        <f>Query!G26</f>
        <v>TPS I/O and marshaling cabinet</v>
      </c>
      <c r="J29" s="142" t="s">
        <v>2851</v>
      </c>
      <c r="K29" s="146" t="str">
        <f>Query!K26</f>
        <v>B1-MS-13701-X95</v>
      </c>
      <c r="L29" s="142" t="str">
        <f>Query!L26</f>
        <v>BOX OF DC STARTER</v>
      </c>
      <c r="M29" s="142" t="s">
        <v>2851</v>
      </c>
      <c r="N29" s="128"/>
      <c r="O29" s="142" t="str">
        <f>Query!O26</f>
        <v>DSPW/SUPP.FI</v>
      </c>
    </row>
    <row r="30" spans="1:15" s="129" customFormat="1" ht="26.25" customHeight="1">
      <c r="A30" s="142" t="str">
        <f>Query!A27</f>
        <v>20024</v>
      </c>
      <c r="B30" s="142" t="str">
        <f>MID(Query!B27,1,2)</f>
        <v>B1</v>
      </c>
      <c r="C30" s="144" t="str">
        <f>MID(Query!B27,4,50)</f>
        <v>MS-13701-C4002</v>
      </c>
      <c r="D30" s="142" t="str">
        <f>Query!C27</f>
        <v>1- C5XFE-R /ST/</v>
      </c>
      <c r="E30" s="142" t="str">
        <f>Query!D27</f>
        <v>2 x 2 x 1.0  mm²</v>
      </c>
      <c r="F30" s="142" t="s">
        <v>260</v>
      </c>
      <c r="G30" s="142" t="str">
        <f>Query!E27</f>
        <v>30</v>
      </c>
      <c r="H30" s="146" t="str">
        <f>Query!F27</f>
        <v>B1-TCS-1301C-XD33</v>
      </c>
      <c r="I30" s="142" t="str">
        <f>Query!G27</f>
        <v>TPS I/O and marshaling cabinet</v>
      </c>
      <c r="J30" s="142" t="s">
        <v>2851</v>
      </c>
      <c r="K30" s="146" t="str">
        <f>Query!K27</f>
        <v>B1-MS-13701-X95</v>
      </c>
      <c r="L30" s="142" t="str">
        <f>Query!L27</f>
        <v>BOX OF DC STARTER</v>
      </c>
      <c r="M30" s="142" t="s">
        <v>2851</v>
      </c>
      <c r="N30" s="128"/>
      <c r="O30" s="142" t="str">
        <f>Query!O27</f>
        <v>DSPW/SUPP.FI</v>
      </c>
    </row>
    <row r="31" spans="1:15" s="129" customFormat="1" ht="26.25" customHeight="1">
      <c r="A31" s="142" t="str">
        <f>Query!A28</f>
        <v>20025</v>
      </c>
      <c r="B31" s="142" t="str">
        <f>MID(Query!B28,1,2)</f>
        <v>B1</v>
      </c>
      <c r="C31" s="144" t="str">
        <f>MID(Query!B28,4,50)</f>
        <v>MS-13701-C4003</v>
      </c>
      <c r="D31" s="142" t="str">
        <f>Query!C28</f>
        <v>1- C5XFE-R /ST/</v>
      </c>
      <c r="E31" s="142" t="str">
        <f>Query!D28</f>
        <v>5 x 2 x 1.0  mm²</v>
      </c>
      <c r="F31" s="142" t="s">
        <v>260</v>
      </c>
      <c r="G31" s="142" t="str">
        <f>Query!E28</f>
        <v>30</v>
      </c>
      <c r="H31" s="146" t="str">
        <f>Query!F28</f>
        <v>B1-TCS-1301C-XD33</v>
      </c>
      <c r="I31" s="142" t="str">
        <f>Query!G28</f>
        <v>TPS I/O and marshaling cabinet</v>
      </c>
      <c r="J31" s="142" t="s">
        <v>2851</v>
      </c>
      <c r="K31" s="146" t="str">
        <f>Query!K28</f>
        <v>B1-MS-13701-X99</v>
      </c>
      <c r="L31" s="142" t="str">
        <f>Query!L28</f>
        <v>BOX OF DC STARTER</v>
      </c>
      <c r="M31" s="142" t="s">
        <v>2851</v>
      </c>
      <c r="N31" s="128"/>
      <c r="O31" s="142" t="str">
        <f>Query!O28</f>
        <v>DSPW/SUPP.FI</v>
      </c>
    </row>
    <row r="32" spans="1:15" s="129" customFormat="1" ht="26.25" customHeight="1">
      <c r="A32" s="142" t="str">
        <f>Query!A29</f>
        <v>20026</v>
      </c>
      <c r="B32" s="142" t="str">
        <f>MID(Query!B29,1,2)</f>
        <v>B1</v>
      </c>
      <c r="C32" s="144" t="str">
        <f>MID(Query!B29,4,50)</f>
        <v>MS-13701-I6001</v>
      </c>
      <c r="D32" s="142" t="str">
        <f>Query!C29</f>
        <v>1- C5XFE-R /ST/</v>
      </c>
      <c r="E32" s="142" t="str">
        <f>Query!D29</f>
        <v>2 x 2 x 1.0  mm²</v>
      </c>
      <c r="F32" s="142" t="s">
        <v>385</v>
      </c>
      <c r="G32" s="142" t="str">
        <f>Query!E29</f>
        <v>30</v>
      </c>
      <c r="H32" s="146" t="str">
        <f>Query!F29</f>
        <v>B1-TCS-1301C-XD33</v>
      </c>
      <c r="I32" s="142" t="str">
        <f>Query!G29</f>
        <v>TPS I/O and marshaling cabinet</v>
      </c>
      <c r="J32" s="142" t="s">
        <v>2851</v>
      </c>
      <c r="K32" s="146" t="str">
        <f>Query!K29</f>
        <v>B1-MS-13701-X91</v>
      </c>
      <c r="L32" s="142" t="str">
        <f>Query!L29</f>
        <v>BOX OF DC STARTER</v>
      </c>
      <c r="M32" s="142" t="s">
        <v>2851</v>
      </c>
      <c r="N32" s="128"/>
      <c r="O32" s="142" t="str">
        <f>Query!O29</f>
        <v>DSPW/SUPP.FI</v>
      </c>
    </row>
    <row r="33" spans="1:15" s="129" customFormat="1" ht="26.25" customHeight="1">
      <c r="A33" s="142" t="str">
        <f>Query!A30</f>
        <v>20027</v>
      </c>
      <c r="B33" s="142" t="str">
        <f>MID(Query!B30,1,2)</f>
        <v>B1</v>
      </c>
      <c r="C33" s="144" t="str">
        <f>MID(Query!B30,4,50)</f>
        <v>PI-I-5201</v>
      </c>
      <c r="D33" s="142" t="str">
        <f>Query!C30</f>
        <v>1- C5XFE-R /ST/</v>
      </c>
      <c r="E33" s="142" t="str">
        <f>Query!D30</f>
        <v>10 x 2 x 1.0  mm²</v>
      </c>
      <c r="F33" s="142" t="s">
        <v>385</v>
      </c>
      <c r="G33" s="142" t="str">
        <f>Query!E30</f>
        <v>200</v>
      </c>
      <c r="H33" s="146" t="str">
        <f>Query!F30</f>
        <v>B1-TCS-1321-X11</v>
      </c>
      <c r="I33" s="142" t="str">
        <f>Query!G30</f>
        <v>BOX OF VMS</v>
      </c>
      <c r="J33" s="142" t="s">
        <v>2851</v>
      </c>
      <c r="K33" s="146" t="str">
        <f>Query!K30</f>
        <v>B1JBX-1321-X01</v>
      </c>
      <c r="L33" s="142" t="str">
        <f>Query!L30</f>
        <v>JUNCTION BOX VMS</v>
      </c>
      <c r="M33" s="142" t="s">
        <v>2851</v>
      </c>
      <c r="N33" s="128"/>
      <c r="O33" s="142" t="str">
        <f>Query!O30</f>
        <v>DSPW/SUPP.FI</v>
      </c>
    </row>
    <row r="34" spans="1:15" s="129" customFormat="1" ht="26.25" customHeight="1">
      <c r="A34" s="142" t="str">
        <f>Query!A31</f>
        <v>20028</v>
      </c>
      <c r="B34" s="142" t="str">
        <f>MID(Query!B31,1,2)</f>
        <v>B1</v>
      </c>
      <c r="C34" s="144" t="str">
        <f>MID(Query!B31,4,50)</f>
        <v>PI-I-5202</v>
      </c>
      <c r="D34" s="142" t="str">
        <f>Query!C31</f>
        <v>1- C5XFE-R /ST/</v>
      </c>
      <c r="E34" s="142" t="str">
        <f>Query!D31</f>
        <v>10 x 2 x 1.0  mm²</v>
      </c>
      <c r="F34" s="142" t="s">
        <v>385</v>
      </c>
      <c r="G34" s="142" t="str">
        <f>Query!E31</f>
        <v>200</v>
      </c>
      <c r="H34" s="146" t="str">
        <f>Query!F31</f>
        <v>B1-TCS-1321-X12</v>
      </c>
      <c r="I34" s="142" t="str">
        <f>Query!G31</f>
        <v>BOX OF VMS</v>
      </c>
      <c r="J34" s="142" t="s">
        <v>2851</v>
      </c>
      <c r="K34" s="146" t="str">
        <f>Query!K31</f>
        <v>B1JBX-1321-X02</v>
      </c>
      <c r="L34" s="142" t="str">
        <f>Query!L31</f>
        <v>JUNCTION BOX VMS</v>
      </c>
      <c r="M34" s="142" t="s">
        <v>2851</v>
      </c>
      <c r="N34" s="128"/>
      <c r="O34" s="142" t="str">
        <f>Query!O31</f>
        <v>DSPW/SUPP.FI</v>
      </c>
    </row>
    <row r="35" spans="1:15" s="129" customFormat="1" ht="26.25" customHeight="1">
      <c r="A35" s="142" t="str">
        <f>Query!A32</f>
        <v>20029</v>
      </c>
      <c r="B35" s="142" t="str">
        <f>MID(Query!B32,1,2)</f>
        <v>B1</v>
      </c>
      <c r="C35" s="144" t="str">
        <f>MID(Query!B32,4,50)</f>
        <v>PI-I-5203</v>
      </c>
      <c r="D35" s="142" t="str">
        <f>Query!C32</f>
        <v>1- C5XFE-R /ST/</v>
      </c>
      <c r="E35" s="142" t="str">
        <f>Query!D32</f>
        <v>10 x 2 x 1.0  mm²</v>
      </c>
      <c r="F35" s="142" t="s">
        <v>385</v>
      </c>
      <c r="G35" s="142" t="str">
        <f>Query!E32</f>
        <v>200</v>
      </c>
      <c r="H35" s="146" t="str">
        <f>Query!F32</f>
        <v>B1-TCS-1321-X13</v>
      </c>
      <c r="I35" s="142" t="str">
        <f>Query!G32</f>
        <v>BOX OF VMS</v>
      </c>
      <c r="J35" s="142" t="s">
        <v>2851</v>
      </c>
      <c r="K35" s="146" t="str">
        <f>Query!K32</f>
        <v>B1JBX-1322-X01</v>
      </c>
      <c r="L35" s="142" t="str">
        <f>Query!L32</f>
        <v>JUNCTION BOX VMS</v>
      </c>
      <c r="M35" s="142" t="s">
        <v>2851</v>
      </c>
      <c r="N35" s="128"/>
      <c r="O35" s="142" t="str">
        <f>Query!O32</f>
        <v>DSPW/SUPP.FI</v>
      </c>
    </row>
    <row r="36" spans="1:15" s="129" customFormat="1" ht="26.25" customHeight="1">
      <c r="A36" s="142" t="str">
        <f>Query!A33</f>
        <v>20030</v>
      </c>
      <c r="B36" s="142" t="str">
        <f>MID(Query!B33,1,2)</f>
        <v>B1</v>
      </c>
      <c r="C36" s="144" t="str">
        <f>MID(Query!B33,4,50)</f>
        <v>PI-I-5204</v>
      </c>
      <c r="D36" s="142" t="str">
        <f>Query!C33</f>
        <v>1- C5XFE-R /ST/</v>
      </c>
      <c r="E36" s="142" t="str">
        <f>Query!D33</f>
        <v>10 x 2 x 1.0  mm²</v>
      </c>
      <c r="F36" s="142" t="s">
        <v>385</v>
      </c>
      <c r="G36" s="142" t="str">
        <f>Query!E33</f>
        <v>200</v>
      </c>
      <c r="H36" s="146" t="str">
        <f>Query!F33</f>
        <v>B1-TCS-1321-X14</v>
      </c>
      <c r="I36" s="142" t="str">
        <f>Query!G33</f>
        <v>BOX OF VMS</v>
      </c>
      <c r="J36" s="142" t="s">
        <v>2851</v>
      </c>
      <c r="K36" s="146" t="str">
        <f>Query!K33</f>
        <v>B1JBX-1323-X01</v>
      </c>
      <c r="L36" s="142" t="str">
        <f>Query!L33</f>
        <v>JUNCTION BOX VMS</v>
      </c>
      <c r="M36" s="142" t="s">
        <v>2851</v>
      </c>
      <c r="N36" s="128"/>
      <c r="O36" s="142" t="str">
        <f>Query!O33</f>
        <v>DSPW/SUPP.FI</v>
      </c>
    </row>
    <row r="37" spans="1:15" s="129" customFormat="1" ht="26.25" customHeight="1">
      <c r="A37" s="142" t="str">
        <f>Query!A34</f>
        <v>20031</v>
      </c>
      <c r="B37" s="142" t="str">
        <f>MID(Query!B34,1,2)</f>
        <v>B1</v>
      </c>
      <c r="C37" s="144" t="str">
        <f>MID(Query!B34,4,50)</f>
        <v>PI-I-5205</v>
      </c>
      <c r="D37" s="142" t="str">
        <f>Query!C34</f>
        <v>1- C5XFE-R /ST/</v>
      </c>
      <c r="E37" s="142" t="str">
        <f>Query!D34</f>
        <v>10 x 2 x 1.0  mm²</v>
      </c>
      <c r="F37" s="142" t="s">
        <v>385</v>
      </c>
      <c r="G37" s="142" t="str">
        <f>Query!E34</f>
        <v>200</v>
      </c>
      <c r="H37" s="146" t="str">
        <f>Query!F34</f>
        <v>B1-TCS-1321-X15</v>
      </c>
      <c r="I37" s="142" t="str">
        <f>Query!G34</f>
        <v>BOX OF VMS</v>
      </c>
      <c r="J37" s="142" t="s">
        <v>2851</v>
      </c>
      <c r="K37" s="146" t="str">
        <f>Query!K34</f>
        <v>B1JBX-1324-X01</v>
      </c>
      <c r="L37" s="142" t="str">
        <f>Query!L34</f>
        <v>JUNCTION BOX VMS</v>
      </c>
      <c r="M37" s="142" t="s">
        <v>2851</v>
      </c>
      <c r="N37" s="128"/>
      <c r="O37" s="142" t="str">
        <f>Query!O34</f>
        <v>DSPW/SUPP.FI</v>
      </c>
    </row>
    <row r="38" spans="1:15" s="129" customFormat="1" ht="26.25" customHeight="1">
      <c r="A38" s="142" t="str">
        <f>Query!A35</f>
        <v>20032</v>
      </c>
      <c r="B38" s="142" t="str">
        <f>MID(Query!B35,1,2)</f>
        <v>B1</v>
      </c>
      <c r="C38" s="144" t="str">
        <f>MID(Query!B35,4,50)</f>
        <v>PI-I-5210</v>
      </c>
      <c r="D38" s="142" t="str">
        <f>Query!C35</f>
        <v>Part of sensor</v>
      </c>
      <c r="E38" s="142" t="str">
        <f>Query!D35</f>
        <v>1 x   mm² Coaxial</v>
      </c>
      <c r="F38" s="142" t="s">
        <v>385</v>
      </c>
      <c r="G38" s="142" t="str">
        <f>Query!E35</f>
        <v>20</v>
      </c>
      <c r="H38" s="146" t="str">
        <f>Query!F35</f>
        <v>B1-VXE-13301-U01</v>
      </c>
      <c r="I38" s="142" t="str">
        <f>Query!G35</f>
        <v>VIBRATION FRONT HP ROTOR - X</v>
      </c>
      <c r="J38" s="142" t="s">
        <v>2852</v>
      </c>
      <c r="K38" s="146" t="str">
        <f>Query!K35</f>
        <v>B1-VXE-13301-B01</v>
      </c>
      <c r="L38" s="142" t="str">
        <f>Query!L35</f>
        <v>VIBRATION FRONT HP ROTOR - X</v>
      </c>
      <c r="M38" s="142" t="s">
        <v>2852</v>
      </c>
      <c r="N38" s="128"/>
      <c r="O38" s="142" t="str">
        <f>Query!O35</f>
        <v>DSPW/SUPP.VMS</v>
      </c>
    </row>
    <row r="39" spans="1:15" s="129" customFormat="1" ht="26.25" customHeight="1">
      <c r="A39" s="142" t="str">
        <f>Query!A36</f>
        <v>20033</v>
      </c>
      <c r="B39" s="142" t="str">
        <f>MID(Query!B36,1,2)</f>
        <v>B1</v>
      </c>
      <c r="C39" s="144" t="str">
        <f>MID(Query!B36,4,50)</f>
        <v>PI-I-5211</v>
      </c>
      <c r="D39" s="142" t="str">
        <f>Query!C36</f>
        <v>Part of sensor</v>
      </c>
      <c r="E39" s="142" t="str">
        <f>Query!D36</f>
        <v>1 x   mm² Coaxial</v>
      </c>
      <c r="F39" s="142" t="s">
        <v>385</v>
      </c>
      <c r="G39" s="142" t="str">
        <f>Query!E36</f>
        <v>20</v>
      </c>
      <c r="H39" s="146" t="str">
        <f>Query!F36</f>
        <v>B1-VYE-13301-U01</v>
      </c>
      <c r="I39" s="142" t="str">
        <f>Query!G36</f>
        <v>VIBRATION FRONT HP ROTOR - Y</v>
      </c>
      <c r="J39" s="142" t="s">
        <v>2852</v>
      </c>
      <c r="K39" s="146" t="str">
        <f>Query!K36</f>
        <v>B1-VYE-13301-B01</v>
      </c>
      <c r="L39" s="142" t="str">
        <f>Query!L36</f>
        <v>VIBRATION FRONT HP ROTOR - Y</v>
      </c>
      <c r="M39" s="142" t="s">
        <v>2852</v>
      </c>
      <c r="N39" s="128"/>
      <c r="O39" s="142" t="str">
        <f>Query!O36</f>
        <v>DSPW/SUPP.VMS</v>
      </c>
    </row>
    <row r="40" spans="1:15" s="129" customFormat="1" ht="26.25" customHeight="1">
      <c r="A40" s="142" t="str">
        <f>Query!A37</f>
        <v>20034</v>
      </c>
      <c r="B40" s="142" t="str">
        <f>MID(Query!B37,1,2)</f>
        <v>B1</v>
      </c>
      <c r="C40" s="144" t="str">
        <f>MID(Query!B37,4,50)</f>
        <v>PI-I-5212</v>
      </c>
      <c r="D40" s="142" t="str">
        <f>Query!C37</f>
        <v>Cu</v>
      </c>
      <c r="E40" s="142" t="str">
        <f>Query!D37</f>
        <v>2 x 0,5  mm²</v>
      </c>
      <c r="F40" s="142" t="s">
        <v>385</v>
      </c>
      <c r="G40" s="142" t="str">
        <f>Query!E37</f>
        <v>20</v>
      </c>
      <c r="H40" s="146" t="str">
        <f>Query!F37</f>
        <v>B1JBX-1321-X01</v>
      </c>
      <c r="I40" s="142" t="str">
        <f>Query!G37</f>
        <v>JUNCTION BOX VMS</v>
      </c>
      <c r="J40" s="142" t="s">
        <v>2852</v>
      </c>
      <c r="K40" s="146" t="str">
        <f>Query!K37</f>
        <v>B1-VE-13301-B01</v>
      </c>
      <c r="L40" s="142" t="str">
        <f>Query!L37</f>
        <v>VIB FRNT RAD BRG - H</v>
      </c>
      <c r="M40" s="142" t="s">
        <v>2852</v>
      </c>
      <c r="N40" s="128"/>
      <c r="O40" s="142" t="str">
        <f>Query!O37</f>
        <v>DSPW/SUPP.VMS</v>
      </c>
    </row>
    <row r="41" spans="1:15" s="129" customFormat="1" ht="26.25" customHeight="1">
      <c r="A41" s="142" t="str">
        <f>Query!A38</f>
        <v>20035</v>
      </c>
      <c r="B41" s="142" t="str">
        <f>MID(Query!B38,1,2)</f>
        <v>B1</v>
      </c>
      <c r="C41" s="144" t="str">
        <f>MID(Query!B38,4,50)</f>
        <v>PI-I-5213</v>
      </c>
      <c r="D41" s="142" t="str">
        <f>Query!C38</f>
        <v>Part of sensor</v>
      </c>
      <c r="E41" s="142" t="str">
        <f>Query!D38</f>
        <v>1 x   mm² Coaxial</v>
      </c>
      <c r="F41" s="142" t="s">
        <v>385</v>
      </c>
      <c r="G41" s="142" t="str">
        <f>Query!E38</f>
        <v>20</v>
      </c>
      <c r="H41" s="146" t="str">
        <f>Query!F38</f>
        <v>B1-VT-13306-U01</v>
      </c>
      <c r="I41" s="142" t="str">
        <f>Query!G38</f>
        <v>SHIFT HP THRUST BEARING</v>
      </c>
      <c r="J41" s="142" t="s">
        <v>2852</v>
      </c>
      <c r="K41" s="146" t="str">
        <f>Query!K38</f>
        <v>B1-VT-13306-B01</v>
      </c>
      <c r="L41" s="142" t="str">
        <f>Query!L38</f>
        <v>SHIFT HP THRUST BEARING</v>
      </c>
      <c r="M41" s="142" t="s">
        <v>2852</v>
      </c>
      <c r="N41" s="128"/>
      <c r="O41" s="142" t="str">
        <f>Query!O38</f>
        <v>DSPW/SUPP.VMS</v>
      </c>
    </row>
    <row r="42" spans="1:15" s="129" customFormat="1" ht="26.25" customHeight="1">
      <c r="A42" s="142" t="str">
        <f>Query!A39</f>
        <v>20036</v>
      </c>
      <c r="B42" s="142" t="str">
        <f>MID(Query!B39,1,2)</f>
        <v>B1</v>
      </c>
      <c r="C42" s="144" t="str">
        <f>MID(Query!B39,4,50)</f>
        <v>PI-I-5214</v>
      </c>
      <c r="D42" s="142" t="str">
        <f>Query!C39</f>
        <v>Part of sensor</v>
      </c>
      <c r="E42" s="142" t="str">
        <f>Query!D39</f>
        <v>2 pairs</v>
      </c>
      <c r="F42" s="142" t="s">
        <v>385</v>
      </c>
      <c r="G42" s="142" t="str">
        <f>Query!E39</f>
        <v>20</v>
      </c>
      <c r="H42" s="146" t="str">
        <f>Query!F39</f>
        <v>B1JBX-1321-X02</v>
      </c>
      <c r="I42" s="142" t="str">
        <f>Query!G39</f>
        <v>JUNCTION BOX VMS</v>
      </c>
      <c r="J42" s="142" t="s">
        <v>2852</v>
      </c>
      <c r="K42" s="146" t="str">
        <f>Query!K39</f>
        <v>B1-VE-13307-B01</v>
      </c>
      <c r="L42" s="142" t="str">
        <f>Query!L39</f>
        <v>SHIFT HP STATOR</v>
      </c>
      <c r="M42" s="142" t="s">
        <v>2852</v>
      </c>
      <c r="N42" s="128"/>
      <c r="O42" s="142" t="str">
        <f>Query!O39</f>
        <v>DSPW/SUPP.VMS</v>
      </c>
    </row>
    <row r="43" spans="1:15" s="129" customFormat="1" ht="26.25" customHeight="1">
      <c r="A43" s="142" t="str">
        <f>Query!A40</f>
        <v>20037</v>
      </c>
      <c r="B43" s="142" t="str">
        <f>MID(Query!B40,1,2)</f>
        <v>B1</v>
      </c>
      <c r="C43" s="144" t="str">
        <f>MID(Query!B40,4,50)</f>
        <v>PI-I-5215</v>
      </c>
      <c r="D43" s="142" t="str">
        <f>Query!C40</f>
        <v>Part of sensor</v>
      </c>
      <c r="E43" s="142" t="str">
        <f>Query!D40</f>
        <v>1 x   mm² Coaxial</v>
      </c>
      <c r="F43" s="142" t="s">
        <v>385</v>
      </c>
      <c r="G43" s="142" t="str">
        <f>Query!E40</f>
        <v>20</v>
      </c>
      <c r="H43" s="146" t="str">
        <f>Query!F40</f>
        <v>B1-KT-13308-U01</v>
      </c>
      <c r="I43" s="142" t="str">
        <f>Query!G40</f>
        <v>KEY PHASOR ROTOR HP TURBINE</v>
      </c>
      <c r="J43" s="142" t="s">
        <v>2852</v>
      </c>
      <c r="K43" s="146" t="str">
        <f>Query!K40</f>
        <v>B1-KT-13308-B01</v>
      </c>
      <c r="L43" s="142" t="str">
        <f>Query!L40</f>
        <v>KEY PHASOR ROTOR HP TURBINE</v>
      </c>
      <c r="M43" s="142" t="s">
        <v>2852</v>
      </c>
      <c r="N43" s="128"/>
      <c r="O43" s="142" t="str">
        <f>Query!O40</f>
        <v>DSPW/SUPP.VMS</v>
      </c>
    </row>
    <row r="44" spans="1:15" s="129" customFormat="1" ht="26.25" customHeight="1">
      <c r="A44" s="142" t="str">
        <f>Query!A41</f>
        <v>20038</v>
      </c>
      <c r="B44" s="142" t="str">
        <f>MID(Query!B41,1,2)</f>
        <v>B1</v>
      </c>
      <c r="C44" s="144" t="str">
        <f>MID(Query!B41,4,50)</f>
        <v>PI-I-5216</v>
      </c>
      <c r="D44" s="142" t="str">
        <f>Query!C41</f>
        <v>Part of sensor</v>
      </c>
      <c r="E44" s="142" t="str">
        <f>Query!D41</f>
        <v>1 x   mm² Coaxial</v>
      </c>
      <c r="F44" s="142" t="s">
        <v>385</v>
      </c>
      <c r="G44" s="142" t="str">
        <f>Query!E41</f>
        <v>20</v>
      </c>
      <c r="H44" s="146" t="str">
        <f>Query!F41</f>
        <v>B1-VXE-13302-U01</v>
      </c>
      <c r="I44" s="142" t="str">
        <f>Query!G41</f>
        <v>VIBRATION REAR HP ROTOR - X</v>
      </c>
      <c r="J44" s="142" t="s">
        <v>2852</v>
      </c>
      <c r="K44" s="146" t="str">
        <f>Query!K41</f>
        <v>B1-VXE-13302-B01</v>
      </c>
      <c r="L44" s="142" t="str">
        <f>Query!L41</f>
        <v>VIBRATION REAR HP ROTOR - X</v>
      </c>
      <c r="M44" s="142" t="s">
        <v>2852</v>
      </c>
      <c r="N44" s="128"/>
      <c r="O44" s="142" t="str">
        <f>Query!O41</f>
        <v>DSPW/SUPP.VMS</v>
      </c>
    </row>
    <row r="45" spans="1:15" s="129" customFormat="1" ht="26.25" customHeight="1">
      <c r="A45" s="142" t="str">
        <f>Query!A42</f>
        <v>20039</v>
      </c>
      <c r="B45" s="142" t="str">
        <f>MID(Query!B42,1,2)</f>
        <v>B1</v>
      </c>
      <c r="C45" s="144" t="str">
        <f>MID(Query!B42,4,50)</f>
        <v>PI-I-5217</v>
      </c>
      <c r="D45" s="142" t="str">
        <f>Query!C42</f>
        <v>Part of sensor</v>
      </c>
      <c r="E45" s="142" t="str">
        <f>Query!D42</f>
        <v>1 x   mm² Coaxial</v>
      </c>
      <c r="F45" s="142" t="s">
        <v>385</v>
      </c>
      <c r="G45" s="142" t="str">
        <f>Query!E42</f>
        <v>20</v>
      </c>
      <c r="H45" s="146" t="str">
        <f>Query!F42</f>
        <v>B1-VYE-13302-U01</v>
      </c>
      <c r="I45" s="142" t="str">
        <f>Query!G42</f>
        <v>VIBRATION REAR HP ROTOR - Y</v>
      </c>
      <c r="J45" s="142" t="s">
        <v>2852</v>
      </c>
      <c r="K45" s="146" t="str">
        <f>Query!K42</f>
        <v>B1-VYE-13302-B01</v>
      </c>
      <c r="L45" s="142" t="str">
        <f>Query!L42</f>
        <v>VIBRATION REAR HP ROTOR - Y</v>
      </c>
      <c r="M45" s="142" t="s">
        <v>2852</v>
      </c>
      <c r="N45" s="128"/>
      <c r="O45" s="142" t="str">
        <f>Query!O42</f>
        <v>DSPW/SUPP.VMS</v>
      </c>
    </row>
    <row r="46" spans="1:15" s="129" customFormat="1" ht="26.25" customHeight="1">
      <c r="A46" s="142" t="str">
        <f>Query!A43</f>
        <v>20040</v>
      </c>
      <c r="B46" s="142" t="str">
        <f>MID(Query!B43,1,2)</f>
        <v>B1</v>
      </c>
      <c r="C46" s="144" t="str">
        <f>MID(Query!B43,4,50)</f>
        <v>PI-I-5218</v>
      </c>
      <c r="D46" s="142" t="str">
        <f>Query!C43</f>
        <v>Cu</v>
      </c>
      <c r="E46" s="142" t="str">
        <f>Query!D43</f>
        <v>2 x 0,5  mm²</v>
      </c>
      <c r="F46" s="142" t="s">
        <v>385</v>
      </c>
      <c r="G46" s="142" t="str">
        <f>Query!E43</f>
        <v>20</v>
      </c>
      <c r="H46" s="146" t="str">
        <f>Query!F43</f>
        <v>B1JBX-1322-X01</v>
      </c>
      <c r="I46" s="142" t="str">
        <f>Query!G43</f>
        <v>JUNCTION BOX VMS</v>
      </c>
      <c r="J46" s="142" t="s">
        <v>2852</v>
      </c>
      <c r="K46" s="146" t="str">
        <f>Query!K43</f>
        <v>B1-VE-13302-B01</v>
      </c>
      <c r="L46" s="142" t="str">
        <f>Query!L43</f>
        <v>VIB REAR RAD BRG - H</v>
      </c>
      <c r="M46" s="142" t="s">
        <v>2852</v>
      </c>
      <c r="N46" s="128"/>
      <c r="O46" s="142" t="str">
        <f>Query!O43</f>
        <v>DSPW/SUPP.VMS</v>
      </c>
    </row>
    <row r="47" spans="1:15" s="129" customFormat="1" ht="26.25" customHeight="1">
      <c r="A47" s="142" t="str">
        <f>Query!A44</f>
        <v>20041</v>
      </c>
      <c r="B47" s="142" t="str">
        <f>MID(Query!B44,1,2)</f>
        <v>B1</v>
      </c>
      <c r="C47" s="144" t="str">
        <f>MID(Query!B44,4,50)</f>
        <v>PI-I-5219</v>
      </c>
      <c r="D47" s="142" t="str">
        <f>Query!C44</f>
        <v>Part of sensor</v>
      </c>
      <c r="E47" s="142" t="str">
        <f>Query!D44</f>
        <v>1 x   mm² Coaxial</v>
      </c>
      <c r="F47" s="142" t="s">
        <v>385</v>
      </c>
      <c r="G47" s="142" t="str">
        <f>Query!E44</f>
        <v>20</v>
      </c>
      <c r="H47" s="146" t="str">
        <f>Query!F44</f>
        <v>B1-VT-13305-U01</v>
      </c>
      <c r="I47" s="142" t="str">
        <f>Query!G44</f>
        <v>SHIFT HP ROTOR</v>
      </c>
      <c r="J47" s="142" t="s">
        <v>2852</v>
      </c>
      <c r="K47" s="146" t="str">
        <f>Query!K44</f>
        <v>B1-VT-13305-B01</v>
      </c>
      <c r="L47" s="142" t="str">
        <f>Query!L44</f>
        <v>SHIFT HP ROTOR</v>
      </c>
      <c r="M47" s="142" t="s">
        <v>2852</v>
      </c>
      <c r="N47" s="128"/>
      <c r="O47" s="142" t="str">
        <f>Query!O44</f>
        <v>DSPW/SUPP.VMS</v>
      </c>
    </row>
    <row r="48" spans="1:15" s="129" customFormat="1" ht="26.25" customHeight="1">
      <c r="A48" s="142" t="str">
        <f>Query!A45</f>
        <v>20042</v>
      </c>
      <c r="B48" s="142" t="str">
        <f>MID(Query!B45,1,2)</f>
        <v>B1</v>
      </c>
      <c r="C48" s="144" t="str">
        <f>MID(Query!B45,4,50)</f>
        <v>PI-I-5220</v>
      </c>
      <c r="D48" s="142" t="str">
        <f>Query!C45</f>
        <v>Part of sensor</v>
      </c>
      <c r="E48" s="142" t="str">
        <f>Query!D45</f>
        <v>1 x   mm² Coaxial</v>
      </c>
      <c r="F48" s="142" t="s">
        <v>385</v>
      </c>
      <c r="G48" s="142" t="str">
        <f>Query!E45</f>
        <v>20</v>
      </c>
      <c r="H48" s="146" t="str">
        <f>Query!F45</f>
        <v>B1-VXE-13001-U01</v>
      </c>
      <c r="I48" s="142" t="str">
        <f>Query!G45</f>
        <v>VIBR.FRONT GEN.ROTOR - X</v>
      </c>
      <c r="J48" s="142" t="s">
        <v>2852</v>
      </c>
      <c r="K48" s="146" t="str">
        <f>Query!K45</f>
        <v>B1-VXE-13001-B01</v>
      </c>
      <c r="L48" s="142" t="str">
        <f>Query!L45</f>
        <v>VIBR.FRONT GEN.ROTOR - X</v>
      </c>
      <c r="M48" s="142" t="s">
        <v>2852</v>
      </c>
      <c r="N48" s="128"/>
      <c r="O48" s="142" t="str">
        <f>Query!O45</f>
        <v>DSPW/SUPP.VMS</v>
      </c>
    </row>
    <row r="49" spans="1:15" s="129" customFormat="1" ht="26.25" customHeight="1">
      <c r="A49" s="142" t="str">
        <f>Query!A46</f>
        <v>20043</v>
      </c>
      <c r="B49" s="142" t="str">
        <f>MID(Query!B46,1,2)</f>
        <v>B1</v>
      </c>
      <c r="C49" s="144" t="str">
        <f>MID(Query!B46,4,50)</f>
        <v>PI-I-5221</v>
      </c>
      <c r="D49" s="142" t="str">
        <f>Query!C46</f>
        <v>Part of sensor</v>
      </c>
      <c r="E49" s="142" t="str">
        <f>Query!D46</f>
        <v>1 x   mm² Coaxial</v>
      </c>
      <c r="F49" s="142" t="s">
        <v>385</v>
      </c>
      <c r="G49" s="142" t="str">
        <f>Query!E46</f>
        <v>20</v>
      </c>
      <c r="H49" s="146" t="str">
        <f>Query!F46</f>
        <v>B1-VYE-13002-U01</v>
      </c>
      <c r="I49" s="142" t="str">
        <f>Query!G46</f>
        <v>VIBR.FRONT GEN.ROTOR - Y</v>
      </c>
      <c r="J49" s="142" t="s">
        <v>2852</v>
      </c>
      <c r="K49" s="146" t="str">
        <f>Query!K46</f>
        <v>B1-VYE-13002-B01</v>
      </c>
      <c r="L49" s="142" t="str">
        <f>Query!L46</f>
        <v>VIBR.FRONT GEN.ROTOR - Y</v>
      </c>
      <c r="M49" s="142" t="s">
        <v>2852</v>
      </c>
      <c r="N49" s="128"/>
      <c r="O49" s="142" t="str">
        <f>Query!O46</f>
        <v>DSPW/SUPP.VMS</v>
      </c>
    </row>
    <row r="50" spans="1:15" s="129" customFormat="1" ht="26.25" customHeight="1">
      <c r="A50" s="142" t="str">
        <f>Query!A47</f>
        <v>20044</v>
      </c>
      <c r="B50" s="142" t="str">
        <f>MID(Query!B47,1,2)</f>
        <v>B1</v>
      </c>
      <c r="C50" s="144" t="str">
        <f>MID(Query!B47,4,50)</f>
        <v>PI-I-5222</v>
      </c>
      <c r="D50" s="142" t="str">
        <f>Query!C47</f>
        <v>Cu</v>
      </c>
      <c r="E50" s="142" t="str">
        <f>Query!D47</f>
        <v>2 x 0,5  mm²</v>
      </c>
      <c r="F50" s="142" t="s">
        <v>385</v>
      </c>
      <c r="G50" s="142" t="str">
        <f>Query!E47</f>
        <v>20</v>
      </c>
      <c r="H50" s="146" t="str">
        <f>Query!F47</f>
        <v>B1JBX-1323-X01</v>
      </c>
      <c r="I50" s="142" t="str">
        <f>Query!G47</f>
        <v>JUNCTION BOX VMS</v>
      </c>
      <c r="J50" s="142" t="s">
        <v>2852</v>
      </c>
      <c r="K50" s="146" t="str">
        <f>Query!K47</f>
        <v>B1-VE-13011-B01</v>
      </c>
      <c r="L50" s="142" t="str">
        <f>Query!L47</f>
        <v>VIBR.FRONT GEN.BEARING - H</v>
      </c>
      <c r="M50" s="142" t="s">
        <v>2852</v>
      </c>
      <c r="N50" s="128"/>
      <c r="O50" s="142" t="str">
        <f>Query!O47</f>
        <v>DSPW/SUPP.VMS</v>
      </c>
    </row>
    <row r="51" spans="1:15" s="129" customFormat="1" ht="26.25" customHeight="1">
      <c r="A51" s="142" t="str">
        <f>Query!A48</f>
        <v>20045</v>
      </c>
      <c r="B51" s="142" t="str">
        <f>MID(Query!B48,1,2)</f>
        <v>B1</v>
      </c>
      <c r="C51" s="144" t="str">
        <f>MID(Query!B48,4,50)</f>
        <v>PI-I-5223</v>
      </c>
      <c r="D51" s="142" t="str">
        <f>Query!C48</f>
        <v>Part of sensor</v>
      </c>
      <c r="E51" s="142" t="str">
        <f>Query!D48</f>
        <v>1 x   mm² Coaxial</v>
      </c>
      <c r="F51" s="142" t="s">
        <v>385</v>
      </c>
      <c r="G51" s="142" t="str">
        <f>Query!E48</f>
        <v>20</v>
      </c>
      <c r="H51" s="146" t="str">
        <f>Query!F48</f>
        <v>B1-VXE-13051-U01</v>
      </c>
      <c r="I51" s="142" t="str">
        <f>Query!G48</f>
        <v>VIBR.REAR GEN.ROTOR - X</v>
      </c>
      <c r="J51" s="142" t="s">
        <v>2852</v>
      </c>
      <c r="K51" s="146" t="str">
        <f>Query!K48</f>
        <v>B1-VXE-13051-B01</v>
      </c>
      <c r="L51" s="142" t="str">
        <f>Query!L48</f>
        <v>VIBR.REAR GEN.ROTOR - X</v>
      </c>
      <c r="M51" s="142" t="s">
        <v>2852</v>
      </c>
      <c r="N51" s="128"/>
      <c r="O51" s="142" t="str">
        <f>Query!O48</f>
        <v>DSPW/SUPP.VMS</v>
      </c>
    </row>
    <row r="52" spans="1:15" s="129" customFormat="1" ht="26.25" customHeight="1">
      <c r="A52" s="142" t="str">
        <f>Query!A49</f>
        <v>20046</v>
      </c>
      <c r="B52" s="142" t="str">
        <f>MID(Query!B49,1,2)</f>
        <v>B1</v>
      </c>
      <c r="C52" s="144" t="str">
        <f>MID(Query!B49,4,50)</f>
        <v>PI-I-5224</v>
      </c>
      <c r="D52" s="142" t="str">
        <f>Query!C49</f>
        <v>Part of sensor</v>
      </c>
      <c r="E52" s="142" t="str">
        <f>Query!D49</f>
        <v>1 x   mm² Coaxial</v>
      </c>
      <c r="F52" s="142" t="s">
        <v>385</v>
      </c>
      <c r="G52" s="142" t="str">
        <f>Query!E49</f>
        <v>20</v>
      </c>
      <c r="H52" s="146" t="str">
        <f>Query!F49</f>
        <v>B1-VYE-13052-U01</v>
      </c>
      <c r="I52" s="142" t="str">
        <f>Query!G49</f>
        <v>VIBR.REAR GEN.ROTOR - Y</v>
      </c>
      <c r="J52" s="142" t="s">
        <v>2852</v>
      </c>
      <c r="K52" s="146" t="str">
        <f>Query!K49</f>
        <v>B1-VYE-13052-B01</v>
      </c>
      <c r="L52" s="142" t="str">
        <f>Query!L49</f>
        <v>VIBR.REAR GEN.ROTOR - Y</v>
      </c>
      <c r="M52" s="142" t="s">
        <v>2852</v>
      </c>
      <c r="N52" s="128"/>
      <c r="O52" s="142" t="str">
        <f>Query!O49</f>
        <v>DSPW/SUPP.VMS</v>
      </c>
    </row>
    <row r="53" spans="1:15" s="129" customFormat="1" ht="26.25" customHeight="1">
      <c r="A53" s="142" t="str">
        <f>Query!A50</f>
        <v>20047</v>
      </c>
      <c r="B53" s="142" t="str">
        <f>MID(Query!B50,1,2)</f>
        <v>B1</v>
      </c>
      <c r="C53" s="144" t="str">
        <f>MID(Query!B50,4,50)</f>
        <v>PI-I-5225</v>
      </c>
      <c r="D53" s="142" t="str">
        <f>Query!C50</f>
        <v>Cu</v>
      </c>
      <c r="E53" s="142" t="str">
        <f>Query!D50</f>
        <v>2 x 0,5  mm²</v>
      </c>
      <c r="F53" s="142" t="s">
        <v>385</v>
      </c>
      <c r="G53" s="142" t="str">
        <f>Query!E50</f>
        <v>20</v>
      </c>
      <c r="H53" s="146" t="str">
        <f>Query!F50</f>
        <v>B1JBX-1324-X01</v>
      </c>
      <c r="I53" s="142" t="str">
        <f>Query!G50</f>
        <v>JUNCTION BOX VMS</v>
      </c>
      <c r="J53" s="142" t="s">
        <v>2852</v>
      </c>
      <c r="K53" s="146" t="str">
        <f>Query!K50</f>
        <v>B1-VE-13061-B01</v>
      </c>
      <c r="L53" s="142" t="str">
        <f>Query!L50</f>
        <v>VIBR.REAR GEN.BEARING - H</v>
      </c>
      <c r="M53" s="142" t="s">
        <v>2852</v>
      </c>
      <c r="N53" s="128"/>
      <c r="O53" s="142" t="str">
        <f>Query!O50</f>
        <v>DSPW/SUPP.VMS</v>
      </c>
    </row>
    <row r="54" spans="1:15" s="129" customFormat="1" ht="26.25" customHeight="1">
      <c r="A54" s="142" t="str">
        <f>Query!A51</f>
        <v>20048</v>
      </c>
      <c r="B54" s="142" t="str">
        <f>MID(Query!B51,1,2)</f>
        <v>B1</v>
      </c>
      <c r="C54" s="144" t="str">
        <f>MID(Query!B51,4,50)</f>
        <v>PI-I-5231</v>
      </c>
      <c r="D54" s="142" t="str">
        <f>Query!C51</f>
        <v>1- C5XFE-R /ST/</v>
      </c>
      <c r="E54" s="142" t="str">
        <f>Query!D51</f>
        <v>2 x 2 x 1.0  mm²</v>
      </c>
      <c r="F54" s="142" t="s">
        <v>385</v>
      </c>
      <c r="G54" s="142" t="str">
        <f>Query!E51</f>
        <v>200</v>
      </c>
      <c r="H54" s="146" t="str">
        <f>Query!F51</f>
        <v>B1-TCS-1311-X11</v>
      </c>
      <c r="I54" s="142" t="str">
        <f>Query!G51</f>
        <v>BOX TPC/OPS</v>
      </c>
      <c r="J54" s="142" t="s">
        <v>2851</v>
      </c>
      <c r="K54" s="146" t="str">
        <f>Query!K51</f>
        <v>B1JB10-13311A HAN 6A</v>
      </c>
      <c r="L54" s="142" t="str">
        <f>Query!L51</f>
        <v>HARTING Speed OPS</v>
      </c>
      <c r="M54" s="142" t="s">
        <v>2852</v>
      </c>
      <c r="N54" s="128"/>
      <c r="O54" s="142" t="str">
        <f>Query!O51</f>
        <v>DSPW/SUPP.FI</v>
      </c>
    </row>
    <row r="55" spans="1:15" s="129" customFormat="1" ht="26.25" customHeight="1">
      <c r="A55" s="142" t="str">
        <f>Query!A52</f>
        <v>20049</v>
      </c>
      <c r="B55" s="142" t="str">
        <f>MID(Query!B52,1,2)</f>
        <v>B1</v>
      </c>
      <c r="C55" s="144" t="str">
        <f>MID(Query!B52,4,50)</f>
        <v>PI-I-5233</v>
      </c>
      <c r="D55" s="142" t="str">
        <f>Query!C52</f>
        <v>1- C5XFE-R /ST/</v>
      </c>
      <c r="E55" s="142" t="str">
        <f>Query!D52</f>
        <v>2 x 2 x 1.0  mm²</v>
      </c>
      <c r="F55" s="142" t="s">
        <v>385</v>
      </c>
      <c r="G55" s="142" t="str">
        <f>Query!E52</f>
        <v>200</v>
      </c>
      <c r="H55" s="146" t="str">
        <f>Query!F52</f>
        <v>B1-TCS-1311-X11</v>
      </c>
      <c r="I55" s="142" t="str">
        <f>Query!G52</f>
        <v>BOX TPC/OPS</v>
      </c>
      <c r="J55" s="142" t="s">
        <v>2851</v>
      </c>
      <c r="K55" s="146" t="str">
        <f>Query!K52</f>
        <v>B1JB10-13311B HAN 6A</v>
      </c>
      <c r="L55" s="142" t="str">
        <f>Query!L52</f>
        <v>HARTING Speed OPS</v>
      </c>
      <c r="M55" s="142" t="s">
        <v>2852</v>
      </c>
      <c r="N55" s="128"/>
      <c r="O55" s="142" t="str">
        <f>Query!O52</f>
        <v>DSPW/SUPP.FI</v>
      </c>
    </row>
    <row r="56" spans="1:15" s="129" customFormat="1" ht="26.25" customHeight="1">
      <c r="A56" s="142" t="str">
        <f>Query!A53</f>
        <v>20050</v>
      </c>
      <c r="B56" s="142" t="str">
        <f>MID(Query!B53,1,2)</f>
        <v>B1</v>
      </c>
      <c r="C56" s="144" t="str">
        <f>MID(Query!B53,4,50)</f>
        <v>PI-I-5235</v>
      </c>
      <c r="D56" s="142" t="str">
        <f>Query!C53</f>
        <v>1- C5XFE-R /ST/</v>
      </c>
      <c r="E56" s="142" t="str">
        <f>Query!D53</f>
        <v>2 x 2 x 1.0  mm²</v>
      </c>
      <c r="F56" s="142" t="s">
        <v>385</v>
      </c>
      <c r="G56" s="142" t="str">
        <f>Query!E53</f>
        <v>200</v>
      </c>
      <c r="H56" s="146" t="str">
        <f>Query!F53</f>
        <v>B1-TCS-1311-X11</v>
      </c>
      <c r="I56" s="142" t="str">
        <f>Query!G53</f>
        <v>BOX TPC/OPS</v>
      </c>
      <c r="J56" s="142" t="s">
        <v>2851</v>
      </c>
      <c r="K56" s="146" t="str">
        <f>Query!K53</f>
        <v>B1JB10-13311C HAN 6A</v>
      </c>
      <c r="L56" s="142" t="str">
        <f>Query!L53</f>
        <v>HARTING Speed OPS</v>
      </c>
      <c r="M56" s="142" t="s">
        <v>2852</v>
      </c>
      <c r="N56" s="128"/>
      <c r="O56" s="142" t="str">
        <f>Query!O53</f>
        <v>DSPW/SUPP.FI</v>
      </c>
    </row>
    <row r="57" spans="1:15" s="129" customFormat="1" ht="26.25" customHeight="1">
      <c r="A57" s="142" t="str">
        <f>Query!A54</f>
        <v>20051</v>
      </c>
      <c r="B57" s="142" t="str">
        <f>MID(Query!B54,1,2)</f>
        <v>B1</v>
      </c>
      <c r="C57" s="144" t="str">
        <f>MID(Query!B54,4,50)</f>
        <v>PI-I-5236</v>
      </c>
      <c r="D57" s="142" t="str">
        <f>Query!C54</f>
        <v>1- C5XFE-R /ST/</v>
      </c>
      <c r="E57" s="142" t="str">
        <f>Query!D54</f>
        <v>5 x 2 x 1.0  mm²</v>
      </c>
      <c r="F57" s="142" t="s">
        <v>385</v>
      </c>
      <c r="G57" s="142" t="str">
        <f>Query!E54</f>
        <v>200</v>
      </c>
      <c r="H57" s="146" t="str">
        <f>Query!F54</f>
        <v>B1-TCS-1311-X12</v>
      </c>
      <c r="I57" s="142" t="str">
        <f>Query!G54</f>
        <v>BOX TPC/OPS</v>
      </c>
      <c r="J57" s="142" t="s">
        <v>2851</v>
      </c>
      <c r="K57" s="146" t="str">
        <f>Query!K54</f>
        <v>B1-HZ-13303-S01</v>
      </c>
      <c r="L57" s="142" t="str">
        <f>Query!L54</f>
        <v>PUSH-BUTTON CONTROL ROOM</v>
      </c>
      <c r="M57" s="142" t="str">
        <f>Query!M54</f>
        <v>++Control room</v>
      </c>
      <c r="N57" s="128"/>
      <c r="O57" s="142" t="str">
        <f>Query!O54</f>
        <v>DSPW/SUPP.FI</v>
      </c>
    </row>
    <row r="58" spans="1:15" s="129" customFormat="1" ht="26.25" customHeight="1">
      <c r="A58" s="142" t="str">
        <f>Query!A55</f>
        <v>20052</v>
      </c>
      <c r="B58" s="142" t="str">
        <f>MID(Query!B55,1,2)</f>
        <v>B1</v>
      </c>
      <c r="C58" s="144" t="str">
        <f>MID(Query!B55,4,50)</f>
        <v>PI-I-5237</v>
      </c>
      <c r="D58" s="142" t="str">
        <f>Query!C55</f>
        <v>1- C5XFE-R /ST/</v>
      </c>
      <c r="E58" s="142" t="str">
        <f>Query!D55</f>
        <v>5 x 2 x 1.0  mm²</v>
      </c>
      <c r="F58" s="142" t="s">
        <v>385</v>
      </c>
      <c r="G58" s="142" t="str">
        <f>Query!E55</f>
        <v>100</v>
      </c>
      <c r="H58" s="146" t="str">
        <f>Query!F55</f>
        <v>B1-TCS-1311-X12</v>
      </c>
      <c r="I58" s="142" t="str">
        <f>Query!G55</f>
        <v>BOX TPC/OPS</v>
      </c>
      <c r="J58" s="142" t="s">
        <v>2851</v>
      </c>
      <c r="K58" s="146" t="str">
        <f>Query!K55</f>
        <v>B1-HZ-13302-S01</v>
      </c>
      <c r="L58" s="142" t="str">
        <f>Query!L55</f>
        <v>PUSH-BUTTON STG TRIP - MACHINE HALL</v>
      </c>
      <c r="M58" s="142" t="s">
        <v>2852</v>
      </c>
      <c r="N58" s="128"/>
      <c r="O58" s="142" t="str">
        <f>Query!O55</f>
        <v>DSPW/SUPP.FI</v>
      </c>
    </row>
    <row r="59" spans="1:15" s="129" customFormat="1" ht="26.25" customHeight="1">
      <c r="A59" s="142" t="str">
        <f>Query!A56</f>
        <v>20053</v>
      </c>
      <c r="B59" s="142" t="str">
        <f>MID(Query!B56,1,2)</f>
        <v>B1</v>
      </c>
      <c r="C59" s="144" t="str">
        <f>MID(Query!B56,4,50)</f>
        <v>PI-I-5241</v>
      </c>
      <c r="D59" s="142" t="str">
        <f>Query!C56</f>
        <v>Cu</v>
      </c>
      <c r="E59" s="142" t="str">
        <f>Query!D56</f>
        <v>2 x 2.5  mm²</v>
      </c>
      <c r="F59" s="142" t="s">
        <v>385</v>
      </c>
      <c r="G59" s="142" t="str">
        <f>Query!E56</f>
        <v>100</v>
      </c>
      <c r="H59" s="146" t="str">
        <f>Query!F56</f>
        <v>B1-TCS-1311-X21</v>
      </c>
      <c r="I59" s="142" t="str">
        <f>Query!G56</f>
        <v>BOX TPC/OPS</v>
      </c>
      <c r="J59" s="142" t="s">
        <v>2851</v>
      </c>
      <c r="K59" s="146" t="str">
        <f>Query!K56</f>
        <v>B1-JBAY-1341-X01</v>
      </c>
      <c r="L59" s="142" t="str">
        <f>Query!L56</f>
        <v>JB HPH FI</v>
      </c>
      <c r="M59" s="142" t="s">
        <v>2852</v>
      </c>
      <c r="N59" s="128"/>
      <c r="O59" s="142" t="str">
        <f>Query!O56</f>
        <v>DSPW/SUPP.FI</v>
      </c>
    </row>
    <row r="60" spans="1:15" s="129" customFormat="1" ht="26.25" customHeight="1">
      <c r="A60" s="142" t="str">
        <f>Query!A57</f>
        <v>20054</v>
      </c>
      <c r="B60" s="142" t="str">
        <f>MID(Query!B57,1,2)</f>
        <v>B1</v>
      </c>
      <c r="C60" s="144" t="str">
        <f>MID(Query!B57,4,50)</f>
        <v>PI-I-5243</v>
      </c>
      <c r="D60" s="142" t="str">
        <f>Query!C57</f>
        <v>Cu</v>
      </c>
      <c r="E60" s="142" t="str">
        <f>Query!D57</f>
        <v>2 x 2.5  mm²</v>
      </c>
      <c r="F60" s="142" t="s">
        <v>385</v>
      </c>
      <c r="G60" s="142" t="str">
        <f>Query!E57</f>
        <v>100</v>
      </c>
      <c r="H60" s="146" t="str">
        <f>Query!F57</f>
        <v>B1-TCS-1311-X21</v>
      </c>
      <c r="I60" s="142" t="str">
        <f>Query!G57</f>
        <v>BOX TPC/OPS</v>
      </c>
      <c r="J60" s="142" t="s">
        <v>2851</v>
      </c>
      <c r="K60" s="146" t="str">
        <f>Query!K57</f>
        <v>B1-JBAY-1341-X01</v>
      </c>
      <c r="L60" s="142" t="str">
        <f>Query!L57</f>
        <v>JB HPH FI</v>
      </c>
      <c r="M60" s="142" t="s">
        <v>2852</v>
      </c>
      <c r="N60" s="128"/>
      <c r="O60" s="142" t="str">
        <f>Query!O57</f>
        <v>DSPW/SUPP.FI</v>
      </c>
    </row>
    <row r="61" spans="1:15" s="129" customFormat="1" ht="26.25" customHeight="1">
      <c r="A61" s="142" t="str">
        <f>Query!A58</f>
        <v>20055</v>
      </c>
      <c r="B61" s="142" t="str">
        <f>MID(Query!B58,1,2)</f>
        <v>B1</v>
      </c>
      <c r="C61" s="144" t="str">
        <f>MID(Query!B58,4,50)</f>
        <v>PI-I-5245</v>
      </c>
      <c r="D61" s="142" t="str">
        <f>Query!C58</f>
        <v>Cu</v>
      </c>
      <c r="E61" s="142" t="str">
        <f>Query!D58</f>
        <v>2 x 2.5  mm²</v>
      </c>
      <c r="F61" s="142" t="s">
        <v>385</v>
      </c>
      <c r="G61" s="142" t="str">
        <f>Query!E58</f>
        <v>100</v>
      </c>
      <c r="H61" s="146" t="str">
        <f>Query!F58</f>
        <v>B1-TCS-1311-X21</v>
      </c>
      <c r="I61" s="142" t="str">
        <f>Query!G58</f>
        <v>BOX TPC/OPS</v>
      </c>
      <c r="J61" s="142" t="s">
        <v>2851</v>
      </c>
      <c r="K61" s="146" t="str">
        <f>Query!K58</f>
        <v>B1-JBAY-1341-X01</v>
      </c>
      <c r="L61" s="142" t="str">
        <f>Query!L58</f>
        <v>JB HPH FI</v>
      </c>
      <c r="M61" s="142" t="s">
        <v>2852</v>
      </c>
      <c r="N61" s="128"/>
      <c r="O61" s="142" t="str">
        <f>Query!O58</f>
        <v>DSPW/SUPP.FI</v>
      </c>
    </row>
    <row r="62" spans="1:15" s="129" customFormat="1" ht="26.25" customHeight="1">
      <c r="A62" s="142" t="str">
        <f>Query!A59</f>
        <v>20056</v>
      </c>
      <c r="B62" s="142" t="str">
        <f>MID(Query!B59,1,2)</f>
        <v>B1</v>
      </c>
      <c r="C62" s="144" t="str">
        <f>MID(Query!B59,4,50)</f>
        <v>PRP-13701-C4001</v>
      </c>
      <c r="D62" s="142" t="str">
        <f>Query!C59</f>
        <v>1- C5XFE-R /ST/</v>
      </c>
      <c r="E62" s="142" t="str">
        <f>Query!D59</f>
        <v>2 x 2 x 1.0  mm²</v>
      </c>
      <c r="F62" s="142" t="s">
        <v>260</v>
      </c>
      <c r="G62" s="142" t="str">
        <f>Query!E59</f>
        <v>30</v>
      </c>
      <c r="H62" s="146" t="str">
        <f>Query!F59</f>
        <v>B1-TCS-1301B-XD53</v>
      </c>
      <c r="I62" s="142" t="str">
        <f>Query!G59</f>
        <v>TCS I/O and marshaling cabinet</v>
      </c>
      <c r="J62" s="142" t="s">
        <v>2851</v>
      </c>
      <c r="K62" s="146" t="str">
        <f>Query!K59</f>
        <v>B1-PRP-13701-XC7</v>
      </c>
      <c r="L62" s="142" t="str">
        <f>Query!L59</f>
        <v>BOX OF GEN.PROTECTIONS</v>
      </c>
      <c r="M62" s="142" t="s">
        <v>2851</v>
      </c>
      <c r="N62" s="128"/>
      <c r="O62" s="142" t="str">
        <f>Query!O59</f>
        <v>DSPW/SUPP.FI</v>
      </c>
    </row>
    <row r="63" spans="1:15" s="129" customFormat="1" ht="26.25" customHeight="1">
      <c r="A63" s="142" t="str">
        <f>Query!A60</f>
        <v>20057</v>
      </c>
      <c r="B63" s="142" t="str">
        <f>MID(Query!B60,1,2)</f>
        <v>B1</v>
      </c>
      <c r="C63" s="144" t="str">
        <f>MID(Query!B60,4,50)</f>
        <v>PRP-13701-C4002</v>
      </c>
      <c r="D63" s="142" t="str">
        <f>Query!C60</f>
        <v>1- C5XFE-R /ST/</v>
      </c>
      <c r="E63" s="142" t="str">
        <f>Query!D60</f>
        <v>2 x 2 x 1.0  mm²</v>
      </c>
      <c r="F63" s="142" t="s">
        <v>260</v>
      </c>
      <c r="G63" s="142" t="str">
        <f>Query!E60</f>
        <v>30</v>
      </c>
      <c r="H63" s="146" t="str">
        <f>Query!F60</f>
        <v>B1-TCS-1301B-XD53</v>
      </c>
      <c r="I63" s="142" t="str">
        <f>Query!G60</f>
        <v>TCS I/O and marshaling cabinet</v>
      </c>
      <c r="J63" s="142" t="s">
        <v>2851</v>
      </c>
      <c r="K63" s="146" t="str">
        <f>Query!K60</f>
        <v>B1-PRP-13701-XC7</v>
      </c>
      <c r="L63" s="142" t="str">
        <f>Query!L60</f>
        <v>BOX OF GEN.PROTECTIONS</v>
      </c>
      <c r="M63" s="142" t="s">
        <v>2851</v>
      </c>
      <c r="N63" s="128"/>
      <c r="O63" s="142" t="str">
        <f>Query!O60</f>
        <v>DSPW/SUPP.FI</v>
      </c>
    </row>
    <row r="64" spans="1:15" s="129" customFormat="1" ht="26.25" customHeight="1">
      <c r="A64" s="142" t="str">
        <f>Query!A61</f>
        <v>20058</v>
      </c>
      <c r="B64" s="142" t="str">
        <f>MID(Query!B61,1,2)</f>
        <v>B1</v>
      </c>
      <c r="C64" s="144" t="str">
        <f>MID(Query!B61,4,50)</f>
        <v>PRP-13701-C4010</v>
      </c>
      <c r="D64" s="142" t="str">
        <f>Query!C61</f>
        <v>1- C5XFE-R /ST/</v>
      </c>
      <c r="E64" s="142" t="str">
        <f>Query!D61</f>
        <v>2 x 2 x 1.0  mm²</v>
      </c>
      <c r="F64" s="142" t="s">
        <v>260</v>
      </c>
      <c r="G64" s="142" t="str">
        <f>Query!E61</f>
        <v>30</v>
      </c>
      <c r="H64" s="146" t="str">
        <f>Query!F61</f>
        <v>B1-TCS-1301C-XD55</v>
      </c>
      <c r="I64" s="142" t="str">
        <f>Query!G61</f>
        <v>TPS I/O and marshaling cabinet</v>
      </c>
      <c r="J64" s="142" t="s">
        <v>2851</v>
      </c>
      <c r="K64" s="146" t="str">
        <f>Query!K61</f>
        <v>B1-PRP-13701-XS1</v>
      </c>
      <c r="L64" s="142" t="str">
        <f>Query!L61</f>
        <v>BOX OF GEN.PROTECTIONS</v>
      </c>
      <c r="M64" s="142" t="s">
        <v>2851</v>
      </c>
      <c r="N64" s="128"/>
      <c r="O64" s="142" t="str">
        <f>Query!O61</f>
        <v>DSPW/SUPP.FI</v>
      </c>
    </row>
    <row r="65" spans="1:15" s="129" customFormat="1" ht="26.25" customHeight="1">
      <c r="A65" s="142" t="str">
        <f>Query!A62</f>
        <v>20059</v>
      </c>
      <c r="B65" s="142" t="str">
        <f>MID(Query!B62,1,2)</f>
        <v>B1</v>
      </c>
      <c r="C65" s="144" t="str">
        <f>MID(Query!B62,4,50)</f>
        <v>PRP-13701-C4011</v>
      </c>
      <c r="D65" s="142" t="str">
        <f>Query!C62</f>
        <v>1- C5XFE-R /ST/</v>
      </c>
      <c r="E65" s="142" t="str">
        <f>Query!D62</f>
        <v>2 x 2 x 1.0  mm²</v>
      </c>
      <c r="F65" s="142" t="s">
        <v>260</v>
      </c>
      <c r="G65" s="142" t="str">
        <f>Query!E62</f>
        <v>30</v>
      </c>
      <c r="H65" s="146" t="str">
        <f>Query!F62</f>
        <v>B1-TCS-1301C-XD55</v>
      </c>
      <c r="I65" s="142" t="str">
        <f>Query!G62</f>
        <v>TPS I/O and marshaling cabinet</v>
      </c>
      <c r="J65" s="142" t="s">
        <v>2851</v>
      </c>
      <c r="K65" s="146" t="str">
        <f>Query!K62</f>
        <v>B1-PRP-13701-XS1</v>
      </c>
      <c r="L65" s="142" t="str">
        <f>Query!L62</f>
        <v>BOX OF GEN.PROTECTIONS</v>
      </c>
      <c r="M65" s="142" t="s">
        <v>2851</v>
      </c>
      <c r="N65" s="128"/>
      <c r="O65" s="142" t="str">
        <f>Query!O62</f>
        <v>DSPW/SUPP.FI</v>
      </c>
    </row>
    <row r="66" spans="1:15" s="129" customFormat="1" ht="26.25" customHeight="1">
      <c r="A66" s="142" t="str">
        <f>Query!A63</f>
        <v>20060</v>
      </c>
      <c r="B66" s="142" t="str">
        <f>MID(Query!B63,1,2)</f>
        <v>B1</v>
      </c>
      <c r="C66" s="144" t="str">
        <f>MID(Query!B63,4,50)</f>
        <v>PRP-13701-C4012</v>
      </c>
      <c r="D66" s="142" t="str">
        <f>Query!C63</f>
        <v>1- C5XFE-R /ST/</v>
      </c>
      <c r="E66" s="142" t="str">
        <f>Query!D63</f>
        <v>2 x 2 x 1.0  mm²</v>
      </c>
      <c r="F66" s="142" t="s">
        <v>260</v>
      </c>
      <c r="G66" s="142" t="str">
        <f>Query!E63</f>
        <v>30</v>
      </c>
      <c r="H66" s="146" t="str">
        <f>Query!F63</f>
        <v>B1-TCS-1301C-XD55</v>
      </c>
      <c r="I66" s="142" t="str">
        <f>Query!G63</f>
        <v>TPS I/O and marshaling cabinet</v>
      </c>
      <c r="J66" s="142" t="s">
        <v>2851</v>
      </c>
      <c r="K66" s="146" t="str">
        <f>Query!K63</f>
        <v>B1-PRP-13701-XS1</v>
      </c>
      <c r="L66" s="142" t="str">
        <f>Query!L63</f>
        <v>BOX OF GEN.PROTECTIONS</v>
      </c>
      <c r="M66" s="142" t="s">
        <v>2851</v>
      </c>
      <c r="N66" s="128"/>
      <c r="O66" s="142" t="str">
        <f>Query!O63</f>
        <v>DSPW/SUPP.FI</v>
      </c>
    </row>
    <row r="67" spans="1:15" s="129" customFormat="1" ht="26.25" customHeight="1">
      <c r="A67" s="142" t="str">
        <f>Query!A64</f>
        <v>20061</v>
      </c>
      <c r="B67" s="142" t="str">
        <f>MID(Query!B64,1,2)</f>
        <v>B1</v>
      </c>
      <c r="C67" s="144" t="str">
        <f>MID(Query!B64,4,50)</f>
        <v>PRP-13701-C4013</v>
      </c>
      <c r="D67" s="142" t="str">
        <f>Query!C64</f>
        <v>1- C5XFE-R /ST/</v>
      </c>
      <c r="E67" s="142" t="str">
        <f>Query!D64</f>
        <v>2 x 2 x 1.0  mm²</v>
      </c>
      <c r="F67" s="142" t="s">
        <v>260</v>
      </c>
      <c r="G67" s="142" t="str">
        <f>Query!E64</f>
        <v>30</v>
      </c>
      <c r="H67" s="146" t="str">
        <f>Query!F64</f>
        <v>B1-TCS-1301B-XD43</v>
      </c>
      <c r="I67" s="142" t="str">
        <f>Query!G64</f>
        <v>TCS I/O and marshaling cabinet</v>
      </c>
      <c r="J67" s="142" t="s">
        <v>2851</v>
      </c>
      <c r="K67" s="146" t="str">
        <f>Query!K64</f>
        <v>B1-PRP-13701-XS1</v>
      </c>
      <c r="L67" s="142" t="str">
        <f>Query!L64</f>
        <v>BOX OF GEN.PROTECTIONS</v>
      </c>
      <c r="M67" s="142" t="s">
        <v>2851</v>
      </c>
      <c r="N67" s="128"/>
      <c r="O67" s="142" t="str">
        <f>Query!O64</f>
        <v>DSPW/SUPP.FI</v>
      </c>
    </row>
    <row r="68" spans="1:15" s="129" customFormat="1" ht="26.25" customHeight="1">
      <c r="A68" s="142" t="str">
        <f>Query!A65</f>
        <v>20062</v>
      </c>
      <c r="B68" s="142" t="str">
        <f>MID(Query!B65,1,2)</f>
        <v>B1</v>
      </c>
      <c r="C68" s="144" t="str">
        <f>MID(Query!B65,4,50)</f>
        <v>PRP-13701-C4014</v>
      </c>
      <c r="D68" s="142" t="str">
        <f>Query!C65</f>
        <v>1- C5XFE-R /ST/</v>
      </c>
      <c r="E68" s="142" t="str">
        <f>Query!D65</f>
        <v>2 x 2 x 1.0  mm²</v>
      </c>
      <c r="F68" s="142" t="s">
        <v>260</v>
      </c>
      <c r="G68" s="142" t="str">
        <f>Query!E65</f>
        <v>30</v>
      </c>
      <c r="H68" s="146" t="str">
        <f>Query!F65</f>
        <v>B1-TCS-1301B-XD43</v>
      </c>
      <c r="I68" s="142" t="str">
        <f>Query!G65</f>
        <v>TCS I/O and marshaling cabinet</v>
      </c>
      <c r="J68" s="142" t="s">
        <v>2851</v>
      </c>
      <c r="K68" s="146" t="str">
        <f>Query!K65</f>
        <v>B1-PRP-13701-XS1</v>
      </c>
      <c r="L68" s="142" t="str">
        <f>Query!L65</f>
        <v>BOX OF GEN.PROTECTIONS</v>
      </c>
      <c r="M68" s="142" t="s">
        <v>2851</v>
      </c>
      <c r="N68" s="128"/>
      <c r="O68" s="142" t="str">
        <f>Query!O65</f>
        <v>DSPW/SUPP.FI</v>
      </c>
    </row>
    <row r="69" spans="1:15" s="129" customFormat="1" ht="26.25" customHeight="1">
      <c r="A69" s="142" t="str">
        <f>Query!A66</f>
        <v>20063</v>
      </c>
      <c r="B69" s="142" t="str">
        <f>MID(Query!B66,1,2)</f>
        <v>B1</v>
      </c>
      <c r="C69" s="144" t="str">
        <f>MID(Query!B66,4,50)</f>
        <v>PRP-13701-C4024</v>
      </c>
      <c r="D69" s="142" t="str">
        <f>Query!C66</f>
        <v>1- C5XFE-R /ST/</v>
      </c>
      <c r="E69" s="142" t="str">
        <f>Query!D66</f>
        <v>10 x 2 x 1.0  mm²</v>
      </c>
      <c r="F69" s="142" t="s">
        <v>260</v>
      </c>
      <c r="G69" s="142" t="str">
        <f>Query!E66</f>
        <v>30</v>
      </c>
      <c r="H69" s="146" t="str">
        <f>Query!F66</f>
        <v>B1-TCS-1301B-XD43</v>
      </c>
      <c r="I69" s="142" t="str">
        <f>Query!G66</f>
        <v>TCS I/O and marshaling cabinet</v>
      </c>
      <c r="J69" s="142" t="s">
        <v>2851</v>
      </c>
      <c r="K69" s="146" t="str">
        <f>Query!K66</f>
        <v>B1-PRP-13701-XS4</v>
      </c>
      <c r="L69" s="142" t="str">
        <f>Query!L66</f>
        <v>BOX OF GEN.PROTECTIONS</v>
      </c>
      <c r="M69" s="142" t="s">
        <v>2851</v>
      </c>
      <c r="N69" s="128"/>
      <c r="O69" s="142" t="str">
        <f>Query!O66</f>
        <v>DSPW/SUPP.FI</v>
      </c>
    </row>
    <row r="70" spans="1:15" s="129" customFormat="1" ht="26.25" customHeight="1">
      <c r="A70" s="142" t="str">
        <f>Query!A67</f>
        <v>20064</v>
      </c>
      <c r="B70" s="142" t="str">
        <f>MID(Query!B67,1,2)</f>
        <v>B1</v>
      </c>
      <c r="C70" s="144" t="str">
        <f>MID(Query!B67,4,50)</f>
        <v>PRP-13701-C4025</v>
      </c>
      <c r="D70" s="142" t="str">
        <f>Query!C67</f>
        <v>1- C5XFE-R /ST/</v>
      </c>
      <c r="E70" s="142" t="str">
        <f>Query!D67</f>
        <v>2 x 2 x 1.0  mm²</v>
      </c>
      <c r="F70" s="142" t="s">
        <v>260</v>
      </c>
      <c r="G70" s="142" t="str">
        <f>Query!E67</f>
        <v>30</v>
      </c>
      <c r="H70" s="146" t="str">
        <f>Query!F67</f>
        <v>B1-TCS-1301B-XD53</v>
      </c>
      <c r="I70" s="142" t="str">
        <f>Query!G67</f>
        <v>TCS I/O and marshaling cabinet</v>
      </c>
      <c r="J70" s="142" t="s">
        <v>2851</v>
      </c>
      <c r="K70" s="146" t="str">
        <f>Query!K67</f>
        <v>B1-PRP-13701-XC7</v>
      </c>
      <c r="L70" s="142" t="str">
        <f>Query!L67</f>
        <v>BOX OF GEN.PROTECTIONS</v>
      </c>
      <c r="M70" s="142" t="s">
        <v>2851</v>
      </c>
      <c r="N70" s="128"/>
      <c r="O70" s="142" t="str">
        <f>Query!O67</f>
        <v>DSPW/SUPP.FI</v>
      </c>
    </row>
    <row r="71" spans="1:15" s="129" customFormat="1" ht="26.25" customHeight="1">
      <c r="A71" s="142" t="str">
        <f>Query!A68</f>
        <v>20065</v>
      </c>
      <c r="B71" s="142" t="str">
        <f>MID(Query!B68,1,2)</f>
        <v>B1</v>
      </c>
      <c r="C71" s="144" t="str">
        <f>MID(Query!B68,4,50)</f>
        <v>PS-13102A-C4001</v>
      </c>
      <c r="D71" s="142" t="str">
        <f>Query!C68</f>
        <v>Cu</v>
      </c>
      <c r="E71" s="142" t="str">
        <f>Query!D68</f>
        <v>2 x 2 x 0,75  mm²</v>
      </c>
      <c r="F71" s="142" t="s">
        <v>260</v>
      </c>
      <c r="G71" s="142" t="str">
        <f>Query!E68</f>
        <v>20</v>
      </c>
      <c r="H71" s="146" t="str">
        <f>Query!F68</f>
        <v>B1-JBAY-1341-X01</v>
      </c>
      <c r="I71" s="142" t="str">
        <f>Query!G68</f>
        <v>JB HPH FI</v>
      </c>
      <c r="J71" s="142" t="s">
        <v>2852</v>
      </c>
      <c r="K71" s="146" t="str">
        <f>Query!K68</f>
        <v>B1-PS-13102A-B01</v>
      </c>
      <c r="L71" s="142" t="str">
        <f>Query!L68</f>
        <v>PRESSURE CONTROL OIL - PUMP 1</v>
      </c>
      <c r="M71" s="142" t="s">
        <v>2852</v>
      </c>
      <c r="N71" s="128"/>
      <c r="O71" s="142" t="str">
        <f>Query!O68</f>
        <v>DSPW/SKID</v>
      </c>
    </row>
    <row r="72" spans="1:15" s="129" customFormat="1" ht="26.25" customHeight="1">
      <c r="A72" s="142" t="str">
        <f>Query!A69</f>
        <v>20066</v>
      </c>
      <c r="B72" s="142" t="str">
        <f>MID(Query!B69,1,2)</f>
        <v>B1</v>
      </c>
      <c r="C72" s="144" t="str">
        <f>MID(Query!B69,4,50)</f>
        <v>PS-13102B-C4001</v>
      </c>
      <c r="D72" s="142" t="str">
        <f>Query!C69</f>
        <v>Cu</v>
      </c>
      <c r="E72" s="142" t="str">
        <f>Query!D69</f>
        <v>2 x 2 x 0,75  mm²</v>
      </c>
      <c r="F72" s="142" t="s">
        <v>260</v>
      </c>
      <c r="G72" s="142" t="str">
        <f>Query!E69</f>
        <v>20</v>
      </c>
      <c r="H72" s="146" t="str">
        <f>Query!F69</f>
        <v>B1-JBAY-1341-X01</v>
      </c>
      <c r="I72" s="142" t="str">
        <f>Query!G69</f>
        <v>JB HPH FI</v>
      </c>
      <c r="J72" s="142" t="s">
        <v>2852</v>
      </c>
      <c r="K72" s="146" t="str">
        <f>Query!K69</f>
        <v>B1-PS-13102B-B01</v>
      </c>
      <c r="L72" s="142" t="str">
        <f>Query!L69</f>
        <v>PRESSURE CONTROL OIL - PUMP 2</v>
      </c>
      <c r="M72" s="142" t="s">
        <v>2852</v>
      </c>
      <c r="N72" s="128"/>
      <c r="O72" s="142" t="str">
        <f>Query!O69</f>
        <v>DSPW/SKID</v>
      </c>
    </row>
    <row r="73" spans="1:15" s="129" customFormat="1" ht="26.25" customHeight="1">
      <c r="A73" s="142" t="str">
        <f>Query!A70</f>
        <v>20067</v>
      </c>
      <c r="B73" s="142" t="str">
        <f>MID(Query!B70,1,2)</f>
        <v>B1</v>
      </c>
      <c r="C73" s="144" t="str">
        <f>MID(Query!B70,4,50)</f>
        <v>PS-13103A-C4001</v>
      </c>
      <c r="D73" s="142" t="str">
        <f>Query!C70</f>
        <v>Cu</v>
      </c>
      <c r="E73" s="142" t="str">
        <f>Query!D70</f>
        <v>2 x 2 x 0,75  mm²</v>
      </c>
      <c r="F73" s="142" t="s">
        <v>260</v>
      </c>
      <c r="G73" s="142" t="str">
        <f>Query!E70</f>
        <v>20</v>
      </c>
      <c r="H73" s="146" t="str">
        <f>Query!F70</f>
        <v>B1-JBAY-1341-X01</v>
      </c>
      <c r="I73" s="142" t="str">
        <f>Query!G70</f>
        <v>JB HPH FI</v>
      </c>
      <c r="J73" s="142" t="s">
        <v>2852</v>
      </c>
      <c r="K73" s="146" t="str">
        <f>Query!K70</f>
        <v>B1-PS-13103A-B01</v>
      </c>
      <c r="L73" s="142" t="str">
        <f>Query!L70</f>
        <v>DPRESS.CONTROL OIL FILTER - PUMP 1</v>
      </c>
      <c r="M73" s="142" t="s">
        <v>2852</v>
      </c>
      <c r="N73" s="128"/>
      <c r="O73" s="142" t="str">
        <f>Query!O70</f>
        <v>DSPW/SKID</v>
      </c>
    </row>
    <row r="74" spans="1:15" s="129" customFormat="1" ht="26.25" customHeight="1">
      <c r="A74" s="142" t="str">
        <f>Query!A71</f>
        <v>20068</v>
      </c>
      <c r="B74" s="142" t="str">
        <f>MID(Query!B71,1,2)</f>
        <v>B1</v>
      </c>
      <c r="C74" s="144" t="str">
        <f>MID(Query!B71,4,50)</f>
        <v>PS-13103B-C4001</v>
      </c>
      <c r="D74" s="142" t="str">
        <f>Query!C71</f>
        <v>Cu</v>
      </c>
      <c r="E74" s="142" t="str">
        <f>Query!D71</f>
        <v>2 x 2 x 0,75  mm²</v>
      </c>
      <c r="F74" s="142" t="s">
        <v>260</v>
      </c>
      <c r="G74" s="142" t="str">
        <f>Query!E71</f>
        <v>20</v>
      </c>
      <c r="H74" s="146" t="str">
        <f>Query!F71</f>
        <v>B1-JBAY-1341-X01</v>
      </c>
      <c r="I74" s="142" t="str">
        <f>Query!G71</f>
        <v>JB HPH FI</v>
      </c>
      <c r="J74" s="142" t="s">
        <v>2852</v>
      </c>
      <c r="K74" s="146" t="str">
        <f>Query!K71</f>
        <v>B1-PS-13103B-B01</v>
      </c>
      <c r="L74" s="142" t="str">
        <f>Query!L71</f>
        <v>DPRESS.CONTROL OIL FILTER - PUMP 2</v>
      </c>
      <c r="M74" s="142" t="s">
        <v>2852</v>
      </c>
      <c r="N74" s="128"/>
      <c r="O74" s="142" t="str">
        <f>Query!O71</f>
        <v>DSPW/SKID</v>
      </c>
    </row>
    <row r="75" spans="1:15" s="129" customFormat="1" ht="26.25" customHeight="1">
      <c r="A75" s="142" t="str">
        <f>Query!A72</f>
        <v>20069</v>
      </c>
      <c r="B75" s="142" t="str">
        <f>MID(Query!B72,1,2)</f>
        <v>B1</v>
      </c>
      <c r="C75" s="144" t="str">
        <f>MID(Query!B72,4,50)</f>
        <v>PS-13105A-C4001</v>
      </c>
      <c r="D75" s="142" t="str">
        <f>Query!C72</f>
        <v>Cu</v>
      </c>
      <c r="E75" s="142" t="str">
        <f>Query!D72</f>
        <v>2 x 2 x 0,75  mm²</v>
      </c>
      <c r="F75" s="142" t="s">
        <v>260</v>
      </c>
      <c r="G75" s="142" t="str">
        <f>Query!E72</f>
        <v>20</v>
      </c>
      <c r="H75" s="146" t="str">
        <f>Query!F72</f>
        <v>B1-JBAY-1341-X01</v>
      </c>
      <c r="I75" s="142" t="str">
        <f>Query!G72</f>
        <v>JB HPH FI</v>
      </c>
      <c r="J75" s="142" t="s">
        <v>2852</v>
      </c>
      <c r="K75" s="146" t="str">
        <f>Query!K72</f>
        <v>B1-PS-13105A-B01</v>
      </c>
      <c r="L75" s="142" t="str">
        <f>Query!L72</f>
        <v>DPRESS. CONTROL OIL FILTER 1</v>
      </c>
      <c r="M75" s="142" t="s">
        <v>2852</v>
      </c>
      <c r="N75" s="128"/>
      <c r="O75" s="142" t="str">
        <f>Query!O72</f>
        <v>DSPW/SKID</v>
      </c>
    </row>
    <row r="76" spans="1:15" s="129" customFormat="1" ht="26.25" customHeight="1">
      <c r="A76" s="142" t="str">
        <f>Query!A73</f>
        <v>20070</v>
      </c>
      <c r="B76" s="142" t="str">
        <f>MID(Query!B73,1,2)</f>
        <v>B1</v>
      </c>
      <c r="C76" s="144" t="str">
        <f>MID(Query!B73,4,50)</f>
        <v>PS-13105B-C4001</v>
      </c>
      <c r="D76" s="142" t="str">
        <f>Query!C73</f>
        <v>Cu</v>
      </c>
      <c r="E76" s="142" t="str">
        <f>Query!D73</f>
        <v>2 x 2 x 0,75  mm²</v>
      </c>
      <c r="F76" s="142" t="s">
        <v>260</v>
      </c>
      <c r="G76" s="142" t="str">
        <f>Query!E73</f>
        <v>20</v>
      </c>
      <c r="H76" s="146" t="str">
        <f>Query!F73</f>
        <v>B1-JBAY-1341-X01</v>
      </c>
      <c r="I76" s="142" t="str">
        <f>Query!G73</f>
        <v>JB HPH FI</v>
      </c>
      <c r="J76" s="142" t="s">
        <v>2852</v>
      </c>
      <c r="K76" s="146" t="str">
        <f>Query!K73</f>
        <v>B1-PS-13105B-B01</v>
      </c>
      <c r="L76" s="142" t="str">
        <f>Query!L73</f>
        <v>DPRESS.CONTROL OIL FILTER 2</v>
      </c>
      <c r="M76" s="142" t="s">
        <v>2852</v>
      </c>
      <c r="N76" s="128"/>
      <c r="O76" s="142" t="str">
        <f>Query!O73</f>
        <v>DSPW/SKID</v>
      </c>
    </row>
    <row r="77" spans="1:15" s="129" customFormat="1" ht="26.25" customHeight="1">
      <c r="A77" s="142" t="str">
        <f>Query!A74</f>
        <v>20071</v>
      </c>
      <c r="B77" s="142" t="str">
        <f>MID(Query!B74,1,2)</f>
        <v>B1</v>
      </c>
      <c r="C77" s="144" t="str">
        <f>MID(Query!B74,4,50)</f>
        <v>PS-13106-C4001</v>
      </c>
      <c r="D77" s="142" t="str">
        <f>Query!C74</f>
        <v>Cu</v>
      </c>
      <c r="E77" s="142" t="str">
        <f>Query!D74</f>
        <v>2 x 2 x 0,75  mm²</v>
      </c>
      <c r="F77" s="142" t="s">
        <v>260</v>
      </c>
      <c r="G77" s="142" t="str">
        <f>Query!E74</f>
        <v>20</v>
      </c>
      <c r="H77" s="146" t="str">
        <f>Query!F74</f>
        <v>B1-JBAY-1341-X01</v>
      </c>
      <c r="I77" s="142" t="str">
        <f>Query!G74</f>
        <v>JB HPH FI</v>
      </c>
      <c r="J77" s="142" t="s">
        <v>2852</v>
      </c>
      <c r="K77" s="146" t="str">
        <f>Query!K74</f>
        <v>B1-PS-13106-B01</v>
      </c>
      <c r="L77" s="142" t="str">
        <f>Query!L74</f>
        <v>PRESSURE CONTROL OIL IN FILRATION CIRCUIT</v>
      </c>
      <c r="M77" s="142" t="s">
        <v>2852</v>
      </c>
      <c r="N77" s="128"/>
      <c r="O77" s="142" t="str">
        <f>Query!O74</f>
        <v>DSPW/SKID</v>
      </c>
    </row>
    <row r="78" spans="1:15" s="129" customFormat="1" ht="26.25" customHeight="1">
      <c r="A78" s="142" t="str">
        <f>Query!A75</f>
        <v>20072</v>
      </c>
      <c r="B78" s="142" t="str">
        <f>MID(Query!B75,1,2)</f>
        <v>B1</v>
      </c>
      <c r="C78" s="144" t="str">
        <f>MID(Query!B75,4,50)</f>
        <v>PS-13108A-C4001</v>
      </c>
      <c r="D78" s="142" t="str">
        <f>Query!C75</f>
        <v>Cu</v>
      </c>
      <c r="E78" s="142" t="str">
        <f>Query!D75</f>
        <v>2 x 2 x 0,75  mm²</v>
      </c>
      <c r="F78" s="142" t="s">
        <v>260</v>
      </c>
      <c r="G78" s="142" t="str">
        <f>Query!E75</f>
        <v>20</v>
      </c>
      <c r="H78" s="146" t="str">
        <f>Query!F75</f>
        <v>B1-JBAY-1341-X01</v>
      </c>
      <c r="I78" s="142" t="str">
        <f>Query!G75</f>
        <v>JB HPH FI</v>
      </c>
      <c r="J78" s="142" t="s">
        <v>2852</v>
      </c>
      <c r="K78" s="146" t="str">
        <f>Query!K75</f>
        <v>B1-PS-13108A-B01</v>
      </c>
      <c r="L78" s="142" t="str">
        <f>Query!L75</f>
        <v>PRESSURE 1 TRIPPING OIL</v>
      </c>
      <c r="M78" s="142" t="s">
        <v>2852</v>
      </c>
      <c r="N78" s="128"/>
      <c r="O78" s="142" t="str">
        <f>Query!O75</f>
        <v>DSPW/SKID</v>
      </c>
    </row>
    <row r="79" spans="1:15" s="129" customFormat="1" ht="26.25" customHeight="1">
      <c r="A79" s="142" t="str">
        <f>Query!A76</f>
        <v>20073</v>
      </c>
      <c r="B79" s="142" t="str">
        <f>MID(Query!B76,1,2)</f>
        <v>B1</v>
      </c>
      <c r="C79" s="144" t="str">
        <f>MID(Query!B76,4,50)</f>
        <v>PS-13108B-C4001</v>
      </c>
      <c r="D79" s="142" t="str">
        <f>Query!C76</f>
        <v>Cu</v>
      </c>
      <c r="E79" s="142" t="str">
        <f>Query!D76</f>
        <v>2 x 2 x 0,75  mm²</v>
      </c>
      <c r="F79" s="142" t="s">
        <v>260</v>
      </c>
      <c r="G79" s="142" t="str">
        <f>Query!E76</f>
        <v>20</v>
      </c>
      <c r="H79" s="146" t="str">
        <f>Query!F76</f>
        <v>B1-JBAY-1341-X01</v>
      </c>
      <c r="I79" s="142" t="str">
        <f>Query!G76</f>
        <v>JB HPH FI</v>
      </c>
      <c r="J79" s="142" t="s">
        <v>2852</v>
      </c>
      <c r="K79" s="146" t="str">
        <f>Query!K76</f>
        <v>B1-PS-13108B-B01</v>
      </c>
      <c r="L79" s="142" t="str">
        <f>Query!L76</f>
        <v>PRESSURE 2 TRIPPING OIL</v>
      </c>
      <c r="M79" s="142" t="s">
        <v>2852</v>
      </c>
      <c r="N79" s="128"/>
      <c r="O79" s="142" t="str">
        <f>Query!O76</f>
        <v>DSPW/SKID</v>
      </c>
    </row>
    <row r="80" spans="1:15" s="129" customFormat="1" ht="26.25" customHeight="1">
      <c r="A80" s="142" t="str">
        <f>Query!A77</f>
        <v>20074</v>
      </c>
      <c r="B80" s="142" t="str">
        <f>MID(Query!B77,1,2)</f>
        <v>B1</v>
      </c>
      <c r="C80" s="144" t="str">
        <f>MID(Query!B77,4,50)</f>
        <v>PS-13108C-C4001</v>
      </c>
      <c r="D80" s="142" t="str">
        <f>Query!C77</f>
        <v>Cu</v>
      </c>
      <c r="E80" s="142" t="str">
        <f>Query!D77</f>
        <v>2 x 2 x 0,75  mm²</v>
      </c>
      <c r="F80" s="142" t="s">
        <v>260</v>
      </c>
      <c r="G80" s="142" t="str">
        <f>Query!E77</f>
        <v>20</v>
      </c>
      <c r="H80" s="146" t="str">
        <f>Query!F77</f>
        <v>B1-JBAY-1341-X01</v>
      </c>
      <c r="I80" s="142" t="str">
        <f>Query!G77</f>
        <v>JB HPH FI</v>
      </c>
      <c r="J80" s="142" t="s">
        <v>2852</v>
      </c>
      <c r="K80" s="146" t="str">
        <f>Query!K77</f>
        <v>B1-PS-13108C-B01</v>
      </c>
      <c r="L80" s="142" t="str">
        <f>Query!L77</f>
        <v>PRESSURE 3 TRIPPING OIL</v>
      </c>
      <c r="M80" s="142" t="s">
        <v>2852</v>
      </c>
      <c r="N80" s="128"/>
      <c r="O80" s="142" t="str">
        <f>Query!O77</f>
        <v>DSPW/SKID</v>
      </c>
    </row>
    <row r="81" spans="1:15" s="129" customFormat="1" ht="26.25" customHeight="1">
      <c r="A81" s="142" t="str">
        <f>Query!A78</f>
        <v>20075</v>
      </c>
      <c r="B81" s="142" t="str">
        <f>MID(Query!B78,1,2)</f>
        <v>B1</v>
      </c>
      <c r="C81" s="144" t="str">
        <f>MID(Query!B78,4,50)</f>
        <v>PS-13109A-C4001</v>
      </c>
      <c r="D81" s="142" t="str">
        <f>Query!C78</f>
        <v>Cu</v>
      </c>
      <c r="E81" s="142" t="str">
        <f>Query!D78</f>
        <v>2 x 2 x 0,75  mm²</v>
      </c>
      <c r="F81" s="142" t="s">
        <v>260</v>
      </c>
      <c r="G81" s="142" t="str">
        <f>Query!E78</f>
        <v>20</v>
      </c>
      <c r="H81" s="146" t="str">
        <f>Query!F78</f>
        <v>B1-JBAY-1341-X01</v>
      </c>
      <c r="I81" s="142" t="str">
        <f>Query!G78</f>
        <v>JB HPH FI</v>
      </c>
      <c r="J81" s="142" t="s">
        <v>2852</v>
      </c>
      <c r="K81" s="146" t="str">
        <f>Query!K78</f>
        <v>B1-PS-13109A-B01</v>
      </c>
      <c r="L81" s="142" t="str">
        <f>Query!L78</f>
        <v>PRESSURE CONTROL OIL TRIPPING SYSTEM 1</v>
      </c>
      <c r="M81" s="142" t="s">
        <v>2852</v>
      </c>
      <c r="N81" s="128"/>
      <c r="O81" s="142" t="str">
        <f>Query!O78</f>
        <v>DSPW/SKID</v>
      </c>
    </row>
    <row r="82" spans="1:15" ht="26.25" customHeight="1">
      <c r="A82" s="142" t="str">
        <f>Query!A79</f>
        <v>20076</v>
      </c>
      <c r="B82" s="142" t="str">
        <f>MID(Query!B79,1,2)</f>
        <v>B1</v>
      </c>
      <c r="C82" s="144" t="str">
        <f>MID(Query!B79,4,50)</f>
        <v>PS-13109B-C4001</v>
      </c>
      <c r="D82" s="142" t="str">
        <f>Query!C79</f>
        <v>Cu</v>
      </c>
      <c r="E82" s="142" t="str">
        <f>Query!D79</f>
        <v>2 x 2 x 0,75  mm²</v>
      </c>
      <c r="F82" s="142" t="s">
        <v>260</v>
      </c>
      <c r="G82" s="142" t="str">
        <f>Query!E79</f>
        <v>20</v>
      </c>
      <c r="H82" s="146" t="str">
        <f>Query!F79</f>
        <v>B1-JBAY-1341-X01</v>
      </c>
      <c r="I82" s="142" t="str">
        <f>Query!G79</f>
        <v>JB HPH FI</v>
      </c>
      <c r="J82" s="142" t="s">
        <v>2852</v>
      </c>
      <c r="K82" s="146" t="str">
        <f>Query!K79</f>
        <v>B1-PS-13109B-B01</v>
      </c>
      <c r="L82" s="142" t="str">
        <f>Query!L79</f>
        <v>PRESSURE CONTROL OIL TRIPPING SYSTEM 2</v>
      </c>
      <c r="M82" s="142" t="s">
        <v>2852</v>
      </c>
      <c r="N82" s="128"/>
      <c r="O82" s="142" t="str">
        <f>Query!O79</f>
        <v>DSPW/SKID</v>
      </c>
    </row>
    <row r="83" spans="1:15" ht="26.25" customHeight="1">
      <c r="A83" s="142" t="str">
        <f>Query!A80</f>
        <v>20077</v>
      </c>
      <c r="B83" s="142" t="str">
        <f>MID(Query!B80,1,2)</f>
        <v>B1</v>
      </c>
      <c r="C83" s="144" t="str">
        <f>MID(Query!B80,4,50)</f>
        <v>PS-13109C-C4001</v>
      </c>
      <c r="D83" s="142" t="str">
        <f>Query!C80</f>
        <v>Cu</v>
      </c>
      <c r="E83" s="142" t="str">
        <f>Query!D80</f>
        <v>2 x 2 x 0,75  mm²</v>
      </c>
      <c r="F83" s="142" t="s">
        <v>260</v>
      </c>
      <c r="G83" s="142" t="str">
        <f>Query!E80</f>
        <v>20</v>
      </c>
      <c r="H83" s="146" t="str">
        <f>Query!F80</f>
        <v>B1-JBAY-1341-X01</v>
      </c>
      <c r="I83" s="142" t="str">
        <f>Query!G80</f>
        <v>JB HPH FI</v>
      </c>
      <c r="J83" s="142" t="s">
        <v>2852</v>
      </c>
      <c r="K83" s="146" t="str">
        <f>Query!K80</f>
        <v>B1-PS-13109C-B01</v>
      </c>
      <c r="L83" s="142" t="str">
        <f>Query!L80</f>
        <v>PRESSURE CONTROL OIL TRIPPING SYSTEM 3</v>
      </c>
      <c r="M83" s="142" t="s">
        <v>2852</v>
      </c>
      <c r="N83" s="128"/>
      <c r="O83" s="142" t="str">
        <f>Query!O80</f>
        <v>DSPW/SKID</v>
      </c>
    </row>
    <row r="84" spans="1:15" ht="26.25" customHeight="1">
      <c r="A84" s="142" t="str">
        <f>Query!A81</f>
        <v>20078</v>
      </c>
      <c r="B84" s="142" t="str">
        <f>MID(Query!B81,1,2)</f>
        <v>B1</v>
      </c>
      <c r="C84" s="144" t="str">
        <f>MID(Query!B81,4,50)</f>
        <v>PS-13110-C4001</v>
      </c>
      <c r="D84" s="142" t="str">
        <f>Query!C81</f>
        <v>Cu</v>
      </c>
      <c r="E84" s="142" t="str">
        <f>Query!D81</f>
        <v>2 x 2 x 0,75  mm²</v>
      </c>
      <c r="F84" s="142" t="s">
        <v>260</v>
      </c>
      <c r="G84" s="142" t="str">
        <f>Query!E81</f>
        <v>20</v>
      </c>
      <c r="H84" s="146" t="str">
        <f>Query!F81</f>
        <v>B1-JBAY-1341-X01</v>
      </c>
      <c r="I84" s="142" t="str">
        <f>Query!G81</f>
        <v>JB HPH FI</v>
      </c>
      <c r="J84" s="142" t="s">
        <v>2852</v>
      </c>
      <c r="K84" s="146" t="str">
        <f>Query!K81</f>
        <v>B1-PS-13110-B01</v>
      </c>
      <c r="L84" s="142" t="str">
        <f>Query!L81</f>
        <v>DPRESS.CONTROL OIL FILTER 1</v>
      </c>
      <c r="M84" s="142" t="s">
        <v>2852</v>
      </c>
      <c r="N84" s="128"/>
      <c r="O84" s="142" t="str">
        <f>Query!O81</f>
        <v>DSPW/SKID</v>
      </c>
    </row>
    <row r="85" spans="1:15" ht="26.25" customHeight="1">
      <c r="A85" s="142" t="str">
        <f>Query!A82</f>
        <v>20079</v>
      </c>
      <c r="B85" s="142" t="str">
        <f>MID(Query!B82,1,2)</f>
        <v>B1</v>
      </c>
      <c r="C85" s="144" t="str">
        <f>MID(Query!B82,4,50)</f>
        <v>PS-13211-I6001</v>
      </c>
      <c r="D85" s="142" t="str">
        <f>Query!C82</f>
        <v>Cu</v>
      </c>
      <c r="E85" s="142" t="str">
        <f>Query!D82</f>
        <v>2 x 3 x 1.5  mm²</v>
      </c>
      <c r="F85" s="142" t="s">
        <v>385</v>
      </c>
      <c r="G85" s="142" t="str">
        <f>Query!E82</f>
        <v>20</v>
      </c>
      <c r="H85" s="146" t="str">
        <f>Query!F82</f>
        <v>B1JBA-1309-TB2</v>
      </c>
      <c r="I85" s="142" t="str">
        <f>Query!G82</f>
        <v>Junction box IOS</v>
      </c>
      <c r="J85" s="142" t="s">
        <v>2852</v>
      </c>
      <c r="K85" s="146" t="str">
        <f>Query!K82</f>
        <v>B1-PS-13211-B01</v>
      </c>
      <c r="L85" s="142" t="str">
        <f>Query!L82</f>
        <v>PRESS. LUBE OIL EOP DISCHARGE</v>
      </c>
      <c r="M85" s="142" t="s">
        <v>2852</v>
      </c>
      <c r="N85" s="128"/>
      <c r="O85" s="142" t="str">
        <f>Query!O82</f>
        <v>DSPW/SKID</v>
      </c>
    </row>
    <row r="86" spans="1:15" ht="26.25" customHeight="1">
      <c r="A86" s="142" t="str">
        <f>Query!A83</f>
        <v>20080</v>
      </c>
      <c r="B86" s="142" t="str">
        <f>MID(Query!B83,1,2)</f>
        <v>B1</v>
      </c>
      <c r="C86" s="144" t="str">
        <f>MID(Query!B83,4,50)</f>
        <v>PSH-13213-I6001</v>
      </c>
      <c r="D86" s="142" t="str">
        <f>Query!C83</f>
        <v>Cu</v>
      </c>
      <c r="E86" s="142" t="str">
        <f>Query!D83</f>
        <v>2 x 3 x 1.5  mm²</v>
      </c>
      <c r="F86" s="142" t="s">
        <v>385</v>
      </c>
      <c r="G86" s="142" t="str">
        <f>Query!E83</f>
        <v>20</v>
      </c>
      <c r="H86" s="146" t="str">
        <f>Query!F83</f>
        <v>B1JBA-1309-TB2</v>
      </c>
      <c r="I86" s="142" t="str">
        <f>Query!G83</f>
        <v>Junction box IOS</v>
      </c>
      <c r="J86" s="142" t="s">
        <v>2852</v>
      </c>
      <c r="K86" s="146" t="str">
        <f>Query!K83</f>
        <v>B1-PSH-13213-B01</v>
      </c>
      <c r="L86" s="142" t="str">
        <f>Query!L83</f>
        <v>DPRESS.LUBE OIL FILTER 75%</v>
      </c>
      <c r="M86" s="142" t="s">
        <v>2852</v>
      </c>
      <c r="N86" s="128"/>
      <c r="O86" s="142" t="str">
        <f>Query!O83</f>
        <v>DSPW/SKID</v>
      </c>
    </row>
    <row r="87" spans="1:15" ht="26.25" customHeight="1">
      <c r="A87" s="142" t="str">
        <f>Query!A84</f>
        <v>20081</v>
      </c>
      <c r="B87" s="142" t="str">
        <f>MID(Query!B84,1,2)</f>
        <v>B1</v>
      </c>
      <c r="C87" s="144" t="str">
        <f>MID(Query!B84,4,50)</f>
        <v>PSH-13214-I6001</v>
      </c>
      <c r="D87" s="142" t="str">
        <f>Query!C84</f>
        <v>Cu</v>
      </c>
      <c r="E87" s="142" t="str">
        <f>Query!D84</f>
        <v>2 x 3 x 1.5  mm²</v>
      </c>
      <c r="F87" s="142" t="s">
        <v>385</v>
      </c>
      <c r="G87" s="142" t="str">
        <f>Query!E84</f>
        <v>20</v>
      </c>
      <c r="H87" s="146" t="str">
        <f>Query!F84</f>
        <v>B1JBA-1309-TB2</v>
      </c>
      <c r="I87" s="142" t="str">
        <f>Query!G84</f>
        <v>Junction box IOS</v>
      </c>
      <c r="J87" s="142" t="s">
        <v>2852</v>
      </c>
      <c r="K87" s="146" t="str">
        <f>Query!K84</f>
        <v>B1-PSH-13214-B01</v>
      </c>
      <c r="L87" s="142" t="str">
        <f>Query!L84</f>
        <v>DPRESS.LUBE OIL FILTER 100%</v>
      </c>
      <c r="M87" s="142" t="s">
        <v>2852</v>
      </c>
      <c r="N87" s="128"/>
      <c r="O87" s="142" t="str">
        <f>Query!O84</f>
        <v>DSPW/SKID</v>
      </c>
    </row>
    <row r="88" spans="1:15" ht="26.25" customHeight="1">
      <c r="A88" s="142" t="str">
        <f>Query!A85</f>
        <v>20082</v>
      </c>
      <c r="B88" s="142" t="str">
        <f>MID(Query!B85,1,2)</f>
        <v>B1</v>
      </c>
      <c r="C88" s="144" t="str">
        <f>MID(Query!B85,4,50)</f>
        <v>PSH-13224-I6001</v>
      </c>
      <c r="D88" s="142" t="str">
        <f>Query!C85</f>
        <v>Cu</v>
      </c>
      <c r="E88" s="142" t="str">
        <f>Query!D85</f>
        <v>2 x 3 x 1.5  mm²</v>
      </c>
      <c r="F88" s="142" t="s">
        <v>385</v>
      </c>
      <c r="G88" s="142" t="str">
        <f>Query!E85</f>
        <v>20</v>
      </c>
      <c r="H88" s="146" t="str">
        <f>Query!F85</f>
        <v>B1JBA-1309-TB2</v>
      </c>
      <c r="I88" s="142" t="str">
        <f>Query!G85</f>
        <v>Junction box IOS</v>
      </c>
      <c r="J88" s="142" t="s">
        <v>2852</v>
      </c>
      <c r="K88" s="146" t="str">
        <f>Query!K85</f>
        <v>B1-PSH-13224-B01</v>
      </c>
      <c r="L88" s="142" t="str">
        <f>Query!L85</f>
        <v>DIFF.PRESS.JACKING OIL FILTER DICH.JOP</v>
      </c>
      <c r="M88" s="142" t="s">
        <v>2852</v>
      </c>
      <c r="N88" s="128"/>
      <c r="O88" s="142" t="str">
        <f>Query!O85</f>
        <v>DSPW/SKID</v>
      </c>
    </row>
    <row r="89" spans="1:15" ht="26.25" customHeight="1">
      <c r="A89" s="142" t="str">
        <f>Query!A86</f>
        <v>20083</v>
      </c>
      <c r="B89" s="142" t="str">
        <f>MID(Query!B86,1,2)</f>
        <v>B1</v>
      </c>
      <c r="C89" s="144" t="str">
        <f>MID(Query!B86,4,50)</f>
        <v>PT-13101-M4001</v>
      </c>
      <c r="D89" s="142" t="str">
        <f>Query!C86</f>
        <v>Cu</v>
      </c>
      <c r="E89" s="142" t="str">
        <f>Query!D86</f>
        <v>2 x 2 x 0.75  mm²</v>
      </c>
      <c r="F89" s="142" t="s">
        <v>385</v>
      </c>
      <c r="G89" s="142" t="str">
        <f>Query!E86</f>
        <v>20</v>
      </c>
      <c r="H89" s="146" t="str">
        <f>Query!F86</f>
        <v>B1-JBAY-1341-X01</v>
      </c>
      <c r="I89" s="142" t="str">
        <f>Query!G86</f>
        <v>JB HPH FI</v>
      </c>
      <c r="J89" s="142" t="s">
        <v>2852</v>
      </c>
      <c r="K89" s="146" t="str">
        <f>Query!K86</f>
        <v>B1-PT-13101-B01</v>
      </c>
      <c r="L89" s="142" t="str">
        <f>Query!L86</f>
        <v>PRESSURE CONTROL OIL</v>
      </c>
      <c r="M89" s="142" t="s">
        <v>2852</v>
      </c>
      <c r="N89" s="128"/>
      <c r="O89" s="142" t="str">
        <f>Query!O86</f>
        <v>DSPW/SKID</v>
      </c>
    </row>
    <row r="90" spans="1:15" ht="26.25" customHeight="1">
      <c r="A90" s="142" t="str">
        <f>Query!A87</f>
        <v>20084</v>
      </c>
      <c r="B90" s="142" t="str">
        <f>MID(Query!B87,1,2)</f>
        <v>B1</v>
      </c>
      <c r="C90" s="144" t="str">
        <f>MID(Query!B87,4,50)</f>
        <v>SE-13301A-I6001</v>
      </c>
      <c r="D90" s="142" t="str">
        <f>Query!C87</f>
        <v>Part of sensor</v>
      </c>
      <c r="E90" s="142" t="str">
        <f>Query!D87</f>
        <v>3 x 0,33  mm²</v>
      </c>
      <c r="F90" s="142" t="s">
        <v>385</v>
      </c>
      <c r="G90" s="142" t="str">
        <f>Query!E87</f>
        <v>20</v>
      </c>
      <c r="H90" s="146" t="str">
        <f>Query!F87</f>
        <v>B1-SE-13301A-B01</v>
      </c>
      <c r="I90" s="142" t="str">
        <f>Query!G87</f>
        <v>SPEED 1 HP TURBINE - TCS/TPS</v>
      </c>
      <c r="J90" s="142" t="s">
        <v>2852</v>
      </c>
      <c r="K90" s="146" t="str">
        <f>Query!K87</f>
        <v>B1-SE-13301A HAN 6B</v>
      </c>
      <c r="L90" s="142" t="str">
        <f>Query!L87</f>
        <v>SPEED 1 HP TURBINE - TCS/TPS</v>
      </c>
      <c r="M90" s="142" t="s">
        <v>2852</v>
      </c>
      <c r="N90" s="128"/>
      <c r="O90" s="142" t="str">
        <f>Query!O87</f>
        <v>DSPW/SUPP.FI</v>
      </c>
    </row>
    <row r="91" spans="1:15" ht="26.25" customHeight="1">
      <c r="A91" s="142" t="str">
        <f>Query!A88</f>
        <v>20085</v>
      </c>
      <c r="B91" s="142" t="str">
        <f>MID(Query!B88,1,2)</f>
        <v>B1</v>
      </c>
      <c r="C91" s="144" t="str">
        <f>MID(Query!B88,4,50)</f>
        <v>SE-13301B-I6001</v>
      </c>
      <c r="D91" s="142" t="str">
        <f>Query!C88</f>
        <v>Part of sensor</v>
      </c>
      <c r="E91" s="142" t="str">
        <f>Query!D88</f>
        <v>3 x 0,33  mm²</v>
      </c>
      <c r="F91" s="142" t="s">
        <v>385</v>
      </c>
      <c r="G91" s="142" t="str">
        <f>Query!E88</f>
        <v>20</v>
      </c>
      <c r="H91" s="146" t="str">
        <f>Query!F88</f>
        <v>B1-SE-13301B-B01</v>
      </c>
      <c r="I91" s="142" t="str">
        <f>Query!G88</f>
        <v>SPEED 2 HP TURBINE - TCS/TPS</v>
      </c>
      <c r="J91" s="142" t="s">
        <v>2852</v>
      </c>
      <c r="K91" s="146" t="str">
        <f>Query!K88</f>
        <v>B1-SE-13301B HAN 6B</v>
      </c>
      <c r="L91" s="142" t="str">
        <f>Query!L88</f>
        <v>SPEED 2 HP TURBINE - TCS/TPS</v>
      </c>
      <c r="M91" s="142" t="s">
        <v>2852</v>
      </c>
      <c r="N91" s="128"/>
      <c r="O91" s="142" t="str">
        <f>Query!O88</f>
        <v>DSPW/SUPP.FI</v>
      </c>
    </row>
    <row r="92" spans="1:15" ht="26.25" customHeight="1">
      <c r="A92" s="142" t="str">
        <f>Query!A89</f>
        <v>20086</v>
      </c>
      <c r="B92" s="142" t="str">
        <f>MID(Query!B89,1,2)</f>
        <v>B1</v>
      </c>
      <c r="C92" s="144" t="str">
        <f>MID(Query!B89,4,50)</f>
        <v>SE-13301C-I6001</v>
      </c>
      <c r="D92" s="142" t="str">
        <f>Query!C89</f>
        <v>Part of sensor</v>
      </c>
      <c r="E92" s="142" t="str">
        <f>Query!D89</f>
        <v>3 x 0,33  mm²</v>
      </c>
      <c r="F92" s="142" t="s">
        <v>385</v>
      </c>
      <c r="G92" s="142" t="str">
        <f>Query!E89</f>
        <v>20</v>
      </c>
      <c r="H92" s="146" t="str">
        <f>Query!F89</f>
        <v>B1-SE-13301C-B01</v>
      </c>
      <c r="I92" s="142" t="str">
        <f>Query!G89</f>
        <v>SPEED 3 HP TURBINE - TCS/TPS</v>
      </c>
      <c r="J92" s="142" t="s">
        <v>2852</v>
      </c>
      <c r="K92" s="146" t="str">
        <f>Query!K89</f>
        <v>B1-SE-13301C HAN 6B</v>
      </c>
      <c r="L92" s="142" t="str">
        <f>Query!L89</f>
        <v>SPEED 3 HP TURBINE - TCS/TPS</v>
      </c>
      <c r="M92" s="142" t="s">
        <v>2852</v>
      </c>
      <c r="N92" s="128"/>
      <c r="O92" s="142" t="str">
        <f>Query!O89</f>
        <v>DSPW/SUPP.FI</v>
      </c>
    </row>
    <row r="93" spans="1:15" ht="26.25" customHeight="1">
      <c r="A93" s="142" t="str">
        <f>Query!A90</f>
        <v>20087</v>
      </c>
      <c r="B93" s="142" t="str">
        <f>MID(Query!B90,1,2)</f>
        <v>B1</v>
      </c>
      <c r="C93" s="144" t="str">
        <f>MID(Query!B90,4,50)</f>
        <v>SKD-13101-PYV01A-C4001</v>
      </c>
      <c r="D93" s="142" t="str">
        <f>Query!C90</f>
        <v>Cu</v>
      </c>
      <c r="E93" s="142" t="str">
        <f>Query!D90</f>
        <v>3 x 1.5  mm²</v>
      </c>
      <c r="F93" s="142" t="s">
        <v>260</v>
      </c>
      <c r="G93" s="142" t="str">
        <f>Query!E90</f>
        <v>20</v>
      </c>
      <c r="H93" s="146" t="str">
        <f>Query!F90</f>
        <v>B1-JBAY-1341-X01</v>
      </c>
      <c r="I93" s="142" t="str">
        <f>Query!G90</f>
        <v>JB HPH FI</v>
      </c>
      <c r="J93" s="142" t="s">
        <v>2852</v>
      </c>
      <c r="K93" s="146" t="str">
        <f>Query!K90</f>
        <v>B1-SKD-13101-PYV01A -Y01</v>
      </c>
      <c r="L93" s="142" t="str">
        <f>Query!L90</f>
        <v>TRIPPING SOLENOID 1</v>
      </c>
      <c r="M93" s="142" t="s">
        <v>2852</v>
      </c>
      <c r="N93" s="128"/>
      <c r="O93" s="142" t="str">
        <f>Query!O90</f>
        <v>DSPW/SKID</v>
      </c>
    </row>
    <row r="94" spans="1:15" ht="26.25" customHeight="1">
      <c r="A94" s="142" t="str">
        <f>Query!A91</f>
        <v>20088</v>
      </c>
      <c r="B94" s="142" t="str">
        <f>MID(Query!B91,1,2)</f>
        <v>B1</v>
      </c>
      <c r="C94" s="144" t="str">
        <f>MID(Query!B91,4,50)</f>
        <v>SKD-13101-PYV01B-C4001</v>
      </c>
      <c r="D94" s="142" t="str">
        <f>Query!C91</f>
        <v>Cu</v>
      </c>
      <c r="E94" s="142" t="str">
        <f>Query!D91</f>
        <v>3 x 1.5  mm²</v>
      </c>
      <c r="F94" s="142" t="s">
        <v>260</v>
      </c>
      <c r="G94" s="142" t="str">
        <f>Query!E91</f>
        <v>20</v>
      </c>
      <c r="H94" s="146" t="str">
        <f>Query!F91</f>
        <v>B1-JBAY-1341-X01</v>
      </c>
      <c r="I94" s="142" t="str">
        <f>Query!G91</f>
        <v>JB HPH FI</v>
      </c>
      <c r="J94" s="142" t="s">
        <v>2852</v>
      </c>
      <c r="K94" s="146" t="str">
        <f>Query!K91</f>
        <v>B1-SKD-13101-PYV01B -Y01</v>
      </c>
      <c r="L94" s="142" t="str">
        <f>Query!L91</f>
        <v>TRIPPING SOLENOID 2</v>
      </c>
      <c r="M94" s="142" t="s">
        <v>2852</v>
      </c>
      <c r="N94" s="128"/>
      <c r="O94" s="142" t="str">
        <f>Query!O91</f>
        <v>DSPW/SKID</v>
      </c>
    </row>
    <row r="95" spans="1:15" ht="26.25" customHeight="1">
      <c r="A95" s="142" t="str">
        <f>Query!A92</f>
        <v>20089</v>
      </c>
      <c r="B95" s="142" t="str">
        <f>MID(Query!B92,1,2)</f>
        <v>B1</v>
      </c>
      <c r="C95" s="144" t="str">
        <f>MID(Query!B92,4,50)</f>
        <v>SKD-13101-PYV01C-C4001</v>
      </c>
      <c r="D95" s="142" t="str">
        <f>Query!C92</f>
        <v>Cu</v>
      </c>
      <c r="E95" s="142" t="str">
        <f>Query!D92</f>
        <v>3 x 1.5  mm²</v>
      </c>
      <c r="F95" s="142" t="s">
        <v>260</v>
      </c>
      <c r="G95" s="142" t="str">
        <f>Query!E92</f>
        <v>20</v>
      </c>
      <c r="H95" s="146" t="str">
        <f>Query!F92</f>
        <v>B1-JBAY-1341-X01</v>
      </c>
      <c r="I95" s="142" t="str">
        <f>Query!G92</f>
        <v>JB HPH FI</v>
      </c>
      <c r="J95" s="142" t="s">
        <v>2852</v>
      </c>
      <c r="K95" s="146" t="str">
        <f>Query!K92</f>
        <v>B1-SKD-13101-PYV01C -Y01</v>
      </c>
      <c r="L95" s="142" t="str">
        <f>Query!L92</f>
        <v>TRIPPING SOLENOID 3</v>
      </c>
      <c r="M95" s="142" t="s">
        <v>2852</v>
      </c>
      <c r="N95" s="128"/>
      <c r="O95" s="142" t="str">
        <f>Query!O92</f>
        <v>DSPW/SKID</v>
      </c>
    </row>
    <row r="96" spans="1:15" ht="26.25" customHeight="1">
      <c r="A96" s="142" t="str">
        <f>Query!A93</f>
        <v>20090</v>
      </c>
      <c r="B96" s="142" t="str">
        <f>MID(Query!B93,1,2)</f>
        <v>B1</v>
      </c>
      <c r="C96" s="144" t="str">
        <f>MID(Query!B93,4,50)</f>
        <v>SKD-13102-PYV01A-C4001</v>
      </c>
      <c r="D96" s="142" t="str">
        <f>Query!C93</f>
        <v>Cu</v>
      </c>
      <c r="E96" s="142" t="str">
        <f>Query!D93</f>
        <v>3 x 1.5  mm²</v>
      </c>
      <c r="F96" s="142" t="s">
        <v>260</v>
      </c>
      <c r="G96" s="142" t="str">
        <f>Query!E93</f>
        <v>20</v>
      </c>
      <c r="H96" s="146" t="str">
        <f>Query!F93</f>
        <v>B1-SKD-13102-PYV01A HAN 3A</v>
      </c>
      <c r="I96" s="142" t="str">
        <f>Query!G93</f>
        <v>SOL PopV TST HPSV 1 PARTL STROKE</v>
      </c>
      <c r="J96" s="142" t="s">
        <v>2852</v>
      </c>
      <c r="K96" s="146" t="str">
        <f>Query!K93</f>
        <v>B1-SKD-13102-PYV01A -Y01</v>
      </c>
      <c r="L96" s="142" t="str">
        <f>Query!L93</f>
        <v>SOL PopV TST HPSV 1 PARTL STROKE</v>
      </c>
      <c r="M96" s="142" t="s">
        <v>2852</v>
      </c>
      <c r="N96" s="128"/>
      <c r="O96" s="142" t="str">
        <f>Query!O93</f>
        <v>DSPW/SKID</v>
      </c>
    </row>
    <row r="97" spans="1:15" ht="26.25" customHeight="1">
      <c r="A97" s="142" t="str">
        <f>Query!A94</f>
        <v>20091</v>
      </c>
      <c r="B97" s="142" t="str">
        <f>MID(Query!B94,1,2)</f>
        <v>B1</v>
      </c>
      <c r="C97" s="144" t="str">
        <f>MID(Query!B94,4,50)</f>
        <v>SKD-13102-PYV01A-C4002</v>
      </c>
      <c r="D97" s="142" t="str">
        <f>Query!C94</f>
        <v>Cu</v>
      </c>
      <c r="E97" s="142" t="str">
        <f>Query!D94</f>
        <v>2 x 2.5  mm²</v>
      </c>
      <c r="F97" s="142" t="s">
        <v>260</v>
      </c>
      <c r="G97" s="142" t="str">
        <f>Query!E94</f>
        <v>100</v>
      </c>
      <c r="H97" s="146" t="str">
        <f>Query!F94</f>
        <v>B1-TCS-1311-X31</v>
      </c>
      <c r="I97" s="142" t="str">
        <f>Query!G94</f>
        <v>BOX TPC/OPS</v>
      </c>
      <c r="J97" s="142" t="s">
        <v>2851</v>
      </c>
      <c r="K97" s="146" t="str">
        <f>Query!K94</f>
        <v>B1-SKD-13102-PYV01A HAN 3A</v>
      </c>
      <c r="L97" s="142" t="str">
        <f>Query!L94</f>
        <v>SOL PopV TST HPSV 1 PARTL STROKE</v>
      </c>
      <c r="M97" s="142" t="s">
        <v>2852</v>
      </c>
      <c r="N97" s="128"/>
      <c r="O97" s="142" t="str">
        <f>Query!O94</f>
        <v>DSPW/SUPP.FI</v>
      </c>
    </row>
    <row r="98" spans="1:15" ht="26.25" customHeight="1">
      <c r="A98" s="142" t="str">
        <f>Query!A95</f>
        <v>20092</v>
      </c>
      <c r="B98" s="142" t="str">
        <f>MID(Query!B95,1,2)</f>
        <v>B1</v>
      </c>
      <c r="C98" s="144" t="str">
        <f>MID(Query!B95,4,50)</f>
        <v>SKD-13102-PYV01B-C4001</v>
      </c>
      <c r="D98" s="142" t="str">
        <f>Query!C95</f>
        <v>Cu</v>
      </c>
      <c r="E98" s="142" t="str">
        <f>Query!D95</f>
        <v>3 x 1.5  mm²</v>
      </c>
      <c r="F98" s="142" t="s">
        <v>260</v>
      </c>
      <c r="G98" s="142" t="str">
        <f>Query!E95</f>
        <v>20</v>
      </c>
      <c r="H98" s="146" t="str">
        <f>Query!F95</f>
        <v>B1-SKD-13102-PYV01B HAN 3A</v>
      </c>
      <c r="I98" s="142" t="str">
        <f>Query!G95</f>
        <v>SOL PopV TST HPSV 1 FULL STROKE</v>
      </c>
      <c r="J98" s="142" t="s">
        <v>2852</v>
      </c>
      <c r="K98" s="146" t="str">
        <f>Query!K95</f>
        <v>B1-SKD-13102-PYV01B -Y01</v>
      </c>
      <c r="L98" s="142" t="str">
        <f>Query!L95</f>
        <v>SOL PopV TST HPSV 1 FULL STROKE</v>
      </c>
      <c r="M98" s="142" t="s">
        <v>2852</v>
      </c>
      <c r="N98" s="128"/>
      <c r="O98" s="142" t="str">
        <f>Query!O95</f>
        <v>DSPW/SKID</v>
      </c>
    </row>
    <row r="99" spans="1:15" ht="26.25" customHeight="1">
      <c r="A99" s="142" t="str">
        <f>Query!A96</f>
        <v>20093</v>
      </c>
      <c r="B99" s="142" t="str">
        <f>MID(Query!B96,1,2)</f>
        <v>B1</v>
      </c>
      <c r="C99" s="144" t="str">
        <f>MID(Query!B96,4,50)</f>
        <v>SKD-13102-PYV01B-C4002</v>
      </c>
      <c r="D99" s="142" t="str">
        <f>Query!C96</f>
        <v>Cu</v>
      </c>
      <c r="E99" s="142" t="str">
        <f>Query!D96</f>
        <v>2 x 2.5  mm²</v>
      </c>
      <c r="F99" s="142" t="s">
        <v>260</v>
      </c>
      <c r="G99" s="142" t="str">
        <f>Query!E96</f>
        <v>100</v>
      </c>
      <c r="H99" s="146" t="str">
        <f>Query!F96</f>
        <v>B1-TCS-1311-X31</v>
      </c>
      <c r="I99" s="142" t="str">
        <f>Query!G96</f>
        <v>BOX TPC/OPS</v>
      </c>
      <c r="J99" s="142" t="s">
        <v>2851</v>
      </c>
      <c r="K99" s="146" t="str">
        <f>Query!K96</f>
        <v>B1-SKD-13102-PYV01B HAN 3A</v>
      </c>
      <c r="L99" s="142" t="str">
        <f>Query!L96</f>
        <v>SOL PopV TST HPSV 1 FULL STROKE</v>
      </c>
      <c r="M99" s="142" t="s">
        <v>2852</v>
      </c>
      <c r="N99" s="128"/>
      <c r="O99" s="142" t="str">
        <f>Query!O96</f>
        <v>DSPW/SUPP.FI</v>
      </c>
    </row>
    <row r="100" spans="1:15" ht="26.25" customHeight="1">
      <c r="A100" s="142" t="str">
        <f>Query!A97</f>
        <v>20094</v>
      </c>
      <c r="B100" s="142" t="str">
        <f>MID(Query!B97,1,2)</f>
        <v>B1</v>
      </c>
      <c r="C100" s="144" t="str">
        <f>MID(Query!B97,4,50)</f>
        <v>SKD-13103-PYV01-C4001</v>
      </c>
      <c r="D100" s="142" t="str">
        <f>Query!C97</f>
        <v>Cu</v>
      </c>
      <c r="E100" s="142" t="str">
        <f>Query!D97</f>
        <v>2 x 2 x 0,75  mm²</v>
      </c>
      <c r="F100" s="142" t="s">
        <v>260</v>
      </c>
      <c r="G100" s="142" t="str">
        <f>Query!E97</f>
        <v>20</v>
      </c>
      <c r="H100" s="146" t="str">
        <f>Query!F97</f>
        <v>B1-SKD-13103-PYV01 HAN 10A</v>
      </c>
      <c r="I100" s="142" t="str">
        <f>Query!G97</f>
        <v>SERVOVALVE FOR HPCV 1</v>
      </c>
      <c r="J100" s="142" t="s">
        <v>2852</v>
      </c>
      <c r="K100" s="146" t="str">
        <f>Query!K97</f>
        <v>B1-SKD-13103-PYV01-A01</v>
      </c>
      <c r="L100" s="142" t="str">
        <f>Query!L97</f>
        <v>SERVOVALVE FOR HPCV 1</v>
      </c>
      <c r="M100" s="142" t="s">
        <v>2852</v>
      </c>
      <c r="N100" s="128"/>
      <c r="O100" s="142" t="str">
        <f>Query!O97</f>
        <v>DSPW/SKID</v>
      </c>
    </row>
    <row r="101" spans="1:15" ht="26.25" customHeight="1">
      <c r="A101" s="142" t="str">
        <f>Query!A98</f>
        <v>20095</v>
      </c>
      <c r="B101" s="142" t="str">
        <f>MID(Query!B98,1,2)</f>
        <v>B1</v>
      </c>
      <c r="C101" s="144" t="str">
        <f>MID(Query!B98,4,50)</f>
        <v>SKD-13103-PYV02-C4001</v>
      </c>
      <c r="D101" s="142" t="str">
        <f>Query!C98</f>
        <v>Cu</v>
      </c>
      <c r="E101" s="142" t="str">
        <f>Query!D98</f>
        <v>3 x 1.5  mm²</v>
      </c>
      <c r="F101" s="142" t="s">
        <v>260</v>
      </c>
      <c r="G101" s="142" t="str">
        <f>Query!E98</f>
        <v>20</v>
      </c>
      <c r="H101" s="146" t="str">
        <f>Query!F98</f>
        <v>B1-SKD-13103-PYV02 HAN 3A</v>
      </c>
      <c r="I101" s="142" t="str">
        <f>Query!G98</f>
        <v>SOLENOID PopV HPCV 1</v>
      </c>
      <c r="J101" s="142" t="s">
        <v>2852</v>
      </c>
      <c r="K101" s="146" t="str">
        <f>Query!K98</f>
        <v>B1-SKD-13103-PYV02 -Y01</v>
      </c>
      <c r="L101" s="142" t="str">
        <f>Query!L98</f>
        <v>SOLENOID PopV HPCV 1</v>
      </c>
      <c r="M101" s="142" t="s">
        <v>2852</v>
      </c>
      <c r="N101" s="128"/>
      <c r="O101" s="142" t="str">
        <f>Query!O98</f>
        <v>DSPW/SKID</v>
      </c>
    </row>
    <row r="102" spans="1:15" ht="26.25" customHeight="1">
      <c r="A102" s="142" t="str">
        <f>Query!A99</f>
        <v>20096</v>
      </c>
      <c r="B102" s="142" t="str">
        <f>MID(Query!B99,1,2)</f>
        <v>B1</v>
      </c>
      <c r="C102" s="144" t="str">
        <f>MID(Query!B99,4,50)</f>
        <v>SKD-13103-PYV02-C4002</v>
      </c>
      <c r="D102" s="142" t="str">
        <f>Query!C99</f>
        <v>Cu</v>
      </c>
      <c r="E102" s="142" t="str">
        <f>Query!D99</f>
        <v>2 x 2.5  mm²</v>
      </c>
      <c r="F102" s="142" t="s">
        <v>260</v>
      </c>
      <c r="G102" s="142" t="str">
        <f>Query!E99</f>
        <v>100</v>
      </c>
      <c r="H102" s="146" t="str">
        <f>Query!F99</f>
        <v>B1-TCS-1311-X31</v>
      </c>
      <c r="I102" s="142" t="str">
        <f>Query!G99</f>
        <v>BOX TPC/OPS</v>
      </c>
      <c r="J102" s="142" t="s">
        <v>2851</v>
      </c>
      <c r="K102" s="146" t="str">
        <f>Query!K99</f>
        <v>B1-SKD-13103-PYV02 HAN 3A</v>
      </c>
      <c r="L102" s="142" t="str">
        <f>Query!L99</f>
        <v>SOLENOID PopV HPCV 1</v>
      </c>
      <c r="M102" s="142" t="s">
        <v>2852</v>
      </c>
      <c r="N102" s="128"/>
      <c r="O102" s="142" t="str">
        <f>Query!O99</f>
        <v>DSPW/SUPP.FI</v>
      </c>
    </row>
    <row r="103" spans="1:15" ht="26.25" customHeight="1">
      <c r="A103" s="142" t="str">
        <f>Query!A100</f>
        <v>20097</v>
      </c>
      <c r="B103" s="142" t="str">
        <f>MID(Query!B100,1,2)</f>
        <v>B1</v>
      </c>
      <c r="C103" s="144" t="str">
        <f>MID(Query!B100,4,50)</f>
        <v>SKD-13104-PYV01A-C4001</v>
      </c>
      <c r="D103" s="142" t="str">
        <f>Query!C100</f>
        <v>Cu</v>
      </c>
      <c r="E103" s="142" t="str">
        <f>Query!D100</f>
        <v>3 x 1.5  mm²</v>
      </c>
      <c r="F103" s="142" t="s">
        <v>260</v>
      </c>
      <c r="G103" s="142" t="str">
        <f>Query!E100</f>
        <v>20</v>
      </c>
      <c r="H103" s="146" t="str">
        <f>Query!F100</f>
        <v>B1-SKD-13104-PYV01A HAN 3A</v>
      </c>
      <c r="I103" s="142" t="str">
        <f>Query!G100</f>
        <v>SOL PopV TST HPSV 2 PARTL STROKE</v>
      </c>
      <c r="J103" s="142" t="s">
        <v>2852</v>
      </c>
      <c r="K103" s="146" t="str">
        <f>Query!K100</f>
        <v>B1-SKD-13104-PYV01A -Y01</v>
      </c>
      <c r="L103" s="142" t="str">
        <f>Query!L100</f>
        <v>SOL PopV TST HPSV 2 PARTL STROKE</v>
      </c>
      <c r="M103" s="142" t="s">
        <v>2852</v>
      </c>
      <c r="N103" s="128"/>
      <c r="O103" s="142" t="str">
        <f>Query!O100</f>
        <v>DSPW/SKID</v>
      </c>
    </row>
    <row r="104" spans="1:15" ht="26.25" customHeight="1">
      <c r="A104" s="142" t="str">
        <f>Query!A101</f>
        <v>20098</v>
      </c>
      <c r="B104" s="142" t="str">
        <f>MID(Query!B101,1,2)</f>
        <v>B1</v>
      </c>
      <c r="C104" s="144" t="str">
        <f>MID(Query!B101,4,50)</f>
        <v>SKD-13104-PYV01A-C4002</v>
      </c>
      <c r="D104" s="142" t="str">
        <f>Query!C101</f>
        <v>Cu</v>
      </c>
      <c r="E104" s="142" t="str">
        <f>Query!D101</f>
        <v>2 x 2.5  mm²</v>
      </c>
      <c r="F104" s="142" t="s">
        <v>260</v>
      </c>
      <c r="G104" s="142" t="str">
        <f>Query!E101</f>
        <v>100</v>
      </c>
      <c r="H104" s="146" t="str">
        <f>Query!F101</f>
        <v>B1-TCS-1311-X31</v>
      </c>
      <c r="I104" s="142" t="str">
        <f>Query!G101</f>
        <v>BOX TPC/OPS</v>
      </c>
      <c r="J104" s="142" t="s">
        <v>2851</v>
      </c>
      <c r="K104" s="146" t="str">
        <f>Query!K101</f>
        <v>B1-SKD-13104-PYV01A HAN 3A</v>
      </c>
      <c r="L104" s="142" t="str">
        <f>Query!L101</f>
        <v>SOL PopV TST HPSV 2 PARTL STROKE</v>
      </c>
      <c r="M104" s="142" t="s">
        <v>2852</v>
      </c>
      <c r="N104" s="128"/>
      <c r="O104" s="142" t="str">
        <f>Query!O101</f>
        <v>DSPW/SUPP.FI</v>
      </c>
    </row>
    <row r="105" spans="1:15" ht="26.25" customHeight="1">
      <c r="A105" s="142" t="str">
        <f>Query!A102</f>
        <v>20099</v>
      </c>
      <c r="B105" s="142" t="str">
        <f>MID(Query!B102,1,2)</f>
        <v>B1</v>
      </c>
      <c r="C105" s="144" t="str">
        <f>MID(Query!B102,4,50)</f>
        <v>SKD-13104-PYV01B-C4001</v>
      </c>
      <c r="D105" s="142" t="str">
        <f>Query!C102</f>
        <v>Cu</v>
      </c>
      <c r="E105" s="142" t="str">
        <f>Query!D102</f>
        <v>3 x 1.5  mm²</v>
      </c>
      <c r="F105" s="142" t="s">
        <v>260</v>
      </c>
      <c r="G105" s="142" t="str">
        <f>Query!E102</f>
        <v>20</v>
      </c>
      <c r="H105" s="146" t="str">
        <f>Query!F102</f>
        <v>B1-SKD-13104-PYV01B HAN 3A</v>
      </c>
      <c r="I105" s="142" t="str">
        <f>Query!G102</f>
        <v>SOL PopV TST HPSV 2 FULL STROKE</v>
      </c>
      <c r="J105" s="142" t="s">
        <v>2852</v>
      </c>
      <c r="K105" s="146" t="str">
        <f>Query!K102</f>
        <v>B1-SKD-13104-PYV01B -Y01</v>
      </c>
      <c r="L105" s="142" t="str">
        <f>Query!L102</f>
        <v>SOL PopV TST HPSV 2 FULL STROKE</v>
      </c>
      <c r="M105" s="142" t="s">
        <v>2852</v>
      </c>
      <c r="N105" s="128"/>
      <c r="O105" s="142" t="str">
        <f>Query!O102</f>
        <v>DSPW/SKID</v>
      </c>
    </row>
    <row r="106" spans="1:15" ht="26.25" customHeight="1">
      <c r="A106" s="142" t="str">
        <f>Query!A103</f>
        <v>20100</v>
      </c>
      <c r="B106" s="142" t="str">
        <f>MID(Query!B103,1,2)</f>
        <v>B1</v>
      </c>
      <c r="C106" s="144" t="str">
        <f>MID(Query!B103,4,50)</f>
        <v>SKD-13104-PYV01B-C4002</v>
      </c>
      <c r="D106" s="142" t="str">
        <f>Query!C103</f>
        <v>Cu</v>
      </c>
      <c r="E106" s="142" t="str">
        <f>Query!D103</f>
        <v>2 x 2.5  mm²</v>
      </c>
      <c r="F106" s="142" t="s">
        <v>260</v>
      </c>
      <c r="G106" s="142" t="str">
        <f>Query!E103</f>
        <v>100</v>
      </c>
      <c r="H106" s="146" t="str">
        <f>Query!F103</f>
        <v>B1-TCS-1311-X31</v>
      </c>
      <c r="I106" s="142" t="str">
        <f>Query!G103</f>
        <v>BOX TPC/OPS</v>
      </c>
      <c r="J106" s="142" t="s">
        <v>2851</v>
      </c>
      <c r="K106" s="146" t="str">
        <f>Query!K103</f>
        <v>B1-SKD-13104-PYV01B HAN 3A</v>
      </c>
      <c r="L106" s="142" t="str">
        <f>Query!L103</f>
        <v>SOL PopV TST HPSV 2 FULL STROKE</v>
      </c>
      <c r="M106" s="142" t="s">
        <v>2852</v>
      </c>
      <c r="N106" s="128"/>
      <c r="O106" s="142" t="str">
        <f>Query!O103</f>
        <v>DSPW/SUPP.FI</v>
      </c>
    </row>
    <row r="107" spans="1:15" ht="26.25" customHeight="1">
      <c r="A107" s="142" t="str">
        <f>Query!A104</f>
        <v>20101</v>
      </c>
      <c r="B107" s="142" t="str">
        <f>MID(Query!B104,1,2)</f>
        <v>B1</v>
      </c>
      <c r="C107" s="144" t="str">
        <f>MID(Query!B104,4,50)</f>
        <v>SKD-13105-PYV01-C4001</v>
      </c>
      <c r="D107" s="142" t="str">
        <f>Query!C104</f>
        <v>Cu</v>
      </c>
      <c r="E107" s="142" t="str">
        <f>Query!D104</f>
        <v>2 x 2 x 0,75  mm²</v>
      </c>
      <c r="F107" s="142" t="s">
        <v>260</v>
      </c>
      <c r="G107" s="142" t="str">
        <f>Query!E104</f>
        <v>20</v>
      </c>
      <c r="H107" s="146" t="str">
        <f>Query!F104</f>
        <v>B1-SKD-13105-PYV01 HAN 10A</v>
      </c>
      <c r="I107" s="142" t="str">
        <f>Query!G104</f>
        <v>SERVOVALVE FOR HPCV 2</v>
      </c>
      <c r="J107" s="142" t="s">
        <v>2852</v>
      </c>
      <c r="K107" s="146" t="str">
        <f>Query!K104</f>
        <v>B1-SKD-13105-PYV01-A01</v>
      </c>
      <c r="L107" s="142" t="str">
        <f>Query!L104</f>
        <v>SERVOVALVE FOR HPCV 2</v>
      </c>
      <c r="M107" s="142" t="s">
        <v>2852</v>
      </c>
      <c r="N107" s="128"/>
      <c r="O107" s="142" t="str">
        <f>Query!O104</f>
        <v>DSPW/SKID</v>
      </c>
    </row>
    <row r="108" spans="1:15" ht="26.25" customHeight="1">
      <c r="A108" s="142" t="str">
        <f>Query!A105</f>
        <v>20102</v>
      </c>
      <c r="B108" s="142" t="str">
        <f>MID(Query!B105,1,2)</f>
        <v>B1</v>
      </c>
      <c r="C108" s="144" t="str">
        <f>MID(Query!B105,4,50)</f>
        <v>SKD-13105-PYV02-C4001</v>
      </c>
      <c r="D108" s="142" t="str">
        <f>Query!C105</f>
        <v>Cu</v>
      </c>
      <c r="E108" s="142" t="str">
        <f>Query!D105</f>
        <v>3 x 1.5  mm²</v>
      </c>
      <c r="F108" s="142" t="s">
        <v>260</v>
      </c>
      <c r="G108" s="142" t="str">
        <f>Query!E105</f>
        <v>20</v>
      </c>
      <c r="H108" s="146" t="str">
        <f>Query!F105</f>
        <v>B1-SKD-13105-PYV02 HAN 3A</v>
      </c>
      <c r="I108" s="142" t="str">
        <f>Query!G105</f>
        <v>SOLENOID PopV HPCV 2</v>
      </c>
      <c r="J108" s="142" t="s">
        <v>2852</v>
      </c>
      <c r="K108" s="146" t="str">
        <f>Query!K105</f>
        <v>B1-SKD-13105-PYV02 -Y01</v>
      </c>
      <c r="L108" s="142" t="str">
        <f>Query!L105</f>
        <v>SOLENOID PopV HPCV 2</v>
      </c>
      <c r="M108" s="142" t="s">
        <v>2852</v>
      </c>
      <c r="N108" s="128"/>
      <c r="O108" s="142" t="str">
        <f>Query!O105</f>
        <v>DSPW/SKID</v>
      </c>
    </row>
    <row r="109" spans="1:15" ht="26.25" customHeight="1">
      <c r="A109" s="142" t="str">
        <f>Query!A106</f>
        <v>20103</v>
      </c>
      <c r="B109" s="142" t="str">
        <f>MID(Query!B106,1,2)</f>
        <v>B1</v>
      </c>
      <c r="C109" s="144" t="str">
        <f>MID(Query!B106,4,50)</f>
        <v>SKD-13105-PYV02-C4002</v>
      </c>
      <c r="D109" s="142" t="str">
        <f>Query!C106</f>
        <v>Cu</v>
      </c>
      <c r="E109" s="142" t="str">
        <f>Query!D106</f>
        <v>2 x 2.5  mm²</v>
      </c>
      <c r="F109" s="142" t="s">
        <v>260</v>
      </c>
      <c r="G109" s="142" t="str">
        <f>Query!E106</f>
        <v>100</v>
      </c>
      <c r="H109" s="146" t="str">
        <f>Query!F106</f>
        <v>B1-TCS-1311-X31</v>
      </c>
      <c r="I109" s="142" t="str">
        <f>Query!G106</f>
        <v>BOX TPC/OPS</v>
      </c>
      <c r="J109" s="142" t="s">
        <v>2851</v>
      </c>
      <c r="K109" s="146" t="str">
        <f>Query!K106</f>
        <v>B1-SKD-13105-PYV02 HAN 3A</v>
      </c>
      <c r="L109" s="142" t="str">
        <f>Query!L106</f>
        <v>SOLENOID PopV HPCV 2</v>
      </c>
      <c r="M109" s="142" t="s">
        <v>2852</v>
      </c>
      <c r="N109" s="128"/>
      <c r="O109" s="142" t="str">
        <f>Query!O106</f>
        <v>DSPW/SUPP.FI</v>
      </c>
    </row>
    <row r="110" spans="1:15" ht="26.25" customHeight="1">
      <c r="A110" s="142" t="str">
        <f>Query!A107</f>
        <v>20104</v>
      </c>
      <c r="B110" s="142" t="str">
        <f>MID(Query!B107,1,2)</f>
        <v>B1</v>
      </c>
      <c r="C110" s="144" t="str">
        <f>MID(Query!B107,4,50)</f>
        <v>SKD-13106-PYV01A-C4001</v>
      </c>
      <c r="D110" s="142" t="str">
        <f>Query!C107</f>
        <v>Cu</v>
      </c>
      <c r="E110" s="142" t="str">
        <f>Query!D107</f>
        <v>3 x 1.5  mm²</v>
      </c>
      <c r="F110" s="142" t="s">
        <v>260</v>
      </c>
      <c r="G110" s="142" t="str">
        <f>Query!E107</f>
        <v>20</v>
      </c>
      <c r="H110" s="146" t="str">
        <f>Query!F107</f>
        <v>B1-SKD-13106-PYV01A HAN 3A</v>
      </c>
      <c r="I110" s="142" t="str">
        <f>Query!G107</f>
        <v>SOL PopV TST LPSF PARTL STROKE</v>
      </c>
      <c r="J110" s="142" t="s">
        <v>2852</v>
      </c>
      <c r="K110" s="146" t="str">
        <f>Query!K107</f>
        <v>B1-SKD-13106-PYV01A -Y01</v>
      </c>
      <c r="L110" s="142" t="str">
        <f>Query!L107</f>
        <v>SOL PopV TST LPSF PARTL STROKE</v>
      </c>
      <c r="M110" s="142" t="s">
        <v>2852</v>
      </c>
      <c r="N110" s="128"/>
      <c r="O110" s="142" t="str">
        <f>Query!O107</f>
        <v>DSPW/SKID</v>
      </c>
    </row>
    <row r="111" spans="1:15" ht="26.25" customHeight="1">
      <c r="A111" s="142" t="str">
        <f>Query!A108</f>
        <v>20105</v>
      </c>
      <c r="B111" s="142" t="str">
        <f>MID(Query!B108,1,2)</f>
        <v>B1</v>
      </c>
      <c r="C111" s="144" t="str">
        <f>MID(Query!B108,4,50)</f>
        <v>SKD-13106-PYV01A-C4002</v>
      </c>
      <c r="D111" s="142" t="str">
        <f>Query!C108</f>
        <v>Cu</v>
      </c>
      <c r="E111" s="142" t="str">
        <f>Query!D108</f>
        <v>2 x 2.5  mm²</v>
      </c>
      <c r="F111" s="142" t="s">
        <v>260</v>
      </c>
      <c r="G111" s="142" t="str">
        <f>Query!E108</f>
        <v>100</v>
      </c>
      <c r="H111" s="146" t="str">
        <f>Query!F108</f>
        <v>B1-TCS-1311-X31</v>
      </c>
      <c r="I111" s="142" t="str">
        <f>Query!G108</f>
        <v>BOX TPC/OPS</v>
      </c>
      <c r="J111" s="142" t="s">
        <v>2851</v>
      </c>
      <c r="K111" s="146" t="str">
        <f>Query!K108</f>
        <v>B1-SKD-13106-PYV01A HAN 3A</v>
      </c>
      <c r="L111" s="142" t="str">
        <f>Query!L108</f>
        <v>SOL PopV TST LPSF PARTL STROKE</v>
      </c>
      <c r="M111" s="142" t="s">
        <v>2852</v>
      </c>
      <c r="N111" s="128"/>
      <c r="O111" s="142" t="str">
        <f>Query!O108</f>
        <v>DSPW/SUPP.FI</v>
      </c>
    </row>
    <row r="112" spans="1:15" ht="26.25" customHeight="1">
      <c r="A112" s="142" t="str">
        <f>Query!A109</f>
        <v>20106</v>
      </c>
      <c r="B112" s="142" t="str">
        <f>MID(Query!B109,1,2)</f>
        <v>B1</v>
      </c>
      <c r="C112" s="144" t="str">
        <f>MID(Query!B109,4,50)</f>
        <v>SKD-13106-PYV01B-C4001</v>
      </c>
      <c r="D112" s="142" t="str">
        <f>Query!C109</f>
        <v>Cu</v>
      </c>
      <c r="E112" s="142" t="str">
        <f>Query!D109</f>
        <v>3 x 1.5  mm²</v>
      </c>
      <c r="F112" s="142" t="s">
        <v>260</v>
      </c>
      <c r="G112" s="142" t="str">
        <f>Query!E109</f>
        <v>20</v>
      </c>
      <c r="H112" s="146" t="str">
        <f>Query!F109</f>
        <v>B1-SKD-13106-PYV01B HAN 3A</v>
      </c>
      <c r="I112" s="142" t="str">
        <f>Query!G109</f>
        <v>SOL PopV TST LPSF FULL STROKE</v>
      </c>
      <c r="J112" s="142" t="s">
        <v>2852</v>
      </c>
      <c r="K112" s="146" t="str">
        <f>Query!K109</f>
        <v>B1-SKD-13106-PYV01B -Y01</v>
      </c>
      <c r="L112" s="142" t="str">
        <f>Query!L109</f>
        <v>SOL PopV TST LPSF FULL STROKE</v>
      </c>
      <c r="M112" s="142" t="s">
        <v>2852</v>
      </c>
      <c r="N112" s="128"/>
      <c r="O112" s="142" t="str">
        <f>Query!O109</f>
        <v>DSPW/SKID</v>
      </c>
    </row>
    <row r="113" spans="1:15" ht="26.25" customHeight="1">
      <c r="A113" s="142" t="str">
        <f>Query!A110</f>
        <v>20107</v>
      </c>
      <c r="B113" s="142" t="str">
        <f>MID(Query!B110,1,2)</f>
        <v>B1</v>
      </c>
      <c r="C113" s="144" t="str">
        <f>MID(Query!B110,4,50)</f>
        <v>SKD-13106-PYV01B-C4002</v>
      </c>
      <c r="D113" s="142" t="str">
        <f>Query!C110</f>
        <v>Cu</v>
      </c>
      <c r="E113" s="142" t="str">
        <f>Query!D110</f>
        <v>2 x 2.5  mm²</v>
      </c>
      <c r="F113" s="142" t="s">
        <v>260</v>
      </c>
      <c r="G113" s="142" t="str">
        <f>Query!E110</f>
        <v>100</v>
      </c>
      <c r="H113" s="146" t="str">
        <f>Query!F110</f>
        <v>B1-TCS-1311-X31</v>
      </c>
      <c r="I113" s="142" t="str">
        <f>Query!G110</f>
        <v>BOX TPC/OPS</v>
      </c>
      <c r="J113" s="142" t="s">
        <v>2851</v>
      </c>
      <c r="K113" s="146" t="str">
        <f>Query!K110</f>
        <v>B1-SKD-13106-PYV01B HAN 3A</v>
      </c>
      <c r="L113" s="142" t="str">
        <f>Query!L110</f>
        <v>SOL PopV TST LPSF FULL STROKE</v>
      </c>
      <c r="M113" s="142" t="s">
        <v>2852</v>
      </c>
      <c r="N113" s="128"/>
      <c r="O113" s="142" t="str">
        <f>Query!O110</f>
        <v>DSPW/SUPP.FI</v>
      </c>
    </row>
    <row r="114" spans="1:15" ht="26.25" customHeight="1">
      <c r="A114" s="142" t="str">
        <f>Query!A111</f>
        <v>20108</v>
      </c>
      <c r="B114" s="142" t="str">
        <f>MID(Query!B111,1,2)</f>
        <v>B1</v>
      </c>
      <c r="C114" s="144" t="str">
        <f>MID(Query!B111,4,50)</f>
        <v>SKD-13107-PYV01-C4001</v>
      </c>
      <c r="D114" s="142" t="str">
        <f>Query!C111</f>
        <v>Cu</v>
      </c>
      <c r="E114" s="142" t="str">
        <f>Query!D111</f>
        <v>2 x 2 x 0,75  mm²</v>
      </c>
      <c r="F114" s="142" t="s">
        <v>260</v>
      </c>
      <c r="G114" s="142" t="str">
        <f>Query!E111</f>
        <v>20</v>
      </c>
      <c r="H114" s="146" t="str">
        <f>Query!F111</f>
        <v>B1-SKD-13107-PYV01 HAN 10A</v>
      </c>
      <c r="I114" s="142" t="str">
        <f>Query!G111</f>
        <v>SERVOVALVE FOR LPCF</v>
      </c>
      <c r="J114" s="142" t="s">
        <v>2852</v>
      </c>
      <c r="K114" s="146" t="str">
        <f>Query!K111</f>
        <v>B1-SKD-13107-PYV01-A01</v>
      </c>
      <c r="L114" s="142" t="str">
        <f>Query!L111</f>
        <v>SERVOVALVE FOR LPCF</v>
      </c>
      <c r="M114" s="142" t="s">
        <v>2852</v>
      </c>
      <c r="N114" s="128"/>
      <c r="O114" s="142" t="str">
        <f>Query!O111</f>
        <v>DSPW/SKID</v>
      </c>
    </row>
    <row r="115" spans="1:15" ht="26.25" customHeight="1">
      <c r="A115" s="142" t="str">
        <f>Query!A112</f>
        <v>20109</v>
      </c>
      <c r="B115" s="142" t="str">
        <f>MID(Query!B112,1,2)</f>
        <v>B1</v>
      </c>
      <c r="C115" s="144" t="str">
        <f>MID(Query!B112,4,50)</f>
        <v>SKD-13107-PYV02-C4001</v>
      </c>
      <c r="D115" s="142" t="str">
        <f>Query!C112</f>
        <v>Cu</v>
      </c>
      <c r="E115" s="142" t="str">
        <f>Query!D112</f>
        <v>3 x 1.5  mm²</v>
      </c>
      <c r="F115" s="142" t="s">
        <v>260</v>
      </c>
      <c r="G115" s="142" t="str">
        <f>Query!E112</f>
        <v>20</v>
      </c>
      <c r="H115" s="146" t="str">
        <f>Query!F112</f>
        <v>B1-SKD-13107-PYV02 HAN 3A</v>
      </c>
      <c r="I115" s="142" t="str">
        <f>Query!G112</f>
        <v>SOLENOID PopV LPCF</v>
      </c>
      <c r="J115" s="142" t="s">
        <v>2852</v>
      </c>
      <c r="K115" s="146" t="str">
        <f>Query!K112</f>
        <v>B1-SKD-13107-PYV02 -Y01</v>
      </c>
      <c r="L115" s="142" t="str">
        <f>Query!L112</f>
        <v>SOLENOID PopV LPCF</v>
      </c>
      <c r="M115" s="142" t="s">
        <v>2852</v>
      </c>
      <c r="N115" s="128"/>
      <c r="O115" s="142" t="str">
        <f>Query!O112</f>
        <v>DSPW/SKID</v>
      </c>
    </row>
    <row r="116" spans="1:15" ht="26.25" customHeight="1">
      <c r="A116" s="142" t="str">
        <f>Query!A113</f>
        <v>20110</v>
      </c>
      <c r="B116" s="142" t="str">
        <f>MID(Query!B113,1,2)</f>
        <v>B1</v>
      </c>
      <c r="C116" s="144" t="str">
        <f>MID(Query!B113,4,50)</f>
        <v>SKD-13107-PYV02-C4002</v>
      </c>
      <c r="D116" s="142" t="str">
        <f>Query!C113</f>
        <v>Cu</v>
      </c>
      <c r="E116" s="142" t="str">
        <f>Query!D113</f>
        <v>2 x 2.5  mm²</v>
      </c>
      <c r="F116" s="142" t="s">
        <v>260</v>
      </c>
      <c r="G116" s="142" t="str">
        <f>Query!E113</f>
        <v>100</v>
      </c>
      <c r="H116" s="146" t="str">
        <f>Query!F113</f>
        <v>B1-TCS-1311-X31</v>
      </c>
      <c r="I116" s="142" t="str">
        <f>Query!G113</f>
        <v>BOX TPC/OPS</v>
      </c>
      <c r="J116" s="142" t="s">
        <v>2851</v>
      </c>
      <c r="K116" s="146" t="str">
        <f>Query!K113</f>
        <v>B1-SKD-13107-PYV02 HAN 3A</v>
      </c>
      <c r="L116" s="142" t="str">
        <f>Query!L113</f>
        <v>SOLENOID PopV LPCF</v>
      </c>
      <c r="M116" s="142" t="s">
        <v>2852</v>
      </c>
      <c r="N116" s="128"/>
      <c r="O116" s="142" t="str">
        <f>Query!O113</f>
        <v>DSPW/SUPP.FI</v>
      </c>
    </row>
    <row r="117" spans="1:15" ht="26.25" customHeight="1">
      <c r="A117" s="142" t="str">
        <f>Query!A114</f>
        <v>20111</v>
      </c>
      <c r="B117" s="142" t="str">
        <f>MID(Query!B114,1,2)</f>
        <v>B1</v>
      </c>
      <c r="C117" s="144" t="str">
        <f>MID(Query!B114,4,50)</f>
        <v>TCS-1301A-E8001</v>
      </c>
      <c r="D117" s="142" t="s">
        <v>2849</v>
      </c>
      <c r="E117" s="142" t="s">
        <v>2850</v>
      </c>
      <c r="F117" s="142" t="s">
        <v>385</v>
      </c>
      <c r="G117" s="142" t="str">
        <f>Query!E114</f>
        <v>30</v>
      </c>
      <c r="H117" s="146" t="str">
        <f>Query!F114</f>
        <v>B1-TCS-1301A-A21</v>
      </c>
      <c r="I117" s="142" t="str">
        <f>Query!G114</f>
        <v>TCS/TPS CPU and PWR cabinet</v>
      </c>
      <c r="J117" s="142" t="s">
        <v>2851</v>
      </c>
      <c r="K117" s="146" t="str">
        <f>Query!K114</f>
        <v>B1-CP-13701-P4</v>
      </c>
      <c r="L117" s="142" t="str">
        <f>Query!L114</f>
        <v>BOX OF GEN.AVR, SYNCHR.AND MEAS.</v>
      </c>
      <c r="M117" s="142" t="s">
        <v>2851</v>
      </c>
      <c r="N117" s="128"/>
      <c r="O117" s="142" t="str">
        <f>Query!O114</f>
        <v>DSPW/SUPP.FI</v>
      </c>
    </row>
    <row r="118" spans="1:15" ht="26.25" customHeight="1">
      <c r="A118" s="142" t="str">
        <f>Query!A115</f>
        <v>20112</v>
      </c>
      <c r="B118" s="142" t="str">
        <f>MID(Query!B115,1,2)</f>
        <v>B1</v>
      </c>
      <c r="C118" s="144" t="str">
        <f>MID(Query!B115,4,50)</f>
        <v>TCS-1301A-E8002</v>
      </c>
      <c r="D118" s="142" t="s">
        <v>2849</v>
      </c>
      <c r="E118" s="142" t="s">
        <v>2850</v>
      </c>
      <c r="F118" s="142" t="s">
        <v>385</v>
      </c>
      <c r="G118" s="142" t="str">
        <f>Query!E115</f>
        <v>30</v>
      </c>
      <c r="H118" s="146" t="str">
        <f>Query!F115</f>
        <v>B1-TCS-1301A-A21</v>
      </c>
      <c r="I118" s="142" t="str">
        <f>Query!G115</f>
        <v>TCS/TPS CPU and PWR cabinet</v>
      </c>
      <c r="J118" s="142" t="s">
        <v>2851</v>
      </c>
      <c r="K118" s="146" t="str">
        <f>Query!K115</f>
        <v>B1-CP-13501+ER-U100</v>
      </c>
      <c r="L118" s="142" t="str">
        <f>Query!L115</f>
        <v>BOX OF GEN.EXCITATION</v>
      </c>
      <c r="M118" s="142" t="s">
        <v>2851</v>
      </c>
      <c r="N118" s="128"/>
      <c r="O118" s="142" t="str">
        <f>Query!O115</f>
        <v>DSPW/SUPP.FI</v>
      </c>
    </row>
    <row r="119" spans="1:15" ht="26.25" customHeight="1">
      <c r="A119" s="142" t="str">
        <f>Query!A116</f>
        <v>20113</v>
      </c>
      <c r="B119" s="142" t="str">
        <f>MID(Query!B116,1,2)</f>
        <v>B1</v>
      </c>
      <c r="C119" s="144" t="str">
        <f>MID(Query!B116,4,50)</f>
        <v>TCS-1301A-E8003</v>
      </c>
      <c r="D119" s="142" t="s">
        <v>2849</v>
      </c>
      <c r="E119" s="142" t="s">
        <v>2850</v>
      </c>
      <c r="F119" s="142" t="s">
        <v>385</v>
      </c>
      <c r="G119" s="142" t="str">
        <f>Query!E116</f>
        <v>30</v>
      </c>
      <c r="H119" s="146" t="str">
        <f>Query!F116</f>
        <v>B1-TCS-1301A-A21</v>
      </c>
      <c r="I119" s="142" t="str">
        <f>Query!G116</f>
        <v>TCS/TPS CPU and PWR cabinet</v>
      </c>
      <c r="J119" s="142" t="s">
        <v>2851</v>
      </c>
      <c r="K119" s="146" t="str">
        <f>Query!K116</f>
        <v>B1-CP-13501+ER-U100</v>
      </c>
      <c r="L119" s="142" t="str">
        <f>Query!L116</f>
        <v>BOX OF GEN.EXCITATION</v>
      </c>
      <c r="M119" s="142" t="s">
        <v>2851</v>
      </c>
      <c r="N119" s="128"/>
      <c r="O119" s="142" t="str">
        <f>Query!O116</f>
        <v>DSPW/SUPP.FI</v>
      </c>
    </row>
    <row r="120" spans="1:15" ht="26.25" customHeight="1">
      <c r="A120" s="142" t="str">
        <f>Query!A117</f>
        <v>20114</v>
      </c>
      <c r="B120" s="142" t="str">
        <f>MID(Query!B117,1,2)</f>
        <v>B1</v>
      </c>
      <c r="C120" s="144" t="str">
        <f>MID(Query!B117,4,50)</f>
        <v>TCS-1301A-E8004</v>
      </c>
      <c r="D120" s="142" t="s">
        <v>2849</v>
      </c>
      <c r="E120" s="142" t="s">
        <v>2850</v>
      </c>
      <c r="F120" s="142" t="s">
        <v>385</v>
      </c>
      <c r="G120" s="142" t="str">
        <f>Query!E117</f>
        <v>30</v>
      </c>
      <c r="H120" s="146" t="str">
        <f>Query!F117</f>
        <v>B1-TCS-1301A-A21</v>
      </c>
      <c r="I120" s="142" t="str">
        <f>Query!G117</f>
        <v>TCS/TPS CPU and PWR cabinet</v>
      </c>
      <c r="J120" s="142" t="s">
        <v>2851</v>
      </c>
      <c r="K120" s="146" t="str">
        <f>Query!K117</f>
        <v>B1XXX-XXX</v>
      </c>
      <c r="L120" s="142" t="str">
        <f>Query!L117</f>
        <v>Generator monitoring</v>
      </c>
      <c r="M120" s="142" t="s">
        <v>2851</v>
      </c>
      <c r="N120" s="128"/>
      <c r="O120" s="142" t="str">
        <f>Query!O117</f>
        <v>DSPW/SUPP.FI</v>
      </c>
    </row>
    <row r="121" spans="1:15" ht="26.25" customHeight="1">
      <c r="A121" s="142" t="str">
        <f>Query!A118</f>
        <v>20115</v>
      </c>
      <c r="B121" s="142" t="str">
        <f>MID(Query!B118,1,2)</f>
        <v>B1</v>
      </c>
      <c r="C121" s="144" t="str">
        <f>MID(Query!B118,4,50)</f>
        <v>TCS-1301A-E8005</v>
      </c>
      <c r="D121" s="142" t="s">
        <v>2849</v>
      </c>
      <c r="E121" s="142" t="s">
        <v>2850</v>
      </c>
      <c r="F121" s="142" t="s">
        <v>385</v>
      </c>
      <c r="G121" s="142" t="str">
        <f>Query!E118</f>
        <v>30</v>
      </c>
      <c r="H121" s="146" t="s">
        <v>1197</v>
      </c>
      <c r="I121" s="142" t="s">
        <v>1860</v>
      </c>
      <c r="J121" s="142" t="s">
        <v>2851</v>
      </c>
      <c r="K121" s="146" t="str">
        <f>Query!K118</f>
        <v>B1-TCS-1320-A20</v>
      </c>
      <c r="L121" s="142" t="str">
        <f>Query!L118</f>
        <v>TCS SERVER CABINET</v>
      </c>
      <c r="M121" s="142" t="s">
        <v>2851</v>
      </c>
      <c r="N121" s="128"/>
      <c r="O121" s="142" t="str">
        <f>Query!O118</f>
        <v>DSPW/SUPP.FI</v>
      </c>
    </row>
    <row r="122" spans="1:15" ht="26.25" customHeight="1">
      <c r="A122" s="142" t="str">
        <f>Query!A119</f>
        <v>20116</v>
      </c>
      <c r="B122" s="142" t="str">
        <f>MID(Query!B119,1,2)</f>
        <v>B1</v>
      </c>
      <c r="C122" s="144" t="str">
        <f>MID(Query!B119,4,50)</f>
        <v>TCS-1301A-E8006</v>
      </c>
      <c r="D122" s="142" t="s">
        <v>2849</v>
      </c>
      <c r="E122" s="142" t="s">
        <v>2850</v>
      </c>
      <c r="F122" s="142" t="s">
        <v>385</v>
      </c>
      <c r="G122" s="142" t="str">
        <f>Query!E119</f>
        <v>30</v>
      </c>
      <c r="H122" s="146" t="str">
        <f>Query!F119</f>
        <v>B1-TCS-1320-A20</v>
      </c>
      <c r="I122" s="142" t="str">
        <f>Query!G119</f>
        <v>TCS SERVER CABINET</v>
      </c>
      <c r="J122" s="142" t="s">
        <v>2851</v>
      </c>
      <c r="K122" s="146"/>
      <c r="L122" s="142"/>
      <c r="M122" s="142" t="s">
        <v>2851</v>
      </c>
      <c r="N122" s="128"/>
      <c r="O122" s="142" t="str">
        <f>Query!O119</f>
        <v>DSPW/SUPP.FI</v>
      </c>
    </row>
    <row r="123" spans="1:15" ht="26.25" customHeight="1">
      <c r="A123" s="142" t="str">
        <f>Query!A120</f>
        <v>20117</v>
      </c>
      <c r="B123" s="142" t="str">
        <f>MID(Query!B120,1,2)</f>
        <v>B1</v>
      </c>
      <c r="C123" s="144" t="str">
        <f>MID(Query!B120,4,50)</f>
        <v>TCS-1301A-E8007</v>
      </c>
      <c r="D123" s="142" t="s">
        <v>2849</v>
      </c>
      <c r="E123" s="142" t="s">
        <v>2850</v>
      </c>
      <c r="F123" s="142" t="s">
        <v>385</v>
      </c>
      <c r="G123" s="142" t="str">
        <f>Query!E120</f>
        <v>30</v>
      </c>
      <c r="H123" s="146" t="str">
        <f>Query!F120</f>
        <v>B1-TCS-1320-A21</v>
      </c>
      <c r="I123" s="142" t="str">
        <f>Query!G120</f>
        <v>TCS SERVER CABINET</v>
      </c>
      <c r="J123" s="142" t="s">
        <v>2851</v>
      </c>
      <c r="K123" s="146"/>
      <c r="L123" s="142"/>
      <c r="M123" s="142" t="s">
        <v>2851</v>
      </c>
      <c r="N123" s="128"/>
      <c r="O123" s="142" t="str">
        <f>Query!O120</f>
        <v>DSPW/SUPP.FI</v>
      </c>
    </row>
    <row r="124" spans="1:15" ht="26.25" customHeight="1">
      <c r="A124" s="142" t="str">
        <f>Query!A121</f>
        <v>20118</v>
      </c>
      <c r="B124" s="142" t="str">
        <f>MID(Query!B121,1,2)</f>
        <v>B1</v>
      </c>
      <c r="C124" s="144" t="str">
        <f>MID(Query!B121,4,50)</f>
        <v>TCS-1301A-E8008</v>
      </c>
      <c r="D124" s="142" t="s">
        <v>2849</v>
      </c>
      <c r="E124" s="142" t="s">
        <v>2850</v>
      </c>
      <c r="F124" s="142" t="s">
        <v>385</v>
      </c>
      <c r="G124" s="142" t="str">
        <f>Query!E121</f>
        <v>30</v>
      </c>
      <c r="H124" s="146" t="str">
        <f>Query!F121</f>
        <v>B1-TCS-1320-A21</v>
      </c>
      <c r="I124" s="142" t="str">
        <f>Query!G121</f>
        <v>TCS SERVER CABINET</v>
      </c>
      <c r="J124" s="142" t="s">
        <v>2851</v>
      </c>
      <c r="K124" s="146"/>
      <c r="L124" s="142"/>
      <c r="M124" s="142" t="s">
        <v>2851</v>
      </c>
      <c r="N124" s="128"/>
      <c r="O124" s="142" t="str">
        <f>Query!O121</f>
        <v>DSPW/SUPP.FI</v>
      </c>
    </row>
    <row r="125" spans="1:15" ht="26.25" customHeight="1">
      <c r="A125" s="142" t="str">
        <f>Query!A122</f>
        <v>20119</v>
      </c>
      <c r="B125" s="142" t="str">
        <f>MID(Query!B122,1,2)</f>
        <v>B1</v>
      </c>
      <c r="C125" s="144" t="str">
        <f>MID(Query!B122,4,50)</f>
        <v>TCS-1301A-E8009</v>
      </c>
      <c r="D125" s="142" t="s">
        <v>2849</v>
      </c>
      <c r="E125" s="142" t="s">
        <v>2850</v>
      </c>
      <c r="F125" s="142" t="s">
        <v>385</v>
      </c>
      <c r="G125" s="142" t="str">
        <f>Query!E122</f>
        <v>30</v>
      </c>
      <c r="H125" s="146" t="s">
        <v>1197</v>
      </c>
      <c r="I125" s="142" t="s">
        <v>1860</v>
      </c>
      <c r="J125" s="142" t="s">
        <v>2851</v>
      </c>
      <c r="K125" s="146" t="str">
        <f>Query!K122</f>
        <v>B1-TCS-1301A-A21</v>
      </c>
      <c r="L125" s="142" t="str">
        <f>Query!L122</f>
        <v>TCS/TPS CPU and PWR cabinet</v>
      </c>
      <c r="M125" s="142" t="s">
        <v>2851</v>
      </c>
      <c r="N125" s="128"/>
      <c r="O125" s="142" t="str">
        <f>Query!O122</f>
        <v>DSPW/SUPP.FI</v>
      </c>
    </row>
    <row r="126" spans="1:15" ht="26.25" customHeight="1">
      <c r="A126" s="142" t="str">
        <f>Query!A123</f>
        <v>20120</v>
      </c>
      <c r="B126" s="142" t="str">
        <f>MID(Query!B123,1,2)</f>
        <v>B1</v>
      </c>
      <c r="C126" s="144" t="str">
        <f>MID(Query!B123,4,50)</f>
        <v>TCS-1301A-E8010</v>
      </c>
      <c r="D126" s="142" t="s">
        <v>2849</v>
      </c>
      <c r="E126" s="142" t="s">
        <v>2850</v>
      </c>
      <c r="F126" s="142" t="s">
        <v>385</v>
      </c>
      <c r="G126" s="142" t="str">
        <f>Query!E123</f>
        <v>30</v>
      </c>
      <c r="H126" s="146" t="s">
        <v>1197</v>
      </c>
      <c r="I126" s="142" t="s">
        <v>1860</v>
      </c>
      <c r="J126" s="142" t="s">
        <v>2851</v>
      </c>
      <c r="K126" s="146" t="str">
        <f>Query!K123</f>
        <v>B1-TCS-1320-A20</v>
      </c>
      <c r="L126" s="142" t="str">
        <f>Query!L123</f>
        <v>TCS SERVER CABINET</v>
      </c>
      <c r="M126" s="142" t="s">
        <v>2851</v>
      </c>
      <c r="N126" s="128"/>
      <c r="O126" s="142" t="str">
        <f>Query!O123</f>
        <v>DSPW/SUPP.FI</v>
      </c>
    </row>
    <row r="127" spans="1:15" ht="26.25" customHeight="1">
      <c r="A127" s="142" t="str">
        <f>Query!A124</f>
        <v>20121</v>
      </c>
      <c r="B127" s="142" t="str">
        <f>MID(Query!B124,1,2)</f>
        <v>B1</v>
      </c>
      <c r="C127" s="144" t="str">
        <f>MID(Query!B124,4,50)</f>
        <v>TCS-1301A-E8011</v>
      </c>
      <c r="D127" s="142" t="s">
        <v>2849</v>
      </c>
      <c r="E127" s="142" t="s">
        <v>2850</v>
      </c>
      <c r="F127" s="142" t="s">
        <v>385</v>
      </c>
      <c r="G127" s="142" t="str">
        <f>Query!E124</f>
        <v>30</v>
      </c>
      <c r="H127" s="146" t="str">
        <f>Query!F124</f>
        <v>B1-TCS-1320-A30</v>
      </c>
      <c r="I127" s="142" t="str">
        <f>Query!G124</f>
        <v>TCS SERVER CABINET</v>
      </c>
      <c r="J127" s="142" t="s">
        <v>2851</v>
      </c>
      <c r="K127" s="146"/>
      <c r="L127" s="142"/>
      <c r="M127" s="142" t="s">
        <v>2851</v>
      </c>
      <c r="N127" s="128"/>
      <c r="O127" s="142" t="str">
        <f>Query!O124</f>
        <v>DSPW/SUPP.FI</v>
      </c>
    </row>
    <row r="128" spans="1:15" ht="26.25" customHeight="1">
      <c r="A128" s="142" t="str">
        <f>Query!A125</f>
        <v>20122</v>
      </c>
      <c r="B128" s="142" t="str">
        <f>MID(Query!B125,1,2)</f>
        <v>B1</v>
      </c>
      <c r="C128" s="144" t="str">
        <f>MID(Query!B125,4,50)</f>
        <v>TCS-1301A-E8012</v>
      </c>
      <c r="D128" s="142" t="s">
        <v>2849</v>
      </c>
      <c r="E128" s="142" t="s">
        <v>2850</v>
      </c>
      <c r="F128" s="142" t="s">
        <v>385</v>
      </c>
      <c r="G128" s="142" t="str">
        <f>Query!E125</f>
        <v>30</v>
      </c>
      <c r="H128" s="146" t="s">
        <v>1188</v>
      </c>
      <c r="I128" s="142" t="s">
        <v>1860</v>
      </c>
      <c r="J128" s="142" t="s">
        <v>2851</v>
      </c>
      <c r="K128" s="146"/>
      <c r="L128" s="142"/>
      <c r="M128" s="142" t="s">
        <v>2851</v>
      </c>
      <c r="N128" s="128"/>
      <c r="O128" s="142" t="str">
        <f>Query!O125</f>
        <v>DSPW/SUPP.FI</v>
      </c>
    </row>
    <row r="129" spans="1:15" ht="26.25" customHeight="1">
      <c r="A129" s="142" t="str">
        <f>Query!A126</f>
        <v>20123</v>
      </c>
      <c r="B129" s="142" t="str">
        <f>MID(Query!B126,1,2)</f>
        <v>B1</v>
      </c>
      <c r="C129" s="144" t="str">
        <f>MID(Query!B126,4,50)</f>
        <v>TCS-1301A-E8013</v>
      </c>
      <c r="D129" s="142" t="s">
        <v>2849</v>
      </c>
      <c r="E129" s="142" t="s">
        <v>2850</v>
      </c>
      <c r="F129" s="142" t="s">
        <v>385</v>
      </c>
      <c r="G129" s="142" t="str">
        <f>Query!E126</f>
        <v>30</v>
      </c>
      <c r="H129" s="146" t="s">
        <v>1188</v>
      </c>
      <c r="I129" s="142" t="s">
        <v>1860</v>
      </c>
      <c r="J129" s="142" t="s">
        <v>2851</v>
      </c>
      <c r="K129" s="146"/>
      <c r="L129" s="142"/>
      <c r="M129" s="142" t="s">
        <v>2851</v>
      </c>
      <c r="N129" s="128"/>
      <c r="O129" s="142" t="str">
        <f>Query!O126</f>
        <v>DSPW/SUPP.FI</v>
      </c>
    </row>
    <row r="130" spans="1:15" ht="26.25" customHeight="1">
      <c r="A130" s="142" t="str">
        <f>Query!A131</f>
        <v>20128</v>
      </c>
      <c r="B130" s="142" t="str">
        <f>MID(Query!B131,1,2)</f>
        <v>B1</v>
      </c>
      <c r="C130" s="144" t="str">
        <f>MID(Query!B131,4,50)</f>
        <v>TCS-1301B-C4001</v>
      </c>
      <c r="D130" s="142" t="str">
        <f>Query!C131</f>
        <v>1- C5XFE-R /ST/</v>
      </c>
      <c r="E130" s="142" t="str">
        <f>Query!D131</f>
        <v>10 x 2 x 1.0  mm²</v>
      </c>
      <c r="F130" s="142" t="s">
        <v>260</v>
      </c>
      <c r="G130" s="142" t="str">
        <f>Query!E131</f>
        <v>100</v>
      </c>
      <c r="H130" s="146" t="str">
        <f>Query!F131</f>
        <v>B1-TCS-1301B-XD31</v>
      </c>
      <c r="I130" s="142" t="str">
        <f>Query!G131</f>
        <v>TCS I/O and marshaling cabinet</v>
      </c>
      <c r="J130" s="142" t="s">
        <v>2851</v>
      </c>
      <c r="K130" s="146" t="str">
        <f>Query!K131</f>
        <v>B1-LCV-13501-M01</v>
      </c>
      <c r="L130" s="142" t="str">
        <f>Query!L131</f>
        <v>EDCV COND.MINIMAL FROM FLT TO COND.</v>
      </c>
      <c r="M130" s="142" t="s">
        <v>2852</v>
      </c>
      <c r="N130" s="128"/>
      <c r="O130" s="142" t="str">
        <f>Query!O131</f>
        <v>DSPW/SUPP.FI</v>
      </c>
    </row>
    <row r="131" spans="1:15" ht="26.25" customHeight="1">
      <c r="A131" s="142" t="str">
        <f>Query!A132</f>
        <v>20129</v>
      </c>
      <c r="B131" s="142" t="str">
        <f>MID(Query!B132,1,2)</f>
        <v>B1</v>
      </c>
      <c r="C131" s="144" t="str">
        <f>MID(Query!B132,4,50)</f>
        <v>TCS-1301B-C4002</v>
      </c>
      <c r="D131" s="142" t="str">
        <f>Query!C132</f>
        <v>1- C5XFE-R /ST/</v>
      </c>
      <c r="E131" s="142" t="str">
        <f>Query!D132</f>
        <v>10 x 2 x 1.0  mm²</v>
      </c>
      <c r="F131" s="142" t="s">
        <v>260</v>
      </c>
      <c r="G131" s="142" t="str">
        <f>Query!E132</f>
        <v>100</v>
      </c>
      <c r="H131" s="146" t="str">
        <f>Query!F132</f>
        <v>B1-TCS-1301B-XD31</v>
      </c>
      <c r="I131" s="142" t="str">
        <f>Query!G132</f>
        <v>TCS I/O and marshaling cabinet</v>
      </c>
      <c r="J131" s="142" t="s">
        <v>2851</v>
      </c>
      <c r="K131" s="146" t="str">
        <f>Query!K132</f>
        <v>B1-MOV-13772-M01</v>
      </c>
      <c r="L131" s="142" t="str">
        <f>Query!L132</f>
        <v>EDSV SPRAY.1 STG OUTLET</v>
      </c>
      <c r="M131" s="142" t="s">
        <v>2852</v>
      </c>
      <c r="N131" s="128"/>
      <c r="O131" s="142" t="str">
        <f>Query!O132</f>
        <v>DSPW/SUPP.FI</v>
      </c>
    </row>
    <row r="132" spans="1:15" ht="26.25" customHeight="1">
      <c r="A132" s="142" t="str">
        <f>Query!A133</f>
        <v>20130</v>
      </c>
      <c r="B132" s="142" t="str">
        <f>MID(Query!B133,1,2)</f>
        <v>B1</v>
      </c>
      <c r="C132" s="144" t="str">
        <f>MID(Query!B133,4,50)</f>
        <v>TCS-1301B-C4003</v>
      </c>
      <c r="D132" s="142" t="str">
        <f>Query!C133</f>
        <v>1- C5XFE-R /ST/</v>
      </c>
      <c r="E132" s="142" t="str">
        <f>Query!D133</f>
        <v>10 x 2 x 1.0  mm²</v>
      </c>
      <c r="F132" s="142" t="s">
        <v>260</v>
      </c>
      <c r="G132" s="142" t="str">
        <f>Query!E133</f>
        <v>100</v>
      </c>
      <c r="H132" s="146" t="str">
        <f>Query!F133</f>
        <v>B1-TCS-1301B-XD31</v>
      </c>
      <c r="I132" s="142" t="str">
        <f>Query!G133</f>
        <v>TCS I/O and marshaling cabinet</v>
      </c>
      <c r="J132" s="142" t="s">
        <v>2851</v>
      </c>
      <c r="K132" s="146" t="str">
        <f>Query!K133</f>
        <v>B1-MOV-13777-M01</v>
      </c>
      <c r="L132" s="142" t="str">
        <f>Query!L133</f>
        <v>EDSV SPRAY.2 STG OUTLET</v>
      </c>
      <c r="M132" s="142" t="s">
        <v>2852</v>
      </c>
      <c r="N132" s="128"/>
      <c r="O132" s="142" t="str">
        <f>Query!O133</f>
        <v>DSPW/SUPP.FI</v>
      </c>
    </row>
    <row r="133" spans="1:15" ht="26.25" customHeight="1">
      <c r="A133" s="142" t="str">
        <f>Query!A134</f>
        <v>20131</v>
      </c>
      <c r="B133" s="142" t="str">
        <f>MID(Query!B134,1,2)</f>
        <v>B1</v>
      </c>
      <c r="C133" s="144" t="str">
        <f>MID(Query!B134,4,50)</f>
        <v>TCS-1301B-C4004</v>
      </c>
      <c r="D133" s="142" t="str">
        <f>Query!C134</f>
        <v>1- C5XFE-R /ST/</v>
      </c>
      <c r="E133" s="142" t="str">
        <f>Query!D134</f>
        <v>10 x 2 x 1.0  mm²</v>
      </c>
      <c r="F133" s="142" t="s">
        <v>260</v>
      </c>
      <c r="G133" s="142" t="str">
        <f>Query!E134</f>
        <v>100</v>
      </c>
      <c r="H133" s="146" t="str">
        <f>Query!F134</f>
        <v>B1-TCS-1301B-XD31</v>
      </c>
      <c r="I133" s="142" t="str">
        <f>Query!G134</f>
        <v>TCS I/O and marshaling cabinet</v>
      </c>
      <c r="J133" s="142" t="s">
        <v>2851</v>
      </c>
      <c r="K133" s="146" t="str">
        <f>Query!K134</f>
        <v>B1-PCV-13531-M01</v>
      </c>
      <c r="L133" s="142" t="str">
        <f>Query!L134</f>
        <v>EDCV SPRAY.FLT</v>
      </c>
      <c r="M133" s="142" t="s">
        <v>2852</v>
      </c>
      <c r="N133" s="128"/>
      <c r="O133" s="142" t="str">
        <f>Query!O134</f>
        <v>DSPW/SUPP.FI</v>
      </c>
    </row>
    <row r="134" spans="1:15" ht="26.25" customHeight="1">
      <c r="A134" s="142" t="str">
        <f>Query!A135</f>
        <v>20132</v>
      </c>
      <c r="B134" s="142" t="str">
        <f>MID(Query!B135,1,2)</f>
        <v>B1</v>
      </c>
      <c r="C134" s="144" t="str">
        <f>MID(Query!B135,4,50)</f>
        <v>TCS-1301B-C4005</v>
      </c>
      <c r="D134" s="142" t="str">
        <f>Query!C135</f>
        <v>1- C5XFE-R /ST/</v>
      </c>
      <c r="E134" s="142" t="str">
        <f>Query!D135</f>
        <v>10 x 2 x 1.0  mm²</v>
      </c>
      <c r="F134" s="142" t="s">
        <v>260</v>
      </c>
      <c r="G134" s="142" t="str">
        <f>Query!E135</f>
        <v>100</v>
      </c>
      <c r="H134" s="146" t="str">
        <f>Query!F135</f>
        <v>B1-TCS-1301B-XD31</v>
      </c>
      <c r="I134" s="142" t="str">
        <f>Query!G135</f>
        <v>TCS I/O and marshaling cabinet</v>
      </c>
      <c r="J134" s="142" t="s">
        <v>2851</v>
      </c>
      <c r="K134" s="146" t="str">
        <f>Query!K135</f>
        <v>B1-PCV-13601-M01</v>
      </c>
      <c r="L134" s="142" t="str">
        <f>Query!L135</f>
        <v>EDCV INNER GLD.STEAM</v>
      </c>
      <c r="M134" s="142" t="s">
        <v>2852</v>
      </c>
      <c r="N134" s="128"/>
      <c r="O134" s="142" t="str">
        <f>Query!O135</f>
        <v>DSPW/SUPP.FI</v>
      </c>
    </row>
    <row r="135" spans="1:15" ht="26.25" customHeight="1">
      <c r="A135" s="142" t="str">
        <f>Query!A136</f>
        <v>20133</v>
      </c>
      <c r="B135" s="142" t="str">
        <f>MID(Query!B136,1,2)</f>
        <v>B1</v>
      </c>
      <c r="C135" s="144" t="str">
        <f>MID(Query!B136,4,50)</f>
        <v>TCS-1301B-C4006</v>
      </c>
      <c r="D135" s="142" t="str">
        <f>Query!C136</f>
        <v>1- C5XFE-R /ST/</v>
      </c>
      <c r="E135" s="142" t="str">
        <f>Query!D136</f>
        <v>10 x 2 x 1.0  mm²</v>
      </c>
      <c r="F135" s="142" t="s">
        <v>260</v>
      </c>
      <c r="G135" s="142" t="str">
        <f>Query!E136</f>
        <v>100</v>
      </c>
      <c r="H135" s="146" t="str">
        <f>Query!F136</f>
        <v>B1-TCS-1301B-XD31</v>
      </c>
      <c r="I135" s="142" t="str">
        <f>Query!G136</f>
        <v>TCS I/O and marshaling cabinet</v>
      </c>
      <c r="J135" s="142" t="s">
        <v>2851</v>
      </c>
      <c r="K135" s="146" t="str">
        <f>Query!K136</f>
        <v>B1-PCV-13651-M01</v>
      </c>
      <c r="L135" s="142" t="str">
        <f>Query!L136</f>
        <v>EDCV REAR GLAND TO FLT</v>
      </c>
      <c r="M135" s="142" t="s">
        <v>2852</v>
      </c>
      <c r="N135" s="128"/>
      <c r="O135" s="142" t="str">
        <f>Query!O136</f>
        <v>DSPW/SUPP.FI</v>
      </c>
    </row>
    <row r="136" spans="1:15" ht="26.25" customHeight="1">
      <c r="A136" s="142" t="str">
        <f>Query!A137</f>
        <v>20134</v>
      </c>
      <c r="B136" s="142" t="str">
        <f>MID(Query!B137,1,2)</f>
        <v>B1</v>
      </c>
      <c r="C136" s="144" t="str">
        <f>MID(Query!B137,4,50)</f>
        <v>TCS-1301B-C4007</v>
      </c>
      <c r="D136" s="142" t="str">
        <f>Query!C137</f>
        <v>1- C5XFE-R /ST/</v>
      </c>
      <c r="E136" s="142" t="str">
        <f>Query!D137</f>
        <v>10 x 2 x 1.0  mm²</v>
      </c>
      <c r="F136" s="142" t="s">
        <v>260</v>
      </c>
      <c r="G136" s="142" t="str">
        <f>Query!E137</f>
        <v>100</v>
      </c>
      <c r="H136" s="146" t="str">
        <f>Query!F137</f>
        <v>B1-TCS-1301B-XD31</v>
      </c>
      <c r="I136" s="142" t="str">
        <f>Query!G137</f>
        <v>TCS I/O and marshaling cabinet</v>
      </c>
      <c r="J136" s="142" t="s">
        <v>2851</v>
      </c>
      <c r="K136" s="146" t="str">
        <f>Query!K137</f>
        <v>B1-PCV-13659-M01</v>
      </c>
      <c r="L136" s="142" t="str">
        <f>Query!L137</f>
        <v>EDCV SEALING GLAND</v>
      </c>
      <c r="M136" s="142" t="s">
        <v>2852</v>
      </c>
      <c r="N136" s="128"/>
      <c r="O136" s="142" t="str">
        <f>Query!O137</f>
        <v>DSPW/SUPP.FI</v>
      </c>
    </row>
    <row r="137" spans="1:15" ht="26.25" customHeight="1">
      <c r="A137" s="142" t="str">
        <f>Query!A138</f>
        <v>20135</v>
      </c>
      <c r="B137" s="142" t="str">
        <f>MID(Query!B138,1,2)</f>
        <v>B1</v>
      </c>
      <c r="C137" s="144" t="str">
        <f>MID(Query!B138,4,50)</f>
        <v>TCS-1301B-C4008</v>
      </c>
      <c r="D137" s="142" t="str">
        <f>Query!C138</f>
        <v>1- C5XFE-R /ST/</v>
      </c>
      <c r="E137" s="142" t="str">
        <f>Query!D138</f>
        <v>10 x 2 x 1.0  mm²</v>
      </c>
      <c r="F137" s="142" t="s">
        <v>260</v>
      </c>
      <c r="G137" s="142" t="str">
        <f>Query!E138</f>
        <v>200</v>
      </c>
      <c r="H137" s="146" t="str">
        <f>Query!F138</f>
        <v>B1-TCS-1301B-XD71</v>
      </c>
      <c r="I137" s="142" t="str">
        <f>Query!G138</f>
        <v>TCS I/O and marshaling cabinet</v>
      </c>
      <c r="J137" s="142" t="s">
        <v>2851</v>
      </c>
      <c r="K137" s="146" t="str">
        <f>Query!K138</f>
        <v>B1JBAY-1301-X03</v>
      </c>
      <c r="L137" s="142" t="str">
        <f>Query!L138</f>
        <v>Junction box FI</v>
      </c>
      <c r="M137" s="142" t="s">
        <v>2852</v>
      </c>
      <c r="N137" s="128"/>
      <c r="O137" s="142" t="str">
        <f>Query!O138</f>
        <v>DSPW/SUPP.FI</v>
      </c>
    </row>
    <row r="138" spans="1:15" ht="26.25" customHeight="1">
      <c r="A138" s="142" t="str">
        <f>Query!A139</f>
        <v>20136</v>
      </c>
      <c r="B138" s="142" t="str">
        <f>MID(Query!B139,1,2)</f>
        <v>B1</v>
      </c>
      <c r="C138" s="144" t="str">
        <f>MID(Query!B139,4,50)</f>
        <v>TCS-1301B-C4009</v>
      </c>
      <c r="D138" s="142" t="str">
        <f>Query!C139</f>
        <v>1- C5XFE-R /ST/</v>
      </c>
      <c r="E138" s="142" t="str">
        <f>Query!D139</f>
        <v>10 x 2 x 1.0  mm²</v>
      </c>
      <c r="F138" s="142" t="s">
        <v>260</v>
      </c>
      <c r="G138" s="142" t="str">
        <f>Query!E139</f>
        <v>200</v>
      </c>
      <c r="H138" s="146" t="str">
        <f>Query!F139</f>
        <v>B1-TCS-1301B-XD71</v>
      </c>
      <c r="I138" s="142" t="str">
        <f>Query!G139</f>
        <v>TCS I/O and marshaling cabinet</v>
      </c>
      <c r="J138" s="142" t="s">
        <v>2851</v>
      </c>
      <c r="K138" s="146" t="str">
        <f>Query!K139</f>
        <v>B1JBAY-1301-X03</v>
      </c>
      <c r="L138" s="142" t="str">
        <f>Query!L139</f>
        <v>Junction box FI</v>
      </c>
      <c r="M138" s="142" t="s">
        <v>2852</v>
      </c>
      <c r="N138" s="128"/>
      <c r="O138" s="142" t="str">
        <f>Query!O139</f>
        <v>DSPW/SUPP.FI</v>
      </c>
    </row>
    <row r="139" spans="1:15" ht="26.25" customHeight="1">
      <c r="A139" s="142" t="str">
        <f>Query!A140</f>
        <v>20137</v>
      </c>
      <c r="B139" s="142" t="str">
        <f>MID(Query!B140,1,2)</f>
        <v>B1</v>
      </c>
      <c r="C139" s="144" t="str">
        <f>MID(Query!B140,4,50)</f>
        <v>TCS-1301B-C4010</v>
      </c>
      <c r="D139" s="142" t="str">
        <f>Query!C140</f>
        <v>1- C5XFE-R /ST/</v>
      </c>
      <c r="E139" s="142" t="str">
        <f>Query!D140</f>
        <v>2 x 2 x 1.0  mm²</v>
      </c>
      <c r="F139" s="142" t="s">
        <v>260</v>
      </c>
      <c r="G139" s="142" t="str">
        <f>Query!E140</f>
        <v>100</v>
      </c>
      <c r="H139" s="146" t="str">
        <f>Query!F140</f>
        <v>B1-TCS-1301B-XA65</v>
      </c>
      <c r="I139" s="142" t="str">
        <f>Query!G140</f>
        <v>TCS I/O and marshaling cabinet</v>
      </c>
      <c r="J139" s="142" t="s">
        <v>2851</v>
      </c>
      <c r="K139" s="146" t="str">
        <f>Query!K140</f>
        <v>B1-ZT-13131A HAN 10A</v>
      </c>
      <c r="L139" s="142" t="str">
        <f>Query!L140</f>
        <v>POSITION 1 HP CONTROL VALVE 1</v>
      </c>
      <c r="M139" s="142" t="s">
        <v>2852</v>
      </c>
      <c r="N139" s="128"/>
      <c r="O139" s="142" t="str">
        <f>Query!O140</f>
        <v>DSPW/SUPP.FI</v>
      </c>
    </row>
    <row r="140" spans="1:15" ht="26.25" customHeight="1">
      <c r="A140" s="142" t="str">
        <f>Query!A141</f>
        <v>20138</v>
      </c>
      <c r="B140" s="142" t="str">
        <f>MID(Query!B141,1,2)</f>
        <v>B1</v>
      </c>
      <c r="C140" s="144" t="str">
        <f>MID(Query!B141,4,50)</f>
        <v>TCS-1301B-C4011</v>
      </c>
      <c r="D140" s="142" t="str">
        <f>Query!C141</f>
        <v>1- C5XFE-R /ST/</v>
      </c>
      <c r="E140" s="142" t="str">
        <f>Query!D141</f>
        <v>2 x 2 x 1.0  mm²</v>
      </c>
      <c r="F140" s="142" t="s">
        <v>260</v>
      </c>
      <c r="G140" s="142" t="str">
        <f>Query!E141</f>
        <v>100</v>
      </c>
      <c r="H140" s="146" t="str">
        <f>Query!F141</f>
        <v>B1-TCS-1301B-XA65</v>
      </c>
      <c r="I140" s="142" t="str">
        <f>Query!G141</f>
        <v>TCS I/O and marshaling cabinet</v>
      </c>
      <c r="J140" s="142" t="s">
        <v>2851</v>
      </c>
      <c r="K140" s="146" t="str">
        <f>Query!K141</f>
        <v>B1-ZT-13151A HAN 10A</v>
      </c>
      <c r="L140" s="142" t="str">
        <f>Query!L141</f>
        <v>POSITION 1 HP CONTROL VALVE 2</v>
      </c>
      <c r="M140" s="142" t="s">
        <v>2852</v>
      </c>
      <c r="N140" s="128"/>
      <c r="O140" s="142" t="str">
        <f>Query!O141</f>
        <v>DSPW/SUPP.FI</v>
      </c>
    </row>
    <row r="141" spans="1:15" ht="26.25" customHeight="1">
      <c r="A141" s="142" t="str">
        <f>Query!A142</f>
        <v>20139</v>
      </c>
      <c r="B141" s="142" t="str">
        <f>MID(Query!B142,1,2)</f>
        <v>B1</v>
      </c>
      <c r="C141" s="144" t="str">
        <f>MID(Query!B142,4,50)</f>
        <v>TCS-1301B-C4012</v>
      </c>
      <c r="D141" s="142" t="str">
        <f>Query!C142</f>
        <v>1- C5XFE-R /ST/</v>
      </c>
      <c r="E141" s="142" t="str">
        <f>Query!D142</f>
        <v>2 x 2 x 1.0  mm²</v>
      </c>
      <c r="F141" s="142" t="s">
        <v>260</v>
      </c>
      <c r="G141" s="142" t="str">
        <f>Query!E142</f>
        <v>100</v>
      </c>
      <c r="H141" s="146" t="str">
        <f>Query!F142</f>
        <v>B1-TCS-1301B-XA65</v>
      </c>
      <c r="I141" s="142" t="str">
        <f>Query!G142</f>
        <v>TCS I/O and marshaling cabinet</v>
      </c>
      <c r="J141" s="142" t="s">
        <v>2851</v>
      </c>
      <c r="K141" s="146" t="str">
        <f>Query!K142</f>
        <v>B1-ZT-13171A HAN 10A</v>
      </c>
      <c r="L141" s="142" t="str">
        <f>Query!L142</f>
        <v>POSITION 1 LP CONTROL FLAP</v>
      </c>
      <c r="M141" s="142" t="s">
        <v>2852</v>
      </c>
      <c r="N141" s="128"/>
      <c r="O141" s="142" t="str">
        <f>Query!O142</f>
        <v>DSPW/SUPP.FI</v>
      </c>
    </row>
    <row r="142" spans="1:15" ht="26.25" customHeight="1">
      <c r="A142" s="142" t="str">
        <f>Query!A143</f>
        <v>20140</v>
      </c>
      <c r="B142" s="142" t="str">
        <f>MID(Query!B143,1,2)</f>
        <v>B1</v>
      </c>
      <c r="C142" s="144" t="str">
        <f>MID(Query!B143,4,50)</f>
        <v>TCS-1301B-C4013</v>
      </c>
      <c r="D142" s="142" t="str">
        <f>Query!C143</f>
        <v>1- C5XFE-R /ST/</v>
      </c>
      <c r="E142" s="142" t="str">
        <f>Query!D143</f>
        <v>2 x 2 x 1.0  mm²</v>
      </c>
      <c r="F142" s="142" t="s">
        <v>260</v>
      </c>
      <c r="G142" s="142" t="str">
        <f>Query!E143</f>
        <v>100</v>
      </c>
      <c r="H142" s="146" t="str">
        <f>Query!F143</f>
        <v>B1-TCS-1301B-XA65</v>
      </c>
      <c r="I142" s="142" t="str">
        <f>Query!G143</f>
        <v>TCS I/O and marshaling cabinet</v>
      </c>
      <c r="J142" s="142" t="s">
        <v>2851</v>
      </c>
      <c r="K142" s="146" t="str">
        <f>Query!K143</f>
        <v>B1-ZT-13131B HAN 10A</v>
      </c>
      <c r="L142" s="142" t="str">
        <f>Query!L143</f>
        <v>POSITION 2 HP CONTROL VALVE 1</v>
      </c>
      <c r="M142" s="142" t="s">
        <v>2852</v>
      </c>
      <c r="N142" s="128"/>
      <c r="O142" s="142" t="str">
        <f>Query!O143</f>
        <v>DSPW/SUPP.FI</v>
      </c>
    </row>
    <row r="143" spans="1:15" ht="26.25" customHeight="1">
      <c r="A143" s="142" t="str">
        <f>Query!A144</f>
        <v>20141</v>
      </c>
      <c r="B143" s="142" t="str">
        <f>MID(Query!B144,1,2)</f>
        <v>B1</v>
      </c>
      <c r="C143" s="144" t="str">
        <f>MID(Query!B144,4,50)</f>
        <v>TCS-1301B-C4014</v>
      </c>
      <c r="D143" s="142" t="str">
        <f>Query!C144</f>
        <v>1- C5XFE-R /ST/</v>
      </c>
      <c r="E143" s="142" t="str">
        <f>Query!D144</f>
        <v>2 x 2 x 1.0  mm²</v>
      </c>
      <c r="F143" s="142" t="s">
        <v>260</v>
      </c>
      <c r="G143" s="142" t="str">
        <f>Query!E144</f>
        <v>100</v>
      </c>
      <c r="H143" s="146" t="str">
        <f>Query!F144</f>
        <v>B1-TCS-1301B-XA65</v>
      </c>
      <c r="I143" s="142" t="str">
        <f>Query!G144</f>
        <v>TCS I/O and marshaling cabinet</v>
      </c>
      <c r="J143" s="142" t="s">
        <v>2851</v>
      </c>
      <c r="K143" s="146" t="str">
        <f>Query!K144</f>
        <v>B1-ZT-13151B HAN 10A</v>
      </c>
      <c r="L143" s="142" t="str">
        <f>Query!L144</f>
        <v>POSITION 2 HP CONTROL VALVE 2</v>
      </c>
      <c r="M143" s="142" t="s">
        <v>2852</v>
      </c>
      <c r="N143" s="128"/>
      <c r="O143" s="142" t="str">
        <f>Query!O144</f>
        <v>DSPW/SUPP.FI</v>
      </c>
    </row>
    <row r="144" spans="1:15" ht="26.25" customHeight="1">
      <c r="A144" s="142" t="str">
        <f>Query!A145</f>
        <v>20142</v>
      </c>
      <c r="B144" s="142" t="str">
        <f>MID(Query!B145,1,2)</f>
        <v>B1</v>
      </c>
      <c r="C144" s="144" t="str">
        <f>MID(Query!B145,4,50)</f>
        <v>TCS-1301B-C4015</v>
      </c>
      <c r="D144" s="142" t="str">
        <f>Query!C145</f>
        <v>1- C5XFE-R /ST/</v>
      </c>
      <c r="E144" s="142" t="str">
        <f>Query!D145</f>
        <v>2 x 2 x 1.0  mm²</v>
      </c>
      <c r="F144" s="142" t="s">
        <v>260</v>
      </c>
      <c r="G144" s="142" t="str">
        <f>Query!E145</f>
        <v>100</v>
      </c>
      <c r="H144" s="146" t="str">
        <f>Query!F145</f>
        <v>B1-TCS-1301B-XA65</v>
      </c>
      <c r="I144" s="142" t="str">
        <f>Query!G145</f>
        <v>TCS I/O and marshaling cabinet</v>
      </c>
      <c r="J144" s="142" t="s">
        <v>2851</v>
      </c>
      <c r="K144" s="146" t="str">
        <f>Query!K145</f>
        <v>B1-ZT-13171B HAN 10A</v>
      </c>
      <c r="L144" s="142" t="str">
        <f>Query!L145</f>
        <v>POSITION 2 LP CONTROL FLAP</v>
      </c>
      <c r="M144" s="142" t="s">
        <v>2852</v>
      </c>
      <c r="N144" s="128"/>
      <c r="O144" s="142" t="str">
        <f>Query!O145</f>
        <v>DSPW/SUPP.FI</v>
      </c>
    </row>
    <row r="145" spans="1:15" ht="26.25" customHeight="1">
      <c r="A145" s="142" t="str">
        <f>Query!A146</f>
        <v>20143</v>
      </c>
      <c r="B145" s="142" t="str">
        <f>MID(Query!B146,1,2)</f>
        <v>B1</v>
      </c>
      <c r="C145" s="144" t="str">
        <f>MID(Query!B146,4,50)</f>
        <v>TCS-1301B-C4016</v>
      </c>
      <c r="D145" s="142" t="str">
        <f>Query!C146</f>
        <v>1- C5XFE-R /ST/</v>
      </c>
      <c r="E145" s="142" t="str">
        <f>Query!D146</f>
        <v>2 x 2 x 1.0  mm²</v>
      </c>
      <c r="F145" s="142" t="s">
        <v>260</v>
      </c>
      <c r="G145" s="142" t="str">
        <f>Query!E146</f>
        <v>100</v>
      </c>
      <c r="H145" s="146" t="str">
        <f>Query!F146</f>
        <v>B1-TCS-1301B-XA64</v>
      </c>
      <c r="I145" s="142" t="str">
        <f>Query!G146</f>
        <v>TCS I/O and marshaling cabinet</v>
      </c>
      <c r="J145" s="142" t="s">
        <v>2851</v>
      </c>
      <c r="K145" s="146" t="str">
        <f>Query!K146</f>
        <v>B1-SKD-13103-PYV01 HAN 10A</v>
      </c>
      <c r="L145" s="142" t="str">
        <f>Query!L146</f>
        <v>SERVOVALVE FOR HPCV 1</v>
      </c>
      <c r="M145" s="142" t="s">
        <v>2852</v>
      </c>
      <c r="N145" s="128"/>
      <c r="O145" s="142" t="str">
        <f>Query!O146</f>
        <v>DSPW/SUPP.FI</v>
      </c>
    </row>
    <row r="146" spans="1:15" ht="26.25" customHeight="1">
      <c r="A146" s="142" t="str">
        <f>Query!A147</f>
        <v>20144</v>
      </c>
      <c r="B146" s="142" t="str">
        <f>MID(Query!B147,1,2)</f>
        <v>B1</v>
      </c>
      <c r="C146" s="144" t="str">
        <f>MID(Query!B147,4,50)</f>
        <v>TCS-1301B-C4017</v>
      </c>
      <c r="D146" s="142" t="str">
        <f>Query!C147</f>
        <v>1- C5XFE-R /ST/</v>
      </c>
      <c r="E146" s="142" t="str">
        <f>Query!D147</f>
        <v>2 x 2 x 1.0  mm²</v>
      </c>
      <c r="F146" s="142" t="s">
        <v>260</v>
      </c>
      <c r="G146" s="142" t="str">
        <f>Query!E147</f>
        <v>100</v>
      </c>
      <c r="H146" s="146" t="str">
        <f>Query!F147</f>
        <v>B1-TCS-1301B-XA64</v>
      </c>
      <c r="I146" s="142" t="str">
        <f>Query!G147</f>
        <v>TCS I/O and marshaling cabinet</v>
      </c>
      <c r="J146" s="142" t="s">
        <v>2851</v>
      </c>
      <c r="K146" s="146" t="str">
        <f>Query!K147</f>
        <v>B1-SKD-13105-PYV01 HAN 10A</v>
      </c>
      <c r="L146" s="142" t="str">
        <f>Query!L147</f>
        <v>SERVOVALVE FOR HPCV 2</v>
      </c>
      <c r="M146" s="142" t="s">
        <v>2852</v>
      </c>
      <c r="N146" s="128"/>
      <c r="O146" s="142" t="str">
        <f>Query!O147</f>
        <v>DSPW/SUPP.FI</v>
      </c>
    </row>
    <row r="147" spans="1:15" ht="26.25" customHeight="1">
      <c r="A147" s="142" t="str">
        <f>Query!A148</f>
        <v>20145</v>
      </c>
      <c r="B147" s="142" t="str">
        <f>MID(Query!B148,1,2)</f>
        <v>B1</v>
      </c>
      <c r="C147" s="144" t="str">
        <f>MID(Query!B148,4,50)</f>
        <v>TCS-1301B-C4018</v>
      </c>
      <c r="D147" s="142" t="str">
        <f>Query!C148</f>
        <v>1- C5XFE-R /ST/</v>
      </c>
      <c r="E147" s="142" t="str">
        <f>Query!D148</f>
        <v>2 x 2 x 1.0  mm²</v>
      </c>
      <c r="F147" s="142" t="s">
        <v>260</v>
      </c>
      <c r="G147" s="142" t="str">
        <f>Query!E148</f>
        <v>100</v>
      </c>
      <c r="H147" s="146" t="str">
        <f>Query!F148</f>
        <v>B1-TCS-1301B-XA64</v>
      </c>
      <c r="I147" s="142" t="str">
        <f>Query!G148</f>
        <v>TCS I/O and marshaling cabinet</v>
      </c>
      <c r="J147" s="142" t="s">
        <v>2851</v>
      </c>
      <c r="K147" s="146" t="str">
        <f>Query!K148</f>
        <v>B1-SKD-13107-PYV01 HAN 10A</v>
      </c>
      <c r="L147" s="142" t="str">
        <f>Query!L148</f>
        <v>SERVOVALVE FOR LPCF</v>
      </c>
      <c r="M147" s="142" t="s">
        <v>2852</v>
      </c>
      <c r="N147" s="128"/>
      <c r="O147" s="142" t="str">
        <f>Query!O148</f>
        <v>DSPW/SUPP.FI</v>
      </c>
    </row>
    <row r="148" spans="1:15" ht="26.25" customHeight="1">
      <c r="A148" s="142" t="str">
        <f>Query!A149</f>
        <v>20146</v>
      </c>
      <c r="B148" s="142" t="str">
        <f>MID(Query!B149,1,2)</f>
        <v>B1</v>
      </c>
      <c r="C148" s="144" t="str">
        <f>MID(Query!B149,4,50)</f>
        <v>TCS-1301B-C4019</v>
      </c>
      <c r="D148" s="142" t="str">
        <f>Query!C149</f>
        <v>1- C5XFE-R /ST/</v>
      </c>
      <c r="E148" s="142" t="str">
        <f>Query!D149</f>
        <v>10 x 2 x 1.0  mm²</v>
      </c>
      <c r="F148" s="142" t="s">
        <v>260</v>
      </c>
      <c r="G148" s="142" t="str">
        <f>Query!E149</f>
        <v>30</v>
      </c>
      <c r="H148" s="146" t="str">
        <f>Query!F149</f>
        <v>B1-TCS-1301B-XD11</v>
      </c>
      <c r="I148" s="142" t="str">
        <f>Query!G149</f>
        <v>TCS I/O and marshaling cabinet</v>
      </c>
      <c r="J148" s="142" t="s">
        <v>2851</v>
      </c>
      <c r="K148" s="146" t="str">
        <f>Query!K149</f>
        <v>B1-TCS-1311-X32</v>
      </c>
      <c r="L148" s="142" t="str">
        <f>Query!L149</f>
        <v>BOX TPC/OPS</v>
      </c>
      <c r="M148" s="142" t="s">
        <v>2851</v>
      </c>
      <c r="N148" s="128"/>
      <c r="O148" s="142" t="str">
        <f>Query!O149</f>
        <v>DSPW/SUPP.FI</v>
      </c>
    </row>
    <row r="149" spans="1:15" ht="26.25" customHeight="1">
      <c r="A149" s="142" t="str">
        <f>Query!A150</f>
        <v>20147</v>
      </c>
      <c r="B149" s="142" t="str">
        <f>MID(Query!B150,1,2)</f>
        <v>B1</v>
      </c>
      <c r="C149" s="144" t="str">
        <f>MID(Query!B150,4,50)</f>
        <v>TCS-1301B-C4020</v>
      </c>
      <c r="D149" s="142" t="str">
        <f>Query!C150</f>
        <v>1- C5XFE-R /ST/</v>
      </c>
      <c r="E149" s="142" t="str">
        <f>Query!D150</f>
        <v>2 x 2 x 1.0  mm²</v>
      </c>
      <c r="F149" s="142" t="s">
        <v>260</v>
      </c>
      <c r="G149" s="142" t="str">
        <f>Query!E150</f>
        <v>30</v>
      </c>
      <c r="H149" s="146" t="str">
        <f>Query!F150</f>
        <v>B1-TCS-1301B-XD41</v>
      </c>
      <c r="I149" s="142" t="str">
        <f>Query!G150</f>
        <v>TCS I/O and marshaling cabinet</v>
      </c>
      <c r="J149" s="142" t="s">
        <v>2851</v>
      </c>
      <c r="K149" s="146" t="str">
        <f>Query!K150</f>
        <v>B1-TCS-1321-X93</v>
      </c>
      <c r="L149" s="142" t="str">
        <f>Query!L150</f>
        <v>BOX OF VMS</v>
      </c>
      <c r="M149" s="142" t="s">
        <v>2851</v>
      </c>
      <c r="N149" s="128"/>
      <c r="O149" s="142" t="str">
        <f>Query!O150</f>
        <v>DSPW/SUPP.FI</v>
      </c>
    </row>
    <row r="150" spans="1:15" ht="26.25" customHeight="1">
      <c r="A150" s="142" t="str">
        <f>Query!A151</f>
        <v>20148</v>
      </c>
      <c r="B150" s="142" t="str">
        <f>MID(Query!B151,1,2)</f>
        <v>B1</v>
      </c>
      <c r="C150" s="144" t="str">
        <f>MID(Query!B151,4,50)</f>
        <v>TCS-1301B-C4021</v>
      </c>
      <c r="D150" s="142" t="str">
        <f>Query!C151</f>
        <v>1- C5XFE-R /ST/</v>
      </c>
      <c r="E150" s="142" t="str">
        <f>Query!D151</f>
        <v>10 x 2 x 1.0  mm²</v>
      </c>
      <c r="F150" s="142" t="s">
        <v>260</v>
      </c>
      <c r="G150" s="142" t="str">
        <f>Query!E151</f>
        <v>30</v>
      </c>
      <c r="H150" s="146" t="str">
        <f>Query!F151</f>
        <v>B1-TCS-1301B-XD21</v>
      </c>
      <c r="I150" s="142" t="str">
        <f>Query!G151</f>
        <v>TCS I/O and marshaling cabinet</v>
      </c>
      <c r="J150" s="142" t="s">
        <v>2851</v>
      </c>
      <c r="K150" s="146" t="s">
        <v>2853</v>
      </c>
      <c r="L150" s="146" t="s">
        <v>2853</v>
      </c>
      <c r="M150" s="142" t="s">
        <v>2851</v>
      </c>
      <c r="N150" s="128"/>
      <c r="O150" s="142" t="str">
        <f>Query!O151</f>
        <v>DSPW/SUPP.FI</v>
      </c>
    </row>
    <row r="151" spans="1:15" ht="26.25" customHeight="1">
      <c r="A151" s="142" t="str">
        <f>Query!A152</f>
        <v>20149</v>
      </c>
      <c r="B151" s="142" t="str">
        <f>MID(Query!B152,1,2)</f>
        <v>B1</v>
      </c>
      <c r="C151" s="144" t="str">
        <f>MID(Query!B152,4,50)</f>
        <v>TCS-1301B-C4022</v>
      </c>
      <c r="D151" s="142" t="str">
        <f>Query!C152</f>
        <v>1- C5XFE-R /ST/</v>
      </c>
      <c r="E151" s="142" t="str">
        <f>Query!D152</f>
        <v>10 x 2 x 1.0  mm²</v>
      </c>
      <c r="F151" s="142" t="s">
        <v>260</v>
      </c>
      <c r="G151" s="142" t="str">
        <f>Query!E152</f>
        <v>30</v>
      </c>
      <c r="H151" s="146" t="str">
        <f>Query!F152</f>
        <v>B1-TCS-1301B-XD21</v>
      </c>
      <c r="I151" s="142" t="str">
        <f>Query!G152</f>
        <v>TCS I/O and marshaling cabinet</v>
      </c>
      <c r="J151" s="142" t="s">
        <v>2851</v>
      </c>
      <c r="K151" s="146" t="s">
        <v>2853</v>
      </c>
      <c r="L151" s="146" t="s">
        <v>2853</v>
      </c>
      <c r="M151" s="142" t="s">
        <v>2851</v>
      </c>
      <c r="N151" s="128"/>
      <c r="O151" s="142" t="str">
        <f>Query!O152</f>
        <v>DSPW/SUPP.FI</v>
      </c>
    </row>
    <row r="152" spans="1:15" ht="26.25" customHeight="1">
      <c r="A152" s="142" t="str">
        <f>Query!A153</f>
        <v>20150</v>
      </c>
      <c r="B152" s="142" t="str">
        <f>MID(Query!B153,1,2)</f>
        <v>B1</v>
      </c>
      <c r="C152" s="144" t="str">
        <f>MID(Query!B153,4,50)</f>
        <v>TCS-1301B-C4023</v>
      </c>
      <c r="D152" s="142" t="str">
        <f>Query!C153</f>
        <v>1- C5XFE-R /ST/</v>
      </c>
      <c r="E152" s="142" t="str">
        <f>Query!D153</f>
        <v>10 x 2 x 1.0  mm²</v>
      </c>
      <c r="F152" s="142" t="s">
        <v>260</v>
      </c>
      <c r="G152" s="142" t="str">
        <f>Query!E153</f>
        <v>30</v>
      </c>
      <c r="H152" s="146" t="str">
        <f>Query!F153</f>
        <v>B1-TCS-1301B-XD22</v>
      </c>
      <c r="I152" s="142" t="str">
        <f>Query!G153</f>
        <v>TCS I/O and marshaling cabinet</v>
      </c>
      <c r="J152" s="142" t="s">
        <v>2851</v>
      </c>
      <c r="K152" s="146" t="s">
        <v>2853</v>
      </c>
      <c r="L152" s="146" t="s">
        <v>2853</v>
      </c>
      <c r="M152" s="142" t="s">
        <v>2851</v>
      </c>
      <c r="N152" s="128"/>
      <c r="O152" s="142" t="str">
        <f>Query!O153</f>
        <v>DSPW/SUPP.FI</v>
      </c>
    </row>
    <row r="153" spans="1:15" ht="26.25" customHeight="1">
      <c r="A153" s="142" t="str">
        <f>Query!A154</f>
        <v>20151</v>
      </c>
      <c r="B153" s="142" t="str">
        <f>MID(Query!B154,1,2)</f>
        <v>B1</v>
      </c>
      <c r="C153" s="144" t="str">
        <f>MID(Query!B154,4,50)</f>
        <v>TCS-1301B-C4024</v>
      </c>
      <c r="D153" s="142" t="str">
        <f>Query!C154</f>
        <v>1- C5XFE-R /ST/</v>
      </c>
      <c r="E153" s="142" t="str">
        <f>Query!D154</f>
        <v>10 x 2 x 1.0  mm²</v>
      </c>
      <c r="F153" s="142" t="s">
        <v>260</v>
      </c>
      <c r="G153" s="142" t="str">
        <f>Query!E154</f>
        <v>30</v>
      </c>
      <c r="H153" s="146" t="str">
        <f>Query!F154</f>
        <v>B1-TCS-1301B-XD22</v>
      </c>
      <c r="I153" s="142" t="str">
        <f>Query!G154</f>
        <v>TCS I/O and marshaling cabinet</v>
      </c>
      <c r="J153" s="142" t="s">
        <v>2851</v>
      </c>
      <c r="K153" s="146" t="s">
        <v>2853</v>
      </c>
      <c r="L153" s="146" t="s">
        <v>2853</v>
      </c>
      <c r="M153" s="142" t="s">
        <v>2851</v>
      </c>
      <c r="N153" s="128"/>
      <c r="O153" s="142" t="str">
        <f>Query!O154</f>
        <v>DSPW/SUPP.FI</v>
      </c>
    </row>
    <row r="154" spans="1:15" ht="26.25" customHeight="1">
      <c r="A154" s="142" t="str">
        <f>Query!A155</f>
        <v>20152</v>
      </c>
      <c r="B154" s="142" t="str">
        <f>MID(Query!B155,1,2)</f>
        <v>B1</v>
      </c>
      <c r="C154" s="144" t="str">
        <f>MID(Query!B155,4,50)</f>
        <v>TCS-1301B-C4040</v>
      </c>
      <c r="D154" s="142" t="str">
        <f>Query!C155</f>
        <v>Cu</v>
      </c>
      <c r="E154" s="142" t="str">
        <f>Query!D155</f>
        <v>2 x 2.5  mm²</v>
      </c>
      <c r="F154" s="142" t="s">
        <v>260</v>
      </c>
      <c r="G154" s="142" t="str">
        <f>Query!E155</f>
        <v>100</v>
      </c>
      <c r="H154" s="146" t="str">
        <f>Query!F155</f>
        <v>B1-TCS-1301B-XD34</v>
      </c>
      <c r="I154" s="142" t="str">
        <f>Query!G155</f>
        <v>TCS I/O and marshaling cabinet</v>
      </c>
      <c r="J154" s="142" t="s">
        <v>2851</v>
      </c>
      <c r="K154" s="146" t="str">
        <f>Query!K155</f>
        <v>B1-XV-13604 X42</v>
      </c>
      <c r="L154" s="142" t="str">
        <f>Query!L155</f>
        <v>EADSF GLAND TO TG</v>
      </c>
      <c r="M154" s="142" t="s">
        <v>2852</v>
      </c>
      <c r="N154" s="128"/>
      <c r="O154" s="142" t="str">
        <f>Query!O155</f>
        <v>DSPW/SUPP.FI</v>
      </c>
    </row>
    <row r="155" spans="1:15" ht="26.25" customHeight="1">
      <c r="A155" s="142" t="str">
        <f>Query!A156</f>
        <v>20153</v>
      </c>
      <c r="B155" s="142" t="str">
        <f>MID(Query!B156,1,2)</f>
        <v>B1</v>
      </c>
      <c r="C155" s="144" t="str">
        <f>MID(Query!B156,4,50)</f>
        <v>TCS-1301B-C4041</v>
      </c>
      <c r="D155" s="142" t="str">
        <f>Query!C156</f>
        <v>Cu</v>
      </c>
      <c r="E155" s="142" t="str">
        <f>Query!D156</f>
        <v>2 x 2.5  mm²</v>
      </c>
      <c r="F155" s="142" t="s">
        <v>260</v>
      </c>
      <c r="G155" s="142" t="str">
        <f>Query!E156</f>
        <v>100</v>
      </c>
      <c r="H155" s="146" t="str">
        <f>Query!F156</f>
        <v>B1-TCS-1301B-XD34</v>
      </c>
      <c r="I155" s="142" t="str">
        <f>Query!G156</f>
        <v>TCS I/O and marshaling cabinet</v>
      </c>
      <c r="J155" s="142" t="s">
        <v>2851</v>
      </c>
      <c r="K155" s="146" t="str">
        <f>Query!K156</f>
        <v>B1-XV-13609 X42</v>
      </c>
      <c r="L155" s="142" t="str">
        <f>Query!L156</f>
        <v>EADSF GLAND TO FLT</v>
      </c>
      <c r="M155" s="142" t="s">
        <v>2852</v>
      </c>
      <c r="N155" s="128"/>
      <c r="O155" s="142" t="str">
        <f>Query!O156</f>
        <v>DSPW/SUPP.FI</v>
      </c>
    </row>
    <row r="156" spans="1:15" ht="26.25" customHeight="1">
      <c r="A156" s="142" t="str">
        <f>Query!A157</f>
        <v>20154</v>
      </c>
      <c r="B156" s="142" t="str">
        <f>MID(Query!B157,1,2)</f>
        <v>B1</v>
      </c>
      <c r="C156" s="144" t="str">
        <f>MID(Query!B157,4,50)</f>
        <v>TCS-1301B-C4042</v>
      </c>
      <c r="D156" s="142" t="str">
        <f>Query!C157</f>
        <v>Cu</v>
      </c>
      <c r="E156" s="142" t="str">
        <f>Query!D157</f>
        <v>2 x 2.5  mm²</v>
      </c>
      <c r="F156" s="142" t="s">
        <v>260</v>
      </c>
      <c r="G156" s="142" t="str">
        <f>Query!E157</f>
        <v>100</v>
      </c>
      <c r="H156" s="146" t="str">
        <f>Query!F157</f>
        <v>B1-TCS-1301B-XD34</v>
      </c>
      <c r="I156" s="142" t="str">
        <f>Query!G157</f>
        <v>TCS I/O and marshaling cabinet</v>
      </c>
      <c r="J156" s="142" t="s">
        <v>2851</v>
      </c>
      <c r="K156" s="146" t="str">
        <f>Query!K157</f>
        <v>B1-XV-13784 X42</v>
      </c>
      <c r="L156" s="142" t="str">
        <f>Query!L157</f>
        <v>EADSV SPRAY FLT.</v>
      </c>
      <c r="M156" s="142" t="s">
        <v>2852</v>
      </c>
      <c r="N156" s="128"/>
      <c r="O156" s="142" t="str">
        <f>Query!O157</f>
        <v>DSPW/SUPP.FI</v>
      </c>
    </row>
    <row r="157" spans="1:15" ht="26.25" customHeight="1">
      <c r="A157" s="142" t="str">
        <f>Query!A158</f>
        <v>20155</v>
      </c>
      <c r="B157" s="142" t="str">
        <f>MID(Query!B158,1,2)</f>
        <v>B1</v>
      </c>
      <c r="C157" s="144" t="str">
        <f>MID(Query!B158,4,50)</f>
        <v>TCS-1301B-C4043</v>
      </c>
      <c r="D157" s="142" t="str">
        <f>Query!C158</f>
        <v>Cu</v>
      </c>
      <c r="E157" s="142" t="str">
        <f>Query!D158</f>
        <v>2 x 2.5  mm²</v>
      </c>
      <c r="F157" s="142" t="s">
        <v>260</v>
      </c>
      <c r="G157" s="142" t="str">
        <f>Query!E158</f>
        <v>100</v>
      </c>
      <c r="H157" s="146" t="str">
        <f>Query!F158</f>
        <v>B1-TCS-1301B-XD34</v>
      </c>
      <c r="I157" s="142" t="str">
        <f>Query!G158</f>
        <v>TCS I/O and marshaling cabinet</v>
      </c>
      <c r="J157" s="142" t="s">
        <v>2851</v>
      </c>
      <c r="K157" s="146" t="str">
        <f>Query!K158</f>
        <v>B1-XV-13794 X42</v>
      </c>
      <c r="L157" s="142" t="str">
        <f>Query!L158</f>
        <v>EADSV SPRAY FLT.</v>
      </c>
      <c r="M157" s="142" t="s">
        <v>2852</v>
      </c>
      <c r="N157" s="128"/>
      <c r="O157" s="142" t="str">
        <f>Query!O158</f>
        <v>DSPW/SUPP.FI</v>
      </c>
    </row>
    <row r="158" spans="1:15" ht="26.25" customHeight="1">
      <c r="A158" s="142" t="str">
        <f>Query!A159</f>
        <v>20156</v>
      </c>
      <c r="B158" s="142" t="str">
        <f>MID(Query!B159,1,2)</f>
        <v>B1</v>
      </c>
      <c r="C158" s="144" t="str">
        <f>MID(Query!B159,4,50)</f>
        <v>TCS-1301B-C4060</v>
      </c>
      <c r="D158" s="142" t="str">
        <f>Query!C159</f>
        <v>FR-CVV-AMS-I/C</v>
      </c>
      <c r="E158" s="142" t="str">
        <f>Query!D159</f>
        <v>8 x 2 x 1  mm²</v>
      </c>
      <c r="F158" s="142" t="s">
        <v>260</v>
      </c>
      <c r="G158" s="142" t="str">
        <f>Query!E159</f>
        <v>100</v>
      </c>
      <c r="H158" s="146" t="str">
        <f>Query!F159</f>
        <v>B1-TCS-1301B-XD32</v>
      </c>
      <c r="I158" s="142" t="str">
        <f>Query!G159</f>
        <v>TCS I/O and marshaling cabinet</v>
      </c>
      <c r="J158" s="142" t="s">
        <v>2851</v>
      </c>
      <c r="K158" s="146" t="str">
        <f>Query!K159</f>
        <v>B1-P-13502A-MCC</v>
      </c>
      <c r="L158" s="142" t="str">
        <f>Query!L159</f>
        <v>MOTOR FLASH TANK PUMP 1</v>
      </c>
      <c r="M158" s="142" t="s">
        <v>2851</v>
      </c>
      <c r="N158" s="128"/>
      <c r="O158" s="142" t="str">
        <f>Query!O159</f>
        <v>CLIENT</v>
      </c>
    </row>
    <row r="159" spans="1:15" ht="26.25" customHeight="1">
      <c r="A159" s="142" t="str">
        <f>Query!A160</f>
        <v>20157</v>
      </c>
      <c r="B159" s="142" t="str">
        <f>MID(Query!B160,1,2)</f>
        <v>B1</v>
      </c>
      <c r="C159" s="144" t="str">
        <f>MID(Query!B160,4,50)</f>
        <v>TCS-1301B-C4061</v>
      </c>
      <c r="D159" s="142" t="str">
        <f>Query!C160</f>
        <v>FR-CVV-AMS-I/C</v>
      </c>
      <c r="E159" s="142" t="str">
        <f>Query!D160</f>
        <v>8 x 2 x 1  mm²</v>
      </c>
      <c r="F159" s="142" t="s">
        <v>260</v>
      </c>
      <c r="G159" s="142" t="str">
        <f>Query!E160</f>
        <v>100</v>
      </c>
      <c r="H159" s="146" t="str">
        <f>Query!F160</f>
        <v>B1-TCS-1301B-XD32</v>
      </c>
      <c r="I159" s="142" t="str">
        <f>Query!G160</f>
        <v>TCS I/O and marshaling cabinet</v>
      </c>
      <c r="J159" s="142" t="s">
        <v>2851</v>
      </c>
      <c r="K159" s="146" t="str">
        <f>Query!K160</f>
        <v>B1-P-13502B-MCC</v>
      </c>
      <c r="L159" s="142" t="str">
        <f>Query!L160</f>
        <v>MOTOR FLASH TANK PUMP 2</v>
      </c>
      <c r="M159" s="142" t="s">
        <v>2851</v>
      </c>
      <c r="N159" s="128"/>
      <c r="O159" s="142" t="str">
        <f>Query!O160</f>
        <v>CLIENT</v>
      </c>
    </row>
    <row r="160" spans="1:15" ht="26.25" customHeight="1">
      <c r="A160" s="142" t="str">
        <f>Query!A161</f>
        <v>20158</v>
      </c>
      <c r="B160" s="142" t="str">
        <f>MID(Query!B161,1,2)</f>
        <v>B1</v>
      </c>
      <c r="C160" s="144" t="str">
        <f>MID(Query!B161,4,50)</f>
        <v>TCS-1301B-C4062</v>
      </c>
      <c r="D160" s="142" t="str">
        <f>Query!C161</f>
        <v>1- C5XFE-R /ST/</v>
      </c>
      <c r="E160" s="142" t="str">
        <f>Query!D161</f>
        <v>2 x 2 x 1.0  mm²</v>
      </c>
      <c r="F160" s="142" t="s">
        <v>260</v>
      </c>
      <c r="G160" s="142" t="str">
        <f>Query!E161</f>
        <v>100</v>
      </c>
      <c r="H160" s="146" t="str">
        <f>Query!F161</f>
        <v>B1-TCS-1301B-XD32</v>
      </c>
      <c r="I160" s="142" t="str">
        <f>Query!G161</f>
        <v>TCS I/O and marshaling cabinet</v>
      </c>
      <c r="J160" s="142" t="s">
        <v>2851</v>
      </c>
      <c r="K160" s="146" t="str">
        <f>Query!K161</f>
        <v>B1-LCV-13501-MCC</v>
      </c>
      <c r="L160" s="142" t="str">
        <f>Query!L161</f>
        <v>EDCV COND.MINIMAL FROM FLT TO COND.</v>
      </c>
      <c r="M160" s="142" t="s">
        <v>2851</v>
      </c>
      <c r="N160" s="128"/>
      <c r="O160" s="142" t="str">
        <f>Query!O161</f>
        <v>CLIENT</v>
      </c>
    </row>
    <row r="161" spans="1:15" ht="26.25" customHeight="1">
      <c r="A161" s="142" t="str">
        <f>Query!A162</f>
        <v>20159</v>
      </c>
      <c r="B161" s="142" t="str">
        <f>MID(Query!B162,1,2)</f>
        <v>B1</v>
      </c>
      <c r="C161" s="144" t="str">
        <f>MID(Query!B162,4,50)</f>
        <v>TCS-1301B-C4063</v>
      </c>
      <c r="D161" s="142" t="str">
        <f>Query!C162</f>
        <v>1- C5XFE-R /ST/</v>
      </c>
      <c r="E161" s="142" t="str">
        <f>Query!D162</f>
        <v>2 x 2 x 1.0  mm²</v>
      </c>
      <c r="F161" s="142" t="s">
        <v>260</v>
      </c>
      <c r="G161" s="142" t="str">
        <f>Query!E162</f>
        <v>100</v>
      </c>
      <c r="H161" s="146" t="str">
        <f>Query!F162</f>
        <v>B1-TCS-1301B-XD32</v>
      </c>
      <c r="I161" s="142" t="str">
        <f>Query!G162</f>
        <v>TCS I/O and marshaling cabinet</v>
      </c>
      <c r="J161" s="142" t="s">
        <v>2851</v>
      </c>
      <c r="K161" s="146" t="str">
        <f>Query!K162</f>
        <v>B1-MOV-13772-MCC</v>
      </c>
      <c r="L161" s="142" t="str">
        <f>Query!L162</f>
        <v>EDSV SPRAY.1 STG OUTLET</v>
      </c>
      <c r="M161" s="142" t="s">
        <v>2851</v>
      </c>
      <c r="N161" s="128"/>
      <c r="O161" s="142" t="str">
        <f>Query!O162</f>
        <v>CLIENT</v>
      </c>
    </row>
    <row r="162" spans="1:15" ht="26.25" customHeight="1">
      <c r="A162" s="142" t="str">
        <f>Query!A163</f>
        <v>20160</v>
      </c>
      <c r="B162" s="142" t="str">
        <f>MID(Query!B163,1,2)</f>
        <v>B1</v>
      </c>
      <c r="C162" s="144" t="str">
        <f>MID(Query!B163,4,50)</f>
        <v>TCS-1301B-C4064</v>
      </c>
      <c r="D162" s="142" t="str">
        <f>Query!C163</f>
        <v>1- C5XFE-R /ST/</v>
      </c>
      <c r="E162" s="142" t="str">
        <f>Query!D163</f>
        <v>2 x 2 x 1.0  mm²</v>
      </c>
      <c r="F162" s="142" t="s">
        <v>260</v>
      </c>
      <c r="G162" s="142" t="str">
        <f>Query!E163</f>
        <v>100</v>
      </c>
      <c r="H162" s="146" t="str">
        <f>Query!F163</f>
        <v>B1-TCS-1301B-XD32</v>
      </c>
      <c r="I162" s="142" t="str">
        <f>Query!G163</f>
        <v>TCS I/O and marshaling cabinet</v>
      </c>
      <c r="J162" s="142" t="s">
        <v>2851</v>
      </c>
      <c r="K162" s="146" t="str">
        <f>Query!K163</f>
        <v>B1-MOV-13777-MCC</v>
      </c>
      <c r="L162" s="142" t="str">
        <f>Query!L163</f>
        <v>EDSV SPRAY.2 STG OUTLET</v>
      </c>
      <c r="M162" s="142" t="s">
        <v>2851</v>
      </c>
      <c r="N162" s="128"/>
      <c r="O162" s="142" t="str">
        <f>Query!O163</f>
        <v>CLIENT</v>
      </c>
    </row>
    <row r="163" spans="1:15" ht="26.25" customHeight="1">
      <c r="A163" s="142" t="str">
        <f>Query!A164</f>
        <v>20161</v>
      </c>
      <c r="B163" s="142" t="str">
        <f>MID(Query!B164,1,2)</f>
        <v>B1</v>
      </c>
      <c r="C163" s="144" t="str">
        <f>MID(Query!B164,4,50)</f>
        <v>TCS-1301B-C4065</v>
      </c>
      <c r="D163" s="142" t="str">
        <f>Query!C164</f>
        <v>1- C5XFE-R /ST/</v>
      </c>
      <c r="E163" s="142" t="str">
        <f>Query!D164</f>
        <v>2 x 2 x 1.0  mm²</v>
      </c>
      <c r="F163" s="142" t="s">
        <v>260</v>
      </c>
      <c r="G163" s="142" t="str">
        <f>Query!E164</f>
        <v>100</v>
      </c>
      <c r="H163" s="146" t="str">
        <f>Query!F164</f>
        <v>B1-TCS-1301B-XD32</v>
      </c>
      <c r="I163" s="142" t="str">
        <f>Query!G164</f>
        <v>TCS I/O and marshaling cabinet</v>
      </c>
      <c r="J163" s="142" t="s">
        <v>2851</v>
      </c>
      <c r="K163" s="146" t="str">
        <f>Query!K164</f>
        <v>B1-PCV-13531-MCC</v>
      </c>
      <c r="L163" s="142" t="str">
        <f>Query!L164</f>
        <v>EDCV SPRAY.FLT</v>
      </c>
      <c r="M163" s="142" t="s">
        <v>2851</v>
      </c>
      <c r="N163" s="128"/>
      <c r="O163" s="142" t="str">
        <f>Query!O164</f>
        <v>CLIENT</v>
      </c>
    </row>
    <row r="164" spans="1:15" ht="26.25" customHeight="1">
      <c r="A164" s="142" t="str">
        <f>Query!A165</f>
        <v>20162</v>
      </c>
      <c r="B164" s="142" t="str">
        <f>MID(Query!B165,1,2)</f>
        <v>B1</v>
      </c>
      <c r="C164" s="144" t="str">
        <f>MID(Query!B165,4,50)</f>
        <v>TCS-1301B-C4066</v>
      </c>
      <c r="D164" s="142" t="str">
        <f>Query!C165</f>
        <v>1- C5XFE-R /ST/</v>
      </c>
      <c r="E164" s="142" t="str">
        <f>Query!D165</f>
        <v>2 x 2 x 1.0  mm²</v>
      </c>
      <c r="F164" s="142" t="s">
        <v>260</v>
      </c>
      <c r="G164" s="142" t="str">
        <f>Query!E165</f>
        <v>100</v>
      </c>
      <c r="H164" s="146" t="str">
        <f>Query!F165</f>
        <v>B1-TCS-1301B-XD32</v>
      </c>
      <c r="I164" s="142" t="str">
        <f>Query!G165</f>
        <v>TCS I/O and marshaling cabinet</v>
      </c>
      <c r="J164" s="142" t="s">
        <v>2851</v>
      </c>
      <c r="K164" s="146" t="str">
        <f>Query!K165</f>
        <v>B1-PCV-13601-MCC</v>
      </c>
      <c r="L164" s="142" t="str">
        <f>Query!L165</f>
        <v>EDCV INNER GLD.STEAM</v>
      </c>
      <c r="M164" s="142" t="s">
        <v>2851</v>
      </c>
      <c r="N164" s="128"/>
      <c r="O164" s="142" t="str">
        <f>Query!O165</f>
        <v>CLIENT</v>
      </c>
    </row>
    <row r="165" spans="1:15" ht="26.25" customHeight="1">
      <c r="A165" s="142" t="str">
        <f>Query!A166</f>
        <v>20163</v>
      </c>
      <c r="B165" s="142" t="str">
        <f>MID(Query!B166,1,2)</f>
        <v>B1</v>
      </c>
      <c r="C165" s="144" t="str">
        <f>MID(Query!B166,4,50)</f>
        <v>TCS-1301B-C4067</v>
      </c>
      <c r="D165" s="142" t="str">
        <f>Query!C166</f>
        <v>1- C5XFE-R /ST/</v>
      </c>
      <c r="E165" s="142" t="str">
        <f>Query!D166</f>
        <v>2 x 2 x 1.0  mm²</v>
      </c>
      <c r="F165" s="142" t="s">
        <v>260</v>
      </c>
      <c r="G165" s="142" t="str">
        <f>Query!E166</f>
        <v>100</v>
      </c>
      <c r="H165" s="146" t="str">
        <f>Query!F166</f>
        <v>B1-TCS-1301B-XD32</v>
      </c>
      <c r="I165" s="142" t="str">
        <f>Query!G166</f>
        <v>TCS I/O and marshaling cabinet</v>
      </c>
      <c r="J165" s="142" t="s">
        <v>2851</v>
      </c>
      <c r="K165" s="146" t="str">
        <f>Query!K166</f>
        <v>B1-PCV-13651-MCC</v>
      </c>
      <c r="L165" s="142" t="str">
        <f>Query!L166</f>
        <v>EDCV REAR GLAND TO FLT</v>
      </c>
      <c r="M165" s="142" t="s">
        <v>2851</v>
      </c>
      <c r="N165" s="128"/>
      <c r="O165" s="142" t="str">
        <f>Query!O166</f>
        <v>CLIENT</v>
      </c>
    </row>
    <row r="166" spans="1:15" ht="26.25" customHeight="1">
      <c r="A166" s="142" t="str">
        <f>Query!A167</f>
        <v>20164</v>
      </c>
      <c r="B166" s="142" t="str">
        <f>MID(Query!B167,1,2)</f>
        <v>B1</v>
      </c>
      <c r="C166" s="144" t="str">
        <f>MID(Query!B167,4,50)</f>
        <v>TCS-1301B-C4068</v>
      </c>
      <c r="D166" s="142" t="str">
        <f>Query!C167</f>
        <v>1- C5XFE-R /ST/</v>
      </c>
      <c r="E166" s="142" t="str">
        <f>Query!D167</f>
        <v>2 x 2 x 1.0  mm²</v>
      </c>
      <c r="F166" s="142" t="s">
        <v>260</v>
      </c>
      <c r="G166" s="142" t="str">
        <f>Query!E167</f>
        <v>100</v>
      </c>
      <c r="H166" s="146" t="str">
        <f>Query!F167</f>
        <v>B1-TCS-1301B-XD32</v>
      </c>
      <c r="I166" s="142" t="str">
        <f>Query!G167</f>
        <v>TCS I/O and marshaling cabinet</v>
      </c>
      <c r="J166" s="142" t="s">
        <v>2851</v>
      </c>
      <c r="K166" s="146" t="str">
        <f>Query!K167</f>
        <v>B1-PCV-13659-MCC</v>
      </c>
      <c r="L166" s="142" t="str">
        <f>Query!L167</f>
        <v>EDCV SEALING GLAND</v>
      </c>
      <c r="M166" s="142" t="s">
        <v>2851</v>
      </c>
      <c r="N166" s="128"/>
      <c r="O166" s="142" t="str">
        <f>Query!O167</f>
        <v>CLIENT</v>
      </c>
    </row>
    <row r="167" spans="1:15" ht="26.25" customHeight="1">
      <c r="A167" s="142" t="str">
        <f>Query!A168</f>
        <v>20165</v>
      </c>
      <c r="B167" s="142" t="str">
        <f>MID(Query!B168,1,2)</f>
        <v>B1</v>
      </c>
      <c r="C167" s="144" t="str">
        <f>MID(Query!B168,4,50)</f>
        <v>TCS-1301B-I6001</v>
      </c>
      <c r="D167" s="142" t="str">
        <f>Query!C168</f>
        <v>1- C5XFE-R /ST/</v>
      </c>
      <c r="E167" s="142" t="str">
        <f>Query!D168</f>
        <v>10 x 2 x 1.0  mm²</v>
      </c>
      <c r="F167" s="142" t="s">
        <v>385</v>
      </c>
      <c r="G167" s="142" t="str">
        <f>Query!E168</f>
        <v>200</v>
      </c>
      <c r="H167" s="146" t="str">
        <f>Query!F168</f>
        <v>B1-TCS-1301B-XA10</v>
      </c>
      <c r="I167" s="142" t="str">
        <f>Query!G168</f>
        <v>TCS I/O and marshaling cabinet</v>
      </c>
      <c r="J167" s="142" t="s">
        <v>2851</v>
      </c>
      <c r="K167" s="146" t="str">
        <f>Query!K168</f>
        <v>B1JBA-1305-U11</v>
      </c>
      <c r="L167" s="142" t="str">
        <f>Query!L168</f>
        <v>Junction box FI</v>
      </c>
      <c r="M167" s="142" t="s">
        <v>2852</v>
      </c>
      <c r="N167" s="128"/>
      <c r="O167" s="142" t="str">
        <f>Query!O168</f>
        <v>DSPW/SUPP.FI</v>
      </c>
    </row>
    <row r="168" spans="1:15" ht="26.25" customHeight="1">
      <c r="A168" s="142" t="str">
        <f>Query!A169</f>
        <v>20166</v>
      </c>
      <c r="B168" s="142" t="str">
        <f>MID(Query!B169,1,2)</f>
        <v>B1</v>
      </c>
      <c r="C168" s="144" t="str">
        <f>MID(Query!B169,4,50)</f>
        <v>TCS-1301B-I6002</v>
      </c>
      <c r="D168" s="142" t="str">
        <f>Query!C169</f>
        <v>1- C5XFE-R /ST/</v>
      </c>
      <c r="E168" s="142" t="str">
        <f>Query!D169</f>
        <v>5 x 2 x 1.0  mm²</v>
      </c>
      <c r="F168" s="142" t="s">
        <v>385</v>
      </c>
      <c r="G168" s="142" t="str">
        <f>Query!E169</f>
        <v>200</v>
      </c>
      <c r="H168" s="146" t="str">
        <f>Query!F169</f>
        <v>B1-TCS-1301B-XA10</v>
      </c>
      <c r="I168" s="142" t="str">
        <f>Query!G169</f>
        <v>TCS I/O and marshaling cabinet</v>
      </c>
      <c r="J168" s="142" t="s">
        <v>2851</v>
      </c>
      <c r="K168" s="146" t="str">
        <f>Query!K169</f>
        <v>B1JBAY-1302-X01</v>
      </c>
      <c r="L168" s="142" t="str">
        <f>Query!L169</f>
        <v>Junction box FI</v>
      </c>
      <c r="M168" s="142" t="s">
        <v>2852</v>
      </c>
      <c r="N168" s="128"/>
      <c r="O168" s="142" t="str">
        <f>Query!O169</f>
        <v>DSPW/SUPP.FI</v>
      </c>
    </row>
    <row r="169" spans="1:15" ht="26.25" customHeight="1">
      <c r="A169" s="142" t="str">
        <f>Query!A170</f>
        <v>20167</v>
      </c>
      <c r="B169" s="142" t="str">
        <f>MID(Query!B170,1,2)</f>
        <v>B1</v>
      </c>
      <c r="C169" s="144" t="str">
        <f>MID(Query!B170,4,50)</f>
        <v>TCS-1301B-I6003</v>
      </c>
      <c r="D169" s="142" t="str">
        <f>Query!C170</f>
        <v>1- C5XFE-R /ST/</v>
      </c>
      <c r="E169" s="142" t="str">
        <f>Query!D170</f>
        <v>5 x 2 x 1.0  mm²</v>
      </c>
      <c r="F169" s="142" t="s">
        <v>385</v>
      </c>
      <c r="G169" s="142" t="str">
        <f>Query!E170</f>
        <v>200</v>
      </c>
      <c r="H169" s="146" t="str">
        <f>Query!F170</f>
        <v>B1-TCS-1301B-XA10</v>
      </c>
      <c r="I169" s="142" t="str">
        <f>Query!G170</f>
        <v>TCS I/O and marshaling cabinet</v>
      </c>
      <c r="J169" s="142" t="s">
        <v>2851</v>
      </c>
      <c r="K169" s="146" t="str">
        <f>Query!K170</f>
        <v>B1JBAY-1302-X02</v>
      </c>
      <c r="L169" s="142" t="str">
        <f>Query!L170</f>
        <v>Junction box FI</v>
      </c>
      <c r="M169" s="142" t="s">
        <v>2852</v>
      </c>
      <c r="N169" s="128"/>
      <c r="O169" s="142" t="str">
        <f>Query!O170</f>
        <v>DSPW/SUPP.FI</v>
      </c>
    </row>
    <row r="170" spans="1:15" ht="26.25" customHeight="1">
      <c r="A170" s="142" t="str">
        <f>Query!A171</f>
        <v>20168</v>
      </c>
      <c r="B170" s="142" t="str">
        <f>MID(Query!B171,1,2)</f>
        <v>B1</v>
      </c>
      <c r="C170" s="144" t="str">
        <f>MID(Query!B171,4,50)</f>
        <v>TCS-1301B-I6004</v>
      </c>
      <c r="D170" s="142" t="str">
        <f>Query!C171</f>
        <v>1- C5XFE-R /ST/</v>
      </c>
      <c r="E170" s="142" t="str">
        <f>Query!D171</f>
        <v>10 x 2 x 1.0  mm²</v>
      </c>
      <c r="F170" s="142" t="s">
        <v>385</v>
      </c>
      <c r="G170" s="142" t="str">
        <f>Query!E171</f>
        <v>200</v>
      </c>
      <c r="H170" s="146" t="str">
        <f>Query!F171</f>
        <v>B1-TCS-1301B-XA10</v>
      </c>
      <c r="I170" s="142" t="str">
        <f>Query!G171</f>
        <v>TCS I/O and marshaling cabinet</v>
      </c>
      <c r="J170" s="142" t="s">
        <v>2851</v>
      </c>
      <c r="K170" s="146" t="str">
        <f>Query!K171</f>
        <v>B1JBAY-1302-X03</v>
      </c>
      <c r="L170" s="142" t="str">
        <f>Query!L171</f>
        <v>Junction box FI</v>
      </c>
      <c r="M170" s="142" t="s">
        <v>2852</v>
      </c>
      <c r="N170" s="128"/>
      <c r="O170" s="142" t="str">
        <f>Query!O171</f>
        <v>DSPW/SUPP.FI</v>
      </c>
    </row>
    <row r="171" spans="1:15" ht="26.25" customHeight="1">
      <c r="A171" s="142" t="str">
        <f>Query!A172</f>
        <v>20169</v>
      </c>
      <c r="B171" s="142" t="str">
        <f>MID(Query!B172,1,2)</f>
        <v>B1</v>
      </c>
      <c r="C171" s="144" t="str">
        <f>MID(Query!B172,4,50)</f>
        <v>TCS-1301B-I6005</v>
      </c>
      <c r="D171" s="142" t="str">
        <f>Query!C172</f>
        <v>1- C5XFE-R /ST/</v>
      </c>
      <c r="E171" s="142" t="str">
        <f>Query!D172</f>
        <v>10 x 2 x 1.0  mm²</v>
      </c>
      <c r="F171" s="142" t="s">
        <v>385</v>
      </c>
      <c r="G171" s="142" t="str">
        <f>Query!E172</f>
        <v>100</v>
      </c>
      <c r="H171" s="146" t="str">
        <f>Query!F172</f>
        <v>B1-TCS-1301B-XA10</v>
      </c>
      <c r="I171" s="142" t="str">
        <f>Query!G172</f>
        <v>TCS I/O and marshaling cabinet</v>
      </c>
      <c r="J171" s="142" t="s">
        <v>2851</v>
      </c>
      <c r="K171" s="146" t="str">
        <f>Query!K172</f>
        <v>B1JBAY-1301-X01</v>
      </c>
      <c r="L171" s="142" t="str">
        <f>Query!L172</f>
        <v>Junction box FI</v>
      </c>
      <c r="M171" s="142" t="s">
        <v>2852</v>
      </c>
      <c r="N171" s="128"/>
      <c r="O171" s="142" t="str">
        <f>Query!O172</f>
        <v>DSPW/SUPP.FI</v>
      </c>
    </row>
    <row r="172" spans="1:15" ht="26.25" customHeight="1">
      <c r="A172" s="142" t="str">
        <f>Query!A173</f>
        <v>20170</v>
      </c>
      <c r="B172" s="142" t="str">
        <f>MID(Query!B173,1,2)</f>
        <v>B1</v>
      </c>
      <c r="C172" s="144" t="str">
        <f>MID(Query!B173,4,50)</f>
        <v>TCS-1301B-I6006</v>
      </c>
      <c r="D172" s="142" t="str">
        <f>Query!C173</f>
        <v>1- C5XFE-R /ST/</v>
      </c>
      <c r="E172" s="142" t="str">
        <f>Query!D173</f>
        <v>10 x 2 x 1.0  mm²</v>
      </c>
      <c r="F172" s="142" t="s">
        <v>385</v>
      </c>
      <c r="G172" s="142" t="str">
        <f>Query!E173</f>
        <v>200</v>
      </c>
      <c r="H172" s="146" t="str">
        <f>Query!F173</f>
        <v>B1-TCS-1301B-XA10</v>
      </c>
      <c r="I172" s="142" t="str">
        <f>Query!G173</f>
        <v>TCS I/O and marshaling cabinet</v>
      </c>
      <c r="J172" s="142" t="s">
        <v>2851</v>
      </c>
      <c r="K172" s="146" t="str">
        <f>Query!K173</f>
        <v>B1JBAY-1301-X02</v>
      </c>
      <c r="L172" s="142" t="str">
        <f>Query!L173</f>
        <v>Junction box FI</v>
      </c>
      <c r="M172" s="142" t="s">
        <v>2852</v>
      </c>
      <c r="N172" s="128"/>
      <c r="O172" s="142" t="str">
        <f>Query!O173</f>
        <v>DSPW/SUPP.FI</v>
      </c>
    </row>
    <row r="173" spans="1:15" ht="26.25" customHeight="1">
      <c r="A173" s="142" t="str">
        <f>Query!A174</f>
        <v>20171</v>
      </c>
      <c r="B173" s="142" t="str">
        <f>MID(Query!B174,1,2)</f>
        <v>B1</v>
      </c>
      <c r="C173" s="144" t="str">
        <f>MID(Query!B174,4,50)</f>
        <v>TCS-1301B-I6007</v>
      </c>
      <c r="D173" s="142" t="str">
        <f>Query!C174</f>
        <v>1- C5XFE-R /ST/</v>
      </c>
      <c r="E173" s="142" t="str">
        <f>Query!D174</f>
        <v>5 x 2 x 1.0  mm²</v>
      </c>
      <c r="F173" s="142" t="s">
        <v>385</v>
      </c>
      <c r="G173" s="142" t="str">
        <f>Query!E174</f>
        <v>200</v>
      </c>
      <c r="H173" s="146" t="str">
        <f>Query!F174</f>
        <v>B1-TCS-1301B-XA10</v>
      </c>
      <c r="I173" s="142" t="str">
        <f>Query!G174</f>
        <v>TCS I/O and marshaling cabinet</v>
      </c>
      <c r="J173" s="142" t="s">
        <v>2851</v>
      </c>
      <c r="K173" s="146" t="str">
        <f>Query!K174</f>
        <v>B1JBAY-1304-U01</v>
      </c>
      <c r="L173" s="142" t="str">
        <f>Query!L174</f>
        <v>Junction box FI</v>
      </c>
      <c r="M173" s="142" t="s">
        <v>2852</v>
      </c>
      <c r="N173" s="128"/>
      <c r="O173" s="142" t="str">
        <f>Query!O174</f>
        <v>DSPW/SUPP.FI</v>
      </c>
    </row>
    <row r="174" spans="1:15" ht="26.25" customHeight="1">
      <c r="A174" s="142" t="str">
        <f>Query!A175</f>
        <v>20172</v>
      </c>
      <c r="B174" s="142" t="str">
        <f>MID(Query!B175,1,2)</f>
        <v>B1</v>
      </c>
      <c r="C174" s="144" t="str">
        <f>MID(Query!B175,4,50)</f>
        <v>TCS-1301B-I6008</v>
      </c>
      <c r="D174" s="142" t="str">
        <f>Query!C175</f>
        <v>1- C5XFE-R /ST/</v>
      </c>
      <c r="E174" s="142" t="str">
        <f>Query!D175</f>
        <v>5 x 2 x 1.0  mm²</v>
      </c>
      <c r="F174" s="142" t="s">
        <v>385</v>
      </c>
      <c r="G174" s="142" t="str">
        <f>Query!E175</f>
        <v>200</v>
      </c>
      <c r="H174" s="146" t="str">
        <f>Query!F175</f>
        <v>B1-TCS-1301B-XA10</v>
      </c>
      <c r="I174" s="142" t="str">
        <f>Query!G175</f>
        <v>TCS I/O and marshaling cabinet</v>
      </c>
      <c r="J174" s="142" t="s">
        <v>2851</v>
      </c>
      <c r="K174" s="146" t="str">
        <f>Query!K175</f>
        <v>B1JBAY-1304-U11</v>
      </c>
      <c r="L174" s="142" t="str">
        <f>Query!L175</f>
        <v>Junction box FI</v>
      </c>
      <c r="M174" s="142" t="s">
        <v>2852</v>
      </c>
      <c r="N174" s="128"/>
      <c r="O174" s="142" t="str">
        <f>Query!O175</f>
        <v>DSPW/SUPP.FI</v>
      </c>
    </row>
    <row r="175" spans="1:15" ht="26.25" customHeight="1">
      <c r="A175" s="142" t="str">
        <f>Query!A176</f>
        <v>20173</v>
      </c>
      <c r="B175" s="142" t="str">
        <f>MID(Query!B176,1,2)</f>
        <v>B1</v>
      </c>
      <c r="C175" s="144" t="str">
        <f>MID(Query!B176,4,50)</f>
        <v>TCS-1301B-I6009</v>
      </c>
      <c r="D175" s="142" t="str">
        <f>Query!C176</f>
        <v>1- C5XFE-R /ST/</v>
      </c>
      <c r="E175" s="142" t="str">
        <f>Query!D176</f>
        <v>5 x 2 x 1.0  mm²</v>
      </c>
      <c r="F175" s="142" t="s">
        <v>385</v>
      </c>
      <c r="G175" s="142" t="str">
        <f>Query!E176</f>
        <v>200</v>
      </c>
      <c r="H175" s="146" t="str">
        <f>Query!F176</f>
        <v>B1-TCS-1301B-XA10</v>
      </c>
      <c r="I175" s="142" t="str">
        <f>Query!G176</f>
        <v>TCS I/O and marshaling cabinet</v>
      </c>
      <c r="J175" s="142" t="s">
        <v>2851</v>
      </c>
      <c r="K175" s="146" t="str">
        <f>Query!K176</f>
        <v>B1JBAY-1304-U23</v>
      </c>
      <c r="L175" s="142" t="str">
        <f>Query!L176</f>
        <v>Junction box FI</v>
      </c>
      <c r="M175" s="142" t="s">
        <v>2852</v>
      </c>
      <c r="N175" s="128"/>
      <c r="O175" s="142" t="str">
        <f>Query!O176</f>
        <v>DSPW/SUPP.FI</v>
      </c>
    </row>
    <row r="176" spans="1:15" ht="26.25" customHeight="1">
      <c r="A176" s="142" t="str">
        <f>Query!A177</f>
        <v>20174</v>
      </c>
      <c r="B176" s="142" t="str">
        <f>MID(Query!B177,1,2)</f>
        <v>B1</v>
      </c>
      <c r="C176" s="144" t="str">
        <f>MID(Query!B177,4,50)</f>
        <v>TCS-1301B-I6010</v>
      </c>
      <c r="D176" s="142" t="str">
        <f>Query!C177</f>
        <v>1- C5XFE-R /ST/</v>
      </c>
      <c r="E176" s="142" t="str">
        <f>Query!D177</f>
        <v>5 x 2 x 1.0  mm²</v>
      </c>
      <c r="F176" s="142" t="s">
        <v>385</v>
      </c>
      <c r="G176" s="142" t="str">
        <f>Query!E177</f>
        <v>30</v>
      </c>
      <c r="H176" s="146" t="str">
        <f>Query!F177</f>
        <v>B1-TCS-1301B-XA10</v>
      </c>
      <c r="I176" s="142" t="str">
        <f>Query!G177</f>
        <v>TCS I/O and marshaling cabinet</v>
      </c>
      <c r="J176" s="142" t="s">
        <v>2851</v>
      </c>
      <c r="K176" s="146" t="str">
        <f>Query!K177</f>
        <v>B1-TCS-1321-X34</v>
      </c>
      <c r="L176" s="142" t="str">
        <f>Query!L177</f>
        <v>BOX OF VMS</v>
      </c>
      <c r="M176" s="142" t="s">
        <v>2851</v>
      </c>
      <c r="N176" s="128"/>
      <c r="O176" s="142" t="str">
        <f>Query!O177</f>
        <v>DSPW/SUPP.FI</v>
      </c>
    </row>
    <row r="177" spans="1:15" ht="26.25" customHeight="1">
      <c r="A177" s="142" t="str">
        <f>Query!A178</f>
        <v>20175</v>
      </c>
      <c r="B177" s="142" t="str">
        <f>MID(Query!B178,1,2)</f>
        <v>B1</v>
      </c>
      <c r="C177" s="144" t="str">
        <f>MID(Query!B178,4,50)</f>
        <v>TCS-1301B-I6011</v>
      </c>
      <c r="D177" s="142" t="str">
        <f>Query!C178</f>
        <v>1- C5XFE-R /ST/</v>
      </c>
      <c r="E177" s="142" t="str">
        <f>Query!D178</f>
        <v>10 x 2 x 1.0  mm²</v>
      </c>
      <c r="F177" s="142" t="s">
        <v>385</v>
      </c>
      <c r="G177" s="142" t="str">
        <f>Query!E178</f>
        <v>30</v>
      </c>
      <c r="H177" s="146" t="str">
        <f>Query!F178</f>
        <v>B1-TCS-1301B-XA20</v>
      </c>
      <c r="I177" s="142" t="str">
        <f>Query!G178</f>
        <v>TCS I/O and marshaling cabinet</v>
      </c>
      <c r="J177" s="142" t="s">
        <v>2851</v>
      </c>
      <c r="K177" s="146" t="s">
        <v>2853</v>
      </c>
      <c r="L177" s="146" t="s">
        <v>2853</v>
      </c>
      <c r="M177" s="142" t="s">
        <v>2851</v>
      </c>
      <c r="N177" s="128"/>
      <c r="O177" s="142" t="str">
        <f>Query!O178</f>
        <v>DSPW/SUPP.FI</v>
      </c>
    </row>
    <row r="178" spans="1:15" ht="26.25" customHeight="1">
      <c r="A178" s="142" t="str">
        <f>Query!A179</f>
        <v>20176</v>
      </c>
      <c r="B178" s="142" t="str">
        <f>MID(Query!B179,1,2)</f>
        <v>B1</v>
      </c>
      <c r="C178" s="144" t="str">
        <f>MID(Query!B179,4,50)</f>
        <v>TCS-1301B-I6012</v>
      </c>
      <c r="D178" s="142" t="str">
        <f>Query!C179</f>
        <v>1- C5XFE-R /ST/</v>
      </c>
      <c r="E178" s="142" t="str">
        <f>Query!D179</f>
        <v>10 x 2 x 1.0  mm²</v>
      </c>
      <c r="F178" s="142" t="s">
        <v>385</v>
      </c>
      <c r="G178" s="142" t="str">
        <f>Query!E179</f>
        <v>30</v>
      </c>
      <c r="H178" s="146" t="str">
        <f>Query!F179</f>
        <v>B1-TCS-1301B-XA20</v>
      </c>
      <c r="I178" s="142" t="str">
        <f>Query!G179</f>
        <v>TCS I/O and marshaling cabinet</v>
      </c>
      <c r="J178" s="142" t="s">
        <v>2851</v>
      </c>
      <c r="K178" s="146" t="s">
        <v>2853</v>
      </c>
      <c r="L178" s="146" t="s">
        <v>2853</v>
      </c>
      <c r="M178" s="142" t="s">
        <v>2851</v>
      </c>
      <c r="N178" s="128"/>
      <c r="O178" s="142" t="str">
        <f>Query!O179</f>
        <v>DSPW/SUPP.FI</v>
      </c>
    </row>
    <row r="179" spans="1:15" ht="26.25" customHeight="1">
      <c r="A179" s="142" t="str">
        <f>Query!A180</f>
        <v>20177</v>
      </c>
      <c r="B179" s="142" t="str">
        <f>MID(Query!B180,1,2)</f>
        <v>B1</v>
      </c>
      <c r="C179" s="144" t="str">
        <f>MID(Query!B180,4,50)</f>
        <v>TCS-1301B-I6013</v>
      </c>
      <c r="D179" s="142" t="str">
        <f>Query!C180</f>
        <v>1- C5XFE-R /ST/</v>
      </c>
      <c r="E179" s="142" t="str">
        <f>Query!D180</f>
        <v>2 x 2 x 1.0  mm²</v>
      </c>
      <c r="F179" s="142" t="s">
        <v>385</v>
      </c>
      <c r="G179" s="142" t="str">
        <f>Query!E180</f>
        <v>100</v>
      </c>
      <c r="H179" s="146" t="str">
        <f>Query!F180</f>
        <v>B1-TCS-1301B-XD81</v>
      </c>
      <c r="I179" s="142" t="str">
        <f>Query!G180</f>
        <v>TCS I/O and marshaling cabinet</v>
      </c>
      <c r="J179" s="142" t="s">
        <v>2851</v>
      </c>
      <c r="K179" s="146" t="str">
        <f>Query!K180</f>
        <v>B1-SE-13301A HAN 6B</v>
      </c>
      <c r="L179" s="142" t="str">
        <f>Query!L180</f>
        <v>SPEED 1 HP TURBINE - TCS/TPS</v>
      </c>
      <c r="M179" s="142" t="s">
        <v>2852</v>
      </c>
      <c r="N179" s="128"/>
      <c r="O179" s="142" t="str">
        <f>Query!O180</f>
        <v>DSPW/SUPP.FI</v>
      </c>
    </row>
    <row r="180" spans="1:15" ht="26.25" customHeight="1">
      <c r="A180" s="142" t="str">
        <f>Query!A181</f>
        <v>20178</v>
      </c>
      <c r="B180" s="142" t="str">
        <f>MID(Query!B181,1,2)</f>
        <v>B1</v>
      </c>
      <c r="C180" s="144" t="str">
        <f>MID(Query!B181,4,50)</f>
        <v>TCS-1301B-I6014</v>
      </c>
      <c r="D180" s="142" t="str">
        <f>Query!C181</f>
        <v>1- C5XFE-R /ST/</v>
      </c>
      <c r="E180" s="142" t="str">
        <f>Query!D181</f>
        <v>2 x 2 x 1.0  mm²</v>
      </c>
      <c r="F180" s="142" t="s">
        <v>385</v>
      </c>
      <c r="G180" s="142" t="str">
        <f>Query!E181</f>
        <v>100</v>
      </c>
      <c r="H180" s="146" t="str">
        <f>Query!F181</f>
        <v>B1-TCS-1301B-XD81</v>
      </c>
      <c r="I180" s="142" t="str">
        <f>Query!G181</f>
        <v>TCS I/O and marshaling cabinet</v>
      </c>
      <c r="J180" s="142" t="s">
        <v>2851</v>
      </c>
      <c r="K180" s="146" t="str">
        <f>Query!K181</f>
        <v>B1-SE-13301B HAN 6B</v>
      </c>
      <c r="L180" s="142" t="str">
        <f>Query!L181</f>
        <v>SPEED 2 HP TURBINE - TCS/TPS</v>
      </c>
      <c r="M180" s="142" t="s">
        <v>2852</v>
      </c>
      <c r="N180" s="128"/>
      <c r="O180" s="142" t="str">
        <f>Query!O181</f>
        <v>DSPW/SUPP.FI</v>
      </c>
    </row>
    <row r="181" spans="1:15" ht="26.25" customHeight="1">
      <c r="A181" s="142" t="str">
        <f>Query!A182</f>
        <v>20179</v>
      </c>
      <c r="B181" s="142" t="str">
        <f>MID(Query!B182,1,2)</f>
        <v>B1</v>
      </c>
      <c r="C181" s="144" t="str">
        <f>MID(Query!B182,4,50)</f>
        <v>TCS-1301B-I6015</v>
      </c>
      <c r="D181" s="142" t="str">
        <f>Query!C182</f>
        <v>1- C5XFE-R /ST/</v>
      </c>
      <c r="E181" s="142" t="str">
        <f>Query!D182</f>
        <v>2 x 2 x 1.0  mm²</v>
      </c>
      <c r="F181" s="142" t="s">
        <v>385</v>
      </c>
      <c r="G181" s="142" t="str">
        <f>Query!E182</f>
        <v>100</v>
      </c>
      <c r="H181" s="146" t="str">
        <f>Query!F182</f>
        <v>B1-TCS-1301B-XD81</v>
      </c>
      <c r="I181" s="142" t="str">
        <f>Query!G182</f>
        <v>TCS I/O and marshaling cabinet</v>
      </c>
      <c r="J181" s="142" t="s">
        <v>2851</v>
      </c>
      <c r="K181" s="146" t="str">
        <f>Query!K182</f>
        <v>B1-SE-13301C HAN 6B</v>
      </c>
      <c r="L181" s="142" t="str">
        <f>Query!L182</f>
        <v>SPEED 3 HP TURBINE - TCS/TPS</v>
      </c>
      <c r="M181" s="142" t="s">
        <v>2852</v>
      </c>
      <c r="N181" s="128"/>
      <c r="O181" s="142" t="str">
        <f>Query!O182</f>
        <v>DSPW/SUPP.FI</v>
      </c>
    </row>
    <row r="182" spans="1:15" ht="26.25" customHeight="1">
      <c r="A182" s="142" t="str">
        <f>Query!A183</f>
        <v>20180</v>
      </c>
      <c r="B182" s="142" t="str">
        <f>MID(Query!B183,1,2)</f>
        <v>B1</v>
      </c>
      <c r="C182" s="144" t="str">
        <f>MID(Query!B183,4,50)</f>
        <v>TCS-1301C-C4001</v>
      </c>
      <c r="D182" s="142" t="str">
        <f>Query!C183</f>
        <v>1- C5XFE-R /ST/</v>
      </c>
      <c r="E182" s="142" t="str">
        <f>Query!D183</f>
        <v>10 x 2 x 1.0  mm²</v>
      </c>
      <c r="F182" s="142" t="s">
        <v>260</v>
      </c>
      <c r="G182" s="142" t="str">
        <f>Query!E183</f>
        <v>100</v>
      </c>
      <c r="H182" s="146" t="str">
        <f>Query!F183</f>
        <v>B1-TCS-1301C-XD31</v>
      </c>
      <c r="I182" s="142" t="str">
        <f>Query!G183</f>
        <v>TPS I/O and marshaling cabinet</v>
      </c>
      <c r="J182" s="142" t="s">
        <v>2851</v>
      </c>
      <c r="K182" s="146" t="str">
        <f>Query!K183</f>
        <v>B1-MOV-13405-M01</v>
      </c>
      <c r="L182" s="142" t="str">
        <f>Query!L183</f>
        <v>EDSV DRAIN L1</v>
      </c>
      <c r="M182" s="142" t="s">
        <v>2852</v>
      </c>
      <c r="N182" s="128"/>
      <c r="O182" s="142" t="str">
        <f>Query!O183</f>
        <v>DSPW/SUPP.FI</v>
      </c>
    </row>
    <row r="183" spans="1:15" ht="26.25" customHeight="1">
      <c r="A183" s="142" t="str">
        <f>Query!A184</f>
        <v>20181</v>
      </c>
      <c r="B183" s="142" t="str">
        <f>MID(Query!B184,1,2)</f>
        <v>B1</v>
      </c>
      <c r="C183" s="144" t="str">
        <f>MID(Query!B184,4,50)</f>
        <v>TCS-1301C-C4002</v>
      </c>
      <c r="D183" s="142" t="str">
        <f>Query!C184</f>
        <v>1- C5XFE-R /ST/</v>
      </c>
      <c r="E183" s="142" t="str">
        <f>Query!D184</f>
        <v>10 x 2 x 1.0  mm²</v>
      </c>
      <c r="F183" s="142" t="s">
        <v>260</v>
      </c>
      <c r="G183" s="142" t="str">
        <f>Query!E184</f>
        <v>100</v>
      </c>
      <c r="H183" s="146" t="str">
        <f>Query!F184</f>
        <v>B1-TCS-1301C-XD31</v>
      </c>
      <c r="I183" s="142" t="str">
        <f>Query!G184</f>
        <v>TPS I/O and marshaling cabinet</v>
      </c>
      <c r="J183" s="142" t="s">
        <v>2851</v>
      </c>
      <c r="K183" s="146" t="str">
        <f>Query!K184</f>
        <v>B1-MOV-13409-M01</v>
      </c>
      <c r="L183" s="142" t="str">
        <f>Query!L184</f>
        <v>EDSV DRAIN L2</v>
      </c>
      <c r="M183" s="142" t="s">
        <v>2852</v>
      </c>
      <c r="N183" s="128"/>
      <c r="O183" s="142" t="str">
        <f>Query!O184</f>
        <v>DSPW/SUPP.FI</v>
      </c>
    </row>
    <row r="184" spans="1:15" ht="26.25" customHeight="1">
      <c r="A184" s="142" t="str">
        <f>Query!A185</f>
        <v>20182</v>
      </c>
      <c r="B184" s="142" t="str">
        <f>MID(Query!B185,1,2)</f>
        <v>B1</v>
      </c>
      <c r="C184" s="144" t="str">
        <f>MID(Query!B185,4,50)</f>
        <v>TCS-1301C-C4003</v>
      </c>
      <c r="D184" s="142" t="str">
        <f>Query!C185</f>
        <v>1- C5XFE-R /ST/</v>
      </c>
      <c r="E184" s="142" t="str">
        <f>Query!D185</f>
        <v>10 x 2 x 1.0  mm²</v>
      </c>
      <c r="F184" s="142" t="s">
        <v>260</v>
      </c>
      <c r="G184" s="142" t="str">
        <f>Query!E185</f>
        <v>100</v>
      </c>
      <c r="H184" s="146" t="str">
        <f>Query!F185</f>
        <v>B1-TCS-1301C-XD31</v>
      </c>
      <c r="I184" s="142" t="str">
        <f>Query!G185</f>
        <v>TPS I/O and marshaling cabinet</v>
      </c>
      <c r="J184" s="142" t="s">
        <v>2851</v>
      </c>
      <c r="K184" s="146" t="str">
        <f>Query!K185</f>
        <v>B1-MOV-13561-M01</v>
      </c>
      <c r="L184" s="142" t="str">
        <f>Query!L185</f>
        <v>EDSV DRAIN T2</v>
      </c>
      <c r="M184" s="142" t="s">
        <v>2852</v>
      </c>
      <c r="N184" s="128"/>
      <c r="O184" s="142" t="str">
        <f>Query!O185</f>
        <v>DSPW/SUPP.FI</v>
      </c>
    </row>
    <row r="185" spans="1:15" ht="26.25" customHeight="1">
      <c r="A185" s="142" t="str">
        <f>Query!A186</f>
        <v>20183</v>
      </c>
      <c r="B185" s="142" t="str">
        <f>MID(Query!B186,1,2)</f>
        <v>B1</v>
      </c>
      <c r="C185" s="144" t="str">
        <f>MID(Query!B186,4,50)</f>
        <v>TCS-1301C-C4004</v>
      </c>
      <c r="D185" s="142" t="str">
        <f>Query!C186</f>
        <v>1- C5XFE-R /ST/</v>
      </c>
      <c r="E185" s="142" t="str">
        <f>Query!D186</f>
        <v>10 x 2 x 1.0  mm²</v>
      </c>
      <c r="F185" s="142" t="s">
        <v>260</v>
      </c>
      <c r="G185" s="142" t="str">
        <f>Query!E186</f>
        <v>100</v>
      </c>
      <c r="H185" s="146" t="str">
        <f>Query!F186</f>
        <v>B1-TCS-1301C-XD31</v>
      </c>
      <c r="I185" s="142" t="str">
        <f>Query!G186</f>
        <v>TPS I/O and marshaling cabinet</v>
      </c>
      <c r="J185" s="142" t="s">
        <v>2851</v>
      </c>
      <c r="K185" s="146" t="str">
        <f>Query!K186</f>
        <v>B1-MOV-13564-M01</v>
      </c>
      <c r="L185" s="142" t="str">
        <f>Query!L186</f>
        <v>EDSV DRAIN T3</v>
      </c>
      <c r="M185" s="142" t="s">
        <v>2852</v>
      </c>
      <c r="N185" s="128"/>
      <c r="O185" s="142" t="str">
        <f>Query!O186</f>
        <v>DSPW/SUPP.FI</v>
      </c>
    </row>
    <row r="186" spans="1:15" ht="26.25" customHeight="1">
      <c r="A186" s="142" t="str">
        <f>Query!A187</f>
        <v>20184</v>
      </c>
      <c r="B186" s="142" t="str">
        <f>MID(Query!B187,1,2)</f>
        <v>B1</v>
      </c>
      <c r="C186" s="144" t="str">
        <f>MID(Query!B187,4,50)</f>
        <v>TCS-1301C-C4005</v>
      </c>
      <c r="D186" s="142" t="str">
        <f>Query!C187</f>
        <v>1- C5XFE-R /ST/</v>
      </c>
      <c r="E186" s="142" t="str">
        <f>Query!D187</f>
        <v>10 x 2 x 1.0  mm²</v>
      </c>
      <c r="F186" s="142" t="s">
        <v>260</v>
      </c>
      <c r="G186" s="142" t="str">
        <f>Query!E187</f>
        <v>100</v>
      </c>
      <c r="H186" s="146" t="str">
        <f>Query!F187</f>
        <v>B1-TCS-1301C-XD31</v>
      </c>
      <c r="I186" s="142" t="str">
        <f>Query!G187</f>
        <v>TPS I/O and marshaling cabinet</v>
      </c>
      <c r="J186" s="142" t="s">
        <v>2851</v>
      </c>
      <c r="K186" s="146" t="str">
        <f>Query!K187</f>
        <v>B1-MOV-13565-M01</v>
      </c>
      <c r="L186" s="142" t="str">
        <f>Query!L187</f>
        <v>EDSV DRAIN T5</v>
      </c>
      <c r="M186" s="142" t="s">
        <v>2852</v>
      </c>
      <c r="N186" s="128"/>
      <c r="O186" s="142" t="str">
        <f>Query!O187</f>
        <v>DSPW/SUPP.FI</v>
      </c>
    </row>
    <row r="187" spans="1:15" ht="26.25" customHeight="1">
      <c r="A187" s="142" t="str">
        <f>Query!A188</f>
        <v>20185</v>
      </c>
      <c r="B187" s="142" t="str">
        <f>MID(Query!B188,1,2)</f>
        <v>B1</v>
      </c>
      <c r="C187" s="144" t="str">
        <f>MID(Query!B188,4,50)</f>
        <v>TCS-1301C-C4006</v>
      </c>
      <c r="D187" s="142" t="str">
        <f>Query!C188</f>
        <v>1- C5XFE-R /ST/</v>
      </c>
      <c r="E187" s="142" t="str">
        <f>Query!D188</f>
        <v>10 x 2 x 1.0  mm²</v>
      </c>
      <c r="F187" s="142" t="s">
        <v>260</v>
      </c>
      <c r="G187" s="142" t="str">
        <f>Query!E188</f>
        <v>100</v>
      </c>
      <c r="H187" s="146" t="str">
        <f>Query!F188</f>
        <v>B1-TCS-1301C-XD31</v>
      </c>
      <c r="I187" s="142" t="str">
        <f>Query!G188</f>
        <v>TPS I/O and marshaling cabinet</v>
      </c>
      <c r="J187" s="142" t="s">
        <v>2851</v>
      </c>
      <c r="K187" s="146" t="str">
        <f>Query!K188</f>
        <v>B1-MOV-13566-M01</v>
      </c>
      <c r="L187" s="142" t="str">
        <f>Query!L188</f>
        <v>EDSV DRAIN T1</v>
      </c>
      <c r="M187" s="142" t="s">
        <v>2852</v>
      </c>
      <c r="N187" s="128"/>
      <c r="O187" s="142" t="str">
        <f>Query!O188</f>
        <v>DSPW/SUPP.FI</v>
      </c>
    </row>
    <row r="188" spans="1:15" ht="26.25" customHeight="1">
      <c r="A188" s="142" t="str">
        <f>Query!A189</f>
        <v>20186</v>
      </c>
      <c r="B188" s="142" t="str">
        <f>MID(Query!B189,1,2)</f>
        <v>B1</v>
      </c>
      <c r="C188" s="144" t="str">
        <f>MID(Query!B189,4,50)</f>
        <v>TCS-1301C-C4007</v>
      </c>
      <c r="D188" s="142" t="str">
        <f>Query!C189</f>
        <v>1- C5XFE-R /ST/</v>
      </c>
      <c r="E188" s="142" t="str">
        <f>Query!D189</f>
        <v>10 x 2 x 1.0  mm²</v>
      </c>
      <c r="F188" s="142" t="s">
        <v>260</v>
      </c>
      <c r="G188" s="142" t="str">
        <f>Query!E189</f>
        <v>100</v>
      </c>
      <c r="H188" s="146" t="str">
        <f>Query!F189</f>
        <v>B1-TCS-1301C-XD31</v>
      </c>
      <c r="I188" s="142" t="str">
        <f>Query!G189</f>
        <v>TPS I/O and marshaling cabinet</v>
      </c>
      <c r="J188" s="142" t="s">
        <v>2851</v>
      </c>
      <c r="K188" s="146" t="str">
        <f>Query!K189</f>
        <v>B1-MOV-13607-M01</v>
      </c>
      <c r="L188" s="142" t="str">
        <f>Query!L189</f>
        <v>EDSV DRAIN G1</v>
      </c>
      <c r="M188" s="142" t="s">
        <v>2852</v>
      </c>
      <c r="N188" s="128"/>
      <c r="O188" s="142" t="str">
        <f>Query!O189</f>
        <v>DSPW/SUPP.FI</v>
      </c>
    </row>
    <row r="189" spans="1:15" ht="26.25" customHeight="1">
      <c r="A189" s="142" t="str">
        <f>Query!A190</f>
        <v>20187</v>
      </c>
      <c r="B189" s="142" t="str">
        <f>MID(Query!B190,1,2)</f>
        <v>B1</v>
      </c>
      <c r="C189" s="144" t="str">
        <f>MID(Query!B190,4,50)</f>
        <v>TCS-1301C-C4008</v>
      </c>
      <c r="D189" s="142" t="str">
        <f>Query!C190</f>
        <v>1- C5XFE-R /ST/</v>
      </c>
      <c r="E189" s="142" t="str">
        <f>Query!D190</f>
        <v>10 x 2 x 1.0  mm²</v>
      </c>
      <c r="F189" s="142" t="s">
        <v>260</v>
      </c>
      <c r="G189" s="142" t="str">
        <f>Query!E190</f>
        <v>200</v>
      </c>
      <c r="H189" s="146" t="str">
        <f>Query!F190</f>
        <v>B1-TCS-1301C-XD31</v>
      </c>
      <c r="I189" s="142" t="str">
        <f>Query!G190</f>
        <v>TPS I/O and marshaling cabinet</v>
      </c>
      <c r="J189" s="142" t="s">
        <v>2851</v>
      </c>
      <c r="K189" s="146" t="str">
        <f>Query!K190</f>
        <v>B1JBA-1309-TB3</v>
      </c>
      <c r="L189" s="142" t="str">
        <f>Query!L190</f>
        <v>Junction box IOS</v>
      </c>
      <c r="M189" s="142" t="s">
        <v>2852</v>
      </c>
      <c r="N189" s="128"/>
      <c r="O189" s="142" t="str">
        <f>Query!O190</f>
        <v>DSPW/SUPP.FI</v>
      </c>
    </row>
    <row r="190" spans="1:15" ht="26.25" customHeight="1">
      <c r="A190" s="142" t="str">
        <f>Query!A191</f>
        <v>20188</v>
      </c>
      <c r="B190" s="142" t="str">
        <f>MID(Query!B191,1,2)</f>
        <v>B1</v>
      </c>
      <c r="C190" s="144" t="str">
        <f>MID(Query!B191,4,50)</f>
        <v>TCS-1301C-C4009</v>
      </c>
      <c r="D190" s="142" t="str">
        <f>Query!C191</f>
        <v>1- C5XFE-R /ST/</v>
      </c>
      <c r="E190" s="142" t="str">
        <f>Query!D191</f>
        <v>10 x 2 x 1.0  mm²</v>
      </c>
      <c r="F190" s="142" t="s">
        <v>260</v>
      </c>
      <c r="G190" s="142" t="str">
        <f>Query!E191</f>
        <v>200</v>
      </c>
      <c r="H190" s="146" t="str">
        <f>Query!F191</f>
        <v>B1-TCS-1301C-XD31</v>
      </c>
      <c r="I190" s="142" t="str">
        <f>Query!G191</f>
        <v>TPS I/O and marshaling cabinet</v>
      </c>
      <c r="J190" s="142" t="s">
        <v>2851</v>
      </c>
      <c r="K190" s="146" t="str">
        <f>Query!K191</f>
        <v>B1JBA-1309-TB3</v>
      </c>
      <c r="L190" s="142" t="str">
        <f>Query!L191</f>
        <v>Junction box IOS</v>
      </c>
      <c r="M190" s="142" t="s">
        <v>2852</v>
      </c>
      <c r="N190" s="128"/>
      <c r="O190" s="142" t="str">
        <f>Query!O191</f>
        <v>DSPW/SUPP.FI</v>
      </c>
    </row>
    <row r="191" spans="1:15" ht="26.25" customHeight="1">
      <c r="A191" s="142" t="str">
        <f>Query!A192</f>
        <v>20189</v>
      </c>
      <c r="B191" s="142" t="str">
        <f>MID(Query!B192,1,2)</f>
        <v>B1</v>
      </c>
      <c r="C191" s="144" t="str">
        <f>MID(Query!B192,4,50)</f>
        <v>TCS-1301C-C4010</v>
      </c>
      <c r="D191" s="142" t="str">
        <f>Query!C192</f>
        <v>1- C5XFE-R /ST/</v>
      </c>
      <c r="E191" s="142" t="str">
        <f>Query!D192</f>
        <v>5 x 2 x 1.0  mm²</v>
      </c>
      <c r="F191" s="142" t="s">
        <v>260</v>
      </c>
      <c r="G191" s="142" t="str">
        <f>Query!E192</f>
        <v>200</v>
      </c>
      <c r="H191" s="146" t="str">
        <f>Query!F192</f>
        <v>B1-TCS-1301C-XD71</v>
      </c>
      <c r="I191" s="142" t="str">
        <f>Query!G192</f>
        <v>TPS I/O and marshaling cabinet</v>
      </c>
      <c r="J191" s="142" t="s">
        <v>2851</v>
      </c>
      <c r="K191" s="146" t="str">
        <f>Query!K192</f>
        <v>B1JBAY-1301-X03</v>
      </c>
      <c r="L191" s="142" t="str">
        <f>Query!L192</f>
        <v>Junction box FI</v>
      </c>
      <c r="M191" s="142" t="s">
        <v>2852</v>
      </c>
      <c r="N191" s="128"/>
      <c r="O191" s="142" t="str">
        <f>Query!O192</f>
        <v>DSPW/SUPP.FI</v>
      </c>
    </row>
    <row r="192" spans="1:15" ht="26.25" customHeight="1">
      <c r="A192" s="142" t="str">
        <f>Query!A193</f>
        <v>20190</v>
      </c>
      <c r="B192" s="142" t="str">
        <f>MID(Query!B193,1,2)</f>
        <v>B1</v>
      </c>
      <c r="C192" s="144" t="str">
        <f>MID(Query!B193,4,50)</f>
        <v>TCS-1301C-C4011</v>
      </c>
      <c r="D192" s="142" t="str">
        <f>Query!C193</f>
        <v>1- C5XFE-R /ST/</v>
      </c>
      <c r="E192" s="142" t="str">
        <f>Query!D193</f>
        <v>5 x 2 x 1.0  mm²</v>
      </c>
      <c r="F192" s="142" t="s">
        <v>260</v>
      </c>
      <c r="G192" s="142" t="str">
        <f>Query!E193</f>
        <v>100</v>
      </c>
      <c r="H192" s="146" t="str">
        <f>Query!F193</f>
        <v>B1-TCS-1301C-XD53</v>
      </c>
      <c r="I192" s="142" t="str">
        <f>Query!G193</f>
        <v>TPS I/O and marshaling cabinet</v>
      </c>
      <c r="J192" s="142" t="s">
        <v>2851</v>
      </c>
      <c r="K192" s="146" t="str">
        <f>Query!K193</f>
        <v>B1-ZHS-13121 HAN 16A</v>
      </c>
      <c r="L192" s="142" t="str">
        <f>Query!L193</f>
        <v>POSITION HP STOP VALVE 1</v>
      </c>
      <c r="M192" s="142" t="s">
        <v>2852</v>
      </c>
      <c r="N192" s="128"/>
      <c r="O192" s="142" t="str">
        <f>Query!O193</f>
        <v>DSPW/SUPP.FI</v>
      </c>
    </row>
    <row r="193" spans="1:15" ht="26.25" customHeight="1">
      <c r="A193" s="142" t="str">
        <f>Query!A194</f>
        <v>20191</v>
      </c>
      <c r="B193" s="142" t="str">
        <f>MID(Query!B194,1,2)</f>
        <v>B1</v>
      </c>
      <c r="C193" s="144" t="str">
        <f>MID(Query!B194,4,50)</f>
        <v>TCS-1301C-C4012</v>
      </c>
      <c r="D193" s="142" t="str">
        <f>Query!C194</f>
        <v>1- C5XFE-R /ST/</v>
      </c>
      <c r="E193" s="142" t="str">
        <f>Query!D194</f>
        <v>5 x 2 x 1.0  mm²</v>
      </c>
      <c r="F193" s="142" t="s">
        <v>260</v>
      </c>
      <c r="G193" s="142" t="str">
        <f>Query!E194</f>
        <v>100</v>
      </c>
      <c r="H193" s="146" t="str">
        <f>Query!F194</f>
        <v>B1-TCS-1301C-XD53</v>
      </c>
      <c r="I193" s="142" t="str">
        <f>Query!G194</f>
        <v>TPS I/O and marshaling cabinet</v>
      </c>
      <c r="J193" s="142" t="s">
        <v>2851</v>
      </c>
      <c r="K193" s="146" t="str">
        <f>Query!K194</f>
        <v>B1-ZHS-13141 HAN 16A</v>
      </c>
      <c r="L193" s="142" t="str">
        <f>Query!L194</f>
        <v>POSITION HP STOP VALVE 2</v>
      </c>
      <c r="M193" s="142" t="s">
        <v>2852</v>
      </c>
      <c r="N193" s="128"/>
      <c r="O193" s="142" t="str">
        <f>Query!O194</f>
        <v>DSPW/SUPP.FI</v>
      </c>
    </row>
    <row r="194" spans="1:15" ht="26.25" customHeight="1">
      <c r="A194" s="142" t="str">
        <f>Query!A195</f>
        <v>20192</v>
      </c>
      <c r="B194" s="142" t="str">
        <f>MID(Query!B195,1,2)</f>
        <v>B1</v>
      </c>
      <c r="C194" s="144" t="str">
        <f>MID(Query!B195,4,50)</f>
        <v>TCS-1301C-C4013</v>
      </c>
      <c r="D194" s="142" t="str">
        <f>Query!C195</f>
        <v>1- C5XFE-R /ST/</v>
      </c>
      <c r="E194" s="142" t="str">
        <f>Query!D195</f>
        <v>5 x 2 x 1.0  mm²</v>
      </c>
      <c r="F194" s="142" t="s">
        <v>260</v>
      </c>
      <c r="G194" s="142" t="str">
        <f>Query!E195</f>
        <v>100</v>
      </c>
      <c r="H194" s="146" t="str">
        <f>Query!F195</f>
        <v>B1-TCS-1301C-XD53</v>
      </c>
      <c r="I194" s="142" t="str">
        <f>Query!G195</f>
        <v>TPS I/O and marshaling cabinet</v>
      </c>
      <c r="J194" s="142" t="s">
        <v>2851</v>
      </c>
      <c r="K194" s="146" t="str">
        <f>Query!K195</f>
        <v>B1-ZHS-13161 HAN 16A</v>
      </c>
      <c r="L194" s="142" t="str">
        <f>Query!L195</f>
        <v>POSITION LP STOP FLAP</v>
      </c>
      <c r="M194" s="142" t="s">
        <v>2852</v>
      </c>
      <c r="N194" s="128"/>
      <c r="O194" s="142" t="str">
        <f>Query!O195</f>
        <v>DSPW/SUPP.FI</v>
      </c>
    </row>
    <row r="195" spans="1:15" ht="26.25" customHeight="1">
      <c r="A195" s="142" t="str">
        <f>Query!A196</f>
        <v>20193</v>
      </c>
      <c r="B195" s="142" t="str">
        <f>MID(Query!B196,1,2)</f>
        <v>B1</v>
      </c>
      <c r="C195" s="144" t="str">
        <f>MID(Query!B196,4,50)</f>
        <v>TCS-1301C-C4014</v>
      </c>
      <c r="D195" s="142" t="str">
        <f>Query!C196</f>
        <v>1- C5XFE-R /ST/</v>
      </c>
      <c r="E195" s="142" t="str">
        <f>Query!D196</f>
        <v>2 x 2 x 1.0  mm²</v>
      </c>
      <c r="F195" s="142" t="s">
        <v>260</v>
      </c>
      <c r="G195" s="142" t="str">
        <f>Query!E196</f>
        <v>100</v>
      </c>
      <c r="H195" s="146" t="str">
        <f>Query!F196</f>
        <v>B1-TCS-1301C-XA65</v>
      </c>
      <c r="I195" s="142" t="str">
        <f>Query!G196</f>
        <v>TPS I/O and marshaling cabinet</v>
      </c>
      <c r="J195" s="142" t="s">
        <v>2851</v>
      </c>
      <c r="K195" s="146" t="str">
        <f>Query!K196</f>
        <v>B1-ZT-13121 HAN 10A</v>
      </c>
      <c r="L195" s="142" t="str">
        <f>Query!L196</f>
        <v>POSITION HP STOP VALVE 1</v>
      </c>
      <c r="M195" s="142" t="s">
        <v>2852</v>
      </c>
      <c r="N195" s="128"/>
      <c r="O195" s="142" t="str">
        <f>Query!O196</f>
        <v>DSPW/SUPP.FI</v>
      </c>
    </row>
    <row r="196" spans="1:15" ht="26.25" customHeight="1">
      <c r="A196" s="142" t="str">
        <f>Query!A197</f>
        <v>20194</v>
      </c>
      <c r="B196" s="142" t="str">
        <f>MID(Query!B197,1,2)</f>
        <v>B1</v>
      </c>
      <c r="C196" s="144" t="str">
        <f>MID(Query!B197,4,50)</f>
        <v>TCS-1301C-C4015</v>
      </c>
      <c r="D196" s="142" t="str">
        <f>Query!C197</f>
        <v>1- C5XFE-R /ST/</v>
      </c>
      <c r="E196" s="142" t="str">
        <f>Query!D197</f>
        <v>2 x 2 x 1.0  mm²</v>
      </c>
      <c r="F196" s="142" t="s">
        <v>260</v>
      </c>
      <c r="G196" s="142" t="str">
        <f>Query!E197</f>
        <v>100</v>
      </c>
      <c r="H196" s="146" t="str">
        <f>Query!F197</f>
        <v>B1-TCS-1301C-XA65</v>
      </c>
      <c r="I196" s="142" t="str">
        <f>Query!G197</f>
        <v>TPS I/O and marshaling cabinet</v>
      </c>
      <c r="J196" s="142" t="s">
        <v>2851</v>
      </c>
      <c r="K196" s="146" t="str">
        <f>Query!K197</f>
        <v>B1-ZT-13141 HAN 10A</v>
      </c>
      <c r="L196" s="142" t="str">
        <f>Query!L197</f>
        <v>POSITION HP STOP VALVE 2</v>
      </c>
      <c r="M196" s="142" t="s">
        <v>2852</v>
      </c>
      <c r="N196" s="128"/>
      <c r="O196" s="142" t="str">
        <f>Query!O197</f>
        <v>DSPW/SUPP.FI</v>
      </c>
    </row>
    <row r="197" spans="1:15" ht="26.25" customHeight="1">
      <c r="A197" s="142" t="str">
        <f>Query!A198</f>
        <v>20195</v>
      </c>
      <c r="B197" s="142" t="str">
        <f>MID(Query!B198,1,2)</f>
        <v>B1</v>
      </c>
      <c r="C197" s="144" t="str">
        <f>MID(Query!B198,4,50)</f>
        <v>TCS-1301C-C4016</v>
      </c>
      <c r="D197" s="142" t="str">
        <f>Query!C198</f>
        <v>1- C5XFE-R /ST/</v>
      </c>
      <c r="E197" s="142" t="str">
        <f>Query!D198</f>
        <v>2 x 2 x 1.0  mm²</v>
      </c>
      <c r="F197" s="142" t="s">
        <v>260</v>
      </c>
      <c r="G197" s="142" t="str">
        <f>Query!E198</f>
        <v>100</v>
      </c>
      <c r="H197" s="146" t="str">
        <f>Query!F198</f>
        <v>B1-TCS-1301C-XA65</v>
      </c>
      <c r="I197" s="142" t="str">
        <f>Query!G198</f>
        <v>TPS I/O and marshaling cabinet</v>
      </c>
      <c r="J197" s="142" t="s">
        <v>2851</v>
      </c>
      <c r="K197" s="146" t="str">
        <f>Query!K198</f>
        <v>B1-ZT-13161 HAN 10A</v>
      </c>
      <c r="L197" s="142" t="str">
        <f>Query!L198</f>
        <v>POSITION LP STOP FLAP</v>
      </c>
      <c r="M197" s="142" t="s">
        <v>2852</v>
      </c>
      <c r="N197" s="128"/>
      <c r="O197" s="142" t="str">
        <f>Query!O198</f>
        <v>DSPW/SUPP.FI</v>
      </c>
    </row>
    <row r="198" spans="1:15" ht="26.25" customHeight="1">
      <c r="A198" s="142" t="str">
        <f>Query!A199</f>
        <v>20196</v>
      </c>
      <c r="B198" s="142" t="str">
        <f>MID(Query!B199,1,2)</f>
        <v>B1</v>
      </c>
      <c r="C198" s="144" t="str">
        <f>MID(Query!B199,4,50)</f>
        <v>TCS-1301C-C4017</v>
      </c>
      <c r="D198" s="142" t="str">
        <f>Query!C199</f>
        <v>1- C5XFE-R /ST/</v>
      </c>
      <c r="E198" s="142" t="str">
        <f>Query!D199</f>
        <v>2 x 2 x 1.0  mm²</v>
      </c>
      <c r="F198" s="142" t="s">
        <v>260</v>
      </c>
      <c r="G198" s="142" t="str">
        <f>Query!E199</f>
        <v>30</v>
      </c>
      <c r="H198" s="146" t="str">
        <f>Query!F199</f>
        <v>B1-TCS-1301C-XD21</v>
      </c>
      <c r="I198" s="142" t="str">
        <f>Query!G199</f>
        <v>TPS I/O and marshaling cabinet</v>
      </c>
      <c r="J198" s="142" t="s">
        <v>2851</v>
      </c>
      <c r="K198" s="146" t="str">
        <f>Query!K199</f>
        <v>B1-TCS-1311-X22</v>
      </c>
      <c r="L198" s="142" t="str">
        <f>Query!L199</f>
        <v>BOX TPC/OPS</v>
      </c>
      <c r="M198" s="142" t="s">
        <v>2851</v>
      </c>
      <c r="N198" s="128"/>
      <c r="O198" s="142" t="str">
        <f>Query!O199</f>
        <v>DSPW/SUPP.FI</v>
      </c>
    </row>
    <row r="199" spans="1:15" ht="26.25" customHeight="1">
      <c r="A199" s="142" t="str">
        <f>Query!A200</f>
        <v>20197</v>
      </c>
      <c r="B199" s="142" t="str">
        <f>MID(Query!B200,1,2)</f>
        <v>B1</v>
      </c>
      <c r="C199" s="144" t="str">
        <f>MID(Query!B200,4,50)</f>
        <v>TCS-1301C-C4018</v>
      </c>
      <c r="D199" s="142" t="str">
        <f>Query!C200</f>
        <v>1- C5XFE-R /ST/</v>
      </c>
      <c r="E199" s="142" t="str">
        <f>Query!D200</f>
        <v>2 x 2 x 1.0  mm²</v>
      </c>
      <c r="F199" s="142" t="s">
        <v>260</v>
      </c>
      <c r="G199" s="142" t="str">
        <f>Query!E200</f>
        <v>30</v>
      </c>
      <c r="H199" s="146" t="str">
        <f>Query!F200</f>
        <v>B1-TCS-1301C-XD21</v>
      </c>
      <c r="I199" s="142" t="str">
        <f>Query!G200</f>
        <v>TPS I/O and marshaling cabinet</v>
      </c>
      <c r="J199" s="142" t="s">
        <v>2851</v>
      </c>
      <c r="K199" s="146" t="str">
        <f>Query!K200</f>
        <v>B1-TCS-1311-X22</v>
      </c>
      <c r="L199" s="142" t="str">
        <f>Query!L200</f>
        <v>BOX TPC/OPS</v>
      </c>
      <c r="M199" s="142" t="s">
        <v>2851</v>
      </c>
      <c r="N199" s="128"/>
      <c r="O199" s="142" t="str">
        <f>Query!O200</f>
        <v>DSPW/SUPP.FI</v>
      </c>
    </row>
    <row r="200" spans="1:15" ht="26.25" customHeight="1">
      <c r="A200" s="142" t="str">
        <f>Query!A201</f>
        <v>20198</v>
      </c>
      <c r="B200" s="142" t="str">
        <f>MID(Query!B201,1,2)</f>
        <v>B1</v>
      </c>
      <c r="C200" s="144" t="str">
        <f>MID(Query!B201,4,50)</f>
        <v>TCS-1301C-C4019</v>
      </c>
      <c r="D200" s="142" t="str">
        <f>Query!C201</f>
        <v>1- C5XFE-R /ST/</v>
      </c>
      <c r="E200" s="142" t="str">
        <f>Query!D201</f>
        <v>2 x 2 x 1.0  mm²</v>
      </c>
      <c r="F200" s="142" t="s">
        <v>260</v>
      </c>
      <c r="G200" s="142" t="str">
        <f>Query!E201</f>
        <v>30</v>
      </c>
      <c r="H200" s="146" t="str">
        <f>Query!F201</f>
        <v>B1-TCS-1301C-XD21</v>
      </c>
      <c r="I200" s="142" t="str">
        <f>Query!G201</f>
        <v>TPS I/O and marshaling cabinet</v>
      </c>
      <c r="J200" s="142" t="s">
        <v>2851</v>
      </c>
      <c r="K200" s="146" t="str">
        <f>Query!K201</f>
        <v>B1-TCS-1311-X22</v>
      </c>
      <c r="L200" s="142" t="str">
        <f>Query!L201</f>
        <v>BOX TPC/OPS</v>
      </c>
      <c r="M200" s="142" t="s">
        <v>2851</v>
      </c>
      <c r="N200" s="128"/>
      <c r="O200" s="142" t="str">
        <f>Query!O201</f>
        <v>DSPW/SUPP.FI</v>
      </c>
    </row>
    <row r="201" spans="1:15" ht="26.25" customHeight="1">
      <c r="A201" s="142" t="str">
        <f>Query!A202</f>
        <v>20199</v>
      </c>
      <c r="B201" s="142" t="str">
        <f>MID(Query!B202,1,2)</f>
        <v>B1</v>
      </c>
      <c r="C201" s="144" t="str">
        <f>MID(Query!B202,4,50)</f>
        <v>TCS-1301C-C4020</v>
      </c>
      <c r="D201" s="142" t="str">
        <f>Query!C202</f>
        <v>1- C5XFE-R /ST/</v>
      </c>
      <c r="E201" s="142" t="str">
        <f>Query!D202</f>
        <v>10 x 2 x 1.0  mm²</v>
      </c>
      <c r="F201" s="142" t="s">
        <v>260</v>
      </c>
      <c r="G201" s="142" t="str">
        <f>Query!E202</f>
        <v>30</v>
      </c>
      <c r="H201" s="146" t="str">
        <f>Query!F202</f>
        <v>B1-TCS-1301C-XD11</v>
      </c>
      <c r="I201" s="142" t="str">
        <f>Query!G202</f>
        <v>TPS I/O and marshaling cabinet</v>
      </c>
      <c r="J201" s="142" t="s">
        <v>2851</v>
      </c>
      <c r="K201" s="146" t="str">
        <f>Query!K202</f>
        <v>B1-TCS-1311-X32</v>
      </c>
      <c r="L201" s="142" t="str">
        <f>Query!L202</f>
        <v>BOX TPC/OPS</v>
      </c>
      <c r="M201" s="142" t="s">
        <v>2851</v>
      </c>
      <c r="N201" s="128"/>
      <c r="O201" s="142" t="str">
        <f>Query!O202</f>
        <v>DSPW/SUPP.FI</v>
      </c>
    </row>
    <row r="202" spans="1:15" ht="26.25" customHeight="1">
      <c r="A202" s="142" t="str">
        <f>Query!A203</f>
        <v>20200</v>
      </c>
      <c r="B202" s="142" t="str">
        <f>MID(Query!B203,1,2)</f>
        <v>B1</v>
      </c>
      <c r="C202" s="144" t="str">
        <f>MID(Query!B203,4,50)</f>
        <v>TCS-1301C-C4021</v>
      </c>
      <c r="D202" s="142" t="str">
        <f>Query!C203</f>
        <v>1- C5XFE-R /ST/</v>
      </c>
      <c r="E202" s="142" t="str">
        <f>Query!D203</f>
        <v>5 x 2 x 1.0  mm²</v>
      </c>
      <c r="F202" s="142" t="s">
        <v>260</v>
      </c>
      <c r="G202" s="142" t="str">
        <f>Query!E203</f>
        <v>30</v>
      </c>
      <c r="H202" s="146" t="str">
        <f>Query!F203</f>
        <v>B1-TCS-1301C-XD11</v>
      </c>
      <c r="I202" s="142" t="str">
        <f>Query!G203</f>
        <v>TPS I/O and marshaling cabinet</v>
      </c>
      <c r="J202" s="142" t="s">
        <v>2851</v>
      </c>
      <c r="K202" s="146" t="str">
        <f>Query!K203</f>
        <v>B1-TCS-1311-X32</v>
      </c>
      <c r="L202" s="142" t="str">
        <f>Query!L203</f>
        <v>BOX TPC/OPS</v>
      </c>
      <c r="M202" s="142" t="s">
        <v>2851</v>
      </c>
      <c r="N202" s="128"/>
      <c r="O202" s="142" t="str">
        <f>Query!O203</f>
        <v>DSPW/SUPP.FI</v>
      </c>
    </row>
    <row r="203" spans="1:15" ht="26.25" customHeight="1">
      <c r="A203" s="142" t="str">
        <f>Query!A204</f>
        <v>20201</v>
      </c>
      <c r="B203" s="142" t="str">
        <f>MID(Query!B204,1,2)</f>
        <v>B1</v>
      </c>
      <c r="C203" s="144" t="str">
        <f>MID(Query!B204,4,50)</f>
        <v>TCS-1301C-C4022</v>
      </c>
      <c r="D203" s="142" t="str">
        <f>Query!C204</f>
        <v>1- C5XFE-R /ST/</v>
      </c>
      <c r="E203" s="142" t="str">
        <f>Query!D204</f>
        <v>5 x 2 x 1.0  mm²</v>
      </c>
      <c r="F203" s="142" t="s">
        <v>260</v>
      </c>
      <c r="G203" s="142" t="str">
        <f>Query!E204</f>
        <v>30</v>
      </c>
      <c r="H203" s="146" t="str">
        <f>Query!F204</f>
        <v>B1-TCS-1301C-XD52</v>
      </c>
      <c r="I203" s="142" t="str">
        <f>Query!G204</f>
        <v>TPS I/O and marshaling cabinet</v>
      </c>
      <c r="J203" s="142" t="s">
        <v>2851</v>
      </c>
      <c r="K203" s="146" t="str">
        <f>Query!K204</f>
        <v>B1-TCS-1311-X15</v>
      </c>
      <c r="L203" s="142" t="str">
        <f>Query!L204</f>
        <v>BOX TPC/OPS</v>
      </c>
      <c r="M203" s="142" t="s">
        <v>2851</v>
      </c>
      <c r="N203" s="128"/>
      <c r="O203" s="142" t="str">
        <f>Query!O204</f>
        <v>DSPW/SUPP.FI</v>
      </c>
    </row>
    <row r="204" spans="1:15" ht="26.25" customHeight="1">
      <c r="A204" s="142" t="str">
        <f>Query!A205</f>
        <v>20202</v>
      </c>
      <c r="B204" s="142" t="str">
        <f>MID(Query!B205,1,2)</f>
        <v>B1</v>
      </c>
      <c r="C204" s="144" t="str">
        <f>MID(Query!B205,4,50)</f>
        <v>TCS-1301C-C4023</v>
      </c>
      <c r="D204" s="142" t="str">
        <f>Query!C205</f>
        <v>1- C5XFE-R /ST/</v>
      </c>
      <c r="E204" s="142" t="str">
        <f>Query!D205</f>
        <v>5 x 2 x 1.0  mm²</v>
      </c>
      <c r="F204" s="142" t="s">
        <v>260</v>
      </c>
      <c r="G204" s="142" t="str">
        <f>Query!E205</f>
        <v>30</v>
      </c>
      <c r="H204" s="146" t="str">
        <f>Query!F205</f>
        <v>B1-TCS-1301C-XD52</v>
      </c>
      <c r="I204" s="142" t="str">
        <f>Query!G205</f>
        <v>TPS I/O and marshaling cabinet</v>
      </c>
      <c r="J204" s="142" t="s">
        <v>2851</v>
      </c>
      <c r="K204" s="146" t="str">
        <f>Query!K205</f>
        <v>B1-TCS-1311-X15</v>
      </c>
      <c r="L204" s="142" t="str">
        <f>Query!L205</f>
        <v>BOX TPC/OPS</v>
      </c>
      <c r="M204" s="142" t="s">
        <v>2851</v>
      </c>
      <c r="N204" s="128"/>
      <c r="O204" s="142" t="str">
        <f>Query!O205</f>
        <v>DSPW/SUPP.FI</v>
      </c>
    </row>
    <row r="205" spans="1:15" ht="26.25" customHeight="1">
      <c r="A205" s="142" t="str">
        <f>Query!A206</f>
        <v>20203</v>
      </c>
      <c r="B205" s="142" t="str">
        <f>MID(Query!B206,1,2)</f>
        <v>B1</v>
      </c>
      <c r="C205" s="144" t="str">
        <f>MID(Query!B206,4,50)</f>
        <v>TCS-1301C-C4024</v>
      </c>
      <c r="D205" s="142" t="str">
        <f>Query!C206</f>
        <v>1- C5XFE-R /ST/</v>
      </c>
      <c r="E205" s="142" t="str">
        <f>Query!D206</f>
        <v>5 x 2 x 1.0  mm²</v>
      </c>
      <c r="F205" s="142" t="s">
        <v>260</v>
      </c>
      <c r="G205" s="142" t="str">
        <f>Query!E206</f>
        <v>30</v>
      </c>
      <c r="H205" s="146" t="str">
        <f>Query!F206</f>
        <v>B1-TCS-1301C-XD52</v>
      </c>
      <c r="I205" s="142" t="str">
        <f>Query!G206</f>
        <v>TPS I/O and marshaling cabinet</v>
      </c>
      <c r="J205" s="142" t="s">
        <v>2851</v>
      </c>
      <c r="K205" s="146" t="str">
        <f>Query!K206</f>
        <v>B1-TCS-1311-X15</v>
      </c>
      <c r="L205" s="142" t="str">
        <f>Query!L206</f>
        <v>BOX TPC/OPS</v>
      </c>
      <c r="M205" s="142" t="s">
        <v>2851</v>
      </c>
      <c r="N205" s="128"/>
      <c r="O205" s="142" t="str">
        <f>Query!O206</f>
        <v>DSPW/SUPP.FI</v>
      </c>
    </row>
    <row r="206" spans="1:15" ht="26.25" customHeight="1">
      <c r="A206" s="142" t="str">
        <f>Query!A207</f>
        <v>20204</v>
      </c>
      <c r="B206" s="142" t="str">
        <f>MID(Query!B207,1,2)</f>
        <v>B1</v>
      </c>
      <c r="C206" s="144" t="str">
        <f>MID(Query!B207,4,50)</f>
        <v>TCS-1301C-C4025</v>
      </c>
      <c r="D206" s="142" t="str">
        <f>Query!C207</f>
        <v>1- C5XFE-R /ST/</v>
      </c>
      <c r="E206" s="142" t="str">
        <f>Query!D207</f>
        <v>2 x 2 x 1.0  mm²</v>
      </c>
      <c r="F206" s="142" t="s">
        <v>260</v>
      </c>
      <c r="G206" s="142" t="str">
        <f>Query!E207</f>
        <v>30</v>
      </c>
      <c r="H206" s="146" t="str">
        <f>Query!F207</f>
        <v>B1-TCS-1301C-XD42</v>
      </c>
      <c r="I206" s="142" t="str">
        <f>Query!G207</f>
        <v>TPS I/O and marshaling cabinet</v>
      </c>
      <c r="J206" s="142" t="s">
        <v>2851</v>
      </c>
      <c r="K206" s="146" t="str">
        <f>Query!K207</f>
        <v>B1-TCS-1311-X16</v>
      </c>
      <c r="L206" s="142" t="str">
        <f>Query!L207</f>
        <v>BOX TPC/OPS</v>
      </c>
      <c r="M206" s="142" t="s">
        <v>2851</v>
      </c>
      <c r="N206" s="128"/>
      <c r="O206" s="142" t="str">
        <f>Query!O207</f>
        <v>DSPW/SUPP.FI</v>
      </c>
    </row>
    <row r="207" spans="1:15" ht="26.25" customHeight="1">
      <c r="A207" s="142" t="str">
        <f>Query!A208</f>
        <v>20205</v>
      </c>
      <c r="B207" s="142" t="str">
        <f>MID(Query!B208,1,2)</f>
        <v>B1</v>
      </c>
      <c r="C207" s="144" t="str">
        <f>MID(Query!B208,4,50)</f>
        <v>TCS-1301C-C4026</v>
      </c>
      <c r="D207" s="142" t="str">
        <f>Query!C208</f>
        <v>1- C5XFE-R /ST/</v>
      </c>
      <c r="E207" s="142" t="str">
        <f>Query!D208</f>
        <v>2 x 2 x 1.0  mm²</v>
      </c>
      <c r="F207" s="142" t="s">
        <v>260</v>
      </c>
      <c r="G207" s="142" t="str">
        <f>Query!E208</f>
        <v>30</v>
      </c>
      <c r="H207" s="146" t="str">
        <f>Query!F208</f>
        <v>B1-TCS-1301C-XD42</v>
      </c>
      <c r="I207" s="142" t="str">
        <f>Query!G208</f>
        <v>TPS I/O and marshaling cabinet</v>
      </c>
      <c r="J207" s="142" t="s">
        <v>2851</v>
      </c>
      <c r="K207" s="146" t="str">
        <f>Query!K208</f>
        <v>B1-TCS-1311-X16</v>
      </c>
      <c r="L207" s="142" t="str">
        <f>Query!L208</f>
        <v>BOX TPC/OPS</v>
      </c>
      <c r="M207" s="142" t="s">
        <v>2851</v>
      </c>
      <c r="N207" s="128"/>
      <c r="O207" s="142" t="str">
        <f>Query!O208</f>
        <v>DSPW/SUPP.FI</v>
      </c>
    </row>
    <row r="208" spans="1:15" ht="26.25" customHeight="1">
      <c r="A208" s="142" t="str">
        <f>Query!A209</f>
        <v>20206</v>
      </c>
      <c r="B208" s="142" t="str">
        <f>MID(Query!B209,1,2)</f>
        <v>B1</v>
      </c>
      <c r="C208" s="144" t="str">
        <f>MID(Query!B209,4,50)</f>
        <v>TCS-1301C-C4027</v>
      </c>
      <c r="D208" s="142" t="str">
        <f>Query!C209</f>
        <v>1- C5XFE-R /ST/</v>
      </c>
      <c r="E208" s="142" t="str">
        <f>Query!D209</f>
        <v>2 x 2 x 1.0  mm²</v>
      </c>
      <c r="F208" s="142" t="s">
        <v>260</v>
      </c>
      <c r="G208" s="142" t="str">
        <f>Query!E209</f>
        <v>30</v>
      </c>
      <c r="H208" s="146" t="str">
        <f>Query!F209</f>
        <v>B1-TCS-1301C-XD42</v>
      </c>
      <c r="I208" s="142" t="str">
        <f>Query!G209</f>
        <v>TPS I/O and marshaling cabinet</v>
      </c>
      <c r="J208" s="142" t="s">
        <v>2851</v>
      </c>
      <c r="K208" s="146" t="str">
        <f>Query!K209</f>
        <v>B1-TCS-1311-X16</v>
      </c>
      <c r="L208" s="142" t="str">
        <f>Query!L209</f>
        <v>BOX TPC/OPS</v>
      </c>
      <c r="M208" s="142" t="s">
        <v>2851</v>
      </c>
      <c r="N208" s="128"/>
      <c r="O208" s="142" t="str">
        <f>Query!O209</f>
        <v>DSPW/SUPP.FI</v>
      </c>
    </row>
    <row r="209" spans="1:15" ht="26.25" customHeight="1">
      <c r="A209" s="142" t="str">
        <f>Query!A210</f>
        <v>20207</v>
      </c>
      <c r="B209" s="142" t="str">
        <f>MID(Query!B210,1,2)</f>
        <v>B1</v>
      </c>
      <c r="C209" s="144" t="str">
        <f>MID(Query!B210,4,50)</f>
        <v>TCS-1301C-C4028</v>
      </c>
      <c r="D209" s="142" t="str">
        <f>Query!C210</f>
        <v>1- C5XFE-R /ST/</v>
      </c>
      <c r="E209" s="142" t="str">
        <f>Query!D210</f>
        <v>10 x 2 x 1.0  mm²</v>
      </c>
      <c r="F209" s="142" t="s">
        <v>260</v>
      </c>
      <c r="G209" s="142" t="str">
        <f>Query!E210</f>
        <v>30</v>
      </c>
      <c r="H209" s="146" t="str">
        <f>Query!F210</f>
        <v>B1-TCS-1301C-XD42</v>
      </c>
      <c r="I209" s="142" t="str">
        <f>Query!G210</f>
        <v>TPS I/O and marshaling cabinet</v>
      </c>
      <c r="J209" s="142" t="s">
        <v>2851</v>
      </c>
      <c r="K209" s="146" t="s">
        <v>2853</v>
      </c>
      <c r="L209" s="146" t="s">
        <v>2853</v>
      </c>
      <c r="M209" s="142" t="s">
        <v>2851</v>
      </c>
      <c r="N209" s="128"/>
      <c r="O209" s="142" t="str">
        <f>Query!O210</f>
        <v>DSPW/SUPP.FI</v>
      </c>
    </row>
    <row r="210" spans="1:15" ht="26.25" customHeight="1">
      <c r="A210" s="142" t="str">
        <f>Query!A211</f>
        <v>20208</v>
      </c>
      <c r="B210" s="142" t="str">
        <f>MID(Query!B211,1,2)</f>
        <v>B1</v>
      </c>
      <c r="C210" s="144" t="str">
        <f>MID(Query!B211,4,50)</f>
        <v>TCS-1301C-C4029</v>
      </c>
      <c r="D210" s="142" t="str">
        <f>Query!C211</f>
        <v>1- C5XFE-R /ST/</v>
      </c>
      <c r="E210" s="142" t="str">
        <f>Query!D211</f>
        <v>10 x 2 x 1.0  mm²</v>
      </c>
      <c r="F210" s="142" t="s">
        <v>260</v>
      </c>
      <c r="G210" s="142" t="str">
        <f>Query!E211</f>
        <v>30</v>
      </c>
      <c r="H210" s="146" t="str">
        <f>Query!F211</f>
        <v>B1-TCS-1301C-XD42</v>
      </c>
      <c r="I210" s="142" t="str">
        <f>Query!G211</f>
        <v>TPS I/O and marshaling cabinet</v>
      </c>
      <c r="J210" s="142" t="s">
        <v>2851</v>
      </c>
      <c r="K210" s="146" t="str">
        <f>Query!K211</f>
        <v>B1-TCS-1311-X23</v>
      </c>
      <c r="L210" s="142" t="str">
        <f>Query!L211</f>
        <v>BOX TPC/OPS</v>
      </c>
      <c r="M210" s="142" t="s">
        <v>2851</v>
      </c>
      <c r="N210" s="128"/>
      <c r="O210" s="142" t="str">
        <f>Query!O211</f>
        <v>DSPW/SUPP.FI</v>
      </c>
    </row>
    <row r="211" spans="1:15" ht="26.25" customHeight="1">
      <c r="A211" s="142" t="str">
        <f>Query!A212</f>
        <v>20209</v>
      </c>
      <c r="B211" s="142" t="str">
        <f>MID(Query!B212,1,2)</f>
        <v>B1</v>
      </c>
      <c r="C211" s="144" t="str">
        <f>MID(Query!B212,4,50)</f>
        <v>TCS-1301C-C4030</v>
      </c>
      <c r="D211" s="142" t="str">
        <f>Query!C212</f>
        <v>1- C5XFE-R /ST/</v>
      </c>
      <c r="E211" s="142" t="str">
        <f>Query!D212</f>
        <v>2 x 2 x 1.0  mm²</v>
      </c>
      <c r="F211" s="142" t="s">
        <v>260</v>
      </c>
      <c r="G211" s="142" t="str">
        <f>Query!E212</f>
        <v>30</v>
      </c>
      <c r="H211" s="146" t="str">
        <f>Query!F212</f>
        <v>B1-TCS-1301C-XD41</v>
      </c>
      <c r="I211" s="142" t="str">
        <f>Query!G212</f>
        <v>TPS I/O and marshaling cabinet</v>
      </c>
      <c r="J211" s="142" t="s">
        <v>2851</v>
      </c>
      <c r="K211" s="146" t="str">
        <f>Query!K212</f>
        <v>B1-TCS-1321-X92</v>
      </c>
      <c r="L211" s="142" t="str">
        <f>Query!L212</f>
        <v>BOX OF VMS</v>
      </c>
      <c r="M211" s="142" t="s">
        <v>2851</v>
      </c>
      <c r="N211" s="128"/>
      <c r="O211" s="142" t="str">
        <f>Query!O212</f>
        <v>DSPW/SUPP.FI</v>
      </c>
    </row>
    <row r="212" spans="1:15" ht="26.25" customHeight="1">
      <c r="A212" s="142" t="str">
        <f>Query!A213</f>
        <v>20210</v>
      </c>
      <c r="B212" s="142" t="str">
        <f>MID(Query!B213,1,2)</f>
        <v>B1</v>
      </c>
      <c r="C212" s="144" t="str">
        <f>MID(Query!B213,4,50)</f>
        <v>TCS-1301C-C4031</v>
      </c>
      <c r="D212" s="142" t="str">
        <f>Query!C213</f>
        <v>1- C5XFE-R /ST/</v>
      </c>
      <c r="E212" s="142" t="str">
        <f>Query!D213</f>
        <v>2 x 2 x 1.0  mm²</v>
      </c>
      <c r="F212" s="142" t="s">
        <v>260</v>
      </c>
      <c r="G212" s="142" t="str">
        <f>Query!E213</f>
        <v>30</v>
      </c>
      <c r="H212" s="146" t="str">
        <f>Query!F213</f>
        <v>B1-TCS-1301C-XD41</v>
      </c>
      <c r="I212" s="142" t="str">
        <f>Query!G213</f>
        <v>TPS I/O and marshaling cabinet</v>
      </c>
      <c r="J212" s="142" t="s">
        <v>2851</v>
      </c>
      <c r="K212" s="146" t="str">
        <f>Query!K213</f>
        <v>B1-TCS-1321-X92</v>
      </c>
      <c r="L212" s="142" t="str">
        <f>Query!L213</f>
        <v>BOX OF VMS</v>
      </c>
      <c r="M212" s="142" t="s">
        <v>2851</v>
      </c>
      <c r="N212" s="128"/>
      <c r="O212" s="142" t="str">
        <f>Query!O213</f>
        <v>DSPW/SUPP.FI</v>
      </c>
    </row>
    <row r="213" spans="1:15" ht="26.25" customHeight="1">
      <c r="A213" s="142" t="str">
        <f>Query!A214</f>
        <v>20211</v>
      </c>
      <c r="B213" s="142" t="str">
        <f>MID(Query!B214,1,2)</f>
        <v>B1</v>
      </c>
      <c r="C213" s="144" t="str">
        <f>MID(Query!B214,4,50)</f>
        <v>TCS-1301C-C4032</v>
      </c>
      <c r="D213" s="142" t="str">
        <f>Query!C214</f>
        <v>1- C5XFE-R /ST/</v>
      </c>
      <c r="E213" s="142" t="str">
        <f>Query!D214</f>
        <v>5 x 2 x 1.0  mm²</v>
      </c>
      <c r="F213" s="142" t="s">
        <v>260</v>
      </c>
      <c r="G213" s="142" t="str">
        <f>Query!E214</f>
        <v>30</v>
      </c>
      <c r="H213" s="146" t="str">
        <f>Query!F214</f>
        <v>B1-TCS-1301C-XD41</v>
      </c>
      <c r="I213" s="142" t="str">
        <f>Query!G214</f>
        <v>TPS I/O and marshaling cabinet</v>
      </c>
      <c r="J213" s="142" t="s">
        <v>2851</v>
      </c>
      <c r="K213" s="146" t="str">
        <f>Query!K214</f>
        <v>B1-TCS-1321-X92</v>
      </c>
      <c r="L213" s="142" t="str">
        <f>Query!L214</f>
        <v>BOX OF VMS</v>
      </c>
      <c r="M213" s="142" t="s">
        <v>2851</v>
      </c>
      <c r="N213" s="128"/>
      <c r="O213" s="142" t="str">
        <f>Query!O214</f>
        <v>DSPW/SUPP.FI</v>
      </c>
    </row>
    <row r="214" spans="1:15" ht="26.25" customHeight="1">
      <c r="A214" s="142" t="str">
        <f>Query!A215</f>
        <v>20212</v>
      </c>
      <c r="B214" s="142" t="str">
        <f>MID(Query!B215,1,2)</f>
        <v>B1</v>
      </c>
      <c r="C214" s="144" t="str">
        <f>MID(Query!B215,4,50)</f>
        <v>TCS-1301C-C4033</v>
      </c>
      <c r="D214" s="142" t="str">
        <f>Query!C215</f>
        <v>1- C5XFE-R /ST/</v>
      </c>
      <c r="E214" s="142" t="str">
        <f>Query!D215</f>
        <v>10 x 2 x 1.0  mm²</v>
      </c>
      <c r="F214" s="142" t="s">
        <v>260</v>
      </c>
      <c r="G214" s="142" t="str">
        <f>Query!E215</f>
        <v>30</v>
      </c>
      <c r="H214" s="146" t="str">
        <f>Query!F215</f>
        <v>B1-TCS-1301C-XD41</v>
      </c>
      <c r="I214" s="142" t="str">
        <f>Query!G215</f>
        <v>TPS I/O and marshaling cabinet</v>
      </c>
      <c r="J214" s="142" t="s">
        <v>2851</v>
      </c>
      <c r="K214" s="146" t="str">
        <f>Query!K215</f>
        <v>B1-GEM-13001-CB01-SYS</v>
      </c>
      <c r="L214" s="142" t="str">
        <f>Query!L215</f>
        <v>PD monitoring</v>
      </c>
      <c r="M214" s="142" t="s">
        <v>2851</v>
      </c>
      <c r="N214" s="128"/>
      <c r="O214" s="142" t="str">
        <f>Query!O215</f>
        <v>DSPW/SUPP.FI</v>
      </c>
    </row>
    <row r="215" spans="1:15" ht="26.25" customHeight="1">
      <c r="A215" s="142" t="str">
        <f>Query!A216</f>
        <v>20213</v>
      </c>
      <c r="B215" s="142" t="str">
        <f>MID(Query!B216,1,2)</f>
        <v>B1</v>
      </c>
      <c r="C215" s="144" t="str">
        <f>MID(Query!B216,4,50)</f>
        <v>TCS-1301C-C4034</v>
      </c>
      <c r="D215" s="142" t="str">
        <f>Query!C216</f>
        <v>1- C5XFE-R /ST/</v>
      </c>
      <c r="E215" s="142" t="str">
        <f>Query!D216</f>
        <v>5 x 2 x 1.0  mm²</v>
      </c>
      <c r="F215" s="142" t="s">
        <v>260</v>
      </c>
      <c r="G215" s="142" t="str">
        <f>Query!E216</f>
        <v>30</v>
      </c>
      <c r="H215" s="146" t="str">
        <f>Query!F216</f>
        <v>B1-TCS-1301C-XD32</v>
      </c>
      <c r="I215" s="142" t="str">
        <f>Query!G216</f>
        <v>TPS I/O and marshaling cabinet</v>
      </c>
      <c r="J215" s="142" t="s">
        <v>2851</v>
      </c>
      <c r="K215" s="146" t="str">
        <f>Query!K216</f>
        <v>B1-VSD-13701-PLC01-MCC</v>
      </c>
      <c r="L215" s="142" t="str">
        <f>Query!L216</f>
        <v>MODULE SSTG</v>
      </c>
      <c r="M215" s="142" t="s">
        <v>2851</v>
      </c>
      <c r="N215" s="128"/>
      <c r="O215" s="142" t="str">
        <f>Query!O216</f>
        <v>DSPW/SUPP.FI</v>
      </c>
    </row>
    <row r="216" spans="1:15" ht="26.25" customHeight="1">
      <c r="A216" s="142" t="str">
        <f>Query!A217</f>
        <v>20214</v>
      </c>
      <c r="B216" s="142" t="str">
        <f>MID(Query!B217,1,2)</f>
        <v>B1</v>
      </c>
      <c r="C216" s="144" t="str">
        <f>MID(Query!B217,4,50)</f>
        <v>TCS-1301C-C4035</v>
      </c>
      <c r="D216" s="142" t="str">
        <f>Query!C217</f>
        <v>1- C5XFE-R /ST/</v>
      </c>
      <c r="E216" s="142" t="str">
        <f>Query!D217</f>
        <v>5 x 2 x 1.0  mm²</v>
      </c>
      <c r="F216" s="142" t="s">
        <v>260</v>
      </c>
      <c r="G216" s="142" t="str">
        <f>Query!E217</f>
        <v>30</v>
      </c>
      <c r="H216" s="146" t="str">
        <f>Query!F217</f>
        <v>B1-TCS-1301C-XD51</v>
      </c>
      <c r="I216" s="142" t="str">
        <f>Query!G217</f>
        <v>TPS I/O and marshaling cabinet</v>
      </c>
      <c r="J216" s="142" t="s">
        <v>2851</v>
      </c>
      <c r="K216" s="146" t="s">
        <v>2853</v>
      </c>
      <c r="L216" s="146" t="s">
        <v>2853</v>
      </c>
      <c r="M216" s="142" t="s">
        <v>2851</v>
      </c>
      <c r="N216" s="128"/>
      <c r="O216" s="142" t="str">
        <f>Query!O217</f>
        <v>DSPW/SUPP.FI</v>
      </c>
    </row>
    <row r="217" spans="1:15" ht="26.25" customHeight="1">
      <c r="A217" s="142" t="str">
        <f>Query!A218</f>
        <v>20215</v>
      </c>
      <c r="B217" s="142" t="str">
        <f>MID(Query!B218,1,2)</f>
        <v>B1</v>
      </c>
      <c r="C217" s="144" t="str">
        <f>MID(Query!B218,4,50)</f>
        <v>TCS-1301C-C4036</v>
      </c>
      <c r="D217" s="142" t="str">
        <f>Query!C218</f>
        <v>1- C5XFE-R /ST/</v>
      </c>
      <c r="E217" s="142" t="str">
        <f>Query!D218</f>
        <v>5 x 2 x 1.0  mm²</v>
      </c>
      <c r="F217" s="142" t="s">
        <v>260</v>
      </c>
      <c r="G217" s="142" t="str">
        <f>Query!E218</f>
        <v>30</v>
      </c>
      <c r="H217" s="146" t="str">
        <f>Query!F218</f>
        <v>B1-TCS-1301C-XD51</v>
      </c>
      <c r="I217" s="142" t="str">
        <f>Query!G218</f>
        <v>TPS I/O and marshaling cabinet</v>
      </c>
      <c r="J217" s="142" t="s">
        <v>2851</v>
      </c>
      <c r="K217" s="146" t="s">
        <v>2853</v>
      </c>
      <c r="L217" s="146" t="s">
        <v>2853</v>
      </c>
      <c r="M217" s="142" t="s">
        <v>2851</v>
      </c>
      <c r="N217" s="128"/>
      <c r="O217" s="142" t="str">
        <f>Query!O218</f>
        <v>DSPW/SUPP.FI</v>
      </c>
    </row>
    <row r="218" spans="1:15" ht="26.25" customHeight="1">
      <c r="A218" s="142" t="str">
        <f>Query!A219</f>
        <v>20216</v>
      </c>
      <c r="B218" s="142" t="str">
        <f>MID(Query!B219,1,2)</f>
        <v>B1</v>
      </c>
      <c r="C218" s="144" t="str">
        <f>MID(Query!B219,4,50)</f>
        <v>TCS-1301C-C4037</v>
      </c>
      <c r="D218" s="142" t="str">
        <f>Query!C219</f>
        <v>1- C5XFE-R /ST/</v>
      </c>
      <c r="E218" s="142" t="str">
        <f>Query!D219</f>
        <v>5 x 2 x 1.0  mm²</v>
      </c>
      <c r="F218" s="142" t="s">
        <v>260</v>
      </c>
      <c r="G218" s="142" t="str">
        <f>Query!E219</f>
        <v>30</v>
      </c>
      <c r="H218" s="146" t="str">
        <f>Query!F219</f>
        <v>B1-TCS-1301C-XD51</v>
      </c>
      <c r="I218" s="142" t="str">
        <f>Query!G219</f>
        <v>TPS I/O and marshaling cabinet</v>
      </c>
      <c r="J218" s="142" t="s">
        <v>2851</v>
      </c>
      <c r="K218" s="146" t="s">
        <v>2853</v>
      </c>
      <c r="L218" s="146" t="s">
        <v>2853</v>
      </c>
      <c r="M218" s="142" t="s">
        <v>2851</v>
      </c>
      <c r="N218" s="128"/>
      <c r="O218" s="142" t="str">
        <f>Query!O219</f>
        <v>DSPW/SUPP.FI</v>
      </c>
    </row>
    <row r="219" spans="1:15" ht="26.25" customHeight="1">
      <c r="A219" s="142" t="str">
        <f>Query!A220</f>
        <v>20217</v>
      </c>
      <c r="B219" s="142" t="str">
        <f>MID(Query!B220,1,2)</f>
        <v>B1</v>
      </c>
      <c r="C219" s="144" t="str">
        <f>MID(Query!B220,4,50)</f>
        <v>TCS-1301C-C4040</v>
      </c>
      <c r="D219" s="142" t="str">
        <f>Query!C220</f>
        <v>Cu</v>
      </c>
      <c r="E219" s="142" t="str">
        <f>Query!D220</f>
        <v>2 x 2.5  mm²</v>
      </c>
      <c r="F219" s="142" t="s">
        <v>260</v>
      </c>
      <c r="G219" s="142" t="str">
        <f>Query!E220</f>
        <v>100</v>
      </c>
      <c r="H219" s="146" t="str">
        <f>Query!F220</f>
        <v>B1-TCS-1301C-XD34</v>
      </c>
      <c r="I219" s="142" t="str">
        <f>Query!G220</f>
        <v>TPS I/O and marshaling cabinet</v>
      </c>
      <c r="J219" s="142" t="s">
        <v>2851</v>
      </c>
      <c r="K219" s="146" t="str">
        <f>Query!K220</f>
        <v>B1-XV-13653 X42</v>
      </c>
      <c r="L219" s="142" t="str">
        <f>Query!L220</f>
        <v>EADSV DRAIN G2</v>
      </c>
      <c r="M219" s="142" t="s">
        <v>2852</v>
      </c>
      <c r="N219" s="128"/>
      <c r="O219" s="142" t="str">
        <f>Query!O220</f>
        <v>DSPW/SUPP.FI</v>
      </c>
    </row>
    <row r="220" spans="1:15" ht="26.25" customHeight="1">
      <c r="A220" s="142" t="str">
        <f>Query!A221</f>
        <v>20218</v>
      </c>
      <c r="B220" s="142" t="str">
        <f>MID(Query!B221,1,2)</f>
        <v>B1</v>
      </c>
      <c r="C220" s="144" t="str">
        <f>MID(Query!B221,4,50)</f>
        <v>TCS-1301C-C4060</v>
      </c>
      <c r="D220" s="142" t="str">
        <f>Query!C221</f>
        <v>FR-CVV-AMS-I/C</v>
      </c>
      <c r="E220" s="142" t="str">
        <f>Query!D221</f>
        <v>8 x 2 x 1  mm²</v>
      </c>
      <c r="F220" s="142" t="s">
        <v>260</v>
      </c>
      <c r="G220" s="142" t="str">
        <f>Query!E221</f>
        <v>100</v>
      </c>
      <c r="H220" s="146" t="str">
        <f>Query!F221</f>
        <v>B1-TCS-1301C-XD32</v>
      </c>
      <c r="I220" s="142" t="str">
        <f>Query!G221</f>
        <v>TPS I/O and marshaling cabinet</v>
      </c>
      <c r="J220" s="142" t="s">
        <v>2851</v>
      </c>
      <c r="K220" s="146" t="str">
        <f>Query!K221</f>
        <v>B1-GE-13001-EH01-MCC</v>
      </c>
      <c r="L220" s="142" t="str">
        <f>Query!L221</f>
        <v>GENERATOR HEATERS</v>
      </c>
      <c r="M220" s="142" t="s">
        <v>2851</v>
      </c>
      <c r="N220" s="128"/>
      <c r="O220" s="142" t="str">
        <f>Query!O221</f>
        <v>CLIENT</v>
      </c>
    </row>
    <row r="221" spans="1:15" ht="26.25" customHeight="1">
      <c r="A221" s="142" t="str">
        <f>Query!A222</f>
        <v>20219</v>
      </c>
      <c r="B221" s="142" t="str">
        <f>MID(Query!B222,1,2)</f>
        <v>B1</v>
      </c>
      <c r="C221" s="144" t="str">
        <f>MID(Query!B222,4,50)</f>
        <v>TCS-1301C-C4061</v>
      </c>
      <c r="D221" s="142" t="str">
        <f>Query!C222</f>
        <v>FR-CVV-AMS-I/C</v>
      </c>
      <c r="E221" s="142" t="str">
        <f>Query!D222</f>
        <v>8 x 2 x 1  mm²</v>
      </c>
      <c r="F221" s="142" t="s">
        <v>260</v>
      </c>
      <c r="G221" s="142" t="str">
        <f>Query!E222</f>
        <v>100</v>
      </c>
      <c r="H221" s="146" t="str">
        <f>Query!F222</f>
        <v>B1-TCS-1301C-XD32</v>
      </c>
      <c r="I221" s="142" t="str">
        <f>Query!G222</f>
        <v>TPS I/O and marshaling cabinet</v>
      </c>
      <c r="J221" s="142" t="s">
        <v>2851</v>
      </c>
      <c r="K221" s="146" t="str">
        <f>Query!K222</f>
        <v>B1-SKD-13101-P01A-MCC</v>
      </c>
      <c r="L221" s="142" t="str">
        <f>Query!L222</f>
        <v>MOTOR CONTROL OIL PUMP 1</v>
      </c>
      <c r="M221" s="142" t="s">
        <v>2851</v>
      </c>
      <c r="N221" s="128"/>
      <c r="O221" s="142" t="str">
        <f>Query!O222</f>
        <v>CLIENT</v>
      </c>
    </row>
    <row r="222" spans="1:15" ht="26.25" customHeight="1">
      <c r="A222" s="142" t="str">
        <f>Query!A223</f>
        <v>20220</v>
      </c>
      <c r="B222" s="142" t="str">
        <f>MID(Query!B223,1,2)</f>
        <v>B1</v>
      </c>
      <c r="C222" s="144" t="str">
        <f>MID(Query!B223,4,50)</f>
        <v>TCS-1301C-C4062</v>
      </c>
      <c r="D222" s="142" t="str">
        <f>Query!C223</f>
        <v>FR-CVV-AMS-I/C</v>
      </c>
      <c r="E222" s="142" t="str">
        <f>Query!D223</f>
        <v>8 x 2 x 1  mm²</v>
      </c>
      <c r="F222" s="142" t="s">
        <v>260</v>
      </c>
      <c r="G222" s="142" t="str">
        <f>Query!E223</f>
        <v>100</v>
      </c>
      <c r="H222" s="146" t="str">
        <f>Query!F223</f>
        <v>B1-TCS-1301C-XD32</v>
      </c>
      <c r="I222" s="142" t="str">
        <f>Query!G223</f>
        <v>TPS I/O and marshaling cabinet</v>
      </c>
      <c r="J222" s="142" t="s">
        <v>2851</v>
      </c>
      <c r="K222" s="146" t="str">
        <f>Query!K223</f>
        <v>B1-SKD-13101-P01B-MCC</v>
      </c>
      <c r="L222" s="142" t="str">
        <f>Query!L223</f>
        <v>MOTOR CONTROL OIL PUMP 2</v>
      </c>
      <c r="M222" s="142" t="s">
        <v>2851</v>
      </c>
      <c r="N222" s="128"/>
      <c r="O222" s="142" t="str">
        <f>Query!O223</f>
        <v>CLIENT</v>
      </c>
    </row>
    <row r="223" spans="1:15" ht="26.25" customHeight="1">
      <c r="A223" s="142" t="str">
        <f>Query!A224</f>
        <v>20221</v>
      </c>
      <c r="B223" s="142" t="str">
        <f>MID(Query!B224,1,2)</f>
        <v>B1</v>
      </c>
      <c r="C223" s="144" t="str">
        <f>MID(Query!B224,4,50)</f>
        <v>TCS-1301C-C4063</v>
      </c>
      <c r="D223" s="142" t="str">
        <f>Query!C224</f>
        <v>FR-CVV-AMS-I/C</v>
      </c>
      <c r="E223" s="142" t="str">
        <f>Query!D224</f>
        <v>8 x 2 x 1  mm²</v>
      </c>
      <c r="F223" s="142" t="s">
        <v>260</v>
      </c>
      <c r="G223" s="142" t="str">
        <f>Query!E224</f>
        <v>100</v>
      </c>
      <c r="H223" s="146" t="str">
        <f>Query!F224</f>
        <v>B1-TCS-1301C-XD32</v>
      </c>
      <c r="I223" s="142" t="str">
        <f>Query!G224</f>
        <v>TPS I/O and marshaling cabinet</v>
      </c>
      <c r="J223" s="142" t="s">
        <v>2851</v>
      </c>
      <c r="K223" s="146" t="str">
        <f>Query!K224</f>
        <v>B1-SKD-13101-P03-MCC</v>
      </c>
      <c r="L223" s="142" t="str">
        <f>Query!L224</f>
        <v>MOTOR WATR.SEPARATION</v>
      </c>
      <c r="M223" s="142" t="s">
        <v>2851</v>
      </c>
      <c r="N223" s="128"/>
      <c r="O223" s="142" t="str">
        <f>Query!O224</f>
        <v>CLIENT</v>
      </c>
    </row>
    <row r="224" spans="1:15" ht="26.25" customHeight="1">
      <c r="A224" s="142" t="str">
        <f>Query!A225</f>
        <v>20222</v>
      </c>
      <c r="B224" s="142" t="str">
        <f>MID(Query!B225,1,2)</f>
        <v>B1</v>
      </c>
      <c r="C224" s="144" t="str">
        <f>MID(Query!B225,4,50)</f>
        <v>TCS-1301C-C4064</v>
      </c>
      <c r="D224" s="142" t="str">
        <f>Query!C225</f>
        <v>FR-CVV-AMS-I/C</v>
      </c>
      <c r="E224" s="142" t="str">
        <f>Query!D225</f>
        <v>8 x 2 x 1  mm²</v>
      </c>
      <c r="F224" s="142" t="s">
        <v>260</v>
      </c>
      <c r="G224" s="142" t="str">
        <f>Query!E225</f>
        <v>100</v>
      </c>
      <c r="H224" s="146" t="str">
        <f>Query!F225</f>
        <v>B1-TCS-1301C-XD32</v>
      </c>
      <c r="I224" s="142" t="str">
        <f>Query!G225</f>
        <v>TPS I/O and marshaling cabinet</v>
      </c>
      <c r="J224" s="142" t="s">
        <v>2851</v>
      </c>
      <c r="K224" s="146" t="str">
        <f>Query!K225</f>
        <v>B1-SKD-13201-DR80A-MCC</v>
      </c>
      <c r="L224" s="142" t="str">
        <f>Query!L225</f>
        <v>MOTOR EXHAUS.FAN 1</v>
      </c>
      <c r="M224" s="142" t="s">
        <v>2851</v>
      </c>
      <c r="N224" s="128"/>
      <c r="O224" s="142" t="str">
        <f>Query!O225</f>
        <v>CLIENT</v>
      </c>
    </row>
    <row r="225" spans="1:15" ht="26.25" customHeight="1">
      <c r="A225" s="142" t="str">
        <f>Query!A226</f>
        <v>20223</v>
      </c>
      <c r="B225" s="142" t="str">
        <f>MID(Query!B226,1,2)</f>
        <v>B1</v>
      </c>
      <c r="C225" s="144" t="str">
        <f>MID(Query!B226,4,50)</f>
        <v>TCS-1301C-C4065</v>
      </c>
      <c r="D225" s="142" t="str">
        <f>Query!C226</f>
        <v>FR-CVV-AMS-I/C</v>
      </c>
      <c r="E225" s="142" t="str">
        <f>Query!D226</f>
        <v>8 x 2 x 1  mm²</v>
      </c>
      <c r="F225" s="142" t="s">
        <v>260</v>
      </c>
      <c r="G225" s="142" t="str">
        <f>Query!E226</f>
        <v>100</v>
      </c>
      <c r="H225" s="146" t="str">
        <f>Query!F226</f>
        <v>B1-TCS-1301C-XD32</v>
      </c>
      <c r="I225" s="142" t="str">
        <f>Query!G226</f>
        <v>TPS I/O and marshaling cabinet</v>
      </c>
      <c r="J225" s="142" t="s">
        <v>2851</v>
      </c>
      <c r="K225" s="146" t="str">
        <f>Query!K226</f>
        <v>B1-SKD-13201-DR80B-MCC</v>
      </c>
      <c r="L225" s="142" t="str">
        <f>Query!L226</f>
        <v>MOTOR EXHAUS.FAN 2</v>
      </c>
      <c r="M225" s="142" t="s">
        <v>2851</v>
      </c>
      <c r="N225" s="128"/>
      <c r="O225" s="142" t="str">
        <f>Query!O226</f>
        <v>CLIENT</v>
      </c>
    </row>
    <row r="226" spans="1:15" ht="26.25" customHeight="1">
      <c r="A226" s="142" t="str">
        <f>Query!A227</f>
        <v>20224</v>
      </c>
      <c r="B226" s="142" t="str">
        <f>MID(Query!B227,1,2)</f>
        <v>B1</v>
      </c>
      <c r="C226" s="144" t="str">
        <f>MID(Query!B227,4,50)</f>
        <v>TCS-1301C-C4066</v>
      </c>
      <c r="D226" s="142" t="str">
        <f>Query!C227</f>
        <v>FR-CVV-AMS-I/C</v>
      </c>
      <c r="E226" s="142" t="str">
        <f>Query!D227</f>
        <v>8 x 2 x 1  mm²</v>
      </c>
      <c r="F226" s="142" t="s">
        <v>260</v>
      </c>
      <c r="G226" s="142" t="str">
        <f>Query!E227</f>
        <v>100</v>
      </c>
      <c r="H226" s="146" t="str">
        <f>Query!F227</f>
        <v>B1-TCS-1301C-XD32</v>
      </c>
      <c r="I226" s="142" t="str">
        <f>Query!G227</f>
        <v>TPS I/O and marshaling cabinet</v>
      </c>
      <c r="J226" s="142" t="s">
        <v>2851</v>
      </c>
      <c r="K226" s="146" t="str">
        <f>Query!K227</f>
        <v>B1-SKD-13201-H71-MCC</v>
      </c>
      <c r="L226" s="142" t="str">
        <f>Query!L227</f>
        <v>HEATER MOT 1</v>
      </c>
      <c r="M226" s="142" t="s">
        <v>2851</v>
      </c>
      <c r="N226" s="128"/>
      <c r="O226" s="142" t="str">
        <f>Query!O227</f>
        <v>CLIENT</v>
      </c>
    </row>
    <row r="227" spans="1:15" ht="26.25" customHeight="1">
      <c r="A227" s="142" t="str">
        <f>Query!A228</f>
        <v>20225</v>
      </c>
      <c r="B227" s="142" t="str">
        <f>MID(Query!B228,1,2)</f>
        <v>B1</v>
      </c>
      <c r="C227" s="144" t="str">
        <f>MID(Query!B228,4,50)</f>
        <v>TCS-1301C-C4067</v>
      </c>
      <c r="D227" s="142" t="str">
        <f>Query!C228</f>
        <v>FR-CVV-AMS-I/C</v>
      </c>
      <c r="E227" s="142" t="str">
        <f>Query!D228</f>
        <v>8 x 2 x 1  mm²</v>
      </c>
      <c r="F227" s="142" t="s">
        <v>260</v>
      </c>
      <c r="G227" s="142" t="str">
        <f>Query!E228</f>
        <v>100</v>
      </c>
      <c r="H227" s="146" t="str">
        <f>Query!F228</f>
        <v>B1-TCS-1301C-XD32</v>
      </c>
      <c r="I227" s="142" t="str">
        <f>Query!G228</f>
        <v>TPS I/O and marshaling cabinet</v>
      </c>
      <c r="J227" s="142" t="s">
        <v>2851</v>
      </c>
      <c r="K227" s="146" t="str">
        <f>Query!K228</f>
        <v>B1-SKD-13201-H72-MCC</v>
      </c>
      <c r="L227" s="142" t="str">
        <f>Query!L228</f>
        <v>HEATER MOT 2</v>
      </c>
      <c r="M227" s="142" t="s">
        <v>2851</v>
      </c>
      <c r="N227" s="128"/>
      <c r="O227" s="142" t="str">
        <f>Query!O228</f>
        <v>CLIENT</v>
      </c>
    </row>
    <row r="228" spans="1:15" ht="26.25" customHeight="1">
      <c r="A228" s="142" t="str">
        <f>Query!A229</f>
        <v>20226</v>
      </c>
      <c r="B228" s="142" t="str">
        <f>MID(Query!B229,1,2)</f>
        <v>B1</v>
      </c>
      <c r="C228" s="144" t="str">
        <f>MID(Query!B229,4,50)</f>
        <v>TCS-1301C-C4068</v>
      </c>
      <c r="D228" s="142" t="str">
        <f>Query!C229</f>
        <v>FR-CVV-AMS-I/C</v>
      </c>
      <c r="E228" s="142" t="str">
        <f>Query!D229</f>
        <v>8 x 2 x 1  mm²</v>
      </c>
      <c r="F228" s="142" t="s">
        <v>260</v>
      </c>
      <c r="G228" s="142" t="str">
        <f>Query!E229</f>
        <v>100</v>
      </c>
      <c r="H228" s="146" t="str">
        <f>Query!F229</f>
        <v>B1-TCS-1301C-XD32</v>
      </c>
      <c r="I228" s="142" t="str">
        <f>Query!G229</f>
        <v>TPS I/O and marshaling cabinet</v>
      </c>
      <c r="J228" s="142" t="s">
        <v>2851</v>
      </c>
      <c r="K228" s="146" t="str">
        <f>Query!K229</f>
        <v>B1-SKD-13201-P73A-MCC</v>
      </c>
      <c r="L228" s="142" t="str">
        <f>Query!L229</f>
        <v>MOTOR MOP 1</v>
      </c>
      <c r="M228" s="142" t="s">
        <v>2851</v>
      </c>
      <c r="N228" s="128"/>
      <c r="O228" s="142" t="str">
        <f>Query!O229</f>
        <v>CLIENT</v>
      </c>
    </row>
    <row r="229" spans="1:15" ht="26.25" customHeight="1">
      <c r="A229" s="142" t="str">
        <f>Query!A230</f>
        <v>20227</v>
      </c>
      <c r="B229" s="142" t="str">
        <f>MID(Query!B230,1,2)</f>
        <v>B1</v>
      </c>
      <c r="C229" s="144" t="str">
        <f>MID(Query!B230,4,50)</f>
        <v>TCS-1301C-C4069</v>
      </c>
      <c r="D229" s="142" t="str">
        <f>Query!C230</f>
        <v>FR-CVV-AMS-I/C</v>
      </c>
      <c r="E229" s="142" t="str">
        <f>Query!D230</f>
        <v>8 x 2 x 1  mm²</v>
      </c>
      <c r="F229" s="142" t="s">
        <v>260</v>
      </c>
      <c r="G229" s="142" t="str">
        <f>Query!E230</f>
        <v>100</v>
      </c>
      <c r="H229" s="146" t="str">
        <f>Query!F230</f>
        <v>B1-TCS-1301C-XD32</v>
      </c>
      <c r="I229" s="142" t="str">
        <f>Query!G230</f>
        <v>TPS I/O and marshaling cabinet</v>
      </c>
      <c r="J229" s="142" t="s">
        <v>2851</v>
      </c>
      <c r="K229" s="146" t="str">
        <f>Query!K230</f>
        <v>B1-SKD-13201-P73B-MCC</v>
      </c>
      <c r="L229" s="142" t="str">
        <f>Query!L230</f>
        <v>MOTOR MOP 2</v>
      </c>
      <c r="M229" s="142" t="s">
        <v>2851</v>
      </c>
      <c r="N229" s="128"/>
      <c r="O229" s="142" t="str">
        <f>Query!O230</f>
        <v>CLIENT</v>
      </c>
    </row>
    <row r="230" spans="1:15" ht="26.25" customHeight="1">
      <c r="A230" s="142" t="str">
        <f>Query!A231</f>
        <v>20228</v>
      </c>
      <c r="B230" s="142" t="str">
        <f>MID(Query!B231,1,2)</f>
        <v>B1</v>
      </c>
      <c r="C230" s="144" t="str">
        <f>MID(Query!B231,4,50)</f>
        <v>TCS-1301C-C4070</v>
      </c>
      <c r="D230" s="142" t="str">
        <f>Query!C231</f>
        <v>FR-CVV-AMS-I/C</v>
      </c>
      <c r="E230" s="142" t="str">
        <f>Query!D231</f>
        <v>8 x 2 x 1  mm²</v>
      </c>
      <c r="F230" s="142" t="s">
        <v>260</v>
      </c>
      <c r="G230" s="142" t="str">
        <f>Query!E231</f>
        <v>100</v>
      </c>
      <c r="H230" s="146" t="str">
        <f>Query!F231</f>
        <v>B1-TCS-1301C-XD32</v>
      </c>
      <c r="I230" s="142" t="str">
        <f>Query!G231</f>
        <v>TPS I/O and marshaling cabinet</v>
      </c>
      <c r="J230" s="142" t="s">
        <v>2851</v>
      </c>
      <c r="K230" s="146" t="str">
        <f>Query!K231</f>
        <v>B1-SKD-13201-P78A-MCC</v>
      </c>
      <c r="L230" s="142" t="str">
        <f>Query!L231</f>
        <v>MOTOR JACK.OIL PUMP 1</v>
      </c>
      <c r="M230" s="142" t="s">
        <v>2851</v>
      </c>
      <c r="N230" s="128"/>
      <c r="O230" s="142" t="str">
        <f>Query!O231</f>
        <v>CLIENT</v>
      </c>
    </row>
    <row r="231" spans="1:15" ht="26.25" customHeight="1">
      <c r="A231" s="142" t="str">
        <f>Query!A232</f>
        <v>20229</v>
      </c>
      <c r="B231" s="142" t="str">
        <f>MID(Query!B232,1,2)</f>
        <v>B1</v>
      </c>
      <c r="C231" s="144" t="str">
        <f>MID(Query!B232,4,50)</f>
        <v>TCS-1301C-C4071</v>
      </c>
      <c r="D231" s="142" t="str">
        <f>Query!C232</f>
        <v>FR-CVV-AMS-I/C</v>
      </c>
      <c r="E231" s="142" t="str">
        <f>Query!D232</f>
        <v>8 x 2 x 1  mm²</v>
      </c>
      <c r="F231" s="142" t="s">
        <v>260</v>
      </c>
      <c r="G231" s="142" t="str">
        <f>Query!E232</f>
        <v>100</v>
      </c>
      <c r="H231" s="146" t="str">
        <f>Query!F232</f>
        <v>B1-TCS-1301C-XD32</v>
      </c>
      <c r="I231" s="142" t="str">
        <f>Query!G232</f>
        <v>TPS I/O and marshaling cabinet</v>
      </c>
      <c r="J231" s="142" t="s">
        <v>2851</v>
      </c>
      <c r="K231" s="146" t="str">
        <f>Query!K232</f>
        <v>B1-SKD-13201-P78B-MCC</v>
      </c>
      <c r="L231" s="142" t="str">
        <f>Query!L232</f>
        <v>MOTOR JACK.OIL PUMP 2</v>
      </c>
      <c r="M231" s="142" t="s">
        <v>2851</v>
      </c>
      <c r="N231" s="128"/>
      <c r="O231" s="142" t="str">
        <f>Query!O232</f>
        <v>CLIENT</v>
      </c>
    </row>
    <row r="232" spans="1:15" ht="26.25" customHeight="1">
      <c r="A232" s="142" t="str">
        <f>Query!A233</f>
        <v>20230</v>
      </c>
      <c r="B232" s="142" t="str">
        <f>MID(Query!B233,1,2)</f>
        <v>B1</v>
      </c>
      <c r="C232" s="144" t="str">
        <f>MID(Query!B233,4,50)</f>
        <v>TCS-1301C-C4072</v>
      </c>
      <c r="D232" s="142" t="str">
        <f>Query!C233</f>
        <v>FR-CVV-AMS-I/C</v>
      </c>
      <c r="E232" s="142" t="str">
        <f>Query!D233</f>
        <v>8 x 2 x 1  mm²</v>
      </c>
      <c r="F232" s="142" t="s">
        <v>260</v>
      </c>
      <c r="G232" s="142" t="str">
        <f>Query!E233</f>
        <v>100</v>
      </c>
      <c r="H232" s="146" t="str">
        <f>Query!F233</f>
        <v>B1-TCS-1301C-XD32</v>
      </c>
      <c r="I232" s="142" t="str">
        <f>Query!G233</f>
        <v>TPS I/O and marshaling cabinet</v>
      </c>
      <c r="J232" s="142" t="s">
        <v>2851</v>
      </c>
      <c r="K232" s="146" t="str">
        <f>Query!K233</f>
        <v>B1-SKD-13921-DR02A-MCC</v>
      </c>
      <c r="L232" s="142" t="str">
        <f>Query!L233</f>
        <v>MOTOR OF VAC.PUMPS 1</v>
      </c>
      <c r="M232" s="142" t="s">
        <v>2851</v>
      </c>
      <c r="N232" s="128"/>
      <c r="O232" s="142" t="str">
        <f>Query!O233</f>
        <v>CLIENT</v>
      </c>
    </row>
    <row r="233" spans="1:15" ht="26.25" customHeight="1">
      <c r="A233" s="142" t="str">
        <f>Query!A234</f>
        <v>20231</v>
      </c>
      <c r="B233" s="142" t="str">
        <f>MID(Query!B234,1,2)</f>
        <v>B1</v>
      </c>
      <c r="C233" s="144" t="str">
        <f>MID(Query!B234,4,50)</f>
        <v>TCS-1301C-C4073</v>
      </c>
      <c r="D233" s="142" t="str">
        <f>Query!C234</f>
        <v>FR-CVV-AMS-I/C</v>
      </c>
      <c r="E233" s="142" t="str">
        <f>Query!D234</f>
        <v>8 x 2 x 1  mm²</v>
      </c>
      <c r="F233" s="142" t="s">
        <v>260</v>
      </c>
      <c r="G233" s="142" t="str">
        <f>Query!E234</f>
        <v>100</v>
      </c>
      <c r="H233" s="146" t="str">
        <f>Query!F234</f>
        <v>B1-TCS-1301C-XD32</v>
      </c>
      <c r="I233" s="142" t="str">
        <f>Query!G234</f>
        <v>TPS I/O and marshaling cabinet</v>
      </c>
      <c r="J233" s="142" t="s">
        <v>2851</v>
      </c>
      <c r="K233" s="146" t="str">
        <f>Query!K234</f>
        <v>B1-SKD-13921-DR02B-MCC</v>
      </c>
      <c r="L233" s="142" t="str">
        <f>Query!L234</f>
        <v>MOTOR OF VAC.PUMPS 2</v>
      </c>
      <c r="M233" s="142" t="s">
        <v>2851</v>
      </c>
      <c r="N233" s="128"/>
      <c r="O233" s="142" t="str">
        <f>Query!O234</f>
        <v>CLIENT</v>
      </c>
    </row>
    <row r="234" spans="1:15" ht="26.25" customHeight="1">
      <c r="A234" s="142" t="str">
        <f>Query!A235</f>
        <v>20232</v>
      </c>
      <c r="B234" s="142" t="str">
        <f>MID(Query!B235,1,2)</f>
        <v>B1</v>
      </c>
      <c r="C234" s="144" t="str">
        <f>MID(Query!B235,4,50)</f>
        <v>TCS-1301C-C4074</v>
      </c>
      <c r="D234" s="142" t="str">
        <f>Query!C235</f>
        <v>1- C5XFE-R /ST/</v>
      </c>
      <c r="E234" s="142" t="str">
        <f>Query!D235</f>
        <v>2 x 2 x 1.0  mm²</v>
      </c>
      <c r="F234" s="142" t="s">
        <v>260</v>
      </c>
      <c r="G234" s="142" t="str">
        <f>Query!E235</f>
        <v>100</v>
      </c>
      <c r="H234" s="146" t="str">
        <f>Query!F235</f>
        <v>B1-TCS-1301C-XD32</v>
      </c>
      <c r="I234" s="142" t="str">
        <f>Query!G235</f>
        <v>TPS I/O and marshaling cabinet</v>
      </c>
      <c r="J234" s="142" t="s">
        <v>2851</v>
      </c>
      <c r="K234" s="146" t="str">
        <f>Query!K235</f>
        <v>B1-MOV-13405-MCC</v>
      </c>
      <c r="L234" s="142" t="str">
        <f>Query!L235</f>
        <v>EDSV DRAIN L1</v>
      </c>
      <c r="M234" s="142" t="s">
        <v>2851</v>
      </c>
      <c r="N234" s="128"/>
      <c r="O234" s="142" t="str">
        <f>Query!O235</f>
        <v>CLIENT</v>
      </c>
    </row>
    <row r="235" spans="1:15" ht="26.25" customHeight="1">
      <c r="A235" s="142" t="str">
        <f>Query!A236</f>
        <v>20233</v>
      </c>
      <c r="B235" s="142" t="str">
        <f>MID(Query!B236,1,2)</f>
        <v>B1</v>
      </c>
      <c r="C235" s="144" t="str">
        <f>MID(Query!B236,4,50)</f>
        <v>TCS-1301C-C4075</v>
      </c>
      <c r="D235" s="142" t="str">
        <f>Query!C236</f>
        <v>1- C5XFE-R /ST/</v>
      </c>
      <c r="E235" s="142" t="str">
        <f>Query!D236</f>
        <v>2 x 2 x 1.0  mm²</v>
      </c>
      <c r="F235" s="142" t="s">
        <v>260</v>
      </c>
      <c r="G235" s="142" t="str">
        <f>Query!E236</f>
        <v>100</v>
      </c>
      <c r="H235" s="146" t="str">
        <f>Query!F236</f>
        <v>B1-TCS-1301C-XD32</v>
      </c>
      <c r="I235" s="142" t="str">
        <f>Query!G236</f>
        <v>TPS I/O and marshaling cabinet</v>
      </c>
      <c r="J235" s="142" t="s">
        <v>2851</v>
      </c>
      <c r="K235" s="146" t="str">
        <f>Query!K236</f>
        <v>B1-MOV-13409-MCC</v>
      </c>
      <c r="L235" s="142" t="str">
        <f>Query!L236</f>
        <v>EDSV DRAIN L2</v>
      </c>
      <c r="M235" s="142" t="s">
        <v>2851</v>
      </c>
      <c r="N235" s="128"/>
      <c r="O235" s="142" t="str">
        <f>Query!O236</f>
        <v>CLIENT</v>
      </c>
    </row>
    <row r="236" spans="1:15" ht="26.25" customHeight="1">
      <c r="A236" s="142" t="str">
        <f>Query!A237</f>
        <v>20234</v>
      </c>
      <c r="B236" s="142" t="str">
        <f>MID(Query!B237,1,2)</f>
        <v>B1</v>
      </c>
      <c r="C236" s="144" t="str">
        <f>MID(Query!B237,4,50)</f>
        <v>TCS-1301C-C4076</v>
      </c>
      <c r="D236" s="142" t="str">
        <f>Query!C237</f>
        <v>1- C5XFE-R /ST/</v>
      </c>
      <c r="E236" s="142" t="str">
        <f>Query!D237</f>
        <v>2 x 2 x 1.0  mm²</v>
      </c>
      <c r="F236" s="142" t="s">
        <v>260</v>
      </c>
      <c r="G236" s="142" t="str">
        <f>Query!E237</f>
        <v>100</v>
      </c>
      <c r="H236" s="146" t="str">
        <f>Query!F237</f>
        <v>B1-TCS-1301C-XD32</v>
      </c>
      <c r="I236" s="142" t="str">
        <f>Query!G237</f>
        <v>TPS I/O and marshaling cabinet</v>
      </c>
      <c r="J236" s="142" t="s">
        <v>2851</v>
      </c>
      <c r="K236" s="146" t="str">
        <f>Query!K237</f>
        <v>B1-MOV-13561-MCC</v>
      </c>
      <c r="L236" s="142" t="str">
        <f>Query!L237</f>
        <v>EDSV DRAIN T2</v>
      </c>
      <c r="M236" s="142" t="s">
        <v>2851</v>
      </c>
      <c r="N236" s="128"/>
      <c r="O236" s="142" t="str">
        <f>Query!O237</f>
        <v>CLIENT</v>
      </c>
    </row>
    <row r="237" spans="1:15" ht="26.25" customHeight="1">
      <c r="A237" s="142" t="str">
        <f>Query!A238</f>
        <v>20235</v>
      </c>
      <c r="B237" s="142" t="str">
        <f>MID(Query!B238,1,2)</f>
        <v>B1</v>
      </c>
      <c r="C237" s="144" t="str">
        <f>MID(Query!B238,4,50)</f>
        <v>TCS-1301C-C4077</v>
      </c>
      <c r="D237" s="142" t="str">
        <f>Query!C238</f>
        <v>1- C5XFE-R /ST/</v>
      </c>
      <c r="E237" s="142" t="str">
        <f>Query!D238</f>
        <v>2 x 2 x 1.0  mm²</v>
      </c>
      <c r="F237" s="142" t="s">
        <v>260</v>
      </c>
      <c r="G237" s="142" t="str">
        <f>Query!E238</f>
        <v>100</v>
      </c>
      <c r="H237" s="146" t="str">
        <f>Query!F238</f>
        <v>B1-TCS-1301C-XD32</v>
      </c>
      <c r="I237" s="142" t="str">
        <f>Query!G238</f>
        <v>TPS I/O and marshaling cabinet</v>
      </c>
      <c r="J237" s="142" t="s">
        <v>2851</v>
      </c>
      <c r="K237" s="146" t="str">
        <f>Query!K238</f>
        <v>B1-MOV-13564-MCC</v>
      </c>
      <c r="L237" s="142" t="str">
        <f>Query!L238</f>
        <v>EDSV DRAIN T3</v>
      </c>
      <c r="M237" s="142" t="s">
        <v>2851</v>
      </c>
      <c r="N237" s="128"/>
      <c r="O237" s="142" t="str">
        <f>Query!O238</f>
        <v>CLIENT</v>
      </c>
    </row>
    <row r="238" spans="1:15" ht="26.25" customHeight="1">
      <c r="A238" s="142" t="str">
        <f>Query!A239</f>
        <v>20236</v>
      </c>
      <c r="B238" s="142" t="str">
        <f>MID(Query!B239,1,2)</f>
        <v>B1</v>
      </c>
      <c r="C238" s="144" t="str">
        <f>MID(Query!B239,4,50)</f>
        <v>TCS-1301C-C4078</v>
      </c>
      <c r="D238" s="142" t="str">
        <f>Query!C239</f>
        <v>1- C5XFE-R /ST/</v>
      </c>
      <c r="E238" s="142" t="str">
        <f>Query!D239</f>
        <v>2 x 2 x 1.0  mm²</v>
      </c>
      <c r="F238" s="142" t="s">
        <v>260</v>
      </c>
      <c r="G238" s="142" t="str">
        <f>Query!E239</f>
        <v>100</v>
      </c>
      <c r="H238" s="146" t="str">
        <f>Query!F239</f>
        <v>B1-TCS-1301C-XD32</v>
      </c>
      <c r="I238" s="142" t="str">
        <f>Query!G239</f>
        <v>TPS I/O and marshaling cabinet</v>
      </c>
      <c r="J238" s="142" t="s">
        <v>2851</v>
      </c>
      <c r="K238" s="146" t="str">
        <f>Query!K239</f>
        <v>B1-MOV-13565-MCC</v>
      </c>
      <c r="L238" s="142" t="str">
        <f>Query!L239</f>
        <v>EDSV DRAIN T5</v>
      </c>
      <c r="M238" s="142" t="s">
        <v>2851</v>
      </c>
      <c r="N238" s="128"/>
      <c r="O238" s="142" t="str">
        <f>Query!O239</f>
        <v>CLIENT</v>
      </c>
    </row>
    <row r="239" spans="1:15" ht="26.25" customHeight="1">
      <c r="A239" s="142" t="str">
        <f>Query!A240</f>
        <v>20237</v>
      </c>
      <c r="B239" s="142" t="str">
        <f>MID(Query!B240,1,2)</f>
        <v>B1</v>
      </c>
      <c r="C239" s="144" t="str">
        <f>MID(Query!B240,4,50)</f>
        <v>TCS-1301C-C4079</v>
      </c>
      <c r="D239" s="142" t="str">
        <f>Query!C240</f>
        <v>1- C5XFE-R /ST/</v>
      </c>
      <c r="E239" s="142" t="str">
        <f>Query!D240</f>
        <v>2 x 2 x 1.0  mm²</v>
      </c>
      <c r="F239" s="142" t="s">
        <v>260</v>
      </c>
      <c r="G239" s="142" t="str">
        <f>Query!E240</f>
        <v>100</v>
      </c>
      <c r="H239" s="146" t="str">
        <f>Query!F240</f>
        <v>B1-TCS-1301C-XD32</v>
      </c>
      <c r="I239" s="142" t="str">
        <f>Query!G240</f>
        <v>TPS I/O and marshaling cabinet</v>
      </c>
      <c r="J239" s="142" t="s">
        <v>2851</v>
      </c>
      <c r="K239" s="146" t="str">
        <f>Query!K240</f>
        <v>B1-MOV-13566-MCC</v>
      </c>
      <c r="L239" s="142" t="str">
        <f>Query!L240</f>
        <v>EDSV DRAIN T1</v>
      </c>
      <c r="M239" s="142" t="s">
        <v>2851</v>
      </c>
      <c r="N239" s="128"/>
      <c r="O239" s="142" t="str">
        <f>Query!O240</f>
        <v>CLIENT</v>
      </c>
    </row>
    <row r="240" spans="1:15" ht="26.25" customHeight="1">
      <c r="A240" s="142" t="str">
        <f>Query!A241</f>
        <v>20238</v>
      </c>
      <c r="B240" s="142" t="str">
        <f>MID(Query!B241,1,2)</f>
        <v>B1</v>
      </c>
      <c r="C240" s="144" t="str">
        <f>MID(Query!B241,4,50)</f>
        <v>TCS-1301C-C4080</v>
      </c>
      <c r="D240" s="142" t="str">
        <f>Query!C241</f>
        <v>1- C5XFE-R /ST/</v>
      </c>
      <c r="E240" s="142" t="str">
        <f>Query!D241</f>
        <v>2 x 2 x 1.0  mm²</v>
      </c>
      <c r="F240" s="142" t="s">
        <v>260</v>
      </c>
      <c r="G240" s="142" t="str">
        <f>Query!E241</f>
        <v>100</v>
      </c>
      <c r="H240" s="146" t="str">
        <f>Query!F241</f>
        <v>B1-TCS-1301C-XD32</v>
      </c>
      <c r="I240" s="142" t="str">
        <f>Query!G241</f>
        <v>TPS I/O and marshaling cabinet</v>
      </c>
      <c r="J240" s="142" t="s">
        <v>2851</v>
      </c>
      <c r="K240" s="146" t="str">
        <f>Query!K241</f>
        <v>B1-MOV-13607-MCC</v>
      </c>
      <c r="L240" s="142" t="str">
        <f>Query!L241</f>
        <v>EDSV DRAIN G1</v>
      </c>
      <c r="M240" s="142" t="s">
        <v>2851</v>
      </c>
      <c r="N240" s="128"/>
      <c r="O240" s="142" t="str">
        <f>Query!O241</f>
        <v>CLIENT</v>
      </c>
    </row>
    <row r="241" spans="1:15" ht="26.25" customHeight="1">
      <c r="A241" s="142" t="str">
        <f>Query!A242</f>
        <v>20239</v>
      </c>
      <c r="B241" s="142" t="str">
        <f>MID(Query!B242,1,2)</f>
        <v>B1</v>
      </c>
      <c r="C241" s="144" t="str">
        <f>MID(Query!B242,4,50)</f>
        <v>TCS-1301C-C4081</v>
      </c>
      <c r="D241" s="142" t="str">
        <f>Query!C242</f>
        <v>1- C5XFE-R /ST/</v>
      </c>
      <c r="E241" s="142" t="str">
        <f>Query!D242</f>
        <v>2 x 2 x 1.0  mm²</v>
      </c>
      <c r="F241" s="142" t="s">
        <v>260</v>
      </c>
      <c r="G241" s="142" t="str">
        <f>Query!E242</f>
        <v>100</v>
      </c>
      <c r="H241" s="146" t="str">
        <f>Query!F242</f>
        <v>B1-TCS-1301C-XD32</v>
      </c>
      <c r="I241" s="142" t="str">
        <f>Query!G242</f>
        <v>TPS I/O and marshaling cabinet</v>
      </c>
      <c r="J241" s="142" t="s">
        <v>2851</v>
      </c>
      <c r="K241" s="146" t="str">
        <f>Query!K242</f>
        <v>B1-SKD-13201-MOV01-MCC</v>
      </c>
      <c r="L241" s="142" t="str">
        <f>Query!L242</f>
        <v>EDF DICHARGE MOP 1</v>
      </c>
      <c r="M241" s="142" t="s">
        <v>2851</v>
      </c>
      <c r="N241" s="128"/>
      <c r="O241" s="142" t="str">
        <f>Query!O242</f>
        <v>CLIENT</v>
      </c>
    </row>
    <row r="242" spans="1:15" ht="26.25" customHeight="1">
      <c r="A242" s="142" t="str">
        <f>Query!A243</f>
        <v>20240</v>
      </c>
      <c r="B242" s="142" t="str">
        <f>MID(Query!B243,1,2)</f>
        <v>B1</v>
      </c>
      <c r="C242" s="144" t="str">
        <f>MID(Query!B243,4,50)</f>
        <v>TCS-1301C-C4082</v>
      </c>
      <c r="D242" s="142" t="str">
        <f>Query!C243</f>
        <v>1- C5XFE-R /ST/</v>
      </c>
      <c r="E242" s="142" t="str">
        <f>Query!D243</f>
        <v>2 x 2 x 1.0  mm²</v>
      </c>
      <c r="F242" s="142" t="s">
        <v>260</v>
      </c>
      <c r="G242" s="142" t="str">
        <f>Query!E243</f>
        <v>100</v>
      </c>
      <c r="H242" s="146" t="str">
        <f>Query!F243</f>
        <v>B1-TCS-1301C-XD32</v>
      </c>
      <c r="I242" s="142" t="str">
        <f>Query!G243</f>
        <v>TPS I/O and marshaling cabinet</v>
      </c>
      <c r="J242" s="142" t="s">
        <v>2851</v>
      </c>
      <c r="K242" s="146" t="str">
        <f>Query!K243</f>
        <v>B1-SKD-13201-MOV13-MCC</v>
      </c>
      <c r="L242" s="142" t="str">
        <f>Query!L243</f>
        <v>EDF DICHARGE MOP 2</v>
      </c>
      <c r="M242" s="142" t="s">
        <v>2851</v>
      </c>
      <c r="N242" s="128"/>
      <c r="O242" s="142" t="str">
        <f>Query!O243</f>
        <v>CLIENT</v>
      </c>
    </row>
    <row r="243" spans="1:15" ht="26.25" customHeight="1">
      <c r="A243" s="142" t="str">
        <f>Query!A244</f>
        <v>20241</v>
      </c>
      <c r="B243" s="142" t="str">
        <f>MID(Query!B244,1,2)</f>
        <v>B1</v>
      </c>
      <c r="C243" s="144" t="str">
        <f>MID(Query!B244,4,50)</f>
        <v>TCS-1301C-I6001</v>
      </c>
      <c r="D243" s="142" t="str">
        <f>Query!C244</f>
        <v>1- C5XFE-R /ST/</v>
      </c>
      <c r="E243" s="142" t="str">
        <f>Query!D244</f>
        <v>10 x 2 x 1.0  mm²</v>
      </c>
      <c r="F243" s="142" t="s">
        <v>385</v>
      </c>
      <c r="G243" s="142" t="str">
        <f>Query!E244</f>
        <v>100</v>
      </c>
      <c r="H243" s="146" t="str">
        <f>Query!F244</f>
        <v>B1-TCS-1301C-XA10</v>
      </c>
      <c r="I243" s="142" t="str">
        <f>Query!G244</f>
        <v>TPS I/O and marshaling cabinet</v>
      </c>
      <c r="J243" s="142" t="s">
        <v>2851</v>
      </c>
      <c r="K243" s="146" t="str">
        <f>Query!K244</f>
        <v>B1JBA-1309-TB1</v>
      </c>
      <c r="L243" s="142" t="str">
        <f>Query!L244</f>
        <v>Junction box IOS</v>
      </c>
      <c r="M243" s="142" t="s">
        <v>2852</v>
      </c>
      <c r="N243" s="128"/>
      <c r="O243" s="142" t="str">
        <f>Query!O244</f>
        <v>DSPW/SUPP.FI</v>
      </c>
    </row>
    <row r="244" spans="1:15" ht="26.25" customHeight="1">
      <c r="A244" s="142" t="str">
        <f>Query!A245</f>
        <v>20242</v>
      </c>
      <c r="B244" s="142" t="str">
        <f>MID(Query!B245,1,2)</f>
        <v>B1</v>
      </c>
      <c r="C244" s="144" t="str">
        <f>MID(Query!B245,4,50)</f>
        <v>TCS-1301C-I6002</v>
      </c>
      <c r="D244" s="142" t="str">
        <f>Query!C245</f>
        <v>1- C5XFE-R /ST/</v>
      </c>
      <c r="E244" s="142" t="str">
        <f>Query!D245</f>
        <v>10 x 2 x 1.0  mm²</v>
      </c>
      <c r="F244" s="142" t="s">
        <v>385</v>
      </c>
      <c r="G244" s="142" t="str">
        <f>Query!E245</f>
        <v>200</v>
      </c>
      <c r="H244" s="146" t="str">
        <f>Query!F245</f>
        <v>B1-TCS-1301C-XA10</v>
      </c>
      <c r="I244" s="142" t="str">
        <f>Query!G245</f>
        <v>TPS I/O and marshaling cabinet</v>
      </c>
      <c r="J244" s="142" t="s">
        <v>2851</v>
      </c>
      <c r="K244" s="146" t="str">
        <f>Query!K245</f>
        <v>B1JBA-1309-TB1</v>
      </c>
      <c r="L244" s="142" t="str">
        <f>Query!L245</f>
        <v>Junction box IOS</v>
      </c>
      <c r="M244" s="142" t="s">
        <v>2852</v>
      </c>
      <c r="N244" s="128"/>
      <c r="O244" s="142" t="str">
        <f>Query!O245</f>
        <v>DSPW/SUPP.FI</v>
      </c>
    </row>
    <row r="245" spans="1:15" ht="26.25" customHeight="1">
      <c r="A245" s="142" t="str">
        <f>Query!A246</f>
        <v>20243</v>
      </c>
      <c r="B245" s="142" t="str">
        <f>MID(Query!B246,1,2)</f>
        <v>B1</v>
      </c>
      <c r="C245" s="144" t="str">
        <f>MID(Query!B246,4,50)</f>
        <v>TCS-1301C-I6003</v>
      </c>
      <c r="D245" s="142" t="str">
        <f>Query!C246</f>
        <v>1- C5XFE-R /ST/</v>
      </c>
      <c r="E245" s="142" t="str">
        <f>Query!D246</f>
        <v>10 x 2 x 1.0  mm²</v>
      </c>
      <c r="F245" s="142" t="s">
        <v>385</v>
      </c>
      <c r="G245" s="142" t="str">
        <f>Query!E246</f>
        <v>100</v>
      </c>
      <c r="H245" s="146" t="str">
        <f>Query!F246</f>
        <v>B1-TCS-1301C-XD71</v>
      </c>
      <c r="I245" s="142" t="str">
        <f>Query!G246</f>
        <v>TPS I/O and marshaling cabinet</v>
      </c>
      <c r="J245" s="142" t="s">
        <v>2851</v>
      </c>
      <c r="K245" s="146" t="str">
        <f>Query!K246</f>
        <v>B1JBA-1309-TB2</v>
      </c>
      <c r="L245" s="142" t="str">
        <f>Query!L246</f>
        <v>Junction box IOS</v>
      </c>
      <c r="M245" s="142" t="s">
        <v>2852</v>
      </c>
      <c r="N245" s="128"/>
      <c r="O245" s="142" t="str">
        <f>Query!O246</f>
        <v>DSPW/SUPP.FI</v>
      </c>
    </row>
    <row r="246" spans="1:15" ht="26.25" customHeight="1">
      <c r="A246" s="142" t="str">
        <f>Query!A247</f>
        <v>20244</v>
      </c>
      <c r="B246" s="142" t="str">
        <f>MID(Query!B247,1,2)</f>
        <v>B1</v>
      </c>
      <c r="C246" s="144" t="str">
        <f>MID(Query!B247,4,50)</f>
        <v>TCS-1301C-I6004</v>
      </c>
      <c r="D246" s="142" t="str">
        <f>Query!C247</f>
        <v>1- C5XFE-R /ST/</v>
      </c>
      <c r="E246" s="142" t="str">
        <f>Query!D247</f>
        <v>10 x 2 x 1.0  mm²</v>
      </c>
      <c r="F246" s="142" t="s">
        <v>385</v>
      </c>
      <c r="G246" s="142" t="str">
        <f>Query!E247</f>
        <v>200</v>
      </c>
      <c r="H246" s="146" t="str">
        <f>Query!F247</f>
        <v>B1-TCS-1301C-XA10</v>
      </c>
      <c r="I246" s="142" t="str">
        <f>Query!G247</f>
        <v>TPS I/O and marshaling cabinet</v>
      </c>
      <c r="J246" s="142" t="s">
        <v>2851</v>
      </c>
      <c r="K246" s="146" t="str">
        <f>Query!K247</f>
        <v>B1JBA-1305-U05</v>
      </c>
      <c r="L246" s="142" t="str">
        <f>Query!L247</f>
        <v>Junction box FI</v>
      </c>
      <c r="M246" s="142" t="s">
        <v>2852</v>
      </c>
      <c r="N246" s="128"/>
      <c r="O246" s="142" t="str">
        <f>Query!O247</f>
        <v>DSPW/SUPP.FI</v>
      </c>
    </row>
    <row r="247" spans="1:15" ht="26.25" customHeight="1">
      <c r="A247" s="142" t="str">
        <f>Query!A248</f>
        <v>20245</v>
      </c>
      <c r="B247" s="142" t="str">
        <f>MID(Query!B248,1,2)</f>
        <v>B1</v>
      </c>
      <c r="C247" s="144" t="str">
        <f>MID(Query!B248,4,50)</f>
        <v>TCS-1301C-I6005</v>
      </c>
      <c r="D247" s="142" t="str">
        <f>Query!C248</f>
        <v>1- C5XFE-R /ST/</v>
      </c>
      <c r="E247" s="142" t="str">
        <f>Query!D248</f>
        <v>10 x 2 x 1.0  mm²</v>
      </c>
      <c r="F247" s="142" t="s">
        <v>385</v>
      </c>
      <c r="G247" s="142" t="str">
        <f>Query!E248</f>
        <v>200</v>
      </c>
      <c r="H247" s="146" t="str">
        <f>Query!F248</f>
        <v>B1-TCS-1301C-XA10</v>
      </c>
      <c r="I247" s="142" t="str">
        <f>Query!G248</f>
        <v>TPS I/O and marshaling cabinet</v>
      </c>
      <c r="J247" s="142" t="s">
        <v>2851</v>
      </c>
      <c r="K247" s="146" t="str">
        <f>Query!K248</f>
        <v>B1JBA-1305-U21</v>
      </c>
      <c r="L247" s="142" t="str">
        <f>Query!L248</f>
        <v>Junction box FI</v>
      </c>
      <c r="M247" s="142" t="s">
        <v>2852</v>
      </c>
      <c r="N247" s="128"/>
      <c r="O247" s="142" t="str">
        <f>Query!O248</f>
        <v>DSPW/SUPP.FI</v>
      </c>
    </row>
    <row r="248" spans="1:15" ht="26.25" customHeight="1">
      <c r="A248" s="142" t="str">
        <f>Query!A249</f>
        <v>20246</v>
      </c>
      <c r="B248" s="142" t="str">
        <f>MID(Query!B249,1,2)</f>
        <v>B1</v>
      </c>
      <c r="C248" s="144" t="str">
        <f>MID(Query!B249,4,50)</f>
        <v>TCS-1301C-I6006</v>
      </c>
      <c r="D248" s="142" t="str">
        <f>Query!C249</f>
        <v>1- C5XFE-R /ST/</v>
      </c>
      <c r="E248" s="142" t="str">
        <f>Query!D249</f>
        <v>5 x 2 x 1.0  mm²</v>
      </c>
      <c r="F248" s="142" t="s">
        <v>385</v>
      </c>
      <c r="G248" s="142" t="str">
        <f>Query!E249</f>
        <v>200</v>
      </c>
      <c r="H248" s="146" t="str">
        <f>Query!F249</f>
        <v>B1-TCS-1301C-XA10</v>
      </c>
      <c r="I248" s="142" t="str">
        <f>Query!G249</f>
        <v>TPS I/O and marshaling cabinet</v>
      </c>
      <c r="J248" s="142" t="s">
        <v>2851</v>
      </c>
      <c r="K248" s="146" t="str">
        <f>Query!K249</f>
        <v>B1JBA-1305-U32</v>
      </c>
      <c r="L248" s="142" t="str">
        <f>Query!L249</f>
        <v>Junction box FI</v>
      </c>
      <c r="M248" s="142" t="s">
        <v>2852</v>
      </c>
      <c r="N248" s="128"/>
      <c r="O248" s="142" t="str">
        <f>Query!O249</f>
        <v>DSPW/SUPP.FI</v>
      </c>
    </row>
    <row r="249" spans="1:15" ht="26.25" customHeight="1">
      <c r="A249" s="142" t="str">
        <f>Query!A250</f>
        <v>20247</v>
      </c>
      <c r="B249" s="142" t="str">
        <f>MID(Query!B250,1,2)</f>
        <v>B1</v>
      </c>
      <c r="C249" s="144" t="str">
        <f>MID(Query!B250,4,50)</f>
        <v>TCS-1301C-I6007</v>
      </c>
      <c r="D249" s="142" t="str">
        <f>Query!C250</f>
        <v>1- C5XFE-R /ST/</v>
      </c>
      <c r="E249" s="142" t="str">
        <f>Query!D250</f>
        <v>5 x 2 x 1.0  mm²</v>
      </c>
      <c r="F249" s="142" t="s">
        <v>385</v>
      </c>
      <c r="G249" s="142" t="str">
        <f>Query!E250</f>
        <v>200</v>
      </c>
      <c r="H249" s="146" t="str">
        <f>Query!F250</f>
        <v>B1-TCS-1301C-XA10</v>
      </c>
      <c r="I249" s="142" t="str">
        <f>Query!G250</f>
        <v>TPS I/O and marshaling cabinet</v>
      </c>
      <c r="J249" s="142" t="s">
        <v>2851</v>
      </c>
      <c r="K249" s="146" t="str">
        <f>Query!K250</f>
        <v>B1JBA-1306-X01</v>
      </c>
      <c r="L249" s="142" t="str">
        <f>Query!L250</f>
        <v>Junction box FI</v>
      </c>
      <c r="M249" s="142" t="s">
        <v>2852</v>
      </c>
      <c r="N249" s="128"/>
      <c r="O249" s="142" t="str">
        <f>Query!O250</f>
        <v>DSPW/SUPP.FI</v>
      </c>
    </row>
    <row r="250" spans="1:15" ht="26.25" customHeight="1">
      <c r="A250" s="142" t="str">
        <f>Query!A251</f>
        <v>20248</v>
      </c>
      <c r="B250" s="142" t="str">
        <f>MID(Query!B251,1,2)</f>
        <v>B1</v>
      </c>
      <c r="C250" s="144" t="str">
        <f>MID(Query!B251,4,50)</f>
        <v>TCS-1301C-I6008</v>
      </c>
      <c r="D250" s="142" t="str">
        <f>Query!C251</f>
        <v>1- C5XFE-R /ST/</v>
      </c>
      <c r="E250" s="142" t="str">
        <f>Query!D251</f>
        <v>5 x 2 x 1.0  mm²</v>
      </c>
      <c r="F250" s="142" t="s">
        <v>385</v>
      </c>
      <c r="G250" s="142" t="str">
        <f>Query!E251</f>
        <v>200</v>
      </c>
      <c r="H250" s="146" t="str">
        <f>Query!F251</f>
        <v>B1-TCS-1301C-XA10</v>
      </c>
      <c r="I250" s="142" t="str">
        <f>Query!G251</f>
        <v>TPS I/O and marshaling cabinet</v>
      </c>
      <c r="J250" s="142" t="s">
        <v>2851</v>
      </c>
      <c r="K250" s="146" t="str">
        <f>Query!K251</f>
        <v>B1JBA-1306-X02</v>
      </c>
      <c r="L250" s="142" t="str">
        <f>Query!L251</f>
        <v>Junction box FI</v>
      </c>
      <c r="M250" s="142" t="s">
        <v>2852</v>
      </c>
      <c r="N250" s="128"/>
      <c r="O250" s="142" t="str">
        <f>Query!O251</f>
        <v>DSPW/SUPP.FI</v>
      </c>
    </row>
    <row r="251" spans="1:15" ht="26.25" customHeight="1">
      <c r="A251" s="142" t="str">
        <f>Query!A252</f>
        <v>20249</v>
      </c>
      <c r="B251" s="142" t="str">
        <f>MID(Query!B252,1,2)</f>
        <v>B1</v>
      </c>
      <c r="C251" s="144" t="str">
        <f>MID(Query!B252,4,50)</f>
        <v>TCS-1301C-I6009</v>
      </c>
      <c r="D251" s="142" t="str">
        <f>Query!C252</f>
        <v>1- C5XFE-R /ST/</v>
      </c>
      <c r="E251" s="142" t="str">
        <f>Query!D252</f>
        <v>10 x 2 x 1.0  mm²</v>
      </c>
      <c r="F251" s="142" t="s">
        <v>385</v>
      </c>
      <c r="G251" s="142" t="str">
        <f>Query!E252</f>
        <v>200</v>
      </c>
      <c r="H251" s="146" t="str">
        <f>Query!F252</f>
        <v>B1-TCS-1301C-XA10</v>
      </c>
      <c r="I251" s="142" t="str">
        <f>Query!G252</f>
        <v>TPS I/O and marshaling cabinet</v>
      </c>
      <c r="J251" s="142" t="s">
        <v>2851</v>
      </c>
      <c r="K251" s="146" t="str">
        <f>Query!K252</f>
        <v>B1JBA-1306-X03</v>
      </c>
      <c r="L251" s="142" t="str">
        <f>Query!L252</f>
        <v>Junction box FI</v>
      </c>
      <c r="M251" s="142" t="s">
        <v>2852</v>
      </c>
      <c r="N251" s="128"/>
      <c r="O251" s="142" t="str">
        <f>Query!O252</f>
        <v>DSPW/SUPP.FI</v>
      </c>
    </row>
    <row r="252" spans="1:15" ht="26.25" customHeight="1">
      <c r="A252" s="142" t="str">
        <f>Query!A253</f>
        <v>20250</v>
      </c>
      <c r="B252" s="142" t="str">
        <f>MID(Query!B253,1,2)</f>
        <v>B1</v>
      </c>
      <c r="C252" s="144" t="str">
        <f>MID(Query!B253,4,50)</f>
        <v>TCS-1301C-I6010</v>
      </c>
      <c r="D252" s="142" t="str">
        <f>Query!C253</f>
        <v>1- C5XFE-R /ST/</v>
      </c>
      <c r="E252" s="142" t="str">
        <f>Query!D253</f>
        <v>10 x 2 x 1.0  mm²</v>
      </c>
      <c r="F252" s="142" t="s">
        <v>385</v>
      </c>
      <c r="G252" s="142" t="str">
        <f>Query!E253</f>
        <v>200</v>
      </c>
      <c r="H252" s="146" t="str">
        <f>Query!F253</f>
        <v>B1-TCS-1301C-XD71</v>
      </c>
      <c r="I252" s="142" t="str">
        <f>Query!G253</f>
        <v>TPS I/O and marshaling cabinet</v>
      </c>
      <c r="J252" s="142" t="s">
        <v>2851</v>
      </c>
      <c r="K252" s="146" t="str">
        <f>Query!K253</f>
        <v>B1JBA-1301-X05</v>
      </c>
      <c r="L252" s="142" t="str">
        <f>Query!L253</f>
        <v>Generator JB</v>
      </c>
      <c r="M252" s="142" t="s">
        <v>2852</v>
      </c>
      <c r="N252" s="128"/>
      <c r="O252" s="142" t="str">
        <f>Query!O253</f>
        <v>DSPW/SUPP.FI</v>
      </c>
    </row>
    <row r="253" spans="1:15" ht="26.25" customHeight="1">
      <c r="A253" s="142" t="str">
        <f>Query!A254</f>
        <v>20251</v>
      </c>
      <c r="B253" s="142" t="str">
        <f>MID(Query!B254,1,2)</f>
        <v>B1</v>
      </c>
      <c r="C253" s="144" t="str">
        <f>MID(Query!B254,4,50)</f>
        <v>TCS-1301C-I6011</v>
      </c>
      <c r="D253" s="142" t="str">
        <f>Query!C254</f>
        <v>1- C5XFE-R /ST/</v>
      </c>
      <c r="E253" s="142" t="str">
        <f>Query!D254</f>
        <v>10 x 2 x 1.0  mm²</v>
      </c>
      <c r="F253" s="142" t="s">
        <v>385</v>
      </c>
      <c r="G253" s="142" t="str">
        <f>Query!E254</f>
        <v>200</v>
      </c>
      <c r="H253" s="146" t="str">
        <f>Query!F254</f>
        <v>B1-TCS-1301C-XA10</v>
      </c>
      <c r="I253" s="142" t="str">
        <f>Query!G254</f>
        <v>TPS I/O and marshaling cabinet</v>
      </c>
      <c r="J253" s="142" t="s">
        <v>2851</v>
      </c>
      <c r="K253" s="146" t="str">
        <f>Query!K254</f>
        <v>B1JBA-1310-U06</v>
      </c>
      <c r="L253" s="142" t="str">
        <f>Query!L254</f>
        <v>Junction box FI</v>
      </c>
      <c r="M253" s="142" t="s">
        <v>2852</v>
      </c>
      <c r="N253" s="128"/>
      <c r="O253" s="142" t="str">
        <f>Query!O254</f>
        <v>DSPW/SUPP.FI</v>
      </c>
    </row>
    <row r="254" spans="1:15" ht="26.25" customHeight="1">
      <c r="A254" s="142" t="str">
        <f>Query!A255</f>
        <v>20252</v>
      </c>
      <c r="B254" s="142" t="str">
        <f>MID(Query!B255,1,2)</f>
        <v>B1</v>
      </c>
      <c r="C254" s="144" t="str">
        <f>MID(Query!B255,4,50)</f>
        <v>TCS-1301C-I6012</v>
      </c>
      <c r="D254" s="142" t="str">
        <f>Query!C255</f>
        <v>1- C5XFE-R /ST/</v>
      </c>
      <c r="E254" s="142" t="str">
        <f>Query!D255</f>
        <v>10 x 2 x 1.0  mm²</v>
      </c>
      <c r="F254" s="142" t="s">
        <v>385</v>
      </c>
      <c r="G254" s="142" t="str">
        <f>Query!E255</f>
        <v>200</v>
      </c>
      <c r="H254" s="146" t="str">
        <f>Query!F255</f>
        <v>B1-TCS-1301C-XA10</v>
      </c>
      <c r="I254" s="142" t="str">
        <f>Query!G255</f>
        <v>TPS I/O and marshaling cabinet</v>
      </c>
      <c r="J254" s="142" t="s">
        <v>2851</v>
      </c>
      <c r="K254" s="146" t="str">
        <f>Query!K255</f>
        <v>B1JBA-1310-U17</v>
      </c>
      <c r="L254" s="142" t="str">
        <f>Query!L255</f>
        <v>Junction box FI</v>
      </c>
      <c r="M254" s="142" t="s">
        <v>2852</v>
      </c>
      <c r="N254" s="128"/>
      <c r="O254" s="142" t="str">
        <f>Query!O255</f>
        <v>DSPW/SUPP.FI</v>
      </c>
    </row>
    <row r="255" spans="1:15" ht="26.25" customHeight="1">
      <c r="A255" s="142" t="str">
        <f>Query!A256</f>
        <v>20253</v>
      </c>
      <c r="B255" s="142" t="str">
        <f>MID(Query!B256,1,2)</f>
        <v>B1</v>
      </c>
      <c r="C255" s="144" t="str">
        <f>MID(Query!B256,4,50)</f>
        <v>TCS-1301C-I6013</v>
      </c>
      <c r="D255" s="142" t="str">
        <f>Query!C256</f>
        <v>1- C5XFE-R /ST/</v>
      </c>
      <c r="E255" s="142" t="str">
        <f>Query!D256</f>
        <v>10 x 2 x 1.0  mm²</v>
      </c>
      <c r="F255" s="142" t="s">
        <v>385</v>
      </c>
      <c r="G255" s="142" t="str">
        <f>Query!E256</f>
        <v>200</v>
      </c>
      <c r="H255" s="146" t="str">
        <f>Query!F256</f>
        <v>B1-TCS-1301C-XA10</v>
      </c>
      <c r="I255" s="142" t="str">
        <f>Query!G256</f>
        <v>TPS I/O and marshaling cabinet</v>
      </c>
      <c r="J255" s="142" t="s">
        <v>2851</v>
      </c>
      <c r="K255" s="146" t="str">
        <f>Query!K256</f>
        <v>B1JBA-1310-U29</v>
      </c>
      <c r="L255" s="142" t="str">
        <f>Query!L256</f>
        <v>Junction box FI</v>
      </c>
      <c r="M255" s="142" t="s">
        <v>2852</v>
      </c>
      <c r="N255" s="128"/>
      <c r="O255" s="142" t="str">
        <f>Query!O256</f>
        <v>DSPW/SUPP.FI</v>
      </c>
    </row>
    <row r="256" spans="1:15" ht="26.25" customHeight="1">
      <c r="A256" s="142" t="str">
        <f>Query!A257</f>
        <v>20254</v>
      </c>
      <c r="B256" s="142" t="str">
        <f>MID(Query!B257,1,2)</f>
        <v>B1</v>
      </c>
      <c r="C256" s="144" t="str">
        <f>MID(Query!B257,4,50)</f>
        <v>TCS-1301C-I6014</v>
      </c>
      <c r="D256" s="142" t="str">
        <f>Query!C257</f>
        <v>1- C5XFE-R /ST/</v>
      </c>
      <c r="E256" s="142" t="str">
        <f>Query!D257</f>
        <v>5 x 2 x 1.0  mm²</v>
      </c>
      <c r="F256" s="142" t="s">
        <v>385</v>
      </c>
      <c r="G256" s="142" t="str">
        <f>Query!E257</f>
        <v>200</v>
      </c>
      <c r="H256" s="146" t="str">
        <f>Query!F257</f>
        <v>B1-TCS-1301C-XA10</v>
      </c>
      <c r="I256" s="142" t="str">
        <f>Query!G257</f>
        <v>TPS I/O and marshaling cabinet</v>
      </c>
      <c r="J256" s="142" t="s">
        <v>2851</v>
      </c>
      <c r="K256" s="146" t="str">
        <f>Query!K257</f>
        <v>B1JBAY-1303-U02</v>
      </c>
      <c r="L256" s="142" t="str">
        <f>Query!L257</f>
        <v>Junction box FI</v>
      </c>
      <c r="M256" s="142" t="s">
        <v>2852</v>
      </c>
      <c r="N256" s="128"/>
      <c r="O256" s="142" t="str">
        <f>Query!O257</f>
        <v>DSPW/SUPP.FI</v>
      </c>
    </row>
    <row r="257" spans="1:15" ht="26.25" customHeight="1">
      <c r="A257" s="142" t="str">
        <f>Query!A258</f>
        <v>20255</v>
      </c>
      <c r="B257" s="142" t="str">
        <f>MID(Query!B258,1,2)</f>
        <v>B1</v>
      </c>
      <c r="C257" s="144" t="str">
        <f>MID(Query!B258,4,50)</f>
        <v>TCS-1301C-I6015</v>
      </c>
      <c r="D257" s="142" t="str">
        <f>Query!C258</f>
        <v>1- C5XFE-R /ST/</v>
      </c>
      <c r="E257" s="142" t="str">
        <f>Query!D258</f>
        <v>5 x 2 x 1.0  mm²</v>
      </c>
      <c r="F257" s="142" t="s">
        <v>385</v>
      </c>
      <c r="G257" s="142" t="str">
        <f>Query!E258</f>
        <v>200</v>
      </c>
      <c r="H257" s="146" t="str">
        <f>Query!F258</f>
        <v>B1-TCS-1301C-XA10</v>
      </c>
      <c r="I257" s="142" t="str">
        <f>Query!G258</f>
        <v>TPS I/O and marshaling cabinet</v>
      </c>
      <c r="J257" s="142" t="s">
        <v>2851</v>
      </c>
      <c r="K257" s="146" t="str">
        <f>Query!K258</f>
        <v>B1JBAY-1303-U12</v>
      </c>
      <c r="L257" s="142" t="str">
        <f>Query!L258</f>
        <v>Junction box FI</v>
      </c>
      <c r="M257" s="142" t="s">
        <v>2852</v>
      </c>
      <c r="N257" s="128"/>
      <c r="O257" s="142" t="str">
        <f>Query!O258</f>
        <v>DSPW/SUPP.FI</v>
      </c>
    </row>
    <row r="258" spans="1:15" ht="26.25" customHeight="1">
      <c r="A258" s="142" t="str">
        <f>Query!A259</f>
        <v>20256</v>
      </c>
      <c r="B258" s="142" t="str">
        <f>MID(Query!B259,1,2)</f>
        <v>B1</v>
      </c>
      <c r="C258" s="144" t="str">
        <f>MID(Query!B259,4,50)</f>
        <v>TCS-1301C-I6016</v>
      </c>
      <c r="D258" s="142" t="str">
        <f>Query!C259</f>
        <v>1- C5XFE-R /ST/</v>
      </c>
      <c r="E258" s="142" t="str">
        <f>Query!D259</f>
        <v>5 x 2 x 1.0  mm²</v>
      </c>
      <c r="F258" s="142" t="s">
        <v>385</v>
      </c>
      <c r="G258" s="142" t="str">
        <f>Query!E259</f>
        <v>200</v>
      </c>
      <c r="H258" s="146" t="str">
        <f>Query!F259</f>
        <v>B1-TCS-1301C-XA10</v>
      </c>
      <c r="I258" s="142" t="str">
        <f>Query!G259</f>
        <v>TPS I/O and marshaling cabinet</v>
      </c>
      <c r="J258" s="142" t="s">
        <v>2851</v>
      </c>
      <c r="K258" s="146" t="str">
        <f>Query!K259</f>
        <v>B1JBAY-1303-U22</v>
      </c>
      <c r="L258" s="142" t="str">
        <f>Query!L259</f>
        <v>Junction box FI</v>
      </c>
      <c r="M258" s="142" t="s">
        <v>2852</v>
      </c>
      <c r="N258" s="128"/>
      <c r="O258" s="142" t="str">
        <f>Query!O259</f>
        <v>DSPW/SUPP.FI</v>
      </c>
    </row>
    <row r="259" spans="1:15" ht="26.25" customHeight="1">
      <c r="A259" s="142" t="str">
        <f>Query!A260</f>
        <v>20257</v>
      </c>
      <c r="B259" s="142" t="str">
        <f>MID(Query!B260,1,2)</f>
        <v>B1</v>
      </c>
      <c r="C259" s="144" t="str">
        <f>MID(Query!B260,4,50)</f>
        <v>TCS-1301C-I6017</v>
      </c>
      <c r="D259" s="142" t="str">
        <f>Query!C260</f>
        <v>1- C5XFE-R /ST/</v>
      </c>
      <c r="E259" s="142" t="str">
        <f>Query!D260</f>
        <v>2 x 2 x 1.0  mm²</v>
      </c>
      <c r="F259" s="142" t="s">
        <v>385</v>
      </c>
      <c r="G259" s="142" t="str">
        <f>Query!E260</f>
        <v>10</v>
      </c>
      <c r="H259" s="146" t="str">
        <f>Query!F260</f>
        <v>B1-TCS-1301C-XA10</v>
      </c>
      <c r="I259" s="142" t="str">
        <f>Query!G260</f>
        <v>TPS I/O and marshaling cabinet</v>
      </c>
      <c r="J259" s="142" t="s">
        <v>2851</v>
      </c>
      <c r="K259" s="146" t="str">
        <f>Query!K260</f>
        <v>B1-TCS-1320-XTF</v>
      </c>
      <c r="L259" s="142" t="str">
        <f>Query!L260</f>
        <v>TCS SERVER CABINET</v>
      </c>
      <c r="M259" s="142" t="s">
        <v>2851</v>
      </c>
      <c r="N259" s="128"/>
      <c r="O259" s="142" t="str">
        <f>Query!O260</f>
        <v>DSPW/SUPP.FI</v>
      </c>
    </row>
    <row r="260" spans="1:15" ht="26.25" customHeight="1">
      <c r="A260" s="142" t="str">
        <f>Query!A261</f>
        <v>20258</v>
      </c>
      <c r="B260" s="142" t="str">
        <f>MID(Query!B261,1,2)</f>
        <v>B1</v>
      </c>
      <c r="C260" s="144" t="str">
        <f>MID(Query!B261,4,50)</f>
        <v>TCS-1301C-I6018</v>
      </c>
      <c r="D260" s="142" t="str">
        <f>Query!C261</f>
        <v>1- C5XFE-R /ST/</v>
      </c>
      <c r="E260" s="142" t="str">
        <f>Query!D261</f>
        <v>5 x 2 x 1.0  mm²</v>
      </c>
      <c r="F260" s="142" t="s">
        <v>385</v>
      </c>
      <c r="G260" s="142" t="str">
        <f>Query!E261</f>
        <v>10</v>
      </c>
      <c r="H260" s="146" t="str">
        <f>Query!F261</f>
        <v>B1-TCS-1301C-XD71</v>
      </c>
      <c r="I260" s="142" t="str">
        <f>Query!G261</f>
        <v>TPS I/O and marshaling cabinet</v>
      </c>
      <c r="J260" s="142" t="s">
        <v>2851</v>
      </c>
      <c r="K260" s="146" t="str">
        <f>Query!K261</f>
        <v>B1-TCS-1320-XTF</v>
      </c>
      <c r="L260" s="142" t="str">
        <f>Query!L261</f>
        <v>TCS SERVER CABINET</v>
      </c>
      <c r="M260" s="142" t="s">
        <v>2851</v>
      </c>
      <c r="N260" s="128"/>
      <c r="O260" s="142" t="str">
        <f>Query!O261</f>
        <v>DSPW/SUPP.FI</v>
      </c>
    </row>
    <row r="261" spans="1:15" ht="26.25" customHeight="1">
      <c r="A261" s="142" t="str">
        <f>Query!A262</f>
        <v>20259</v>
      </c>
      <c r="B261" s="142" t="str">
        <f>MID(Query!B262,1,2)</f>
        <v>B1</v>
      </c>
      <c r="C261" s="144" t="str">
        <f>MID(Query!B262,4,50)</f>
        <v>TCS-1301C-I6019</v>
      </c>
      <c r="D261" s="142" t="str">
        <f>Query!C262</f>
        <v>1- C5XFE-R /ST/</v>
      </c>
      <c r="E261" s="142" t="str">
        <f>Query!D262</f>
        <v>2 x 2 x 1.0  mm²</v>
      </c>
      <c r="F261" s="142" t="s">
        <v>385</v>
      </c>
      <c r="G261" s="142" t="str">
        <f>Query!E262</f>
        <v>100</v>
      </c>
      <c r="H261" s="146" t="str">
        <f>Query!F262</f>
        <v>B1-TCS-1301C-XA10</v>
      </c>
      <c r="I261" s="142" t="str">
        <f>Query!G262</f>
        <v>TPS I/O and marshaling cabinet</v>
      </c>
      <c r="J261" s="142" t="s">
        <v>2851</v>
      </c>
      <c r="K261" s="146" t="str">
        <f>Query!K262</f>
        <v>B1-JBAY-1341-X01</v>
      </c>
      <c r="L261" s="142" t="str">
        <f>Query!L262</f>
        <v>JB HPH FI</v>
      </c>
      <c r="M261" s="142" t="s">
        <v>2852</v>
      </c>
      <c r="N261" s="128"/>
      <c r="O261" s="142" t="str">
        <f>Query!O262</f>
        <v>DSPW/SUPP.FI</v>
      </c>
    </row>
    <row r="262" spans="1:15" ht="26.25" customHeight="1">
      <c r="A262" s="142" t="str">
        <f>Query!A263</f>
        <v>20260</v>
      </c>
      <c r="B262" s="142" t="str">
        <f>MID(Query!B263,1,2)</f>
        <v>B1</v>
      </c>
      <c r="C262" s="144" t="str">
        <f>MID(Query!B263,4,50)</f>
        <v>TCS-1301C-I6020</v>
      </c>
      <c r="D262" s="142" t="str">
        <f>Query!C263</f>
        <v>1- C5XFE-R /ST/</v>
      </c>
      <c r="E262" s="142" t="str">
        <f>Query!D263</f>
        <v>5 x 2 x 1.0  mm²</v>
      </c>
      <c r="F262" s="142" t="s">
        <v>385</v>
      </c>
      <c r="G262" s="142" t="str">
        <f>Query!E263</f>
        <v>100</v>
      </c>
      <c r="H262" s="146" t="str">
        <f>Query!F263</f>
        <v>B1-TCS-1301C-XA10</v>
      </c>
      <c r="I262" s="142" t="str">
        <f>Query!G263</f>
        <v>TPS I/O and marshaling cabinet</v>
      </c>
      <c r="J262" s="142" t="s">
        <v>2851</v>
      </c>
      <c r="K262" s="146" t="str">
        <f>Query!K263</f>
        <v>B1-JBAY-1341-X01</v>
      </c>
      <c r="L262" s="142" t="str">
        <f>Query!L263</f>
        <v>JB HPH FI</v>
      </c>
      <c r="M262" s="142" t="s">
        <v>2852</v>
      </c>
      <c r="N262" s="128"/>
      <c r="O262" s="142" t="str">
        <f>Query!O263</f>
        <v>DSPW/SUPP.FI</v>
      </c>
    </row>
    <row r="263" spans="1:15" ht="26.25" customHeight="1">
      <c r="A263" s="142" t="str">
        <f>Query!A264</f>
        <v>20261</v>
      </c>
      <c r="B263" s="142" t="str">
        <f>MID(Query!B264,1,2)</f>
        <v>B1</v>
      </c>
      <c r="C263" s="144" t="str">
        <f>MID(Query!B264,4,50)</f>
        <v>TCS-1301C-I6021</v>
      </c>
      <c r="D263" s="142" t="str">
        <f>Query!C264</f>
        <v>1- C5XFE-R /ST/</v>
      </c>
      <c r="E263" s="142" t="str">
        <f>Query!D264</f>
        <v>2 x 2 x 1.0  mm²</v>
      </c>
      <c r="F263" s="142" t="s">
        <v>385</v>
      </c>
      <c r="G263" s="142" t="str">
        <f>Query!E264</f>
        <v>100</v>
      </c>
      <c r="H263" s="146" t="str">
        <f>Query!F264</f>
        <v>B1-TCS-1301C-XA10</v>
      </c>
      <c r="I263" s="142" t="str">
        <f>Query!G264</f>
        <v>TPS I/O and marshaling cabinet</v>
      </c>
      <c r="J263" s="142" t="s">
        <v>2851</v>
      </c>
      <c r="K263" s="146" t="str">
        <f>Query!K264</f>
        <v>B1-JBAY-1341-X01</v>
      </c>
      <c r="L263" s="142" t="str">
        <f>Query!L264</f>
        <v>JB HPH FI</v>
      </c>
      <c r="M263" s="142" t="s">
        <v>2852</v>
      </c>
      <c r="N263" s="128"/>
      <c r="O263" s="142" t="str">
        <f>Query!O264</f>
        <v>DSPW/SUPP.FI</v>
      </c>
    </row>
    <row r="264" spans="1:15" ht="26.25" customHeight="1">
      <c r="A264" s="142" t="str">
        <f>Query!A265</f>
        <v>20262</v>
      </c>
      <c r="B264" s="142" t="str">
        <f>MID(Query!B265,1,2)</f>
        <v>B1</v>
      </c>
      <c r="C264" s="144" t="str">
        <f>MID(Query!B265,4,50)</f>
        <v>TCS-1301C-I6022</v>
      </c>
      <c r="D264" s="142" t="str">
        <f>Query!C265</f>
        <v>1- C5XFE-R /ST/</v>
      </c>
      <c r="E264" s="142" t="str">
        <f>Query!D265</f>
        <v>10 x 2 x 1.0  mm²</v>
      </c>
      <c r="F264" s="142" t="s">
        <v>385</v>
      </c>
      <c r="G264" s="142" t="str">
        <f>Query!E265</f>
        <v>200</v>
      </c>
      <c r="H264" s="146" t="str">
        <f>Query!F265</f>
        <v>B1-TCS-1301C-XD71</v>
      </c>
      <c r="I264" s="142" t="str">
        <f>Query!G265</f>
        <v>TPS I/O and marshaling cabinet</v>
      </c>
      <c r="J264" s="142" t="s">
        <v>2851</v>
      </c>
      <c r="K264" s="146" t="str">
        <f>Query!K265</f>
        <v>B1-JBAY-1341-X01</v>
      </c>
      <c r="L264" s="142" t="str">
        <f>Query!L265</f>
        <v>JB HPH FI</v>
      </c>
      <c r="M264" s="142" t="s">
        <v>2852</v>
      </c>
      <c r="N264" s="128"/>
      <c r="O264" s="142" t="str">
        <f>Query!O265</f>
        <v>DSPW/SUPP.FI</v>
      </c>
    </row>
    <row r="265" spans="1:15" ht="26.25" customHeight="1">
      <c r="A265" s="142" t="str">
        <f>Query!A266</f>
        <v>20263</v>
      </c>
      <c r="B265" s="142" t="str">
        <f>MID(Query!B266,1,2)</f>
        <v>B1</v>
      </c>
      <c r="C265" s="144" t="str">
        <f>MID(Query!B266,4,50)</f>
        <v>TCS-1301C-I6023</v>
      </c>
      <c r="D265" s="142" t="str">
        <f>Query!C266</f>
        <v>1- C5XFE-R /ST/</v>
      </c>
      <c r="E265" s="142" t="str">
        <f>Query!D266</f>
        <v>10 x 2 x 1.0  mm²</v>
      </c>
      <c r="F265" s="142" t="s">
        <v>385</v>
      </c>
      <c r="G265" s="142" t="str">
        <f>Query!E266</f>
        <v>200</v>
      </c>
      <c r="H265" s="146" t="str">
        <f>Query!F266</f>
        <v>B1-TCS-1301C-XD71</v>
      </c>
      <c r="I265" s="142" t="str">
        <f>Query!G266</f>
        <v>TPS I/O and marshaling cabinet</v>
      </c>
      <c r="J265" s="142" t="s">
        <v>2851</v>
      </c>
      <c r="K265" s="146" t="str">
        <f>Query!K266</f>
        <v>B1-JBAY-1341-X01</v>
      </c>
      <c r="L265" s="142" t="str">
        <f>Query!L266</f>
        <v>JB HPH FI</v>
      </c>
      <c r="M265" s="142" t="s">
        <v>2852</v>
      </c>
      <c r="N265" s="128"/>
      <c r="O265" s="142" t="str">
        <f>Query!O266</f>
        <v>DSPW/SUPP.FI</v>
      </c>
    </row>
    <row r="266" spans="1:15" ht="26.25" customHeight="1">
      <c r="A266" s="142" t="str">
        <f>Query!A267</f>
        <v>20264</v>
      </c>
      <c r="B266" s="142" t="str">
        <f>MID(Query!B267,1,2)</f>
        <v>B1</v>
      </c>
      <c r="C266" s="144" t="str">
        <f>MID(Query!B267,4,50)</f>
        <v>TCS-1301C-I6024</v>
      </c>
      <c r="D266" s="142" t="str">
        <f>Query!C267</f>
        <v>1- C5XFE-R /ST/</v>
      </c>
      <c r="E266" s="142" t="str">
        <f>Query!D267</f>
        <v>10 x 2 x 1.0  mm²</v>
      </c>
      <c r="F266" s="142" t="s">
        <v>385</v>
      </c>
      <c r="G266" s="142" t="str">
        <f>Query!E267</f>
        <v>200</v>
      </c>
      <c r="H266" s="146" t="str">
        <f>Query!F267</f>
        <v>B1-TCS-1301C-XD71</v>
      </c>
      <c r="I266" s="142" t="str">
        <f>Query!G267</f>
        <v>TPS I/O and marshaling cabinet</v>
      </c>
      <c r="J266" s="142" t="s">
        <v>2851</v>
      </c>
      <c r="K266" s="146" t="str">
        <f>Query!K267</f>
        <v>B1-JBAY-1341-X01</v>
      </c>
      <c r="L266" s="142" t="str">
        <f>Query!L267</f>
        <v>JB HPH FI</v>
      </c>
      <c r="M266" s="142" t="s">
        <v>2852</v>
      </c>
      <c r="N266" s="128"/>
      <c r="O266" s="142" t="str">
        <f>Query!O267</f>
        <v>DSPW/SUPP.FI</v>
      </c>
    </row>
    <row r="267" spans="1:15" ht="26.25" customHeight="1">
      <c r="A267" s="142" t="str">
        <f>Query!A268</f>
        <v>20265</v>
      </c>
      <c r="B267" s="142" t="str">
        <f>MID(Query!B268,1,2)</f>
        <v>B1</v>
      </c>
      <c r="C267" s="144" t="str">
        <f>MID(Query!B268,4,50)</f>
        <v>TCS-1301C-I6025</v>
      </c>
      <c r="D267" s="142" t="str">
        <f>Query!C268</f>
        <v>1- C5XFE-R /ST/</v>
      </c>
      <c r="E267" s="142" t="str">
        <f>Query!D268</f>
        <v>2 x 2 x 1.0  mm²</v>
      </c>
      <c r="F267" s="142" t="s">
        <v>385</v>
      </c>
      <c r="G267" s="142" t="str">
        <f>Query!E268</f>
        <v>30</v>
      </c>
      <c r="H267" s="146" t="str">
        <f>Query!F268</f>
        <v>B1-TCS-1301C-XA10</v>
      </c>
      <c r="I267" s="142" t="str">
        <f>Query!G268</f>
        <v>TPS I/O and marshaling cabinet</v>
      </c>
      <c r="J267" s="142" t="s">
        <v>2851</v>
      </c>
      <c r="K267" s="146" t="str">
        <f>Query!K268</f>
        <v>B1-TCS-1311-X91</v>
      </c>
      <c r="L267" s="142" t="str">
        <f>Query!L268</f>
        <v>BOX TPC/OPS</v>
      </c>
      <c r="M267" s="142" t="s">
        <v>2851</v>
      </c>
      <c r="N267" s="128"/>
      <c r="O267" s="142" t="str">
        <f>Query!O268</f>
        <v>DSPW/SUPP.FI</v>
      </c>
    </row>
    <row r="268" spans="1:15" ht="26.25" customHeight="1">
      <c r="A268" s="142" t="str">
        <f>Query!A269</f>
        <v>20266</v>
      </c>
      <c r="B268" s="142" t="str">
        <f>MID(Query!B269,1,2)</f>
        <v>B1</v>
      </c>
      <c r="C268" s="144" t="str">
        <f>MID(Query!B269,4,50)</f>
        <v>TCS-1301C-I6026</v>
      </c>
      <c r="D268" s="142" t="str">
        <f>Query!C269</f>
        <v>1- C5XFE-R /ST/</v>
      </c>
      <c r="E268" s="142" t="str">
        <f>Query!D269</f>
        <v>5 x 2 x 1.0  mm²</v>
      </c>
      <c r="F268" s="142" t="s">
        <v>385</v>
      </c>
      <c r="G268" s="142" t="str">
        <f>Query!E269</f>
        <v>30</v>
      </c>
      <c r="H268" s="146" t="str">
        <f>Query!F269</f>
        <v>B1-TCS-1301C-XA41</v>
      </c>
      <c r="I268" s="142" t="str">
        <f>Query!G269</f>
        <v>TPS I/O and marshaling cabinet</v>
      </c>
      <c r="J268" s="142" t="s">
        <v>2851</v>
      </c>
      <c r="K268" s="146" t="str">
        <f>Query!K269</f>
        <v>B1-TCS-1321-X31</v>
      </c>
      <c r="L268" s="142" t="str">
        <f>Query!L269</f>
        <v>BOX OF VMS</v>
      </c>
      <c r="M268" s="142" t="s">
        <v>2851</v>
      </c>
      <c r="N268" s="128"/>
      <c r="O268" s="142" t="str">
        <f>Query!O269</f>
        <v>DSPW/SUPP.FI</v>
      </c>
    </row>
    <row r="269" spans="1:15" ht="26.25" customHeight="1">
      <c r="A269" s="142" t="str">
        <f>Query!A270</f>
        <v>20267</v>
      </c>
      <c r="B269" s="142" t="str">
        <f>MID(Query!B270,1,2)</f>
        <v>B1</v>
      </c>
      <c r="C269" s="144" t="str">
        <f>MID(Query!B270,4,50)</f>
        <v>TCS-1301C-I6027</v>
      </c>
      <c r="D269" s="142" t="str">
        <f>Query!C270</f>
        <v>1- C5XFE-R /ST/</v>
      </c>
      <c r="E269" s="142" t="str">
        <f>Query!D270</f>
        <v>10 x 2 x 1.0  mm²</v>
      </c>
      <c r="F269" s="142" t="s">
        <v>385</v>
      </c>
      <c r="G269" s="142" t="str">
        <f>Query!E270</f>
        <v>30</v>
      </c>
      <c r="H269" s="146" t="str">
        <f>Query!F270</f>
        <v>B1-TCS-1301C-XA41</v>
      </c>
      <c r="I269" s="142" t="str">
        <f>Query!G270</f>
        <v>TPS I/O and marshaling cabinet</v>
      </c>
      <c r="J269" s="142" t="s">
        <v>2851</v>
      </c>
      <c r="K269" s="146" t="str">
        <f>Query!K270</f>
        <v>B1-TCS-1321-X32</v>
      </c>
      <c r="L269" s="142" t="str">
        <f>Query!L270</f>
        <v>BOX OF VMS</v>
      </c>
      <c r="M269" s="142" t="s">
        <v>2851</v>
      </c>
      <c r="N269" s="128"/>
      <c r="O269" s="142" t="str">
        <f>Query!O270</f>
        <v>DSPW/SUPP.FI</v>
      </c>
    </row>
    <row r="270" spans="1:15" ht="26.25" customHeight="1">
      <c r="A270" s="142" t="str">
        <f>Query!A271</f>
        <v>20268</v>
      </c>
      <c r="B270" s="142" t="str">
        <f>MID(Query!B271,1,2)</f>
        <v>B1</v>
      </c>
      <c r="C270" s="144" t="str">
        <f>MID(Query!B271,4,50)</f>
        <v>TCS-1301C-I6028</v>
      </c>
      <c r="D270" s="142" t="str">
        <f>Query!C271</f>
        <v>1- C5XFE-R /ST/</v>
      </c>
      <c r="E270" s="142" t="str">
        <f>Query!D271</f>
        <v>5 x 2 x 1.0  mm²</v>
      </c>
      <c r="F270" s="142" t="s">
        <v>385</v>
      </c>
      <c r="G270" s="142" t="str">
        <f>Query!E271</f>
        <v>30</v>
      </c>
      <c r="H270" s="146" t="str">
        <f>Query!F271</f>
        <v>B1-TCS-1301C-XA41</v>
      </c>
      <c r="I270" s="142" t="str">
        <f>Query!G271</f>
        <v>TPS I/O and marshaling cabinet</v>
      </c>
      <c r="J270" s="142" t="s">
        <v>2851</v>
      </c>
      <c r="K270" s="146" t="str">
        <f>Query!K271</f>
        <v>B1-TCS-1321-X33</v>
      </c>
      <c r="L270" s="142" t="str">
        <f>Query!L271</f>
        <v>BOX OF VMS</v>
      </c>
      <c r="M270" s="142" t="s">
        <v>2851</v>
      </c>
      <c r="N270" s="128"/>
      <c r="O270" s="142" t="str">
        <f>Query!O271</f>
        <v>DSPW/SUPP.FI</v>
      </c>
    </row>
    <row r="271" spans="1:15" ht="26.25" customHeight="1">
      <c r="A271" s="142" t="str">
        <f>Query!A272</f>
        <v>20269</v>
      </c>
      <c r="B271" s="142" t="str">
        <f>MID(Query!B272,1,2)</f>
        <v>B1</v>
      </c>
      <c r="C271" s="144" t="str">
        <f>MID(Query!B272,4,50)</f>
        <v>TCS-1311-I6001</v>
      </c>
      <c r="D271" s="142" t="str">
        <f>Query!C272</f>
        <v>1- C5XFE-R /ST/</v>
      </c>
      <c r="E271" s="142" t="str">
        <f>Query!D272</f>
        <v>2 x 2 x 1.0  mm²</v>
      </c>
      <c r="F271" s="142" t="s">
        <v>385</v>
      </c>
      <c r="G271" s="142" t="str">
        <f>Query!E272</f>
        <v>100</v>
      </c>
      <c r="H271" s="146" t="str">
        <f>Query!F272</f>
        <v>B1-TCS-1311-X13</v>
      </c>
      <c r="I271" s="142" t="str">
        <f>Query!G272</f>
        <v>BOX TPC/OPS</v>
      </c>
      <c r="J271" s="142" t="s">
        <v>2851</v>
      </c>
      <c r="K271" s="146" t="str">
        <f>Query!K272</f>
        <v>B1-PSH-13902A-B01</v>
      </c>
      <c r="L271" s="142" t="str">
        <f>Query!L272</f>
        <v>PRESS.1 STEAM STG OUTLET-L</v>
      </c>
      <c r="M271" s="142" t="s">
        <v>2852</v>
      </c>
      <c r="N271" s="128"/>
      <c r="O271" s="142" t="str">
        <f>Query!O272</f>
        <v>DSPW/SUPP.FI</v>
      </c>
    </row>
    <row r="272" spans="1:15" ht="26.25" customHeight="1">
      <c r="A272" s="142" t="str">
        <f>Query!A273</f>
        <v>20270</v>
      </c>
      <c r="B272" s="142" t="str">
        <f>MID(Query!B273,1,2)</f>
        <v>B1</v>
      </c>
      <c r="C272" s="144" t="str">
        <f>MID(Query!B273,4,50)</f>
        <v>TCS-1311-I6002</v>
      </c>
      <c r="D272" s="142" t="str">
        <f>Query!C273</f>
        <v>1- C5XFE-R /ST/</v>
      </c>
      <c r="E272" s="142" t="str">
        <f>Query!D273</f>
        <v>2 x 2 x 1.0  mm²</v>
      </c>
      <c r="F272" s="142" t="s">
        <v>385</v>
      </c>
      <c r="G272" s="142" t="str">
        <f>Query!E273</f>
        <v>100</v>
      </c>
      <c r="H272" s="146" t="str">
        <f>Query!F273</f>
        <v>B1-TCS-1311-X13</v>
      </c>
      <c r="I272" s="142" t="str">
        <f>Query!G273</f>
        <v>BOX TPC/OPS</v>
      </c>
      <c r="J272" s="142" t="s">
        <v>2851</v>
      </c>
      <c r="K272" s="146" t="str">
        <f>Query!K273</f>
        <v>B1-PSH-13902B-B01</v>
      </c>
      <c r="L272" s="142" t="str">
        <f>Query!L273</f>
        <v>PRESS.2 STEAM STG OUTLET-L</v>
      </c>
      <c r="M272" s="142" t="s">
        <v>2852</v>
      </c>
      <c r="N272" s="128"/>
      <c r="O272" s="142" t="str">
        <f>Query!O273</f>
        <v>DSPW/SUPP.FI</v>
      </c>
    </row>
    <row r="273" spans="1:15" ht="26.25" customHeight="1">
      <c r="A273" s="142" t="str">
        <f>Query!A274</f>
        <v>20271</v>
      </c>
      <c r="B273" s="142" t="str">
        <f>MID(Query!B274,1,2)</f>
        <v>B1</v>
      </c>
      <c r="C273" s="144" t="str">
        <f>MID(Query!B274,4,50)</f>
        <v>TCS-1311-I6003</v>
      </c>
      <c r="D273" s="142" t="str">
        <f>Query!C274</f>
        <v>1- C5XFE-R /ST/</v>
      </c>
      <c r="E273" s="142" t="str">
        <f>Query!D274</f>
        <v>2 x 2 x 1.0  mm²</v>
      </c>
      <c r="F273" s="142" t="s">
        <v>385</v>
      </c>
      <c r="G273" s="142" t="str">
        <f>Query!E274</f>
        <v>100</v>
      </c>
      <c r="H273" s="146" t="str">
        <f>Query!F274</f>
        <v>B1-TCS-1311-X13</v>
      </c>
      <c r="I273" s="142" t="str">
        <f>Query!G274</f>
        <v>BOX TPC/OPS</v>
      </c>
      <c r="J273" s="142" t="s">
        <v>2851</v>
      </c>
      <c r="K273" s="146" t="str">
        <f>Query!K274</f>
        <v>B1-PSH-13902C-B01</v>
      </c>
      <c r="L273" s="142" t="str">
        <f>Query!L274</f>
        <v>PRESS.3 STEAM STG OUTLET-L</v>
      </c>
      <c r="M273" s="142" t="s">
        <v>2852</v>
      </c>
      <c r="N273" s="128"/>
      <c r="O273" s="142" t="str">
        <f>Query!O274</f>
        <v>DSPW/SUPP.FI</v>
      </c>
    </row>
    <row r="274" spans="1:15" ht="26.25" customHeight="1">
      <c r="A274" s="142" t="str">
        <f>Query!A275</f>
        <v>20272</v>
      </c>
      <c r="B274" s="142" t="str">
        <f>MID(Query!B275,1,2)</f>
        <v>B1</v>
      </c>
      <c r="C274" s="144" t="str">
        <f>MID(Query!B275,4,50)</f>
        <v>TE-13011-501</v>
      </c>
      <c r="D274" s="142" t="str">
        <f>Query!C275</f>
        <v>Part of sensor</v>
      </c>
      <c r="E274" s="142" t="str">
        <f>Query!D275</f>
        <v>4 x 0.22  mm²</v>
      </c>
      <c r="F274" s="142" t="s">
        <v>385</v>
      </c>
      <c r="G274" s="142" t="str">
        <f>Query!E275</f>
        <v>20</v>
      </c>
      <c r="H274" s="146" t="str">
        <f>Query!F275</f>
        <v>B1JBA-1301-X01</v>
      </c>
      <c r="I274" s="142" t="str">
        <f>Query!G275</f>
        <v>Generator JB</v>
      </c>
      <c r="J274" s="142" t="s">
        <v>2852</v>
      </c>
      <c r="K274" s="146" t="str">
        <f>Query!K275</f>
        <v>B1-TE-13011-B01</v>
      </c>
      <c r="L274" s="142" t="str">
        <f>Query!L275</f>
        <v>TEMP.STATOR WINDING PHASE U - A</v>
      </c>
      <c r="M274" s="142" t="s">
        <v>2852</v>
      </c>
      <c r="N274" s="128"/>
      <c r="O274" s="142" t="str">
        <f>Query!O275</f>
        <v>DSPW/SKID</v>
      </c>
    </row>
    <row r="275" spans="1:15" ht="26.25" customHeight="1">
      <c r="A275" s="142" t="str">
        <f>Query!A276</f>
        <v>20273</v>
      </c>
      <c r="B275" s="142" t="str">
        <f>MID(Query!B276,1,2)</f>
        <v>B1</v>
      </c>
      <c r="C275" s="144" t="str">
        <f>MID(Query!B276,4,50)</f>
        <v>TE-13011-510</v>
      </c>
      <c r="D275" s="142" t="str">
        <f>Query!C276</f>
        <v>Part of sensor</v>
      </c>
      <c r="E275" s="142" t="str">
        <f>Query!D276</f>
        <v>4 x 0.22  mm²</v>
      </c>
      <c r="F275" s="142" t="s">
        <v>385</v>
      </c>
      <c r="G275" s="142" t="str">
        <f>Query!E276</f>
        <v>20</v>
      </c>
      <c r="H275" s="146" t="str">
        <f>Query!F276</f>
        <v>B1JBA-1301-X01</v>
      </c>
      <c r="I275" s="142" t="str">
        <f>Query!G276</f>
        <v>Generator JB</v>
      </c>
      <c r="J275" s="142" t="s">
        <v>2852</v>
      </c>
      <c r="K275" s="146" t="str">
        <f>Query!K276</f>
        <v>B1-TE-13011-B01</v>
      </c>
      <c r="L275" s="142" t="str">
        <f>Query!L276</f>
        <v>TEMP.STATOR WINDING PHASE U - A</v>
      </c>
      <c r="M275" s="142" t="s">
        <v>2852</v>
      </c>
      <c r="N275" s="128"/>
      <c r="O275" s="142" t="str">
        <f>Query!O276</f>
        <v>DSPW/SKID</v>
      </c>
    </row>
    <row r="276" spans="1:15" ht="26.25" customHeight="1">
      <c r="A276" s="142" t="str">
        <f>Query!A277</f>
        <v>20274</v>
      </c>
      <c r="B276" s="142" t="str">
        <f>MID(Query!B277,1,2)</f>
        <v>B1</v>
      </c>
      <c r="C276" s="144" t="str">
        <f>MID(Query!B277,4,50)</f>
        <v>TE-13012-504</v>
      </c>
      <c r="D276" s="142" t="str">
        <f>Query!C277</f>
        <v>Part of sensor</v>
      </c>
      <c r="E276" s="142" t="str">
        <f>Query!D277</f>
        <v>4 x 0.22  mm²</v>
      </c>
      <c r="F276" s="142" t="s">
        <v>385</v>
      </c>
      <c r="G276" s="142" t="str">
        <f>Query!E277</f>
        <v>20</v>
      </c>
      <c r="H276" s="146" t="str">
        <f>Query!F277</f>
        <v>B1JBA-1301-X01</v>
      </c>
      <c r="I276" s="142" t="str">
        <f>Query!G277</f>
        <v>Generator JB</v>
      </c>
      <c r="J276" s="142" t="s">
        <v>2852</v>
      </c>
      <c r="K276" s="146" t="str">
        <f>Query!K277</f>
        <v>B1-TE-13012-B01</v>
      </c>
      <c r="L276" s="142" t="str">
        <f>Query!L277</f>
        <v>TEMP.STATOR WINDING PHASE U - B</v>
      </c>
      <c r="M276" s="142" t="s">
        <v>2852</v>
      </c>
      <c r="N276" s="128"/>
      <c r="O276" s="142" t="str">
        <f>Query!O277</f>
        <v>DSPW/SKID</v>
      </c>
    </row>
    <row r="277" spans="1:15" ht="26.25" customHeight="1">
      <c r="A277" s="142" t="str">
        <f>Query!A278</f>
        <v>20275</v>
      </c>
      <c r="B277" s="142" t="str">
        <f>MID(Query!B278,1,2)</f>
        <v>B1</v>
      </c>
      <c r="C277" s="144" t="str">
        <f>MID(Query!B278,4,50)</f>
        <v>TE-13013-502</v>
      </c>
      <c r="D277" s="142" t="str">
        <f>Query!C278</f>
        <v>Part of sensor</v>
      </c>
      <c r="E277" s="142" t="str">
        <f>Query!D278</f>
        <v>4 x 0.22  mm²</v>
      </c>
      <c r="F277" s="142" t="s">
        <v>385</v>
      </c>
      <c r="G277" s="142" t="str">
        <f>Query!E278</f>
        <v>20</v>
      </c>
      <c r="H277" s="146" t="s">
        <v>2857</v>
      </c>
      <c r="I277" s="142" t="str">
        <f>Query!G278</f>
        <v>TEMP.STATOR WINDING PHASE U - C</v>
      </c>
      <c r="J277" s="142" t="s">
        <v>2852</v>
      </c>
      <c r="K277" s="146" t="str">
        <f>Query!K278</f>
        <v>B1-TE-13013-B01</v>
      </c>
      <c r="L277" s="142" t="str">
        <f>Query!L278</f>
        <v>TEMP.STATOR WINDING PHASE U - C</v>
      </c>
      <c r="M277" s="142" t="s">
        <v>2852</v>
      </c>
      <c r="N277" s="128"/>
      <c r="O277" s="142" t="str">
        <f>Query!O278</f>
        <v>DSPW/SKID</v>
      </c>
    </row>
    <row r="278" spans="1:15" ht="26.25" customHeight="1">
      <c r="A278" s="142" t="str">
        <f>Query!A279</f>
        <v>20276</v>
      </c>
      <c r="B278" s="142" t="str">
        <f>MID(Query!B279,1,2)</f>
        <v>B1</v>
      </c>
      <c r="C278" s="144" t="str">
        <f>MID(Query!B279,4,50)</f>
        <v>TE-13013-507</v>
      </c>
      <c r="D278" s="142" t="str">
        <f>Query!C279</f>
        <v>Part of sensor</v>
      </c>
      <c r="E278" s="142" t="str">
        <f>Query!D279</f>
        <v>4 x 0.22  mm²</v>
      </c>
      <c r="F278" s="142" t="s">
        <v>385</v>
      </c>
      <c r="G278" s="142" t="str">
        <f>Query!E279</f>
        <v>20</v>
      </c>
      <c r="H278" s="146" t="str">
        <f>Query!F279</f>
        <v>B1JBA-1301-X01</v>
      </c>
      <c r="I278" s="142" t="str">
        <f>Query!G279</f>
        <v>Generator JB</v>
      </c>
      <c r="J278" s="142" t="s">
        <v>2852</v>
      </c>
      <c r="K278" s="146" t="str">
        <f>Query!K279</f>
        <v>B1-TE-13013-B01</v>
      </c>
      <c r="L278" s="142" t="str">
        <f>Query!L279</f>
        <v>TEMP.STATOR WINDING PHASE U - C</v>
      </c>
      <c r="M278" s="142" t="s">
        <v>2852</v>
      </c>
      <c r="N278" s="128"/>
      <c r="O278" s="142" t="str">
        <f>Query!O279</f>
        <v>DSPW/SKID</v>
      </c>
    </row>
    <row r="279" spans="1:15" ht="26.25" customHeight="1">
      <c r="A279" s="142" t="str">
        <f>Query!A280</f>
        <v>20277</v>
      </c>
      <c r="B279" s="142" t="str">
        <f>MID(Query!B280,1,2)</f>
        <v>B1</v>
      </c>
      <c r="C279" s="144" t="str">
        <f>MID(Query!B280,4,50)</f>
        <v>TE-13021-502</v>
      </c>
      <c r="D279" s="142" t="str">
        <f>Query!C280</f>
        <v>Part of sensor</v>
      </c>
      <c r="E279" s="142" t="str">
        <f>Query!D280</f>
        <v>4 x 0.22  mm²</v>
      </c>
      <c r="F279" s="142" t="s">
        <v>385</v>
      </c>
      <c r="G279" s="142" t="str">
        <f>Query!E280</f>
        <v>20</v>
      </c>
      <c r="H279" s="146" t="str">
        <f>Query!F280</f>
        <v>B1JBA-1301-X01</v>
      </c>
      <c r="I279" s="142" t="str">
        <f>Query!G280</f>
        <v>Generator JB</v>
      </c>
      <c r="J279" s="142" t="s">
        <v>2852</v>
      </c>
      <c r="K279" s="146" t="str">
        <f>Query!K280</f>
        <v>B1-TE-13021-B01</v>
      </c>
      <c r="L279" s="142" t="str">
        <f>Query!L280</f>
        <v>TEMP.STATOR WINDING PHASE V - A</v>
      </c>
      <c r="M279" s="142" t="s">
        <v>2852</v>
      </c>
      <c r="N279" s="128"/>
      <c r="O279" s="142" t="str">
        <f>Query!O280</f>
        <v>DSPW/SKID</v>
      </c>
    </row>
    <row r="280" spans="1:15" ht="26.25" customHeight="1">
      <c r="A280" s="142" t="str">
        <f>Query!A281</f>
        <v>20278</v>
      </c>
      <c r="B280" s="142" t="str">
        <f>MID(Query!B281,1,2)</f>
        <v>B1</v>
      </c>
      <c r="C280" s="144" t="str">
        <f>MID(Query!B281,4,50)</f>
        <v>TE-13021-511</v>
      </c>
      <c r="D280" s="142" t="str">
        <f>Query!C281</f>
        <v>Part of sensor</v>
      </c>
      <c r="E280" s="142" t="str">
        <f>Query!D281</f>
        <v>4 x 0.22  mm²</v>
      </c>
      <c r="F280" s="142" t="s">
        <v>385</v>
      </c>
      <c r="G280" s="142" t="str">
        <f>Query!E281</f>
        <v>20</v>
      </c>
      <c r="H280" s="146" t="str">
        <f>Query!F281</f>
        <v>B1JBA-1301-X01</v>
      </c>
      <c r="I280" s="142" t="str">
        <f>Query!G281</f>
        <v>Generator JB</v>
      </c>
      <c r="J280" s="142" t="s">
        <v>2852</v>
      </c>
      <c r="K280" s="146" t="str">
        <f>Query!K281</f>
        <v>B1-TE-13021-B01</v>
      </c>
      <c r="L280" s="142" t="str">
        <f>Query!L281</f>
        <v>TEMP.STATOR WINDING PHASE V - A</v>
      </c>
      <c r="M280" s="142" t="s">
        <v>2852</v>
      </c>
      <c r="N280" s="128"/>
      <c r="O280" s="142" t="str">
        <f>Query!O281</f>
        <v>DSPW/SKID</v>
      </c>
    </row>
    <row r="281" spans="1:15" ht="26.25" customHeight="1">
      <c r="A281" s="142" t="str">
        <f>Query!A282</f>
        <v>20279</v>
      </c>
      <c r="B281" s="142" t="str">
        <f>MID(Query!B282,1,2)</f>
        <v>B1</v>
      </c>
      <c r="C281" s="144" t="str">
        <f>MID(Query!B282,4,50)</f>
        <v>TE-13022-505</v>
      </c>
      <c r="D281" s="142" t="str">
        <f>Query!C282</f>
        <v>Part of sensor</v>
      </c>
      <c r="E281" s="142" t="str">
        <f>Query!D282</f>
        <v>4 x 0.22  mm²</v>
      </c>
      <c r="F281" s="142" t="s">
        <v>385</v>
      </c>
      <c r="G281" s="142" t="str">
        <f>Query!E282</f>
        <v>20</v>
      </c>
      <c r="H281" s="146" t="str">
        <f>Query!F282</f>
        <v>B1JBA-1301-X01</v>
      </c>
      <c r="I281" s="142" t="str">
        <f>Query!G282</f>
        <v>Generator JB</v>
      </c>
      <c r="J281" s="142" t="s">
        <v>2852</v>
      </c>
      <c r="K281" s="146" t="str">
        <f>Query!K282</f>
        <v>B1-TE-13022-B01</v>
      </c>
      <c r="L281" s="142" t="str">
        <f>Query!L282</f>
        <v>TEMP.STATOR WINDING PHASE V - B</v>
      </c>
      <c r="M281" s="142" t="s">
        <v>2852</v>
      </c>
      <c r="N281" s="128"/>
      <c r="O281" s="142" t="str">
        <f>Query!O282</f>
        <v>DSPW/SKID</v>
      </c>
    </row>
    <row r="282" spans="1:15" ht="26.25" customHeight="1">
      <c r="A282" s="142" t="str">
        <f>Query!A283</f>
        <v>20280</v>
      </c>
      <c r="B282" s="142" t="str">
        <f>MID(Query!B283,1,2)</f>
        <v>B1</v>
      </c>
      <c r="C282" s="144" t="str">
        <f>MID(Query!B283,4,50)</f>
        <v>TE-13023-508</v>
      </c>
      <c r="D282" s="142" t="str">
        <f>Query!C283</f>
        <v>Part of sensor</v>
      </c>
      <c r="E282" s="142" t="str">
        <f>Query!D283</f>
        <v>4 x 0.22  mm²</v>
      </c>
      <c r="F282" s="142" t="s">
        <v>385</v>
      </c>
      <c r="G282" s="142" t="str">
        <f>Query!E283</f>
        <v>20</v>
      </c>
      <c r="H282" s="146" t="str">
        <f>Query!F283</f>
        <v>B1JBA-1301-X01</v>
      </c>
      <c r="I282" s="142" t="str">
        <f>Query!G283</f>
        <v>Generator JB</v>
      </c>
      <c r="J282" s="142" t="s">
        <v>2852</v>
      </c>
      <c r="K282" s="146" t="str">
        <f>Query!K283</f>
        <v>B1-TE-13023-B01</v>
      </c>
      <c r="L282" s="142" t="str">
        <f>Query!L283</f>
        <v>TEMP.STATOR WINDING PHASE V - C</v>
      </c>
      <c r="M282" s="142" t="s">
        <v>2852</v>
      </c>
      <c r="N282" s="128"/>
      <c r="O282" s="142" t="str">
        <f>Query!O283</f>
        <v>DSPW/SKID</v>
      </c>
    </row>
    <row r="283" spans="1:15" ht="26.25" customHeight="1">
      <c r="A283" s="142" t="str">
        <f>Query!A284</f>
        <v>20281</v>
      </c>
      <c r="B283" s="142" t="str">
        <f>MID(Query!B284,1,2)</f>
        <v>B1</v>
      </c>
      <c r="C283" s="144" t="str">
        <f>MID(Query!B284,4,50)</f>
        <v>TE-13031-503</v>
      </c>
      <c r="D283" s="142" t="str">
        <f>Query!C284</f>
        <v>Part of sensor</v>
      </c>
      <c r="E283" s="142" t="str">
        <f>Query!D284</f>
        <v>4 x 0.22  mm²</v>
      </c>
      <c r="F283" s="142" t="s">
        <v>385</v>
      </c>
      <c r="G283" s="142" t="str">
        <f>Query!E284</f>
        <v>20</v>
      </c>
      <c r="H283" s="146" t="str">
        <f>Query!F284</f>
        <v>B1JBA-1301-X01</v>
      </c>
      <c r="I283" s="142" t="str">
        <f>Query!G284</f>
        <v>Generator JB</v>
      </c>
      <c r="J283" s="142" t="s">
        <v>2852</v>
      </c>
      <c r="K283" s="146" t="str">
        <f>Query!K284</f>
        <v>B1-TE-13031-B01</v>
      </c>
      <c r="L283" s="142" t="str">
        <f>Query!L284</f>
        <v>TEMP.STATOR WINDING PHASE W - A</v>
      </c>
      <c r="M283" s="142" t="s">
        <v>2852</v>
      </c>
      <c r="N283" s="128"/>
      <c r="O283" s="142" t="str">
        <f>Query!O284</f>
        <v>DSPW/SKID</v>
      </c>
    </row>
    <row r="284" spans="1:15" ht="26.25" customHeight="1">
      <c r="A284" s="142" t="str">
        <f>Query!A285</f>
        <v>20282</v>
      </c>
      <c r="B284" s="142" t="str">
        <f>MID(Query!B285,1,2)</f>
        <v>B1</v>
      </c>
      <c r="C284" s="144" t="str">
        <f>MID(Query!B285,4,50)</f>
        <v>TE-13031-512</v>
      </c>
      <c r="D284" s="142" t="str">
        <f>Query!C285</f>
        <v>Part of sensor</v>
      </c>
      <c r="E284" s="142" t="str">
        <f>Query!D285</f>
        <v>4 x 0.22  mm²</v>
      </c>
      <c r="F284" s="142" t="s">
        <v>385</v>
      </c>
      <c r="G284" s="142" t="str">
        <f>Query!E285</f>
        <v>20</v>
      </c>
      <c r="H284" s="146" t="str">
        <f>Query!F285</f>
        <v>B1JBA-1301-X01</v>
      </c>
      <c r="I284" s="142" t="str">
        <f>Query!G285</f>
        <v>Generator JB</v>
      </c>
      <c r="J284" s="142" t="s">
        <v>2852</v>
      </c>
      <c r="K284" s="146" t="str">
        <f>Query!K285</f>
        <v>B1-TE-13031-B01</v>
      </c>
      <c r="L284" s="142" t="str">
        <f>Query!L285</f>
        <v>TEMP.STATOR WINDING PHASE W - A</v>
      </c>
      <c r="M284" s="142" t="s">
        <v>2852</v>
      </c>
      <c r="N284" s="128"/>
      <c r="O284" s="142" t="str">
        <f>Query!O285</f>
        <v>DSPW/SKID</v>
      </c>
    </row>
    <row r="285" spans="1:15" ht="26.25" customHeight="1">
      <c r="A285" s="142" t="str">
        <f>Query!A286</f>
        <v>20283</v>
      </c>
      <c r="B285" s="142" t="str">
        <f>MID(Query!B286,1,2)</f>
        <v>B1</v>
      </c>
      <c r="C285" s="144" t="str">
        <f>MID(Query!B286,4,50)</f>
        <v>TE-13032-506</v>
      </c>
      <c r="D285" s="142" t="str">
        <f>Query!C286</f>
        <v>Part of sensor</v>
      </c>
      <c r="E285" s="142" t="str">
        <f>Query!D286</f>
        <v>4 x 0.22  mm²</v>
      </c>
      <c r="F285" s="142" t="s">
        <v>385</v>
      </c>
      <c r="G285" s="142" t="str">
        <f>Query!E286</f>
        <v>20</v>
      </c>
      <c r="H285" s="146" t="str">
        <f>Query!F286</f>
        <v>B1JBA-1301-X01</v>
      </c>
      <c r="I285" s="142" t="str">
        <f>Query!G286</f>
        <v>Generator JB</v>
      </c>
      <c r="J285" s="142" t="s">
        <v>2852</v>
      </c>
      <c r="K285" s="146" t="str">
        <f>Query!K286</f>
        <v>B1-TE-13032-B01</v>
      </c>
      <c r="L285" s="142" t="str">
        <f>Query!L286</f>
        <v>TEMP.STATOR WINDING PHASE W - B</v>
      </c>
      <c r="M285" s="142" t="s">
        <v>2852</v>
      </c>
      <c r="N285" s="128"/>
      <c r="O285" s="142" t="str">
        <f>Query!O286</f>
        <v>DSPW/SKID</v>
      </c>
    </row>
    <row r="286" spans="1:15" ht="26.25" customHeight="1">
      <c r="A286" s="142" t="str">
        <f>Query!A287</f>
        <v>20284</v>
      </c>
      <c r="B286" s="142" t="str">
        <f>MID(Query!B287,1,2)</f>
        <v>B1</v>
      </c>
      <c r="C286" s="144" t="str">
        <f>MID(Query!B287,4,50)</f>
        <v>TE-13033-502</v>
      </c>
      <c r="D286" s="142" t="str">
        <f>Query!C287</f>
        <v>Part of sensor</v>
      </c>
      <c r="E286" s="142" t="str">
        <f>Query!D287</f>
        <v>4 x 0.22  mm²</v>
      </c>
      <c r="F286" s="142" t="s">
        <v>385</v>
      </c>
      <c r="G286" s="142" t="str">
        <f>Query!E287</f>
        <v>20</v>
      </c>
      <c r="H286" s="146" t="s">
        <v>2857</v>
      </c>
      <c r="I286" s="142" t="str">
        <f>Query!G287</f>
        <v>TEMP.STATOR WINDING PHASE W - C</v>
      </c>
      <c r="J286" s="142" t="s">
        <v>2852</v>
      </c>
      <c r="K286" s="146" t="str">
        <f>Query!K287</f>
        <v>B1-TE-13033-B01</v>
      </c>
      <c r="L286" s="142" t="str">
        <f>Query!L287</f>
        <v>TEMP.STATOR WINDING PHASE W - C</v>
      </c>
      <c r="M286" s="142" t="s">
        <v>2852</v>
      </c>
      <c r="N286" s="128"/>
      <c r="O286" s="142" t="str">
        <f>Query!O287</f>
        <v>DSPW/SKID</v>
      </c>
    </row>
    <row r="287" spans="1:15" ht="26.25" customHeight="1">
      <c r="A287" s="142" t="str">
        <f>Query!A288</f>
        <v>20285</v>
      </c>
      <c r="B287" s="142" t="str">
        <f>MID(Query!B288,1,2)</f>
        <v>B1</v>
      </c>
      <c r="C287" s="144" t="str">
        <f>MID(Query!B288,4,50)</f>
        <v>TE-13033-509</v>
      </c>
      <c r="D287" s="142" t="str">
        <f>Query!C288</f>
        <v>Part of sensor</v>
      </c>
      <c r="E287" s="142" t="str">
        <f>Query!D288</f>
        <v>4 x 0.22  mm²</v>
      </c>
      <c r="F287" s="142" t="s">
        <v>385</v>
      </c>
      <c r="G287" s="142" t="str">
        <f>Query!E288</f>
        <v>20</v>
      </c>
      <c r="H287" s="146" t="str">
        <f>Query!F288</f>
        <v>B1JBA-1301-X01</v>
      </c>
      <c r="I287" s="142" t="str">
        <f>Query!G288</f>
        <v>Generator JB</v>
      </c>
      <c r="J287" s="142" t="s">
        <v>2852</v>
      </c>
      <c r="K287" s="146" t="str">
        <f>Query!K288</f>
        <v>B1-TE-13033-B01</v>
      </c>
      <c r="L287" s="142" t="str">
        <f>Query!L288</f>
        <v>TEMP.STATOR WINDING PHASE W - C</v>
      </c>
      <c r="M287" s="142" t="s">
        <v>2852</v>
      </c>
      <c r="N287" s="128"/>
      <c r="O287" s="142" t="str">
        <f>Query!O288</f>
        <v>DSPW/SKID</v>
      </c>
    </row>
    <row r="288" spans="1:15" ht="26.25" customHeight="1">
      <c r="A288" s="142" t="str">
        <f>Query!A289</f>
        <v>20286</v>
      </c>
      <c r="B288" s="142" t="str">
        <f>MID(Query!B289,1,2)</f>
        <v>B1</v>
      </c>
      <c r="C288" s="144" t="str">
        <f>MID(Query!B289,4,50)</f>
        <v>TE-13051-528</v>
      </c>
      <c r="D288" s="142" t="str">
        <f>Query!C289</f>
        <v>340-C-PUR</v>
      </c>
      <c r="E288" s="142" t="str">
        <f>Query!D289</f>
        <v>4 x 2 x 0,75  mm²</v>
      </c>
      <c r="F288" s="142" t="s">
        <v>385</v>
      </c>
      <c r="G288" s="142" t="str">
        <f>Query!E289</f>
        <v>20</v>
      </c>
      <c r="H288" s="146" t="str">
        <f>Query!F289</f>
        <v>B1JBA-1301-X03</v>
      </c>
      <c r="I288" s="142" t="str">
        <f>Query!G289</f>
        <v>Generator JB</v>
      </c>
      <c r="J288" s="142" t="s">
        <v>2852</v>
      </c>
      <c r="K288" s="146" t="str">
        <f>Query!K289</f>
        <v>B1-TE-13051-B01</v>
      </c>
      <c r="L288" s="142" t="str">
        <f>Query!L289</f>
        <v>TEMP.1.2 COLD AIR GEN.SUCT.TE</v>
      </c>
      <c r="M288" s="142" t="s">
        <v>2852</v>
      </c>
      <c r="N288" s="128"/>
      <c r="O288" s="142" t="str">
        <f>Query!O289</f>
        <v>DSPW/SKID</v>
      </c>
    </row>
    <row r="289" spans="1:15" ht="26.25" customHeight="1">
      <c r="A289" s="142" t="str">
        <f>Query!A290</f>
        <v>20287</v>
      </c>
      <c r="B289" s="142" t="str">
        <f>MID(Query!B290,1,2)</f>
        <v>B1</v>
      </c>
      <c r="C289" s="144" t="str">
        <f>MID(Query!B290,4,50)</f>
        <v>TE-13052-529</v>
      </c>
      <c r="D289" s="142" t="str">
        <f>Query!C290</f>
        <v>340-C-PUR</v>
      </c>
      <c r="E289" s="142" t="str">
        <f>Query!D290</f>
        <v>4 x 2 x 0,75  mm²</v>
      </c>
      <c r="F289" s="142" t="s">
        <v>385</v>
      </c>
      <c r="G289" s="142" t="str">
        <f>Query!E290</f>
        <v>20</v>
      </c>
      <c r="H289" s="146" t="str">
        <f>Query!F290</f>
        <v>B1JBA-1301-X03</v>
      </c>
      <c r="I289" s="142" t="str">
        <f>Query!G290</f>
        <v>Generator JB</v>
      </c>
      <c r="J289" s="142" t="s">
        <v>2852</v>
      </c>
      <c r="K289" s="146" t="str">
        <f>Query!K290</f>
        <v>B1-TE-13052-B01</v>
      </c>
      <c r="L289" s="142" t="str">
        <f>Query!L290</f>
        <v>TEMP.2 COLD AIR GEN.SUCT.TE</v>
      </c>
      <c r="M289" s="142" t="s">
        <v>2852</v>
      </c>
      <c r="N289" s="128"/>
      <c r="O289" s="142" t="str">
        <f>Query!O290</f>
        <v>DSPW/SKID</v>
      </c>
    </row>
    <row r="290" spans="1:15" ht="26.25" customHeight="1">
      <c r="A290" s="142" t="str">
        <f>Query!A291</f>
        <v>20288</v>
      </c>
      <c r="B290" s="142" t="str">
        <f>MID(Query!B291,1,2)</f>
        <v>B1</v>
      </c>
      <c r="C290" s="144" t="str">
        <f>MID(Query!B291,4,50)</f>
        <v>TE-13053-530</v>
      </c>
      <c r="D290" s="142" t="str">
        <f>Query!C291</f>
        <v>340-C-PUR</v>
      </c>
      <c r="E290" s="142" t="str">
        <f>Query!D291</f>
        <v>4 x 2 x 0,75  mm²</v>
      </c>
      <c r="F290" s="142" t="s">
        <v>385</v>
      </c>
      <c r="G290" s="142" t="str">
        <f>Query!E291</f>
        <v>20</v>
      </c>
      <c r="H290" s="146" t="str">
        <f>Query!F291</f>
        <v>B1JBA-1301-X03</v>
      </c>
      <c r="I290" s="142" t="str">
        <f>Query!G291</f>
        <v>Generator JB</v>
      </c>
      <c r="J290" s="142" t="s">
        <v>2852</v>
      </c>
      <c r="K290" s="146" t="str">
        <f>Query!K291</f>
        <v>B1-TE-13053-B01</v>
      </c>
      <c r="L290" s="142" t="str">
        <f>Query!L291</f>
        <v>TEMP.1.1 COLD AIR GEN.SUCT.EE</v>
      </c>
      <c r="M290" s="142" t="s">
        <v>2852</v>
      </c>
      <c r="N290" s="128"/>
      <c r="O290" s="142" t="str">
        <f>Query!O291</f>
        <v>DSPW/SKID</v>
      </c>
    </row>
    <row r="291" spans="1:15" ht="26.25" customHeight="1">
      <c r="A291" s="142" t="str">
        <f>Query!A292</f>
        <v>20289</v>
      </c>
      <c r="B291" s="142" t="str">
        <f>MID(Query!B292,1,2)</f>
        <v>B1</v>
      </c>
      <c r="C291" s="144" t="str">
        <f>MID(Query!B292,4,50)</f>
        <v>TE-13054-531</v>
      </c>
      <c r="D291" s="142" t="str">
        <f>Query!C292</f>
        <v>340-C-PUR</v>
      </c>
      <c r="E291" s="142" t="str">
        <f>Query!D292</f>
        <v>4 x 2 x 0,75  mm²</v>
      </c>
      <c r="F291" s="142" t="s">
        <v>385</v>
      </c>
      <c r="G291" s="142" t="str">
        <f>Query!E292</f>
        <v>20</v>
      </c>
      <c r="H291" s="146" t="str">
        <f>Query!F292</f>
        <v>B1JBA-1301-X03</v>
      </c>
      <c r="I291" s="142" t="str">
        <f>Query!G292</f>
        <v>Generator JB</v>
      </c>
      <c r="J291" s="142" t="s">
        <v>2852</v>
      </c>
      <c r="K291" s="146" t="str">
        <f>Query!K292</f>
        <v>B1-TE-13054-B01</v>
      </c>
      <c r="L291" s="142" t="str">
        <f>Query!L292</f>
        <v>TEMP.2 COLD AIR GEN.SUCT.EED</v>
      </c>
      <c r="M291" s="142" t="s">
        <v>2852</v>
      </c>
      <c r="N291" s="128"/>
      <c r="O291" s="142" t="str">
        <f>Query!O292</f>
        <v>DSPW/SKID</v>
      </c>
    </row>
    <row r="292" spans="1:15" ht="26.25" customHeight="1">
      <c r="A292" s="142" t="str">
        <f>Query!A293</f>
        <v>20290</v>
      </c>
      <c r="B292" s="142" t="str">
        <f>MID(Query!B293,1,2)</f>
        <v>B1</v>
      </c>
      <c r="C292" s="144" t="str">
        <f>MID(Query!B293,4,50)</f>
        <v>TE-13061-532</v>
      </c>
      <c r="D292" s="142" t="str">
        <f>Query!C293</f>
        <v>340-C-PUR</v>
      </c>
      <c r="E292" s="142" t="str">
        <f>Query!D293</f>
        <v>4 x 2 x 0,75  mm²</v>
      </c>
      <c r="F292" s="142" t="s">
        <v>385</v>
      </c>
      <c r="G292" s="142" t="str">
        <f>Query!E293</f>
        <v>20</v>
      </c>
      <c r="H292" s="146" t="str">
        <f>Query!F293</f>
        <v>B1JBA-1301-X03</v>
      </c>
      <c r="I292" s="142" t="str">
        <f>Query!G293</f>
        <v>Generator JB</v>
      </c>
      <c r="J292" s="142" t="s">
        <v>2852</v>
      </c>
      <c r="K292" s="146" t="str">
        <f>Query!K293</f>
        <v>B1-TE-13061-B01</v>
      </c>
      <c r="L292" s="142" t="str">
        <f>Query!L293</f>
        <v>TEMP.HOT AIR GEN.EXHAUST</v>
      </c>
      <c r="M292" s="142" t="s">
        <v>2852</v>
      </c>
      <c r="N292" s="128"/>
      <c r="O292" s="142" t="str">
        <f>Query!O293</f>
        <v>DSPW/SKID</v>
      </c>
    </row>
    <row r="293" spans="1:15" ht="26.25" customHeight="1">
      <c r="A293" s="142" t="str">
        <f>Query!A294</f>
        <v>20291</v>
      </c>
      <c r="B293" s="142" t="str">
        <f>MID(Query!B294,1,2)</f>
        <v>B1</v>
      </c>
      <c r="C293" s="144" t="str">
        <f>MID(Query!B294,4,50)</f>
        <v>TE-13065-533</v>
      </c>
      <c r="D293" s="142" t="str">
        <f>Query!C294</f>
        <v>340-C-PUR</v>
      </c>
      <c r="E293" s="142" t="str">
        <f>Query!D294</f>
        <v>4 x 2 x 0,75  mm²</v>
      </c>
      <c r="F293" s="142" t="s">
        <v>385</v>
      </c>
      <c r="G293" s="142" t="str">
        <f>Query!E294</f>
        <v>20</v>
      </c>
      <c r="H293" s="146" t="str">
        <f>Query!F294</f>
        <v>B1JBA-1301-X03</v>
      </c>
      <c r="I293" s="142" t="str">
        <f>Query!G294</f>
        <v>Generator JB</v>
      </c>
      <c r="J293" s="142" t="s">
        <v>2852</v>
      </c>
      <c r="K293" s="146" t="str">
        <f>Query!K294</f>
        <v>B1-TE-13065-B01</v>
      </c>
      <c r="L293" s="142" t="str">
        <f>Query!L294</f>
        <v>TEMP.HOT AIR EXC.EXHAUST</v>
      </c>
      <c r="M293" s="142" t="s">
        <v>2852</v>
      </c>
      <c r="N293" s="128"/>
      <c r="O293" s="142" t="str">
        <f>Query!O294</f>
        <v>DSPW/SKID</v>
      </c>
    </row>
    <row r="294" spans="1:15" ht="26.25" customHeight="1">
      <c r="A294" s="142" t="str">
        <f>Query!A295</f>
        <v>20292</v>
      </c>
      <c r="B294" s="142" t="str">
        <f>MID(Query!B295,1,2)</f>
        <v>B1</v>
      </c>
      <c r="C294" s="144" t="str">
        <f>MID(Query!B295,4,50)</f>
        <v>TE-13081A-516</v>
      </c>
      <c r="D294" s="142" t="str">
        <f>Query!C295</f>
        <v>TLH KX</v>
      </c>
      <c r="E294" s="142" t="str">
        <f>Query!D295</f>
        <v>1 x 2 x 0.5  mm²</v>
      </c>
      <c r="F294" s="142" t="s">
        <v>385</v>
      </c>
      <c r="G294" s="142" t="str">
        <f>Query!E295</f>
        <v>20</v>
      </c>
      <c r="H294" s="146" t="str">
        <f>Query!F295</f>
        <v>B1JBA-1301-X02</v>
      </c>
      <c r="I294" s="142" t="str">
        <f>Query!G295</f>
        <v>Generator JB</v>
      </c>
      <c r="J294" s="142" t="s">
        <v>2852</v>
      </c>
      <c r="K294" s="146" t="str">
        <f>Query!K295</f>
        <v>B1-TE-13081A-B01</v>
      </c>
      <c r="L294" s="142" t="str">
        <f>Query!L295</f>
        <v>TEMP.1 FRONT GEN. BEARING</v>
      </c>
      <c r="M294" s="142" t="s">
        <v>2852</v>
      </c>
      <c r="N294" s="128"/>
      <c r="O294" s="142" t="str">
        <f>Query!O295</f>
        <v>DSPW/SKID</v>
      </c>
    </row>
    <row r="295" spans="1:15" ht="26.25" customHeight="1">
      <c r="A295" s="142" t="str">
        <f>Query!A296</f>
        <v>20293</v>
      </c>
      <c r="B295" s="142" t="str">
        <f>MID(Query!B296,1,2)</f>
        <v>B1</v>
      </c>
      <c r="C295" s="144" t="str">
        <f>MID(Query!B296,4,50)</f>
        <v>TE-13081A-517</v>
      </c>
      <c r="D295" s="142" t="str">
        <f>Query!C296</f>
        <v>TLH KX</v>
      </c>
      <c r="E295" s="142" t="str">
        <f>Query!D296</f>
        <v>1 x 2 x 0.5  mm²</v>
      </c>
      <c r="F295" s="142" t="s">
        <v>385</v>
      </c>
      <c r="G295" s="142" t="str">
        <f>Query!E296</f>
        <v>20</v>
      </c>
      <c r="H295" s="146" t="str">
        <f>Query!F296</f>
        <v>B1JBA-1301-X02</v>
      </c>
      <c r="I295" s="142" t="str">
        <f>Query!G296</f>
        <v>Generator JB</v>
      </c>
      <c r="J295" s="142" t="s">
        <v>2852</v>
      </c>
      <c r="K295" s="146" t="str">
        <f>Query!K296</f>
        <v>B1-TE-13081A-B01</v>
      </c>
      <c r="L295" s="142" t="str">
        <f>Query!L296</f>
        <v>TEMP.1 FRONT GEN. BEARING</v>
      </c>
      <c r="M295" s="142" t="s">
        <v>2852</v>
      </c>
      <c r="N295" s="128"/>
      <c r="O295" s="142" t="str">
        <f>Query!O296</f>
        <v>DSPW/SKID</v>
      </c>
    </row>
    <row r="296" spans="1:15" ht="26.25" customHeight="1">
      <c r="A296" s="142" t="str">
        <f>Query!A297</f>
        <v>20294</v>
      </c>
      <c r="B296" s="142" t="str">
        <f>MID(Query!B297,1,2)</f>
        <v>B1</v>
      </c>
      <c r="C296" s="144" t="str">
        <f>MID(Query!B297,4,50)</f>
        <v>TE-13081A-518</v>
      </c>
      <c r="D296" s="142" t="str">
        <f>Query!C297</f>
        <v>TLH KX</v>
      </c>
      <c r="E296" s="142" t="str">
        <f>Query!D297</f>
        <v>1 x 2 x 0.5  mm²</v>
      </c>
      <c r="F296" s="142" t="s">
        <v>385</v>
      </c>
      <c r="G296" s="142" t="str">
        <f>Query!E297</f>
        <v>20</v>
      </c>
      <c r="H296" s="146" t="str">
        <f>Query!F297</f>
        <v>B1JBA-1301-X02</v>
      </c>
      <c r="I296" s="142" t="str">
        <f>Query!G297</f>
        <v>Generator JB</v>
      </c>
      <c r="J296" s="142" t="s">
        <v>2852</v>
      </c>
      <c r="K296" s="146" t="str">
        <f>Query!K297</f>
        <v>B1-TE-13081A-B01</v>
      </c>
      <c r="L296" s="142" t="str">
        <f>Query!L297</f>
        <v>TEMP.1 FRONT GEN. BEARING</v>
      </c>
      <c r="M296" s="142" t="s">
        <v>2852</v>
      </c>
      <c r="N296" s="128"/>
      <c r="O296" s="142" t="str">
        <f>Query!O297</f>
        <v>DSPW/SKID</v>
      </c>
    </row>
    <row r="297" spans="1:15" ht="26.25" customHeight="1">
      <c r="A297" s="142" t="str">
        <f>Query!A298</f>
        <v>20295</v>
      </c>
      <c r="B297" s="142" t="str">
        <f>MID(Query!B298,1,2)</f>
        <v>B1</v>
      </c>
      <c r="C297" s="144" t="str">
        <f>MID(Query!B298,4,50)</f>
        <v>TE-13091A-519</v>
      </c>
      <c r="D297" s="142" t="str">
        <f>Query!C298</f>
        <v>TLH KX</v>
      </c>
      <c r="E297" s="142" t="str">
        <f>Query!D298</f>
        <v>1 x 2 x 0.5  mm²</v>
      </c>
      <c r="F297" s="142" t="s">
        <v>385</v>
      </c>
      <c r="G297" s="142" t="str">
        <f>Query!E298</f>
        <v>20</v>
      </c>
      <c r="H297" s="146" t="str">
        <f>Query!F298</f>
        <v>B1JBA-1301-X02</v>
      </c>
      <c r="I297" s="142" t="str">
        <f>Query!G298</f>
        <v>Generator JB</v>
      </c>
      <c r="J297" s="142" t="s">
        <v>2852</v>
      </c>
      <c r="K297" s="146" t="str">
        <f>Query!K298</f>
        <v>B1-TE-13091A-B01</v>
      </c>
      <c r="L297" s="142" t="str">
        <f>Query!L298</f>
        <v>TEMP.1 REAR GEN.BEARING</v>
      </c>
      <c r="M297" s="142" t="s">
        <v>2852</v>
      </c>
      <c r="N297" s="128"/>
      <c r="O297" s="142" t="str">
        <f>Query!O298</f>
        <v>DSPW/SKID</v>
      </c>
    </row>
    <row r="298" spans="1:15" ht="26.25" customHeight="1">
      <c r="A298" s="142" t="str">
        <f>Query!A299</f>
        <v>20296</v>
      </c>
      <c r="B298" s="142" t="str">
        <f>MID(Query!B299,1,2)</f>
        <v>B1</v>
      </c>
      <c r="C298" s="144" t="str">
        <f>MID(Query!B299,4,50)</f>
        <v>TE-13091A-520</v>
      </c>
      <c r="D298" s="142" t="str">
        <f>Query!C299</f>
        <v>TLH KX</v>
      </c>
      <c r="E298" s="142" t="str">
        <f>Query!D299</f>
        <v>1 x 2 x 0.5  mm²</v>
      </c>
      <c r="F298" s="142" t="s">
        <v>385</v>
      </c>
      <c r="G298" s="142" t="str">
        <f>Query!E299</f>
        <v>20</v>
      </c>
      <c r="H298" s="146" t="str">
        <f>Query!F299</f>
        <v>B1JBA-1301-X02</v>
      </c>
      <c r="I298" s="142" t="str">
        <f>Query!G299</f>
        <v>Generator JB</v>
      </c>
      <c r="J298" s="142" t="s">
        <v>2852</v>
      </c>
      <c r="K298" s="146" t="str">
        <f>Query!K299</f>
        <v>B1-TE-13091A-B01</v>
      </c>
      <c r="L298" s="142" t="str">
        <f>Query!L299</f>
        <v>TEMP.1 REAR GEN.BEARING</v>
      </c>
      <c r="M298" s="142" t="s">
        <v>2852</v>
      </c>
      <c r="N298" s="128"/>
      <c r="O298" s="142" t="str">
        <f>Query!O299</f>
        <v>DSPW/SKID</v>
      </c>
    </row>
    <row r="299" spans="1:15" ht="26.25" customHeight="1">
      <c r="A299" s="142" t="str">
        <f>Query!A300</f>
        <v>20297</v>
      </c>
      <c r="B299" s="142" t="str">
        <f>MID(Query!B300,1,2)</f>
        <v>B1</v>
      </c>
      <c r="C299" s="144" t="str">
        <f>MID(Query!B300,4,50)</f>
        <v>TE-13091A-521</v>
      </c>
      <c r="D299" s="142" t="str">
        <f>Query!C300</f>
        <v>TLH KX</v>
      </c>
      <c r="E299" s="142" t="str">
        <f>Query!D300</f>
        <v>1 x 2 x 0.5  mm²</v>
      </c>
      <c r="F299" s="142" t="s">
        <v>385</v>
      </c>
      <c r="G299" s="142" t="str">
        <f>Query!E300</f>
        <v>20</v>
      </c>
      <c r="H299" s="146" t="str">
        <f>Query!F300</f>
        <v>B1JBA-1301-X02</v>
      </c>
      <c r="I299" s="142" t="str">
        <f>Query!G300</f>
        <v>Generator JB</v>
      </c>
      <c r="J299" s="142" t="s">
        <v>2852</v>
      </c>
      <c r="K299" s="146" t="str">
        <f>Query!K300</f>
        <v>B1-TE-13091A-B01</v>
      </c>
      <c r="L299" s="142" t="str">
        <f>Query!L300</f>
        <v>TEMP.1 REAR GEN.BEARING</v>
      </c>
      <c r="M299" s="142" t="s">
        <v>2852</v>
      </c>
      <c r="N299" s="128"/>
      <c r="O299" s="142" t="str">
        <f>Query!O300</f>
        <v>DSPW/SKID</v>
      </c>
    </row>
    <row r="300" spans="1:15" ht="26.25" customHeight="1">
      <c r="A300" s="142" t="str">
        <f>Query!A301</f>
        <v>20298</v>
      </c>
      <c r="B300" s="142" t="str">
        <f>MID(Query!B301,1,2)</f>
        <v>B1</v>
      </c>
      <c r="C300" s="144" t="str">
        <f>MID(Query!B301,4,50)</f>
        <v>TT-13101A-M4001</v>
      </c>
      <c r="D300" s="142" t="str">
        <f>Query!C301</f>
        <v>Cu</v>
      </c>
      <c r="E300" s="142" t="str">
        <f>Query!D301</f>
        <v>2 x 2 x 0.75  mm²</v>
      </c>
      <c r="F300" s="142" t="s">
        <v>385</v>
      </c>
      <c r="G300" s="142" t="str">
        <f>Query!E301</f>
        <v>20</v>
      </c>
      <c r="H300" s="146" t="str">
        <f>Query!F301</f>
        <v>B1-JBAY-1341-X01</v>
      </c>
      <c r="I300" s="142" t="str">
        <f>Query!G301</f>
        <v>JB HPH FI</v>
      </c>
      <c r="J300" s="142" t="s">
        <v>2852</v>
      </c>
      <c r="K300" s="146" t="str">
        <f>Query!K301</f>
        <v>B1-TT-13101A-B01</v>
      </c>
      <c r="L300" s="142" t="str">
        <f>Query!L301</f>
        <v>TEMPERATURE 1 IN CONTROL OIL TANK</v>
      </c>
      <c r="M300" s="142" t="s">
        <v>2852</v>
      </c>
      <c r="N300" s="128"/>
      <c r="O300" s="142" t="str">
        <f>Query!O301</f>
        <v>DSPW/SKID</v>
      </c>
    </row>
    <row r="301" spans="1:15" ht="26.25" customHeight="1">
      <c r="A301" s="142" t="str">
        <f>Query!A302</f>
        <v>20299</v>
      </c>
      <c r="B301" s="142" t="str">
        <f>MID(Query!B302,1,2)</f>
        <v>B1</v>
      </c>
      <c r="C301" s="144" t="str">
        <f>MID(Query!B302,4,50)</f>
        <v>TT-13101B-M4001</v>
      </c>
      <c r="D301" s="142" t="str">
        <f>Query!C302</f>
        <v>Cu</v>
      </c>
      <c r="E301" s="142" t="str">
        <f>Query!D302</f>
        <v>2 x 2 x 0.75  mm²</v>
      </c>
      <c r="F301" s="142" t="s">
        <v>385</v>
      </c>
      <c r="G301" s="142" t="str">
        <f>Query!E302</f>
        <v>20</v>
      </c>
      <c r="H301" s="146" t="str">
        <f>Query!F302</f>
        <v>B1-JBAY-1341-X01</v>
      </c>
      <c r="I301" s="142" t="str">
        <f>Query!G302</f>
        <v>JB HPH FI</v>
      </c>
      <c r="J301" s="142" t="s">
        <v>2852</v>
      </c>
      <c r="K301" s="146" t="str">
        <f>Query!K302</f>
        <v>B1-TT-13101B-B01</v>
      </c>
      <c r="L301" s="142" t="str">
        <f>Query!L302</f>
        <v>TEMPERATURE 2 IN CONTROL OIL TANK</v>
      </c>
      <c r="M301" s="142" t="s">
        <v>2852</v>
      </c>
      <c r="N301" s="128"/>
      <c r="O301" s="142" t="str">
        <f>Query!O302</f>
        <v>DSPW/SKID</v>
      </c>
    </row>
    <row r="302" spans="1:15" ht="26.25" customHeight="1">
      <c r="A302" s="142" t="str">
        <f>Query!A303</f>
        <v>20300</v>
      </c>
      <c r="B302" s="142" t="str">
        <f>MID(Query!B303,1,2)</f>
        <v>B1</v>
      </c>
      <c r="C302" s="144" t="str">
        <f>MID(Query!B303,4,50)</f>
        <v>TT-13101C-M4001</v>
      </c>
      <c r="D302" s="142" t="str">
        <f>Query!C303</f>
        <v>Cu</v>
      </c>
      <c r="E302" s="142" t="str">
        <f>Query!D303</f>
        <v>2 x 2 x 0.75  mm²</v>
      </c>
      <c r="F302" s="142" t="s">
        <v>385</v>
      </c>
      <c r="G302" s="142" t="str">
        <f>Query!E303</f>
        <v>20</v>
      </c>
      <c r="H302" s="146" t="str">
        <f>Query!F303</f>
        <v>B1-JBAY-1341-X01</v>
      </c>
      <c r="I302" s="142" t="str">
        <f>Query!G303</f>
        <v>JB HPH FI</v>
      </c>
      <c r="J302" s="142" t="s">
        <v>2852</v>
      </c>
      <c r="K302" s="146" t="str">
        <f>Query!K303</f>
        <v>B1-TT-13101C-B01</v>
      </c>
      <c r="L302" s="142" t="str">
        <f>Query!L303</f>
        <v>TEMPERATURE 3 IN CONTROL OIL TANK</v>
      </c>
      <c r="M302" s="142" t="s">
        <v>2852</v>
      </c>
      <c r="N302" s="128"/>
      <c r="O302" s="142" t="str">
        <f>Query!O303</f>
        <v>DSPW/SKID</v>
      </c>
    </row>
    <row r="303" spans="1:15" ht="26.25" customHeight="1">
      <c r="A303" s="142" t="str">
        <f>Query!A304</f>
        <v>20301</v>
      </c>
      <c r="B303" s="142" t="str">
        <f>MID(Query!B304,1,2)</f>
        <v>B1</v>
      </c>
      <c r="C303" s="144" t="str">
        <f>MID(Query!B304,4,50)</f>
        <v>VSD-13601-C4002</v>
      </c>
      <c r="D303" s="142" t="str">
        <f>Query!C304</f>
        <v>1- C5XFE-R /ST/</v>
      </c>
      <c r="E303" s="142" t="str">
        <f>Query!D304</f>
        <v>2 x 2 x 1.0  mm²</v>
      </c>
      <c r="F303" s="142" t="s">
        <v>260</v>
      </c>
      <c r="G303" s="142" t="str">
        <f>Query!E304</f>
        <v>100</v>
      </c>
      <c r="H303" s="146" t="str">
        <f>Query!F304</f>
        <v>B1-TCS-1301C-XA10</v>
      </c>
      <c r="I303" s="142" t="str">
        <f>Query!G304</f>
        <v>TPS I/O and marshaling cabinet</v>
      </c>
      <c r="J303" s="142" t="s">
        <v>2851</v>
      </c>
      <c r="K303" s="146" t="str">
        <f>Query!K304</f>
        <v>B1-VSD-13601-X91</v>
      </c>
      <c r="L303" s="142" t="str">
        <f>Query!L304</f>
        <v>Turning gear box</v>
      </c>
      <c r="M303" s="142" t="s">
        <v>2851</v>
      </c>
      <c r="N303" s="128"/>
      <c r="O303" s="142" t="str">
        <f>Query!O304</f>
        <v>DSPW/SUPP.FI</v>
      </c>
    </row>
    <row r="304" spans="1:15" ht="26.25" customHeight="1">
      <c r="A304" s="142" t="str">
        <f>Query!A305</f>
        <v>20302</v>
      </c>
      <c r="B304" s="142" t="str">
        <f>MID(Query!B305,1,2)</f>
        <v>B1</v>
      </c>
      <c r="C304" s="144" t="str">
        <f>MID(Query!B305,4,50)</f>
        <v>VSD-13601-C4004</v>
      </c>
      <c r="D304" s="142" t="str">
        <f>Query!C305</f>
        <v>1- C5XFE-R /ST/</v>
      </c>
      <c r="E304" s="142" t="str">
        <f>Query!D305</f>
        <v>2 x 2 x 1.0  mm²</v>
      </c>
      <c r="F304" s="142" t="s">
        <v>260</v>
      </c>
      <c r="G304" s="142" t="str">
        <f>Query!E305</f>
        <v>100</v>
      </c>
      <c r="H304" s="146" t="str">
        <f>Query!F305</f>
        <v>B1-TCS-1301C-XD71</v>
      </c>
      <c r="I304" s="142" t="str">
        <f>Query!G305</f>
        <v>TPS I/O and marshaling cabinet</v>
      </c>
      <c r="J304" s="142" t="s">
        <v>2851</v>
      </c>
      <c r="K304" s="146" t="str">
        <f>Query!K305</f>
        <v>B1-VSD-13601-X99</v>
      </c>
      <c r="L304" s="142" t="str">
        <f>Query!L305</f>
        <v>Turning gear box</v>
      </c>
      <c r="M304" s="142" t="s">
        <v>2851</v>
      </c>
      <c r="N304" s="128"/>
      <c r="O304" s="142" t="str">
        <f>Query!O305</f>
        <v>DSPW/SUPP.FI</v>
      </c>
    </row>
    <row r="305" spans="1:15" ht="26.25" customHeight="1">
      <c r="A305" s="142" t="str">
        <f>Query!A306</f>
        <v>20303</v>
      </c>
      <c r="B305" s="142" t="str">
        <f>MID(Query!B306,1,2)</f>
        <v>B1</v>
      </c>
      <c r="C305" s="144" t="str">
        <f>MID(Query!B306,4,50)</f>
        <v>ZHS-13121-C4001</v>
      </c>
      <c r="D305" s="142" t="str">
        <f>Query!C306</f>
        <v>Cu</v>
      </c>
      <c r="E305" s="142" t="str">
        <f>Query!D306</f>
        <v>4 x 2 x 0,75  mm²</v>
      </c>
      <c r="F305" s="142" t="s">
        <v>260</v>
      </c>
      <c r="G305" s="142" t="str">
        <f>Query!E306</f>
        <v>20</v>
      </c>
      <c r="H305" s="146" t="str">
        <f>Query!F306</f>
        <v>B1-ZHS-13121 HAN 16A</v>
      </c>
      <c r="I305" s="142" t="str">
        <f>Query!G306</f>
        <v>POSITION HP STOP VALVE 1</v>
      </c>
      <c r="J305" s="142" t="s">
        <v>2852</v>
      </c>
      <c r="K305" s="146" t="str">
        <f>Query!K306</f>
        <v>B1-ZHS-13121-B01</v>
      </c>
      <c r="L305" s="142" t="str">
        <f>Query!L306</f>
        <v>POSITION HP STOP VALVE 1</v>
      </c>
      <c r="M305" s="142" t="s">
        <v>2852</v>
      </c>
      <c r="N305" s="128"/>
      <c r="O305" s="142" t="str">
        <f>Query!O306</f>
        <v>DSPW/SKID</v>
      </c>
    </row>
    <row r="306" spans="1:15" ht="26.25" customHeight="1">
      <c r="A306" s="142" t="str">
        <f>Query!A307</f>
        <v>20304</v>
      </c>
      <c r="B306" s="142" t="str">
        <f>MID(Query!B307,1,2)</f>
        <v>B1</v>
      </c>
      <c r="C306" s="144" t="str">
        <f>MID(Query!B307,4,50)</f>
        <v>ZHS-13141-C4001</v>
      </c>
      <c r="D306" s="142" t="str">
        <f>Query!C307</f>
        <v>Cu</v>
      </c>
      <c r="E306" s="142" t="str">
        <f>Query!D307</f>
        <v>4 x 2 x 0,75  mm²</v>
      </c>
      <c r="F306" s="142" t="s">
        <v>260</v>
      </c>
      <c r="G306" s="142" t="str">
        <f>Query!E307</f>
        <v>20</v>
      </c>
      <c r="H306" s="146" t="str">
        <f>Query!F307</f>
        <v>B1-ZHS-13141 HAN 16A</v>
      </c>
      <c r="I306" s="142" t="str">
        <f>Query!G307</f>
        <v>POSITION HP STOP VALVE 2</v>
      </c>
      <c r="J306" s="142" t="s">
        <v>2852</v>
      </c>
      <c r="K306" s="146" t="str">
        <f>Query!K307</f>
        <v>B1-ZHS-13141-B01</v>
      </c>
      <c r="L306" s="142" t="str">
        <f>Query!L307</f>
        <v>POSITION HP STOP VALVE 2</v>
      </c>
      <c r="M306" s="142" t="s">
        <v>2852</v>
      </c>
      <c r="N306" s="128"/>
      <c r="O306" s="142" t="str">
        <f>Query!O307</f>
        <v>DSPW/SKID</v>
      </c>
    </row>
    <row r="307" spans="1:15" ht="26.25" customHeight="1">
      <c r="A307" s="142" t="str">
        <f>Query!A308</f>
        <v>20305</v>
      </c>
      <c r="B307" s="142" t="str">
        <f>MID(Query!B308,1,2)</f>
        <v>B1</v>
      </c>
      <c r="C307" s="144" t="str">
        <f>MID(Query!B308,4,50)</f>
        <v>ZHS-13161-C4001</v>
      </c>
      <c r="D307" s="142" t="str">
        <f>Query!C308</f>
        <v>Cu</v>
      </c>
      <c r="E307" s="142" t="str">
        <f>Query!D308</f>
        <v>4 x 2 x 0,75  mm²</v>
      </c>
      <c r="F307" s="142" t="s">
        <v>260</v>
      </c>
      <c r="G307" s="142" t="str">
        <f>Query!E308</f>
        <v>20</v>
      </c>
      <c r="H307" s="146" t="str">
        <f>Query!F308</f>
        <v>B1-ZHS-13161 HAN 16A</v>
      </c>
      <c r="I307" s="142" t="str">
        <f>Query!G308</f>
        <v>POSITION LP STOP FLAP</v>
      </c>
      <c r="J307" s="142" t="s">
        <v>2852</v>
      </c>
      <c r="K307" s="146" t="str">
        <f>Query!K308</f>
        <v>B1-ZHS-13161-B01</v>
      </c>
      <c r="L307" s="142" t="str">
        <f>Query!L308</f>
        <v>POSITION LP STOP FLAP</v>
      </c>
      <c r="M307" s="142" t="s">
        <v>2852</v>
      </c>
      <c r="N307" s="128"/>
      <c r="O307" s="142" t="str">
        <f>Query!O308</f>
        <v>DSPW/SKID</v>
      </c>
    </row>
    <row r="308" spans="1:15" ht="26.25" customHeight="1">
      <c r="A308" s="142" t="str">
        <f>Query!A309</f>
        <v>20306</v>
      </c>
      <c r="B308" s="142" t="str">
        <f>MID(Query!B309,1,2)</f>
        <v>B1</v>
      </c>
      <c r="C308" s="144" t="str">
        <f>MID(Query!B309,4,50)</f>
        <v>ZLS-13122-C4001</v>
      </c>
      <c r="D308" s="142" t="str">
        <f>Query!C309</f>
        <v>Cu</v>
      </c>
      <c r="E308" s="142" t="str">
        <f>Query!D309</f>
        <v>4 x 2 x 0,75  mm²</v>
      </c>
      <c r="F308" s="142" t="s">
        <v>260</v>
      </c>
      <c r="G308" s="142" t="str">
        <f>Query!E309</f>
        <v>20</v>
      </c>
      <c r="H308" s="146" t="str">
        <f>Query!F309</f>
        <v>B1-ZHS-13121 HAN 16A</v>
      </c>
      <c r="I308" s="142" t="str">
        <f>Query!G309</f>
        <v>POSITION HP STOP VALVE 1</v>
      </c>
      <c r="J308" s="142" t="s">
        <v>2852</v>
      </c>
      <c r="K308" s="146" t="str">
        <f>Query!K309</f>
        <v>B1-ZLS-13122-B01</v>
      </c>
      <c r="L308" s="142" t="str">
        <f>Query!L309</f>
        <v>POSITION HP STOP VALVE 1</v>
      </c>
      <c r="M308" s="142" t="s">
        <v>2852</v>
      </c>
      <c r="N308" s="128"/>
      <c r="O308" s="142" t="str">
        <f>Query!O309</f>
        <v>DSPW/SKID</v>
      </c>
    </row>
    <row r="309" spans="1:15" ht="26.25" customHeight="1">
      <c r="A309" s="142" t="str">
        <f>Query!A310</f>
        <v>20307</v>
      </c>
      <c r="B309" s="142" t="str">
        <f>MID(Query!B310,1,2)</f>
        <v>B1</v>
      </c>
      <c r="C309" s="144" t="str">
        <f>MID(Query!B310,4,50)</f>
        <v>ZLS-13142-C4001</v>
      </c>
      <c r="D309" s="142" t="str">
        <f>Query!C310</f>
        <v>Cu</v>
      </c>
      <c r="E309" s="142" t="str">
        <f>Query!D310</f>
        <v>4 x 2 x 0,75  mm²</v>
      </c>
      <c r="F309" s="142" t="s">
        <v>260</v>
      </c>
      <c r="G309" s="142" t="str">
        <f>Query!E310</f>
        <v>20</v>
      </c>
      <c r="H309" s="146" t="str">
        <f>Query!F310</f>
        <v>B1-ZHS-13141 HAN 16A</v>
      </c>
      <c r="I309" s="142" t="str">
        <f>Query!G310</f>
        <v>POSITION HP STOP VALVE 2</v>
      </c>
      <c r="J309" s="142" t="s">
        <v>2852</v>
      </c>
      <c r="K309" s="146" t="str">
        <f>Query!K310</f>
        <v>B1-ZLS-13142-B01</v>
      </c>
      <c r="L309" s="142" t="str">
        <f>Query!L310</f>
        <v>POSITION HP STOP VALVE 2</v>
      </c>
      <c r="M309" s="142" t="s">
        <v>2852</v>
      </c>
      <c r="N309" s="128"/>
      <c r="O309" s="142" t="str">
        <f>Query!O310</f>
        <v>DSPW/SKID</v>
      </c>
    </row>
    <row r="310" spans="1:15" ht="26.25" customHeight="1">
      <c r="A310" s="142" t="str">
        <f>Query!A311</f>
        <v>20308</v>
      </c>
      <c r="B310" s="142" t="str">
        <f>MID(Query!B311,1,2)</f>
        <v>B1</v>
      </c>
      <c r="C310" s="144" t="str">
        <f>MID(Query!B311,4,50)</f>
        <v>ZLS-13162-C4001</v>
      </c>
      <c r="D310" s="142" t="str">
        <f>Query!C311</f>
        <v>Cu</v>
      </c>
      <c r="E310" s="142" t="str">
        <f>Query!D311</f>
        <v>4 x 2 x 0,75  mm²</v>
      </c>
      <c r="F310" s="142" t="s">
        <v>260</v>
      </c>
      <c r="G310" s="142" t="str">
        <f>Query!E311</f>
        <v>20</v>
      </c>
      <c r="H310" s="146" t="str">
        <f>Query!F311</f>
        <v>B1-ZHS-13161 HAN 16A</v>
      </c>
      <c r="I310" s="142" t="str">
        <f>Query!G311</f>
        <v>POSITION LP STOP FLAP</v>
      </c>
      <c r="J310" s="142" t="s">
        <v>2852</v>
      </c>
      <c r="K310" s="146" t="str">
        <f>Query!K311</f>
        <v>B1-ZLS-13162-B01</v>
      </c>
      <c r="L310" s="142" t="str">
        <f>Query!L311</f>
        <v>POSITION LP STOP FLAP</v>
      </c>
      <c r="M310" s="142" t="s">
        <v>2852</v>
      </c>
      <c r="N310" s="128"/>
      <c r="O310" s="142" t="str">
        <f>Query!O311</f>
        <v>DSPW/SKID</v>
      </c>
    </row>
    <row r="311" spans="1:15" ht="26.25" customHeight="1">
      <c r="A311" s="142" t="str">
        <f>Query!A312</f>
        <v>20309</v>
      </c>
      <c r="B311" s="142" t="str">
        <f>MID(Query!B312,1,2)</f>
        <v>B1</v>
      </c>
      <c r="C311" s="144" t="str">
        <f>MID(Query!B312,4,50)</f>
        <v>ZT-13121-M4001</v>
      </c>
      <c r="D311" s="142" t="str">
        <f>Query!C312</f>
        <v>Silicone</v>
      </c>
      <c r="E311" s="142" t="str">
        <f>Query!D312</f>
        <v>3 x 2 x 0,25  mm²</v>
      </c>
      <c r="F311" s="142" t="s">
        <v>385</v>
      </c>
      <c r="G311" s="142" t="str">
        <f>Query!E312</f>
        <v>20</v>
      </c>
      <c r="H311" s="146" t="str">
        <f>Query!F312</f>
        <v>B1-ZT-13121 HAN 10A</v>
      </c>
      <c r="I311" s="142" t="str">
        <f>Query!G312</f>
        <v>POSITION HP STOP VALVE 1</v>
      </c>
      <c r="J311" s="142" t="s">
        <v>2852</v>
      </c>
      <c r="K311" s="146" t="str">
        <f>Query!K312</f>
        <v>B1-ZT-13121-B01</v>
      </c>
      <c r="L311" s="142" t="str">
        <f>Query!L312</f>
        <v>POSITION HP STOP VALVE 1</v>
      </c>
      <c r="M311" s="142" t="s">
        <v>2852</v>
      </c>
      <c r="N311" s="128"/>
      <c r="O311" s="142" t="str">
        <f>Query!O312</f>
        <v>DSPW/SKID</v>
      </c>
    </row>
    <row r="312" spans="1:15" ht="26.25" customHeight="1">
      <c r="A312" s="142" t="str">
        <f>Query!A313</f>
        <v>20310</v>
      </c>
      <c r="B312" s="142" t="str">
        <f>MID(Query!B313,1,2)</f>
        <v>B1</v>
      </c>
      <c r="C312" s="144" t="str">
        <f>MID(Query!B313,4,50)</f>
        <v>ZT-13131A-M4001</v>
      </c>
      <c r="D312" s="142" t="str">
        <f>Query!C313</f>
        <v>Silicone</v>
      </c>
      <c r="E312" s="142" t="str">
        <f>Query!D313</f>
        <v>3 x 2 x 0,25  mm²</v>
      </c>
      <c r="F312" s="142" t="s">
        <v>385</v>
      </c>
      <c r="G312" s="142" t="str">
        <f>Query!E313</f>
        <v>20</v>
      </c>
      <c r="H312" s="146" t="str">
        <f>Query!F313</f>
        <v>B1-ZT-13131A HAN 10A</v>
      </c>
      <c r="I312" s="142" t="str">
        <f>Query!G313</f>
        <v>POSITION 1 HP CONTROL VALVE 1</v>
      </c>
      <c r="J312" s="142" t="s">
        <v>2852</v>
      </c>
      <c r="K312" s="146" t="str">
        <f>Query!K313</f>
        <v>B1-ZT-13131A-B01</v>
      </c>
      <c r="L312" s="142" t="str">
        <f>Query!L313</f>
        <v>POSITION 1 HP CONTROL VALVE 1</v>
      </c>
      <c r="M312" s="142" t="s">
        <v>2852</v>
      </c>
      <c r="N312" s="128"/>
      <c r="O312" s="142" t="str">
        <f>Query!O313</f>
        <v>DSPW/SKID</v>
      </c>
    </row>
    <row r="313" spans="1:15" ht="26.25" customHeight="1">
      <c r="A313" s="142" t="str">
        <f>Query!A314</f>
        <v>20311</v>
      </c>
      <c r="B313" s="142" t="str">
        <f>MID(Query!B314,1,2)</f>
        <v>B1</v>
      </c>
      <c r="C313" s="144" t="str">
        <f>MID(Query!B314,4,50)</f>
        <v>ZT-13131B-M4001</v>
      </c>
      <c r="D313" s="142" t="str">
        <f>Query!C314</f>
        <v>Silicone</v>
      </c>
      <c r="E313" s="142" t="str">
        <f>Query!D314</f>
        <v>3 x 2 x 0,25  mm²</v>
      </c>
      <c r="F313" s="142" t="s">
        <v>385</v>
      </c>
      <c r="G313" s="142" t="str">
        <f>Query!E314</f>
        <v>20</v>
      </c>
      <c r="H313" s="146" t="str">
        <f>Query!F314</f>
        <v>B1-ZT-13131B HAN 10A</v>
      </c>
      <c r="I313" s="142" t="str">
        <f>Query!G314</f>
        <v>POSITION 2 HP CONTROL VALVE 1</v>
      </c>
      <c r="J313" s="142" t="s">
        <v>2852</v>
      </c>
      <c r="K313" s="146" t="str">
        <f>Query!K314</f>
        <v>B1-ZT-13131B-B01</v>
      </c>
      <c r="L313" s="142" t="str">
        <f>Query!L314</f>
        <v>POSITION 2 HP CONTROL VALVE 1</v>
      </c>
      <c r="M313" s="142" t="s">
        <v>2852</v>
      </c>
      <c r="N313" s="128"/>
      <c r="O313" s="142" t="str">
        <f>Query!O314</f>
        <v>DSPW/SKID</v>
      </c>
    </row>
    <row r="314" spans="1:15" ht="26.25" customHeight="1">
      <c r="A314" s="142" t="str">
        <f>Query!A315</f>
        <v>20312</v>
      </c>
      <c r="B314" s="142" t="str">
        <f>MID(Query!B315,1,2)</f>
        <v>B1</v>
      </c>
      <c r="C314" s="144" t="str">
        <f>MID(Query!B315,4,50)</f>
        <v>ZT-13141-M4001</v>
      </c>
      <c r="D314" s="142" t="str">
        <f>Query!C315</f>
        <v>Silicone</v>
      </c>
      <c r="E314" s="142" t="str">
        <f>Query!D315</f>
        <v>3 x 2 x 0,25  mm²</v>
      </c>
      <c r="F314" s="142" t="s">
        <v>385</v>
      </c>
      <c r="G314" s="142" t="str">
        <f>Query!E315</f>
        <v>20</v>
      </c>
      <c r="H314" s="146" t="str">
        <f>Query!F315</f>
        <v>B1-ZT-13141 HAN 10A</v>
      </c>
      <c r="I314" s="142" t="str">
        <f>Query!G315</f>
        <v>POSITION HP STOP VALVE 2</v>
      </c>
      <c r="J314" s="142" t="s">
        <v>2852</v>
      </c>
      <c r="K314" s="146" t="str">
        <f>Query!K315</f>
        <v>B1-ZT-13141-B01</v>
      </c>
      <c r="L314" s="142" t="str">
        <f>Query!L315</f>
        <v>POSITION HP STOP VALVE 2</v>
      </c>
      <c r="M314" s="142" t="s">
        <v>2852</v>
      </c>
      <c r="N314" s="128"/>
      <c r="O314" s="142" t="str">
        <f>Query!O315</f>
        <v>DSPW/SKID</v>
      </c>
    </row>
    <row r="315" spans="1:15" ht="26.25" customHeight="1">
      <c r="A315" s="142" t="str">
        <f>Query!A316</f>
        <v>20313</v>
      </c>
      <c r="B315" s="142" t="str">
        <f>MID(Query!B316,1,2)</f>
        <v>B1</v>
      </c>
      <c r="C315" s="144" t="str">
        <f>MID(Query!B316,4,50)</f>
        <v>ZT-13151A-M4001</v>
      </c>
      <c r="D315" s="142" t="str">
        <f>Query!C316</f>
        <v>Silicone</v>
      </c>
      <c r="E315" s="142" t="str">
        <f>Query!D316</f>
        <v>3 x 2 x 0,25  mm²</v>
      </c>
      <c r="F315" s="142" t="s">
        <v>385</v>
      </c>
      <c r="G315" s="142" t="str">
        <f>Query!E316</f>
        <v>20</v>
      </c>
      <c r="H315" s="146" t="str">
        <f>Query!F316</f>
        <v>B1-ZT-13151A HAN 10A</v>
      </c>
      <c r="I315" s="142" t="str">
        <f>Query!G316</f>
        <v>POSITION 1 HP CONTROL VALVE 2</v>
      </c>
      <c r="J315" s="142" t="s">
        <v>2852</v>
      </c>
      <c r="K315" s="146" t="str">
        <f>Query!K316</f>
        <v>B1-ZT-13151A-B01</v>
      </c>
      <c r="L315" s="142" t="str">
        <f>Query!L316</f>
        <v>POSITION 1 HP CONTROL VALVE 2</v>
      </c>
      <c r="M315" s="142" t="s">
        <v>2852</v>
      </c>
      <c r="N315" s="128"/>
      <c r="O315" s="142" t="str">
        <f>Query!O316</f>
        <v>DSPW/SKID</v>
      </c>
    </row>
    <row r="316" spans="1:15" ht="26.25" customHeight="1">
      <c r="A316" s="142" t="str">
        <f>Query!A317</f>
        <v>20314</v>
      </c>
      <c r="B316" s="142" t="str">
        <f>MID(Query!B317,1,2)</f>
        <v>B1</v>
      </c>
      <c r="C316" s="144" t="str">
        <f>MID(Query!B317,4,50)</f>
        <v>ZT-13151B-M4001</v>
      </c>
      <c r="D316" s="142" t="str">
        <f>Query!C317</f>
        <v>Silicone</v>
      </c>
      <c r="E316" s="142" t="str">
        <f>Query!D317</f>
        <v>3 x 2 x 0,25  mm²</v>
      </c>
      <c r="F316" s="142" t="s">
        <v>385</v>
      </c>
      <c r="G316" s="142" t="str">
        <f>Query!E317</f>
        <v>20</v>
      </c>
      <c r="H316" s="146" t="str">
        <f>Query!F317</f>
        <v>B1-ZT-13151B HAN 10A</v>
      </c>
      <c r="I316" s="142" t="str">
        <f>Query!G317</f>
        <v>POSITION 2 HP CONTROL VALVE 2</v>
      </c>
      <c r="J316" s="142" t="s">
        <v>2852</v>
      </c>
      <c r="K316" s="146" t="str">
        <f>Query!K317</f>
        <v>B1-ZT-13151B-B01</v>
      </c>
      <c r="L316" s="142" t="str">
        <f>Query!L317</f>
        <v>POSITION 2 HP CONTROL VALVE 2</v>
      </c>
      <c r="M316" s="142" t="s">
        <v>2852</v>
      </c>
      <c r="N316" s="128"/>
      <c r="O316" s="142" t="str">
        <f>Query!O317</f>
        <v>DSPW/SKID</v>
      </c>
    </row>
    <row r="317" spans="1:15" ht="26.25" customHeight="1">
      <c r="A317" s="142" t="str">
        <f>Query!A318</f>
        <v>20315</v>
      </c>
      <c r="B317" s="142" t="str">
        <f>MID(Query!B318,1,2)</f>
        <v>B1</v>
      </c>
      <c r="C317" s="144" t="str">
        <f>MID(Query!B318,4,50)</f>
        <v>ZT-13161-M4001</v>
      </c>
      <c r="D317" s="142" t="str">
        <f>Query!C318</f>
        <v>Silicone</v>
      </c>
      <c r="E317" s="142" t="str">
        <f>Query!D318</f>
        <v>3 x 2 x 0,25  mm²</v>
      </c>
      <c r="F317" s="142" t="s">
        <v>385</v>
      </c>
      <c r="G317" s="142" t="str">
        <f>Query!E318</f>
        <v>20</v>
      </c>
      <c r="H317" s="146" t="str">
        <f>Query!F318</f>
        <v>B1-ZT-13161 HAN 10A</v>
      </c>
      <c r="I317" s="142" t="str">
        <f>Query!G318</f>
        <v>POSITION LP STOP FLAP</v>
      </c>
      <c r="J317" s="142" t="s">
        <v>2852</v>
      </c>
      <c r="K317" s="146" t="str">
        <f>Query!K318</f>
        <v>B1-ZT-13161-B01</v>
      </c>
      <c r="L317" s="142" t="str">
        <f>Query!L318</f>
        <v>POSITION LP STOP FLAP</v>
      </c>
      <c r="M317" s="142" t="s">
        <v>2852</v>
      </c>
      <c r="N317" s="128"/>
      <c r="O317" s="142" t="str">
        <f>Query!O318</f>
        <v>DSPW/SKID</v>
      </c>
    </row>
    <row r="318" spans="1:15" ht="26.25" customHeight="1">
      <c r="A318" s="142" t="str">
        <f>Query!A319</f>
        <v>20316</v>
      </c>
      <c r="B318" s="142" t="str">
        <f>MID(Query!B319,1,2)</f>
        <v>B1</v>
      </c>
      <c r="C318" s="144" t="str">
        <f>MID(Query!B319,4,50)</f>
        <v>ZT-13171A-M4001</v>
      </c>
      <c r="D318" s="142" t="str">
        <f>Query!C319</f>
        <v>Silicone</v>
      </c>
      <c r="E318" s="142" t="str">
        <f>Query!D319</f>
        <v>3 x 2 x 0,25  mm²</v>
      </c>
      <c r="F318" s="142" t="s">
        <v>385</v>
      </c>
      <c r="G318" s="142" t="str">
        <f>Query!E319</f>
        <v>20</v>
      </c>
      <c r="H318" s="146" t="str">
        <f>Query!F319</f>
        <v>B1-ZT-13171A HAN 10A</v>
      </c>
      <c r="I318" s="142" t="str">
        <f>Query!G319</f>
        <v>POSITION 1 LP CONTROL FLAP</v>
      </c>
      <c r="J318" s="142" t="s">
        <v>2852</v>
      </c>
      <c r="K318" s="146" t="str">
        <f>Query!K319</f>
        <v>B1-ZT-13171A-B01</v>
      </c>
      <c r="L318" s="142" t="str">
        <f>Query!L319</f>
        <v>POSITION 1 LP CONTROL FLAP</v>
      </c>
      <c r="M318" s="142" t="s">
        <v>2852</v>
      </c>
      <c r="N318" s="128"/>
      <c r="O318" s="142" t="str">
        <f>Query!O319</f>
        <v>DSPW/SKID</v>
      </c>
    </row>
    <row r="319" spans="1:15" ht="26.25" customHeight="1">
      <c r="A319" s="142" t="str">
        <f>Query!A320</f>
        <v>20317</v>
      </c>
      <c r="B319" s="142" t="str">
        <f>MID(Query!B320,1,2)</f>
        <v>B1</v>
      </c>
      <c r="C319" s="144" t="str">
        <f>MID(Query!B320,4,50)</f>
        <v>ZT-13171B-M4001</v>
      </c>
      <c r="D319" s="142" t="str">
        <f>Query!C320</f>
        <v>Silicone</v>
      </c>
      <c r="E319" s="142" t="str">
        <f>Query!D320</f>
        <v>3 x 2 x 0,25  mm²</v>
      </c>
      <c r="F319" s="142" t="s">
        <v>385</v>
      </c>
      <c r="G319" s="142" t="str">
        <f>Query!E320</f>
        <v>20</v>
      </c>
      <c r="H319" s="146" t="str">
        <f>Query!F320</f>
        <v>B1-ZT-13171B HAN 10A</v>
      </c>
      <c r="I319" s="142" t="str">
        <f>Query!G320</f>
        <v>POSITION 2 LP CONTROL FLAP</v>
      </c>
      <c r="J319" s="142" t="s">
        <v>2852</v>
      </c>
      <c r="K319" s="146" t="str">
        <f>Query!K320</f>
        <v>B1-ZT-13171B-B01</v>
      </c>
      <c r="L319" s="142" t="str">
        <f>Query!L320</f>
        <v>POSITION 2 LP CONTROL FLAP</v>
      </c>
      <c r="M319" s="142" t="s">
        <v>2852</v>
      </c>
      <c r="N319" s="128"/>
      <c r="O319" s="142" t="str">
        <f>Query!O320</f>
        <v>DSPW/SKID</v>
      </c>
    </row>
    <row r="320" spans="1:15" ht="26.25" customHeight="1">
      <c r="A320" s="142" t="str">
        <f>Query!A321</f>
        <v>20318</v>
      </c>
      <c r="B320" s="142" t="str">
        <f>MID(Query!B321,1,2)</f>
        <v>B1</v>
      </c>
      <c r="C320" s="144" t="str">
        <f>MID(Query!B321,3,50)</f>
        <v>JBA-1305-I6001</v>
      </c>
      <c r="D320" s="142" t="str">
        <f>Query!C321</f>
        <v>Comp. Cable KX</v>
      </c>
      <c r="E320" s="142" t="str">
        <f>Query!D321</f>
        <v>2 x 2 x 0.5  mm²</v>
      </c>
      <c r="F320" s="142" t="s">
        <v>385</v>
      </c>
      <c r="G320" s="142" t="str">
        <f>Query!E321</f>
        <v>20</v>
      </c>
      <c r="H320" s="146" t="str">
        <f>Query!F321</f>
        <v>B1JBA-1305-U01</v>
      </c>
      <c r="I320" s="142" t="str">
        <f>Query!G321</f>
        <v>Junction box FI</v>
      </c>
      <c r="J320" s="142" t="s">
        <v>2852</v>
      </c>
      <c r="K320" s="146" t="str">
        <f>Query!K321</f>
        <v>B1-TT-13971-B01</v>
      </c>
      <c r="L320" s="142" t="str">
        <f>Query!L321</f>
        <v>TEMP.1.2 FRNT BRG LOAD.PAD FRNT SD</v>
      </c>
      <c r="M320" s="142" t="s">
        <v>2852</v>
      </c>
      <c r="N320" s="128"/>
      <c r="O320" s="142" t="str">
        <f>Query!O321</f>
        <v>DSPW/SUPP.FI</v>
      </c>
    </row>
    <row r="321" spans="1:15" ht="26.25" customHeight="1">
      <c r="A321" s="142" t="str">
        <f>Query!A322</f>
        <v>20319</v>
      </c>
      <c r="B321" s="142" t="str">
        <f>MID(Query!B322,1,2)</f>
        <v>B1</v>
      </c>
      <c r="C321" s="144" t="str">
        <f>MID(Query!B322,3,50)</f>
        <v>JBA-1305-I6002</v>
      </c>
      <c r="D321" s="142" t="str">
        <f>Query!C322</f>
        <v>Comp. Cable KX</v>
      </c>
      <c r="E321" s="142" t="str">
        <f>Query!D322</f>
        <v>2 x 2 x 0.5  mm²</v>
      </c>
      <c r="F321" s="142" t="s">
        <v>385</v>
      </c>
      <c r="G321" s="142" t="str">
        <f>Query!E322</f>
        <v>20</v>
      </c>
      <c r="H321" s="146" t="str">
        <f>Query!F322</f>
        <v>B1JBA-1305-U04</v>
      </c>
      <c r="I321" s="142" t="str">
        <f>Query!G322</f>
        <v>Junction box FI</v>
      </c>
      <c r="J321" s="142" t="s">
        <v>2852</v>
      </c>
      <c r="K321" s="146" t="str">
        <f>Query!K322</f>
        <v>B1-TT-13973-B01</v>
      </c>
      <c r="L321" s="142" t="str">
        <f>Query!L322</f>
        <v>TEMP.3.2 FRNT BRG N/LOAD.PAD REAR SD</v>
      </c>
      <c r="M321" s="142" t="s">
        <v>2852</v>
      </c>
      <c r="N321" s="128"/>
      <c r="O321" s="142" t="str">
        <f>Query!O322</f>
        <v>DSPW/SUPP.FI</v>
      </c>
    </row>
    <row r="322" spans="1:15" ht="26.25" customHeight="1">
      <c r="A322" s="142" t="str">
        <f>Query!A323</f>
        <v>20320</v>
      </c>
      <c r="B322" s="142" t="str">
        <f>MID(Query!B323,1,2)</f>
        <v>B1</v>
      </c>
      <c r="C322" s="144" t="str">
        <f>MID(Query!B323,3,50)</f>
        <v>JBA-1305-I6003</v>
      </c>
      <c r="D322" s="142" t="str">
        <f>Query!C323</f>
        <v>Comp. Cable KX</v>
      </c>
      <c r="E322" s="142" t="str">
        <f>Query!D323</f>
        <v>2 x 2 x 0.5  mm²</v>
      </c>
      <c r="F322" s="142" t="s">
        <v>385</v>
      </c>
      <c r="G322" s="142" t="str">
        <f>Query!E323</f>
        <v>20</v>
      </c>
      <c r="H322" s="146" t="str">
        <f>Query!F323</f>
        <v>B1JBA-1305-U05</v>
      </c>
      <c r="I322" s="142" t="str">
        <f>Query!G323</f>
        <v>Junction box FI</v>
      </c>
      <c r="J322" s="142" t="s">
        <v>2852</v>
      </c>
      <c r="K322" s="146" t="str">
        <f>Query!K323</f>
        <v>B1-TT-13975-B01</v>
      </c>
      <c r="L322" s="142" t="str">
        <f>Query!L323</f>
        <v>TEMP.2 HP TBRG TOP, POSITIVE SIDE</v>
      </c>
      <c r="M322" s="142" t="s">
        <v>2852</v>
      </c>
      <c r="N322" s="128"/>
      <c r="O322" s="142" t="str">
        <f>Query!O323</f>
        <v>DSPW/SUPP.FI</v>
      </c>
    </row>
    <row r="323" spans="1:15" ht="26.25" customHeight="1">
      <c r="A323" s="142" t="str">
        <f>Query!A324</f>
        <v>20321</v>
      </c>
      <c r="B323" s="142" t="str">
        <f>MID(Query!B324,1,2)</f>
        <v>B1</v>
      </c>
      <c r="C323" s="144" t="str">
        <f>MID(Query!B324,3,50)</f>
        <v>JBA-1305-I6004</v>
      </c>
      <c r="D323" s="142" t="str">
        <f>Query!C324</f>
        <v>Comp. Cable KX</v>
      </c>
      <c r="E323" s="142" t="str">
        <f>Query!D324</f>
        <v>2 x 2 x 0.5  mm²</v>
      </c>
      <c r="F323" s="142" t="s">
        <v>385</v>
      </c>
      <c r="G323" s="142" t="str">
        <f>Query!E324</f>
        <v>20</v>
      </c>
      <c r="H323" s="146" t="str">
        <f>Query!F324</f>
        <v>B1JBA-1305-U08</v>
      </c>
      <c r="I323" s="142" t="str">
        <f>Query!G324</f>
        <v>Junction box FI</v>
      </c>
      <c r="J323" s="142" t="s">
        <v>2852</v>
      </c>
      <c r="K323" s="146" t="str">
        <f>Query!K324</f>
        <v>B1-TT-13977-B01</v>
      </c>
      <c r="L323" s="142" t="str">
        <f>Query!L324</f>
        <v>TEMP.2 HP TBRG TOP, NEGATIVE SIDE</v>
      </c>
      <c r="M323" s="142" t="s">
        <v>2852</v>
      </c>
      <c r="N323" s="128"/>
      <c r="O323" s="142" t="str">
        <f>Query!O324</f>
        <v>DSPW/SUPP.FI</v>
      </c>
    </row>
    <row r="324" spans="1:15" ht="26.25" customHeight="1">
      <c r="A324" s="142" t="str">
        <f>Query!A325</f>
        <v>20322</v>
      </c>
      <c r="B324" s="142" t="str">
        <f>MID(Query!B325,1,2)</f>
        <v>B1</v>
      </c>
      <c r="C324" s="144" t="str">
        <f>MID(Query!B325,3,50)</f>
        <v>JBA-1305-I6005</v>
      </c>
      <c r="D324" s="142" t="str">
        <f>Query!C325</f>
        <v>Comp. Cable KX</v>
      </c>
      <c r="E324" s="142" t="str">
        <f>Query!D325</f>
        <v>2 x 2 x 0.5  mm²</v>
      </c>
      <c r="F324" s="142" t="s">
        <v>385</v>
      </c>
      <c r="G324" s="142" t="str">
        <f>Query!E325</f>
        <v>20</v>
      </c>
      <c r="H324" s="146" t="str">
        <f>Query!F325</f>
        <v>B1JBA-1305-U22</v>
      </c>
      <c r="I324" s="142" t="str">
        <f>Query!G325</f>
        <v>Junction box FI</v>
      </c>
      <c r="J324" s="142" t="s">
        <v>2852</v>
      </c>
      <c r="K324" s="146" t="str">
        <f>Query!K325</f>
        <v>B1-TT-13972-B01</v>
      </c>
      <c r="L324" s="142" t="str">
        <f>Query!L325</f>
        <v>TEMP.2.2 FRNT BRG LOAD.PAD REAR SD</v>
      </c>
      <c r="M324" s="142" t="s">
        <v>2852</v>
      </c>
      <c r="N324" s="128"/>
      <c r="O324" s="142" t="str">
        <f>Query!O325</f>
        <v>DSPW/SUPP.FI</v>
      </c>
    </row>
    <row r="325" spans="1:15" ht="26.25" customHeight="1">
      <c r="A325" s="142" t="str">
        <f>Query!A326</f>
        <v>20323</v>
      </c>
      <c r="B325" s="142" t="str">
        <f>MID(Query!B326,1,2)</f>
        <v>B1</v>
      </c>
      <c r="C325" s="144" t="str">
        <f>MID(Query!B326,3,50)</f>
        <v>JBA-1305-I6006</v>
      </c>
      <c r="D325" s="142" t="str">
        <f>Query!C326</f>
        <v>Comp. Cable KX</v>
      </c>
      <c r="E325" s="142" t="str">
        <f>Query!D326</f>
        <v>2 x 2 x 0.5  mm²</v>
      </c>
      <c r="F325" s="142" t="s">
        <v>385</v>
      </c>
      <c r="G325" s="142" t="str">
        <f>Query!E326</f>
        <v>20</v>
      </c>
      <c r="H325" s="146" t="str">
        <f>Query!F326</f>
        <v>B1JBA-1305-U24</v>
      </c>
      <c r="I325" s="142" t="str">
        <f>Query!G326</f>
        <v>Junction box FI</v>
      </c>
      <c r="J325" s="142" t="s">
        <v>2852</v>
      </c>
      <c r="K325" s="146" t="str">
        <f>Query!K326</f>
        <v>B1-TT-13974-B01</v>
      </c>
      <c r="L325" s="142" t="str">
        <f>Query!L326</f>
        <v>TEMP.4.2 FRNT BRG N/LOAD.PAD FRNT SD</v>
      </c>
      <c r="M325" s="142" t="s">
        <v>2852</v>
      </c>
      <c r="N325" s="128"/>
      <c r="O325" s="142" t="str">
        <f>Query!O326</f>
        <v>DSPW/SUPP.FI</v>
      </c>
    </row>
    <row r="326" spans="1:15" ht="26.25" customHeight="1">
      <c r="A326" s="142" t="str">
        <f>Query!A327</f>
        <v>20324</v>
      </c>
      <c r="B326" s="142" t="str">
        <f>MID(Query!B327,1,2)</f>
        <v>B1</v>
      </c>
      <c r="C326" s="144" t="str">
        <f>MID(Query!B327,3,50)</f>
        <v>JBA-1305-I6007</v>
      </c>
      <c r="D326" s="142" t="str">
        <f>Query!C327</f>
        <v>Comp. Cable KX</v>
      </c>
      <c r="E326" s="142" t="str">
        <f>Query!D327</f>
        <v>2 x 2 x 0.5  mm²</v>
      </c>
      <c r="F326" s="142" t="s">
        <v>385</v>
      </c>
      <c r="G326" s="142" t="str">
        <f>Query!E327</f>
        <v>20</v>
      </c>
      <c r="H326" s="146" t="str">
        <f>Query!F327</f>
        <v>B1JBA-1305-U26</v>
      </c>
      <c r="I326" s="142" t="str">
        <f>Query!G327</f>
        <v>Junction box FI</v>
      </c>
      <c r="J326" s="142" t="s">
        <v>2852</v>
      </c>
      <c r="K326" s="146" t="str">
        <f>Query!K327</f>
        <v>B1-TT-13976-B01</v>
      </c>
      <c r="L326" s="142" t="str">
        <f>Query!L327</f>
        <v>TEMP.2 HP TBRG BTM, POSITIVE SIDE</v>
      </c>
      <c r="M326" s="142" t="s">
        <v>2852</v>
      </c>
      <c r="N326" s="128"/>
      <c r="O326" s="142" t="str">
        <f>Query!O327</f>
        <v>DSPW/SUPP.FI</v>
      </c>
    </row>
    <row r="327" spans="1:15" ht="26.25" customHeight="1">
      <c r="A327" s="142" t="str">
        <f>Query!A328</f>
        <v>20325</v>
      </c>
      <c r="B327" s="142" t="str">
        <f>MID(Query!B328,1,2)</f>
        <v>B1</v>
      </c>
      <c r="C327" s="144" t="str">
        <f>MID(Query!B328,3,50)</f>
        <v>JBA-1305-I6008</v>
      </c>
      <c r="D327" s="142" t="str">
        <f>Query!C328</f>
        <v>Comp. Cable KX</v>
      </c>
      <c r="E327" s="142" t="str">
        <f>Query!D328</f>
        <v>2 x 2 x 0.5  mm²</v>
      </c>
      <c r="F327" s="142" t="s">
        <v>385</v>
      </c>
      <c r="G327" s="142" t="str">
        <f>Query!E328</f>
        <v>20</v>
      </c>
      <c r="H327" s="146" t="str">
        <f>Query!F328</f>
        <v>B1JBA-1305-U28</v>
      </c>
      <c r="I327" s="142" t="str">
        <f>Query!G328</f>
        <v>Junction box FI</v>
      </c>
      <c r="J327" s="142" t="s">
        <v>2852</v>
      </c>
      <c r="K327" s="146" t="str">
        <f>Query!K328</f>
        <v>B1-TT-13978-B01</v>
      </c>
      <c r="L327" s="142" t="str">
        <f>Query!L328</f>
        <v>TEMP.2 HP TBRG BTM, NEGATIVE SIDE</v>
      </c>
      <c r="M327" s="142" t="s">
        <v>2852</v>
      </c>
      <c r="N327" s="128"/>
      <c r="O327" s="142" t="str">
        <f>Query!O328</f>
        <v>DSPW/SUPP.FI</v>
      </c>
    </row>
    <row r="328" spans="1:15" ht="26.25" customHeight="1">
      <c r="A328" s="142" t="str">
        <f>Query!A329</f>
        <v>20326</v>
      </c>
      <c r="B328" s="142" t="str">
        <f>MID(Query!B329,1,2)</f>
        <v>B1</v>
      </c>
      <c r="C328" s="144" t="str">
        <f>MID(Query!B329,3,50)</f>
        <v>JBA-1305-I6009</v>
      </c>
      <c r="D328" s="142" t="str">
        <f>Query!C329</f>
        <v>Comp. Cable KX</v>
      </c>
      <c r="E328" s="142" t="str">
        <f>Query!D329</f>
        <v>2 x 2 x 0.5  mm²</v>
      </c>
      <c r="F328" s="142" t="s">
        <v>385</v>
      </c>
      <c r="G328" s="142" t="str">
        <f>Query!E329</f>
        <v>20</v>
      </c>
      <c r="H328" s="146" t="str">
        <f>Query!F329</f>
        <v>B1JBA-1305-X02</v>
      </c>
      <c r="I328" s="142" t="str">
        <f>Query!G329</f>
        <v>Junction box FI</v>
      </c>
      <c r="J328" s="142" t="s">
        <v>2852</v>
      </c>
      <c r="K328" s="146" t="str">
        <f>Query!K329</f>
        <v>B1-TT-13907-B01</v>
      </c>
      <c r="L328" s="142" t="str">
        <f>Query!L329</f>
        <v>TEMP.IP OUT.CASING_PLN.II-TOP</v>
      </c>
      <c r="M328" s="142" t="s">
        <v>2852</v>
      </c>
      <c r="N328" s="128"/>
      <c r="O328" s="142" t="str">
        <f>Query!O329</f>
        <v>DSPW/SUPP.FI</v>
      </c>
    </row>
    <row r="329" spans="1:15" ht="26.25" customHeight="1">
      <c r="A329" s="142" t="str">
        <f>Query!A330</f>
        <v>20327</v>
      </c>
      <c r="B329" s="142" t="str">
        <f>MID(Query!B330,1,2)</f>
        <v>B1</v>
      </c>
      <c r="C329" s="144" t="str">
        <f>MID(Query!B330,3,50)</f>
        <v>JBA-1305-I6010</v>
      </c>
      <c r="D329" s="142" t="str">
        <f>Query!C330</f>
        <v>Comp. Cable KX</v>
      </c>
      <c r="E329" s="142" t="str">
        <f>Query!D330</f>
        <v>2 x 2 x 0.5  mm²</v>
      </c>
      <c r="F329" s="142" t="s">
        <v>385</v>
      </c>
      <c r="G329" s="142" t="str">
        <f>Query!E330</f>
        <v>20</v>
      </c>
      <c r="H329" s="146" t="str">
        <f>Query!F330</f>
        <v>B1JBA-1305-X02</v>
      </c>
      <c r="I329" s="142" t="str">
        <f>Query!G330</f>
        <v>Junction box FI</v>
      </c>
      <c r="J329" s="142" t="s">
        <v>2852</v>
      </c>
      <c r="K329" s="146" t="str">
        <f>Query!K330</f>
        <v>B1-TT-13909-B01</v>
      </c>
      <c r="L329" s="142" t="str">
        <f>Query!L330</f>
        <v>TEMP.HP OUT.CASING-TOP</v>
      </c>
      <c r="M329" s="142" t="s">
        <v>2852</v>
      </c>
      <c r="N329" s="128"/>
      <c r="O329" s="142" t="str">
        <f>Query!O330</f>
        <v>DSPW/SUPP.FI</v>
      </c>
    </row>
    <row r="330" spans="1:15" ht="26.25" customHeight="1">
      <c r="A330" s="142" t="str">
        <f>Query!A331</f>
        <v>20328</v>
      </c>
      <c r="B330" s="142" t="str">
        <f>MID(Query!B331,1,2)</f>
        <v>B1</v>
      </c>
      <c r="C330" s="144" t="str">
        <f>MID(Query!B331,3,50)</f>
        <v>JBA-1305-I6011</v>
      </c>
      <c r="D330" s="142" t="str">
        <f>Query!C331</f>
        <v>Comp. Cable KX</v>
      </c>
      <c r="E330" s="142" t="str">
        <f>Query!D331</f>
        <v>2 x 2 x 0.5  mm²</v>
      </c>
      <c r="F330" s="142" t="s">
        <v>385</v>
      </c>
      <c r="G330" s="142" t="str">
        <f>Query!E331</f>
        <v>20</v>
      </c>
      <c r="H330" s="146" t="str">
        <f>Query!F331</f>
        <v>B1JBA-1305-X02</v>
      </c>
      <c r="I330" s="142" t="str">
        <f>Query!G331</f>
        <v>Junction box FI</v>
      </c>
      <c r="J330" s="142" t="s">
        <v>2852</v>
      </c>
      <c r="K330" s="146" t="str">
        <f>Query!K331</f>
        <v>B1-TT-13911-B01</v>
      </c>
      <c r="L330" s="142" t="str">
        <f>Query!L331</f>
        <v>TEMP.HP INN.CASING-TOP</v>
      </c>
      <c r="M330" s="142" t="s">
        <v>2852</v>
      </c>
      <c r="N330" s="128"/>
      <c r="O330" s="142" t="str">
        <f>Query!O331</f>
        <v>DSPW/SUPP.FI</v>
      </c>
    </row>
    <row r="331" spans="1:15" ht="26.25" customHeight="1">
      <c r="A331" s="142" t="str">
        <f>Query!A332</f>
        <v>20329</v>
      </c>
      <c r="B331" s="142" t="str">
        <f>MID(Query!B332,1,2)</f>
        <v>B1</v>
      </c>
      <c r="C331" s="144" t="str">
        <f>MID(Query!B332,3,50)</f>
        <v>JBA-1305-I6012</v>
      </c>
      <c r="D331" s="142" t="str">
        <f>Query!C332</f>
        <v>Comp. Cable KX</v>
      </c>
      <c r="E331" s="142" t="str">
        <f>Query!D332</f>
        <v>2 x 2 x 0.5  mm²</v>
      </c>
      <c r="F331" s="142" t="s">
        <v>385</v>
      </c>
      <c r="G331" s="142" t="str">
        <f>Query!E332</f>
        <v>20</v>
      </c>
      <c r="H331" s="146" t="str">
        <f>Query!F332</f>
        <v>B1JBA-1305-X02</v>
      </c>
      <c r="I331" s="142" t="str">
        <f>Query!G332</f>
        <v>Junction box FI</v>
      </c>
      <c r="J331" s="142" t="s">
        <v>2852</v>
      </c>
      <c r="K331" s="146" t="str">
        <f>Query!K332</f>
        <v>B1-TT-13917-B01</v>
      </c>
      <c r="L331" s="142" t="str">
        <f>Query!L332</f>
        <v>TEMP.HP CONTR.VALVE CHAMBER 2</v>
      </c>
      <c r="M331" s="142" t="s">
        <v>2852</v>
      </c>
      <c r="N331" s="128"/>
      <c r="O331" s="142" t="str">
        <f>Query!O332</f>
        <v>DSPW/SUPP.FI</v>
      </c>
    </row>
    <row r="332" spans="1:15" ht="26.25" customHeight="1">
      <c r="A332" s="142" t="str">
        <f>Query!A333</f>
        <v>20330</v>
      </c>
      <c r="B332" s="142" t="str">
        <f>MID(Query!B333,1,2)</f>
        <v>B1</v>
      </c>
      <c r="C332" s="144" t="str">
        <f>MID(Query!B333,3,50)</f>
        <v>JBA-1305-I6013</v>
      </c>
      <c r="D332" s="142" t="str">
        <f>Query!C333</f>
        <v>Comp. Cable KX</v>
      </c>
      <c r="E332" s="142" t="str">
        <f>Query!D333</f>
        <v>2 x 2 x 0.5  mm²</v>
      </c>
      <c r="F332" s="142" t="s">
        <v>385</v>
      </c>
      <c r="G332" s="142" t="str">
        <f>Query!E333</f>
        <v>20</v>
      </c>
      <c r="H332" s="146" t="str">
        <f>Query!F333</f>
        <v>B1JBA-1305-U14</v>
      </c>
      <c r="I332" s="142" t="str">
        <f>Query!G333</f>
        <v>Junction box FI</v>
      </c>
      <c r="J332" s="142" t="s">
        <v>2852</v>
      </c>
      <c r="K332" s="146" t="str">
        <f>Query!K333</f>
        <v>B1-TT-13932-B01</v>
      </c>
      <c r="L332" s="142" t="str">
        <f>Query!L333</f>
        <v>TEMP.IP OUT.CASING_PLN.I-BOTT</v>
      </c>
      <c r="M332" s="142" t="s">
        <v>2852</v>
      </c>
      <c r="N332" s="128"/>
      <c r="O332" s="142" t="str">
        <f>Query!O333</f>
        <v>DSPW/SUPP.FI</v>
      </c>
    </row>
    <row r="333" spans="1:15" ht="26.25" customHeight="1">
      <c r="A333" s="142" t="str">
        <f>Query!A334</f>
        <v>20331</v>
      </c>
      <c r="B333" s="142" t="str">
        <f>MID(Query!B334,1,2)</f>
        <v>B1</v>
      </c>
      <c r="C333" s="144" t="str">
        <f>MID(Query!B334,3,50)</f>
        <v>JBA-1305-I6014</v>
      </c>
      <c r="D333" s="142" t="str">
        <f>Query!C334</f>
        <v>Comp. Cable KX</v>
      </c>
      <c r="E333" s="142" t="str">
        <f>Query!D334</f>
        <v>2 x 2 x 0.5  mm²</v>
      </c>
      <c r="F333" s="142" t="s">
        <v>385</v>
      </c>
      <c r="G333" s="142" t="str">
        <f>Query!E334</f>
        <v>20</v>
      </c>
      <c r="H333" s="146" t="s">
        <v>2856</v>
      </c>
      <c r="I333" s="142" t="str">
        <f>Query!G334</f>
        <v>TEMP.LP STEAM TO STG - BOTT.</v>
      </c>
      <c r="J333" s="142" t="s">
        <v>2852</v>
      </c>
      <c r="K333" s="146" t="str">
        <f>Query!K334</f>
        <v>B1-TT-13406-B01</v>
      </c>
      <c r="L333" s="142" t="str">
        <f>Query!L334</f>
        <v>TEMP.LP STEAM TO STG - BOTT.</v>
      </c>
      <c r="M333" s="142" t="s">
        <v>2852</v>
      </c>
      <c r="N333" s="128"/>
      <c r="O333" s="142" t="str">
        <f>Query!O334</f>
        <v>DSPW/SUPP.FI</v>
      </c>
    </row>
    <row r="334" spans="1:15" ht="26.25" customHeight="1">
      <c r="A334" s="142" t="str">
        <f>Query!A335</f>
        <v>20332</v>
      </c>
      <c r="B334" s="142" t="str">
        <f>MID(Query!B335,1,2)</f>
        <v>B1</v>
      </c>
      <c r="C334" s="144" t="str">
        <f>MID(Query!B335,3,50)</f>
        <v>JBA-1305-I6015</v>
      </c>
      <c r="D334" s="142" t="str">
        <f>Query!C335</f>
        <v>Comp. Cable KX</v>
      </c>
      <c r="E334" s="142" t="str">
        <f>Query!D335</f>
        <v>2 x 2 x 0.5  mm²</v>
      </c>
      <c r="F334" s="142" t="s">
        <v>385</v>
      </c>
      <c r="G334" s="142" t="str">
        <f>Query!E335</f>
        <v>20</v>
      </c>
      <c r="H334" s="146" t="str">
        <f>Query!F335</f>
        <v>B1JBA-1305-X04</v>
      </c>
      <c r="I334" s="142" t="str">
        <f>Query!G335</f>
        <v>Junction box FI</v>
      </c>
      <c r="J334" s="142" t="s">
        <v>2852</v>
      </c>
      <c r="K334" s="146" t="str">
        <f>Query!K335</f>
        <v>B1-TT-13408-B01</v>
      </c>
      <c r="L334" s="142" t="str">
        <f>Query!L335</f>
        <v>TEMP.LP STEAM TO STG - TOP</v>
      </c>
      <c r="M334" s="142" t="s">
        <v>2852</v>
      </c>
      <c r="N334" s="128"/>
      <c r="O334" s="142" t="str">
        <f>Query!O335</f>
        <v>DSPW/SUPP.FI</v>
      </c>
    </row>
    <row r="335" spans="1:15" ht="26.25" customHeight="1">
      <c r="A335" s="142" t="str">
        <f>Query!A336</f>
        <v>20333</v>
      </c>
      <c r="B335" s="142" t="str">
        <f>MID(Query!B336,1,2)</f>
        <v>B1</v>
      </c>
      <c r="C335" s="144" t="str">
        <f>MID(Query!B336,3,50)</f>
        <v>JBA-1305-I6016</v>
      </c>
      <c r="D335" s="142" t="str">
        <f>Query!C336</f>
        <v>1- C5XFE-R /ST/</v>
      </c>
      <c r="E335" s="142" t="str">
        <f>Query!D336</f>
        <v>2 x 2 x 1.0  mm²</v>
      </c>
      <c r="F335" s="142" t="s">
        <v>385</v>
      </c>
      <c r="G335" s="142" t="str">
        <f>Query!E336</f>
        <v>20</v>
      </c>
      <c r="H335" s="146" t="s">
        <v>2856</v>
      </c>
      <c r="I335" s="142" t="str">
        <f>Query!G336</f>
        <v>PRESS.LP STEAM TO STG - BOTT.</v>
      </c>
      <c r="J335" s="142" t="s">
        <v>2852</v>
      </c>
      <c r="K335" s="146" t="str">
        <f>Query!K336</f>
        <v>B1-PIT-13407-B01</v>
      </c>
      <c r="L335" s="142" t="str">
        <f>Query!L336</f>
        <v>PRESS.LP STEAM TO STG - BOTT.</v>
      </c>
      <c r="M335" s="142" t="s">
        <v>2852</v>
      </c>
      <c r="N335" s="128"/>
      <c r="O335" s="142" t="str">
        <f>Query!O336</f>
        <v>DSPW/SUPP.FI</v>
      </c>
    </row>
    <row r="336" spans="1:15" ht="26.25" customHeight="1">
      <c r="A336" s="142" t="str">
        <f>Query!A337</f>
        <v>20334</v>
      </c>
      <c r="B336" s="142" t="str">
        <f>MID(Query!B337,1,2)</f>
        <v>B1</v>
      </c>
      <c r="C336" s="144" t="str">
        <f>MID(Query!B337,3,50)</f>
        <v>JBA-1306-I6001</v>
      </c>
      <c r="D336" s="142" t="str">
        <f>Query!C337</f>
        <v>1- C5XFE-R /ST/</v>
      </c>
      <c r="E336" s="142" t="str">
        <f>Query!D337</f>
        <v>2 x 2 x 1.0  mm²</v>
      </c>
      <c r="F336" s="142" t="s">
        <v>385</v>
      </c>
      <c r="G336" s="142" t="str">
        <f>Query!E337</f>
        <v>20</v>
      </c>
      <c r="H336" s="146" t="str">
        <f>Query!F337</f>
        <v>B1JBA-1306-U01</v>
      </c>
      <c r="I336" s="142" t="str">
        <f>Query!G337</f>
        <v>Junction box FI</v>
      </c>
      <c r="J336" s="142" t="s">
        <v>2852</v>
      </c>
      <c r="K336" s="146" t="str">
        <f>Query!K337</f>
        <v>B1-TT-13914A-B01</v>
      </c>
      <c r="L336" s="142" t="str">
        <f>Query!L337</f>
        <v>TEMP.1 STEAM STG OUT.BEH. SPRAY-L</v>
      </c>
      <c r="M336" s="142" t="s">
        <v>2852</v>
      </c>
      <c r="N336" s="128"/>
      <c r="O336" s="142" t="str">
        <f>Query!O337</f>
        <v>DSPW/SUPP.FI</v>
      </c>
    </row>
    <row r="337" spans="1:15" ht="26.25" customHeight="1">
      <c r="A337" s="142" t="str">
        <f>Query!A338</f>
        <v>20335</v>
      </c>
      <c r="B337" s="142" t="str">
        <f>MID(Query!B338,1,2)</f>
        <v>B1</v>
      </c>
      <c r="C337" s="144" t="str">
        <f>MID(Query!B338,3,50)</f>
        <v>JBA-1306-I6002</v>
      </c>
      <c r="D337" s="142" t="str">
        <f>Query!C338</f>
        <v>1- C5XFE-R /ST/</v>
      </c>
      <c r="E337" s="142" t="str">
        <f>Query!D338</f>
        <v>2 x 2 x 1.0  mm²</v>
      </c>
      <c r="F337" s="142" t="s">
        <v>385</v>
      </c>
      <c r="G337" s="142" t="str">
        <f>Query!E338</f>
        <v>20</v>
      </c>
      <c r="H337" s="146" t="str">
        <f>Query!F338</f>
        <v>B1JBA-1306-U10</v>
      </c>
      <c r="I337" s="142" t="str">
        <f>Query!G338</f>
        <v>Junction box FI</v>
      </c>
      <c r="J337" s="142" t="s">
        <v>2852</v>
      </c>
      <c r="K337" s="146" t="str">
        <f>Query!K338</f>
        <v>B1-TT-13914A-B01</v>
      </c>
      <c r="L337" s="142" t="str">
        <f>Query!L338</f>
        <v>TEMP.1 STEAM STG OUT.BEH. SPRAY-L</v>
      </c>
      <c r="M337" s="142" t="s">
        <v>2852</v>
      </c>
      <c r="N337" s="128"/>
      <c r="O337" s="142" t="str">
        <f>Query!O338</f>
        <v>DSPW/SUPP.FI</v>
      </c>
    </row>
    <row r="338" spans="1:15" ht="26.25" customHeight="1">
      <c r="A338" s="142" t="str">
        <f>Query!A339</f>
        <v>20336</v>
      </c>
      <c r="B338" s="142" t="str">
        <f>MID(Query!B339,1,2)</f>
        <v>B1</v>
      </c>
      <c r="C338" s="144" t="str">
        <f>MID(Query!B339,3,50)</f>
        <v>JBA-1306-I6003</v>
      </c>
      <c r="D338" s="142" t="str">
        <f>Query!C339</f>
        <v>1- C5XFE-R /ST/</v>
      </c>
      <c r="E338" s="142" t="str">
        <f>Query!D339</f>
        <v>2 x 2 x 1.0  mm²</v>
      </c>
      <c r="F338" s="142" t="s">
        <v>385</v>
      </c>
      <c r="G338" s="142" t="str">
        <f>Query!E339</f>
        <v>20</v>
      </c>
      <c r="H338" s="146" t="str">
        <f>Query!F339</f>
        <v>B1JBA-1306-U20</v>
      </c>
      <c r="I338" s="142" t="str">
        <f>Query!G339</f>
        <v>Junction box FI</v>
      </c>
      <c r="J338" s="142" t="s">
        <v>2852</v>
      </c>
      <c r="K338" s="146" t="str">
        <f>Query!K339</f>
        <v>B1-TT-13915-B01</v>
      </c>
      <c r="L338" s="142" t="str">
        <f>Query!L339</f>
        <v>TEMP.3 STEAM STG OUT.BEH. SPRAY-L</v>
      </c>
      <c r="M338" s="142" t="s">
        <v>2852</v>
      </c>
      <c r="N338" s="128"/>
      <c r="O338" s="142" t="str">
        <f>Query!O339</f>
        <v>DSPW/SUPP.FI</v>
      </c>
    </row>
    <row r="339" spans="1:15" ht="26.25" customHeight="1">
      <c r="A339" s="142" t="str">
        <f>Query!A340</f>
        <v>20337</v>
      </c>
      <c r="B339" s="142" t="str">
        <f>MID(Query!B340,1,2)</f>
        <v>B1</v>
      </c>
      <c r="C339" s="144" t="str">
        <f>MID(Query!B340,3,50)</f>
        <v>JBA-1306-I6004</v>
      </c>
      <c r="D339" s="142" t="str">
        <f>Query!C340</f>
        <v>Comp. Cable KX</v>
      </c>
      <c r="E339" s="142" t="str">
        <f>Query!D340</f>
        <v>2 x 2 x 0.5  mm²</v>
      </c>
      <c r="F339" s="142" t="s">
        <v>385</v>
      </c>
      <c r="G339" s="142" t="str">
        <f>Query!E340</f>
        <v>20</v>
      </c>
      <c r="H339" s="146" t="str">
        <f>Query!F340</f>
        <v>B1JBA-1306-U11</v>
      </c>
      <c r="I339" s="142" t="str">
        <f>Query!G340</f>
        <v>Junction box FI</v>
      </c>
      <c r="J339" s="142" t="s">
        <v>2852</v>
      </c>
      <c r="K339" s="146" t="str">
        <f>Query!K340</f>
        <v>B1-TT-13979-B01</v>
      </c>
      <c r="L339" s="142" t="str">
        <f>Query!L340</f>
        <v>TEMP.1.2 REAR BRG LOAD.PAD FRNT SD</v>
      </c>
      <c r="M339" s="142" t="s">
        <v>2852</v>
      </c>
      <c r="N339" s="128"/>
      <c r="O339" s="142" t="str">
        <f>Query!O340</f>
        <v>DSPW/SUPP.FI</v>
      </c>
    </row>
    <row r="340" spans="1:15" ht="26.25" customHeight="1">
      <c r="A340" s="142" t="str">
        <f>Query!A341</f>
        <v>20338</v>
      </c>
      <c r="B340" s="142" t="str">
        <f>MID(Query!B341,1,2)</f>
        <v>B1</v>
      </c>
      <c r="C340" s="144" t="str">
        <f>MID(Query!B341,3,50)</f>
        <v>JBA-1306-I6005</v>
      </c>
      <c r="D340" s="142" t="str">
        <f>Query!C341</f>
        <v>Comp. Cable KX</v>
      </c>
      <c r="E340" s="142" t="str">
        <f>Query!D341</f>
        <v>2 x 2 x 0.5  mm²</v>
      </c>
      <c r="F340" s="142" t="s">
        <v>385</v>
      </c>
      <c r="G340" s="142" t="str">
        <f>Query!E341</f>
        <v>20</v>
      </c>
      <c r="H340" s="146" t="str">
        <f>Query!F341</f>
        <v>B1JBA-1306-U12</v>
      </c>
      <c r="I340" s="142" t="str">
        <f>Query!G341</f>
        <v>Junction box FI</v>
      </c>
      <c r="J340" s="142" t="s">
        <v>2852</v>
      </c>
      <c r="K340" s="146" t="str">
        <f>Query!K341</f>
        <v>B1-TT-13981-B01</v>
      </c>
      <c r="L340" s="142" t="str">
        <f>Query!L341</f>
        <v>TEMP.3.2 REAR BRG N/LOAD.PAD REAR SD</v>
      </c>
      <c r="M340" s="142" t="s">
        <v>2852</v>
      </c>
      <c r="N340" s="128"/>
      <c r="O340" s="142" t="str">
        <f>Query!O341</f>
        <v>DSPW/SUPP.FI</v>
      </c>
    </row>
    <row r="341" spans="1:15" ht="26.25" customHeight="1">
      <c r="A341" s="142" t="str">
        <f>Query!A342</f>
        <v>20339</v>
      </c>
      <c r="B341" s="142" t="str">
        <f>MID(Query!B342,1,2)</f>
        <v>B1</v>
      </c>
      <c r="C341" s="144" t="str">
        <f>MID(Query!B342,3,50)</f>
        <v>JBA-1306-I6006</v>
      </c>
      <c r="D341" s="142" t="str">
        <f>Query!C342</f>
        <v>Comp. Cable KX</v>
      </c>
      <c r="E341" s="142" t="str">
        <f>Query!D342</f>
        <v>2 x 2 x 0.5  mm²</v>
      </c>
      <c r="F341" s="142" t="s">
        <v>385</v>
      </c>
      <c r="G341" s="142" t="str">
        <f>Query!E342</f>
        <v>20</v>
      </c>
      <c r="H341" s="146" t="str">
        <f>Query!F342</f>
        <v>B1JBA-1306-U22</v>
      </c>
      <c r="I341" s="142" t="str">
        <f>Query!G342</f>
        <v>Junction box FI</v>
      </c>
      <c r="J341" s="142" t="s">
        <v>2852</v>
      </c>
      <c r="K341" s="146" t="str">
        <f>Query!K342</f>
        <v>B1-TT-13980-B01</v>
      </c>
      <c r="L341" s="142" t="str">
        <f>Query!L342</f>
        <v>TEMP.2.2 REAR BRG LOAD.PAD REAR SD</v>
      </c>
      <c r="M341" s="142" t="s">
        <v>2852</v>
      </c>
      <c r="N341" s="128"/>
      <c r="O341" s="142" t="str">
        <f>Query!O342</f>
        <v>DSPW/SUPP.FI</v>
      </c>
    </row>
    <row r="342" spans="1:15" ht="26.25" customHeight="1">
      <c r="A342" s="142" t="str">
        <f>Query!A343</f>
        <v>20340</v>
      </c>
      <c r="B342" s="142" t="str">
        <f>MID(Query!B343,1,2)</f>
        <v>B1</v>
      </c>
      <c r="C342" s="144" t="str">
        <f>MID(Query!B343,3,50)</f>
        <v>JBA-1306-I6007</v>
      </c>
      <c r="D342" s="142" t="str">
        <f>Query!C343</f>
        <v>Comp. Cable KX</v>
      </c>
      <c r="E342" s="142" t="str">
        <f>Query!D343</f>
        <v>2 x 2 x 0.5  mm²</v>
      </c>
      <c r="F342" s="142" t="s">
        <v>385</v>
      </c>
      <c r="G342" s="142" t="str">
        <f>Query!E343</f>
        <v>20</v>
      </c>
      <c r="H342" s="146" t="str">
        <f>Query!F343</f>
        <v>B1JBA-1306-U24</v>
      </c>
      <c r="I342" s="142" t="str">
        <f>Query!G343</f>
        <v>Junction box FI</v>
      </c>
      <c r="J342" s="142" t="s">
        <v>2852</v>
      </c>
      <c r="K342" s="146" t="str">
        <f>Query!K343</f>
        <v>B1-TT-13982-B01</v>
      </c>
      <c r="L342" s="142" t="str">
        <f>Query!L343</f>
        <v>TEMP.4.2 REAR BRG N/LOAD.PAD FRNT SD</v>
      </c>
      <c r="M342" s="142" t="s">
        <v>2852</v>
      </c>
      <c r="N342" s="128"/>
      <c r="O342" s="142" t="str">
        <f>Query!O343</f>
        <v>DSPW/SUPP.FI</v>
      </c>
    </row>
    <row r="343" spans="1:15" ht="26.25" customHeight="1">
      <c r="A343" s="142" t="str">
        <f>Query!A344</f>
        <v>20341</v>
      </c>
      <c r="B343" s="142" t="str">
        <f>MID(Query!B344,1,2)</f>
        <v>B1</v>
      </c>
      <c r="C343" s="144" t="str">
        <f>MID(Query!B344,3,50)</f>
        <v>JBA-1306-I6008</v>
      </c>
      <c r="D343" s="142" t="str">
        <f>Query!C344</f>
        <v>1- C5XFE-R /ST/</v>
      </c>
      <c r="E343" s="142" t="str">
        <f>Query!D344</f>
        <v>2 x 2 x 1.0  mm²</v>
      </c>
      <c r="F343" s="142" t="s">
        <v>385</v>
      </c>
      <c r="G343" s="142" t="str">
        <f>Query!E344</f>
        <v>20</v>
      </c>
      <c r="H343" s="146" t="s">
        <v>2855</v>
      </c>
      <c r="I343" s="142" t="str">
        <f>Query!G344</f>
        <v>PRESS.1 STEAM STG OUTLET-L</v>
      </c>
      <c r="J343" s="142" t="s">
        <v>2852</v>
      </c>
      <c r="K343" s="146" t="str">
        <f>Query!K344</f>
        <v>B1-PIT-13904-B01</v>
      </c>
      <c r="L343" s="142" t="str">
        <f>Query!L344</f>
        <v>PRESS.1 STEAM STG OUTLET-L</v>
      </c>
      <c r="M343" s="142" t="s">
        <v>2852</v>
      </c>
      <c r="N343" s="128"/>
      <c r="O343" s="142" t="str">
        <f>Query!O344</f>
        <v>DSPW/SUPP.FI</v>
      </c>
    </row>
    <row r="344" spans="1:15" ht="26.25" customHeight="1">
      <c r="A344" s="142" t="str">
        <f>Query!A345</f>
        <v>20342</v>
      </c>
      <c r="B344" s="142" t="str">
        <f>MID(Query!B345,1,2)</f>
        <v>B1</v>
      </c>
      <c r="C344" s="144" t="str">
        <f>MID(Query!B345,3,50)</f>
        <v>JBA-1306-I6009</v>
      </c>
      <c r="D344" s="142" t="str">
        <f>Query!C345</f>
        <v>1- C5XFE-R /ST/</v>
      </c>
      <c r="E344" s="142" t="str">
        <f>Query!D345</f>
        <v>2 x 2 x 1.0  mm²</v>
      </c>
      <c r="F344" s="142" t="s">
        <v>385</v>
      </c>
      <c r="G344" s="142" t="str">
        <f>Query!E345</f>
        <v>20</v>
      </c>
      <c r="H344" s="146" t="str">
        <f>Query!F345</f>
        <v>B1JBA-1306-X02</v>
      </c>
      <c r="I344" s="142" t="str">
        <f>Query!G345</f>
        <v>Junction box FI</v>
      </c>
      <c r="J344" s="142" t="s">
        <v>2852</v>
      </c>
      <c r="K344" s="146" t="str">
        <f>Query!K345</f>
        <v>B1-PIT-13905-B01</v>
      </c>
      <c r="L344" s="142" t="str">
        <f>Query!L345</f>
        <v>PRESS.2 STEAM STG OUTLET-L</v>
      </c>
      <c r="M344" s="142" t="s">
        <v>2852</v>
      </c>
      <c r="N344" s="128"/>
      <c r="O344" s="142" t="str">
        <f>Query!O345</f>
        <v>DSPW/SUPP.FI</v>
      </c>
    </row>
    <row r="345" spans="1:15" ht="26.25" customHeight="1">
      <c r="A345" s="142" t="str">
        <f>Query!A346</f>
        <v>20343</v>
      </c>
      <c r="B345" s="142" t="str">
        <f>MID(Query!B346,1,2)</f>
        <v>B1</v>
      </c>
      <c r="C345" s="144" t="str">
        <f>MID(Query!B346,3,50)</f>
        <v>JBA-1306-I6010</v>
      </c>
      <c r="D345" s="142" t="str">
        <f>Query!C346</f>
        <v>Comp. Cable KX</v>
      </c>
      <c r="E345" s="142" t="str">
        <f>Query!D346</f>
        <v>2 x 2 x 0.5  mm²</v>
      </c>
      <c r="F345" s="142" t="s">
        <v>385</v>
      </c>
      <c r="G345" s="142" t="str">
        <f>Query!E346</f>
        <v>20</v>
      </c>
      <c r="H345" s="146" t="s">
        <v>2855</v>
      </c>
      <c r="I345" s="142" t="str">
        <f>Query!G346</f>
        <v>TEMP.REAR GLAND STEAM</v>
      </c>
      <c r="J345" s="142" t="s">
        <v>2852</v>
      </c>
      <c r="K345" s="146" t="str">
        <f>Query!K346</f>
        <v>B1-TT-13652-B01</v>
      </c>
      <c r="L345" s="142" t="str">
        <f>Query!L346</f>
        <v>TEMP.REAR GLAND STEAM</v>
      </c>
      <c r="M345" s="142" t="s">
        <v>2852</v>
      </c>
      <c r="N345" s="128"/>
      <c r="O345" s="142" t="str">
        <f>Query!O346</f>
        <v>DSPW/SUPP.FI</v>
      </c>
    </row>
    <row r="346" spans="1:15" ht="26.25" customHeight="1">
      <c r="A346" s="142" t="str">
        <f>Query!A347</f>
        <v>20344</v>
      </c>
      <c r="B346" s="142" t="str">
        <f>MID(Query!B347,1,2)</f>
        <v>B1</v>
      </c>
      <c r="C346" s="144" t="str">
        <f>MID(Query!B347,3,50)</f>
        <v>JBA-1309-C4001</v>
      </c>
      <c r="D346" s="142" t="str">
        <f>Query!C347</f>
        <v>Cu</v>
      </c>
      <c r="E346" s="142" t="str">
        <f>Query!D347</f>
        <v>4 x 1.5  mm²</v>
      </c>
      <c r="F346" s="142" t="s">
        <v>260</v>
      </c>
      <c r="G346" s="142" t="str">
        <f>Query!E347</f>
        <v>20</v>
      </c>
      <c r="H346" s="146" t="str">
        <f>Query!F347</f>
        <v>B1JBA-1309-TB3</v>
      </c>
      <c r="I346" s="142" t="str">
        <f>Query!G347</f>
        <v>Junction box IOS</v>
      </c>
      <c r="J346" s="142" t="s">
        <v>2852</v>
      </c>
      <c r="K346" s="146" t="str">
        <f>Query!K347</f>
        <v>B1-SKD-13201-MOV01-M01</v>
      </c>
      <c r="L346" s="142" t="str">
        <f>Query!L347</f>
        <v>EDF DICHARGE MOP 1</v>
      </c>
      <c r="M346" s="142" t="s">
        <v>2852</v>
      </c>
      <c r="N346" s="128"/>
      <c r="O346" s="142" t="str">
        <f>Query!O347</f>
        <v>DSPW/SUPP.SKID</v>
      </c>
    </row>
    <row r="347" spans="1:15" ht="26.25" customHeight="1">
      <c r="A347" s="142" t="str">
        <f>Query!A348</f>
        <v>20345</v>
      </c>
      <c r="B347" s="142" t="str">
        <f>MID(Query!B348,1,2)</f>
        <v>B1</v>
      </c>
      <c r="C347" s="144" t="str">
        <f>MID(Query!B348,3,50)</f>
        <v>JBA-1309-C4002</v>
      </c>
      <c r="D347" s="142" t="str">
        <f>Query!C348</f>
        <v>Cu</v>
      </c>
      <c r="E347" s="142" t="str">
        <f>Query!D348</f>
        <v>12 x 1.5  mm²</v>
      </c>
      <c r="F347" s="142" t="s">
        <v>260</v>
      </c>
      <c r="G347" s="142" t="str">
        <f>Query!E348</f>
        <v>20</v>
      </c>
      <c r="H347" s="146" t="str">
        <f>Query!F348</f>
        <v>B1JBA-1309-TB3</v>
      </c>
      <c r="I347" s="142" t="str">
        <f>Query!G348</f>
        <v>Junction box IOS</v>
      </c>
      <c r="J347" s="142" t="s">
        <v>2852</v>
      </c>
      <c r="K347" s="146" t="str">
        <f>Query!K348</f>
        <v>B1-SKD-13201-MOV01-M01</v>
      </c>
      <c r="L347" s="142" t="str">
        <f>Query!L348</f>
        <v>EDF DICHARGE MOP 1</v>
      </c>
      <c r="M347" s="142" t="s">
        <v>2852</v>
      </c>
      <c r="N347" s="128"/>
      <c r="O347" s="142" t="str">
        <f>Query!O348</f>
        <v>DSPW/SUPP.SKID</v>
      </c>
    </row>
    <row r="348" spans="1:15" ht="26.25" customHeight="1">
      <c r="A348" s="142" t="str">
        <f>Query!A349</f>
        <v>20346</v>
      </c>
      <c r="B348" s="142" t="str">
        <f>MID(Query!B349,1,2)</f>
        <v>B1</v>
      </c>
      <c r="C348" s="144" t="str">
        <f>MID(Query!B349,3,50)</f>
        <v>JBA-1309-C4003</v>
      </c>
      <c r="D348" s="142" t="str">
        <f>Query!C349</f>
        <v>Cu</v>
      </c>
      <c r="E348" s="142" t="str">
        <f>Query!D349</f>
        <v>4 x 1.5  mm²</v>
      </c>
      <c r="F348" s="142" t="s">
        <v>260</v>
      </c>
      <c r="G348" s="142" t="str">
        <f>Query!E349</f>
        <v>20</v>
      </c>
      <c r="H348" s="146" t="str">
        <f>Query!F349</f>
        <v>B1JBA-1309-TB3</v>
      </c>
      <c r="I348" s="142" t="str">
        <f>Query!G349</f>
        <v>Junction box IOS</v>
      </c>
      <c r="J348" s="142" t="s">
        <v>2852</v>
      </c>
      <c r="K348" s="146" t="str">
        <f>Query!K349</f>
        <v>B1-SKD-13201-MOV13-M01</v>
      </c>
      <c r="L348" s="142" t="str">
        <f>Query!L349</f>
        <v>EDF DICHARGE MOP 2</v>
      </c>
      <c r="M348" s="142" t="s">
        <v>2852</v>
      </c>
      <c r="N348" s="128"/>
      <c r="O348" s="142" t="str">
        <f>Query!O349</f>
        <v>DSPW/SUPP.SKID</v>
      </c>
    </row>
    <row r="349" spans="1:15" ht="26.25" customHeight="1">
      <c r="A349" s="142" t="str">
        <f>Query!A350</f>
        <v>20347</v>
      </c>
      <c r="B349" s="142" t="str">
        <f>MID(Query!B350,1,2)</f>
        <v>B1</v>
      </c>
      <c r="C349" s="144" t="str">
        <f>MID(Query!B350,3,50)</f>
        <v>JBA-1309-C4004</v>
      </c>
      <c r="D349" s="142" t="str">
        <f>Query!C350</f>
        <v>Cu</v>
      </c>
      <c r="E349" s="142" t="str">
        <f>Query!D350</f>
        <v>12 x 1.5  mm²</v>
      </c>
      <c r="F349" s="142" t="s">
        <v>260</v>
      </c>
      <c r="G349" s="142" t="str">
        <f>Query!E350</f>
        <v>20</v>
      </c>
      <c r="H349" s="146" t="str">
        <f>Query!F350</f>
        <v>B1JBA-1309-TB3</v>
      </c>
      <c r="I349" s="142" t="str">
        <f>Query!G350</f>
        <v>Junction box IOS</v>
      </c>
      <c r="J349" s="142" t="s">
        <v>2852</v>
      </c>
      <c r="K349" s="146" t="str">
        <f>Query!K350</f>
        <v>B1-SKD-13201-MOV13-M01</v>
      </c>
      <c r="L349" s="142" t="str">
        <f>Query!L350</f>
        <v>EDF DICHARGE MOP 2</v>
      </c>
      <c r="M349" s="142" t="s">
        <v>2852</v>
      </c>
      <c r="N349" s="128"/>
      <c r="O349" s="142" t="str">
        <f>Query!O350</f>
        <v>DSPW/SUPP.SKID</v>
      </c>
    </row>
    <row r="350" spans="1:15" ht="26.25" customHeight="1">
      <c r="A350" s="142" t="str">
        <f>Query!A351</f>
        <v>20348</v>
      </c>
      <c r="B350" s="142" t="str">
        <f>MID(Query!B351,1,2)</f>
        <v>B1</v>
      </c>
      <c r="C350" s="144" t="str">
        <f>MID(Query!B351,3,50)</f>
        <v>JBA-1309-I6001</v>
      </c>
      <c r="D350" s="142" t="str">
        <f>Query!C351</f>
        <v>Cu</v>
      </c>
      <c r="E350" s="142" t="str">
        <f>Query!D351</f>
        <v>1 x 2 x 1.5  mm²</v>
      </c>
      <c r="F350" s="142" t="s">
        <v>385</v>
      </c>
      <c r="G350" s="142" t="str">
        <f>Query!E351</f>
        <v>20</v>
      </c>
      <c r="H350" s="146" t="s">
        <v>2854</v>
      </c>
      <c r="I350" s="142" t="str">
        <f>Query!G351</f>
        <v>PRESS.OIL VAPOUR DEVICE SUCT.</v>
      </c>
      <c r="J350" s="142" t="s">
        <v>2852</v>
      </c>
      <c r="K350" s="146" t="str">
        <f>Query!K351</f>
        <v>B1-PIT-13232A-B01</v>
      </c>
      <c r="L350" s="142" t="str">
        <f>Query!L351</f>
        <v>PRESS.OIL VAPOUR DEVICE SUCT.</v>
      </c>
      <c r="M350" s="142" t="s">
        <v>2852</v>
      </c>
      <c r="N350" s="128"/>
      <c r="O350" s="142" t="str">
        <f>Query!O351</f>
        <v>DSPW/SKID</v>
      </c>
    </row>
    <row r="351" spans="1:15" ht="26.25" customHeight="1">
      <c r="A351" s="142" t="str">
        <f>Query!A352</f>
        <v>20349</v>
      </c>
      <c r="B351" s="142" t="str">
        <f>MID(Query!B352,1,2)</f>
        <v>B1</v>
      </c>
      <c r="C351" s="144" t="str">
        <f>MID(Query!B352,3,50)</f>
        <v>JBA-1309-I6002</v>
      </c>
      <c r="D351" s="142" t="str">
        <f>Query!C352</f>
        <v>Cu</v>
      </c>
      <c r="E351" s="142" t="str">
        <f>Query!D352</f>
        <v>1 x 2 x 1.5  mm²</v>
      </c>
      <c r="F351" s="142" t="s">
        <v>385</v>
      </c>
      <c r="G351" s="142" t="str">
        <f>Query!E352</f>
        <v>20</v>
      </c>
      <c r="H351" s="146" t="s">
        <v>2854</v>
      </c>
      <c r="I351" s="142" t="str">
        <f>Query!G352</f>
        <v>PRESS.OIL VAPOUR DEVICE SUCT.</v>
      </c>
      <c r="J351" s="142" t="s">
        <v>2852</v>
      </c>
      <c r="K351" s="146" t="str">
        <f>Query!K352</f>
        <v>B1-PIT-13234A-B01</v>
      </c>
      <c r="L351" s="142" t="str">
        <f>Query!L352</f>
        <v>PRESS.OIL VAPOUR DEVICE SUCT.</v>
      </c>
      <c r="M351" s="142" t="s">
        <v>2852</v>
      </c>
      <c r="N351" s="128"/>
      <c r="O351" s="142" t="str">
        <f>Query!O352</f>
        <v>DSPW/SKID</v>
      </c>
    </row>
    <row r="352" spans="1:15" ht="26.25" customHeight="1">
      <c r="A352" s="142" t="str">
        <f>Query!A353</f>
        <v>20350</v>
      </c>
      <c r="B352" s="142" t="str">
        <f>MID(Query!B353,1,2)</f>
        <v>B1</v>
      </c>
      <c r="C352" s="144" t="str">
        <f>MID(Query!B353,3,50)</f>
        <v>JBA-1309-I6003</v>
      </c>
      <c r="D352" s="142" t="str">
        <f>Query!C353</f>
        <v>Cu</v>
      </c>
      <c r="E352" s="142" t="str">
        <f>Query!D353</f>
        <v>1 x 2 x 1.5  mm²</v>
      </c>
      <c r="F352" s="142" t="s">
        <v>385</v>
      </c>
      <c r="G352" s="142" t="str">
        <f>Query!E353</f>
        <v>20</v>
      </c>
      <c r="H352" s="146" t="s">
        <v>2854</v>
      </c>
      <c r="I352" s="142" t="str">
        <f>Query!G353</f>
        <v>Junction box IOS</v>
      </c>
      <c r="J352" s="142" t="s">
        <v>2852</v>
      </c>
      <c r="K352" s="146" t="str">
        <f>Query!K353</f>
        <v>B1-PIT-13205-B01</v>
      </c>
      <c r="L352" s="142" t="str">
        <f>Query!L353</f>
        <v>PRESS.LUBE OIL MOP 1 DISCHARGE</v>
      </c>
      <c r="M352" s="142" t="s">
        <v>2852</v>
      </c>
      <c r="N352" s="128"/>
      <c r="O352" s="142" t="str">
        <f>Query!O353</f>
        <v>DSPW/SKID</v>
      </c>
    </row>
    <row r="353" spans="1:15" ht="26.25" customHeight="1">
      <c r="A353" s="142" t="str">
        <f>Query!A354</f>
        <v>20351</v>
      </c>
      <c r="B353" s="142" t="str">
        <f>MID(Query!B354,1,2)</f>
        <v>B1</v>
      </c>
      <c r="C353" s="144" t="str">
        <f>MID(Query!B354,3,50)</f>
        <v>JBA-1309-I6004</v>
      </c>
      <c r="D353" s="142" t="str">
        <f>Query!C354</f>
        <v>Cu</v>
      </c>
      <c r="E353" s="142" t="str">
        <f>Query!D354</f>
        <v>1 x 2 x 1.5  mm²</v>
      </c>
      <c r="F353" s="142" t="s">
        <v>385</v>
      </c>
      <c r="G353" s="142" t="str">
        <f>Query!E354</f>
        <v>20</v>
      </c>
      <c r="H353" s="146" t="s">
        <v>2854</v>
      </c>
      <c r="I353" s="142" t="str">
        <f>Query!G354</f>
        <v>PRESS.LUBE OIL MOP 2 DISCHARGE</v>
      </c>
      <c r="J353" s="142" t="s">
        <v>2852</v>
      </c>
      <c r="K353" s="146" t="str">
        <f>Query!K354</f>
        <v>B1-PIT-13208-B01</v>
      </c>
      <c r="L353" s="142" t="str">
        <f>Query!L354</f>
        <v>PRESS.LUBE OIL MOP 2 DISCHARGE</v>
      </c>
      <c r="M353" s="142" t="s">
        <v>2852</v>
      </c>
      <c r="N353" s="128"/>
      <c r="O353" s="142" t="str">
        <f>Query!O354</f>
        <v>DSPW/SKID</v>
      </c>
    </row>
    <row r="354" spans="1:15" ht="26.25" customHeight="1">
      <c r="A354" s="142" t="str">
        <f>Query!A355</f>
        <v>20352</v>
      </c>
      <c r="B354" s="142" t="str">
        <f>MID(Query!B355,1,2)</f>
        <v>B1</v>
      </c>
      <c r="C354" s="144" t="str">
        <f>MID(Query!B355,3,50)</f>
        <v>JBA-1309-I6005</v>
      </c>
      <c r="D354" s="142" t="str">
        <f>Query!C355</f>
        <v>Cu</v>
      </c>
      <c r="E354" s="142" t="str">
        <f>Query!D355</f>
        <v>1 x 2 x 1.5  mm²</v>
      </c>
      <c r="F354" s="142" t="s">
        <v>385</v>
      </c>
      <c r="G354" s="142" t="str">
        <f>Query!E355</f>
        <v>20</v>
      </c>
      <c r="H354" s="146" t="s">
        <v>2854</v>
      </c>
      <c r="I354" s="142" t="str">
        <f>Query!G355</f>
        <v>PRESS.JACKING OIL DICHARGE JOP</v>
      </c>
      <c r="J354" s="142" t="s">
        <v>2852</v>
      </c>
      <c r="K354" s="146" t="str">
        <f>Query!K355</f>
        <v>B1-PIT-13223-B01</v>
      </c>
      <c r="L354" s="142" t="str">
        <f>Query!L355</f>
        <v>PRESS.JACKING OIL DICHARGE JOP</v>
      </c>
      <c r="M354" s="142" t="s">
        <v>2852</v>
      </c>
      <c r="N354" s="128"/>
      <c r="O354" s="142" t="str">
        <f>Query!O355</f>
        <v>DSPW/SKID</v>
      </c>
    </row>
    <row r="355" spans="1:15" ht="26.25" customHeight="1">
      <c r="A355" s="142" t="str">
        <f>Query!A356</f>
        <v>20353</v>
      </c>
      <c r="B355" s="142" t="str">
        <f>MID(Query!B356,1,2)</f>
        <v>B1</v>
      </c>
      <c r="C355" s="144" t="str">
        <f>MID(Query!B356,3,50)</f>
        <v>JBA-1309-I6006</v>
      </c>
      <c r="D355" s="142" t="str">
        <f>Query!C356</f>
        <v>Cu</v>
      </c>
      <c r="E355" s="142" t="str">
        <f>Query!D356</f>
        <v>1 x 2 x 1.5  mm²</v>
      </c>
      <c r="F355" s="142" t="s">
        <v>385</v>
      </c>
      <c r="G355" s="142" t="str">
        <f>Query!E356</f>
        <v>20</v>
      </c>
      <c r="H355" s="146" t="s">
        <v>2854</v>
      </c>
      <c r="I355" s="142" t="str">
        <f>Query!G356</f>
        <v>TEMP.1 LUBE OIL IN MAIN OIL TANK</v>
      </c>
      <c r="J355" s="142" t="s">
        <v>2852</v>
      </c>
      <c r="K355" s="146" t="str">
        <f>Query!K356</f>
        <v>B1-TT-13206-B01</v>
      </c>
      <c r="L355" s="142" t="str">
        <f>Query!L356</f>
        <v>TEMP.1 LUBE OIL IN MAIN OIL TANK</v>
      </c>
      <c r="M355" s="142" t="s">
        <v>2852</v>
      </c>
      <c r="N355" s="128"/>
      <c r="O355" s="142" t="str">
        <f>Query!O356</f>
        <v>DSPW/SKID</v>
      </c>
    </row>
    <row r="356" spans="1:15" ht="26.25" customHeight="1">
      <c r="A356" s="142" t="str">
        <f>Query!A357</f>
        <v>20354</v>
      </c>
      <c r="B356" s="142" t="str">
        <f>MID(Query!B357,1,2)</f>
        <v>B1</v>
      </c>
      <c r="C356" s="144" t="str">
        <f>MID(Query!B357,3,50)</f>
        <v>JBA-1309-I6007</v>
      </c>
      <c r="D356" s="142" t="str">
        <f>Query!C357</f>
        <v>Cu</v>
      </c>
      <c r="E356" s="142" t="str">
        <f>Query!D357</f>
        <v>1 x 2 x 1.5  mm²</v>
      </c>
      <c r="F356" s="142" t="s">
        <v>385</v>
      </c>
      <c r="G356" s="142" t="str">
        <f>Query!E357</f>
        <v>20</v>
      </c>
      <c r="H356" s="146" t="s">
        <v>2854</v>
      </c>
      <c r="I356" s="142" t="str">
        <f>Query!G357</f>
        <v>TEMP.2 LUBE OIL IN MAIN OIL TANK</v>
      </c>
      <c r="J356" s="142" t="s">
        <v>2852</v>
      </c>
      <c r="K356" s="146" t="str">
        <f>Query!K357</f>
        <v>B1-TT-13207-B01</v>
      </c>
      <c r="L356" s="142" t="str">
        <f>Query!L357</f>
        <v>TEMP.2 LUBE OIL IN MAIN OIL TANK</v>
      </c>
      <c r="M356" s="142" t="s">
        <v>2852</v>
      </c>
      <c r="N356" s="128"/>
      <c r="O356" s="142" t="str">
        <f>Query!O357</f>
        <v>DSPW/SKID</v>
      </c>
    </row>
    <row r="357" spans="1:15" ht="26.25" customHeight="1">
      <c r="A357" s="142" t="str">
        <f>Query!A358</f>
        <v>20355</v>
      </c>
      <c r="B357" s="142" t="str">
        <f>MID(Query!B358,1,2)</f>
        <v>B1</v>
      </c>
      <c r="C357" s="144" t="str">
        <f>MID(Query!B358,3,50)</f>
        <v>JBA-1309-I6008</v>
      </c>
      <c r="D357" s="142" t="str">
        <f>Query!C358</f>
        <v>Cu</v>
      </c>
      <c r="E357" s="142" t="str">
        <f>Query!D358</f>
        <v>1 x 2 x 1.5  mm²</v>
      </c>
      <c r="F357" s="142" t="s">
        <v>385</v>
      </c>
      <c r="G357" s="142" t="str">
        <f>Query!E358</f>
        <v>20</v>
      </c>
      <c r="H357" s="146" t="s">
        <v>2854</v>
      </c>
      <c r="I357" s="142" t="str">
        <f>Query!G358</f>
        <v>TEMP.LUBE OIL BEFORE COOLERS</v>
      </c>
      <c r="J357" s="142" t="s">
        <v>2852</v>
      </c>
      <c r="K357" s="146" t="str">
        <f>Query!K358</f>
        <v>B1-TT-13209-B01</v>
      </c>
      <c r="L357" s="142" t="str">
        <f>Query!L358</f>
        <v>TEMP.LUBE OIL BEFORE COOLERS</v>
      </c>
      <c r="M357" s="142" t="s">
        <v>2852</v>
      </c>
      <c r="N357" s="128"/>
      <c r="O357" s="142" t="str">
        <f>Query!O358</f>
        <v>DSPW/SKID</v>
      </c>
    </row>
    <row r="358" spans="1:15" ht="26.25" customHeight="1">
      <c r="A358" s="142" t="str">
        <f>Query!A359</f>
        <v>20356</v>
      </c>
      <c r="B358" s="142" t="str">
        <f>MID(Query!B359,1,2)</f>
        <v>B1</v>
      </c>
      <c r="C358" s="144" t="str">
        <f>MID(Query!B359,3,50)</f>
        <v>JBA-1309-I6009</v>
      </c>
      <c r="D358" s="142" t="str">
        <f>Query!C359</f>
        <v>Cu</v>
      </c>
      <c r="E358" s="142" t="str">
        <f>Query!D359</f>
        <v>1 x 2 x 1.5  mm²</v>
      </c>
      <c r="F358" s="142" t="s">
        <v>385</v>
      </c>
      <c r="G358" s="142" t="str">
        <f>Query!E359</f>
        <v>20</v>
      </c>
      <c r="H358" s="146" t="s">
        <v>2854</v>
      </c>
      <c r="I358" s="142" t="str">
        <f>Query!G359</f>
        <v>TEMP.LUBE OIL BEHIND COOLERS</v>
      </c>
      <c r="J358" s="142" t="s">
        <v>2852</v>
      </c>
      <c r="K358" s="146" t="str">
        <f>Query!K359</f>
        <v>B1-TT-13212-B01</v>
      </c>
      <c r="L358" s="142" t="str">
        <f>Query!L359</f>
        <v>TEMP.LUBE OIL BEHIND COOLERS</v>
      </c>
      <c r="M358" s="142" t="s">
        <v>2852</v>
      </c>
      <c r="N358" s="128"/>
      <c r="O358" s="142" t="str">
        <f>Query!O359</f>
        <v>DSPW/SKID</v>
      </c>
    </row>
    <row r="359" spans="1:15" ht="26.25" customHeight="1">
      <c r="A359" s="142" t="str">
        <f>Query!A360</f>
        <v>20357</v>
      </c>
      <c r="B359" s="142" t="str">
        <f>MID(Query!B360,1,2)</f>
        <v>B1</v>
      </c>
      <c r="C359" s="144" t="str">
        <f>MID(Query!B360,3,50)</f>
        <v>JBA-1309-I6010</v>
      </c>
      <c r="D359" s="142" t="str">
        <f>Query!C360</f>
        <v>Cu</v>
      </c>
      <c r="E359" s="142" t="str">
        <f>Query!D360</f>
        <v>1 x 2 x 1.5  mm²</v>
      </c>
      <c r="F359" s="142" t="s">
        <v>385</v>
      </c>
      <c r="G359" s="142" t="str">
        <f>Query!E360</f>
        <v>20</v>
      </c>
      <c r="H359" s="146" t="s">
        <v>2854</v>
      </c>
      <c r="I359" s="142" t="str">
        <f>Query!G360</f>
        <v>TEMP.LUBE OIL BEHIND AMOT</v>
      </c>
      <c r="J359" s="142" t="s">
        <v>2852</v>
      </c>
      <c r="K359" s="146" t="str">
        <f>Query!K360</f>
        <v>B1-TT-13216-B01</v>
      </c>
      <c r="L359" s="142" t="str">
        <f>Query!L360</f>
        <v>TEMP.LUBE OIL BEHIND AMOT</v>
      </c>
      <c r="M359" s="142" t="s">
        <v>2852</v>
      </c>
      <c r="N359" s="128"/>
      <c r="O359" s="142" t="str">
        <f>Query!O360</f>
        <v>DSPW/SKID</v>
      </c>
    </row>
    <row r="360" spans="1:15" ht="26.25" customHeight="1">
      <c r="A360" s="142" t="str">
        <f>Query!A361</f>
        <v>20358</v>
      </c>
      <c r="B360" s="142" t="str">
        <f>MID(Query!B361,1,2)</f>
        <v>B1</v>
      </c>
      <c r="C360" s="144" t="str">
        <f>MID(Query!B361,3,50)</f>
        <v>JBA-1309-I6011</v>
      </c>
      <c r="D360" s="142" t="str">
        <f>Query!C361</f>
        <v>Cu</v>
      </c>
      <c r="E360" s="142" t="str">
        <f>Query!D361</f>
        <v>1 x 2 x 1.5  mm²</v>
      </c>
      <c r="F360" s="142" t="s">
        <v>385</v>
      </c>
      <c r="G360" s="142" t="str">
        <f>Query!E361</f>
        <v>20</v>
      </c>
      <c r="H360" s="146" t="s">
        <v>2854</v>
      </c>
      <c r="I360" s="142" t="str">
        <f>Query!G361</f>
        <v>LVL.1 LUBE OIL IN MOT BEHIND SEEVES</v>
      </c>
      <c r="J360" s="142" t="s">
        <v>2852</v>
      </c>
      <c r="K360" s="146" t="str">
        <f>Query!K361</f>
        <v>B1-LIT-13201A-B01</v>
      </c>
      <c r="L360" s="142" t="str">
        <f>Query!L361</f>
        <v>LVL.1 LUBE OIL IN MOT BEHIND SEEVES</v>
      </c>
      <c r="M360" s="142" t="s">
        <v>2852</v>
      </c>
      <c r="N360" s="128"/>
      <c r="O360" s="142" t="str">
        <f>Query!O361</f>
        <v>DSPW/SKID</v>
      </c>
    </row>
    <row r="361" spans="1:15" ht="26.25" customHeight="1">
      <c r="A361" s="142" t="str">
        <f>Query!A362</f>
        <v>20359</v>
      </c>
      <c r="B361" s="142" t="str">
        <f>MID(Query!B362,1,2)</f>
        <v>B1</v>
      </c>
      <c r="C361" s="144" t="str">
        <f>MID(Query!B362,3,50)</f>
        <v>JBA-1309-I6012</v>
      </c>
      <c r="D361" s="142" t="str">
        <f>Query!C362</f>
        <v>Cu</v>
      </c>
      <c r="E361" s="142" t="str">
        <f>Query!D362</f>
        <v>1 x 2 x 1.5  mm²</v>
      </c>
      <c r="F361" s="142" t="s">
        <v>385</v>
      </c>
      <c r="G361" s="142" t="str">
        <f>Query!E362</f>
        <v>20</v>
      </c>
      <c r="H361" s="146" t="s">
        <v>2854</v>
      </c>
      <c r="I361" s="142" t="str">
        <f>Query!G362</f>
        <v>LVL.2 LUBE OIL IN MOT BEHIND SEEVES</v>
      </c>
      <c r="J361" s="142" t="s">
        <v>2852</v>
      </c>
      <c r="K361" s="146" t="str">
        <f>Query!K362</f>
        <v>B1-LIT-13201B-B01</v>
      </c>
      <c r="L361" s="142" t="str">
        <f>Query!L362</f>
        <v>LVL.2 LUBE OIL IN MOT BEHIND SEEVES</v>
      </c>
      <c r="M361" s="142" t="s">
        <v>2852</v>
      </c>
      <c r="N361" s="128"/>
      <c r="O361" s="142" t="str">
        <f>Query!O362</f>
        <v>DSPW/SKID</v>
      </c>
    </row>
    <row r="362" spans="1:15" ht="26.25" customHeight="1">
      <c r="A362" s="142" t="str">
        <f>Query!A363</f>
        <v>20360</v>
      </c>
      <c r="B362" s="142" t="str">
        <f>MID(Query!B363,1,2)</f>
        <v>B1</v>
      </c>
      <c r="C362" s="144" t="str">
        <f>MID(Query!B363,3,50)</f>
        <v>JBA-1309-I6013</v>
      </c>
      <c r="D362" s="142" t="str">
        <f>Query!C363</f>
        <v>Cu</v>
      </c>
      <c r="E362" s="142" t="str">
        <f>Query!D363</f>
        <v>1 x 2 x 1.5  mm²</v>
      </c>
      <c r="F362" s="142" t="s">
        <v>385</v>
      </c>
      <c r="G362" s="142" t="str">
        <f>Query!E363</f>
        <v>20</v>
      </c>
      <c r="H362" s="146" t="s">
        <v>2854</v>
      </c>
      <c r="I362" s="142" t="str">
        <f>Query!G363</f>
        <v>LVL.3 LUBE OIL IN MOT BEHIND SEEVES</v>
      </c>
      <c r="J362" s="142" t="s">
        <v>2852</v>
      </c>
      <c r="K362" s="146" t="str">
        <f>Query!K363</f>
        <v>B1-LIT-13201C-B01</v>
      </c>
      <c r="L362" s="142" t="str">
        <f>Query!L363</f>
        <v>LVL.3 LUBE OIL IN MOT BEHIND SEEVES</v>
      </c>
      <c r="M362" s="142" t="s">
        <v>2852</v>
      </c>
      <c r="N362" s="128"/>
      <c r="O362" s="142" t="str">
        <f>Query!O363</f>
        <v>DSPW/SKID</v>
      </c>
    </row>
    <row r="363" spans="1:15" ht="26.25" customHeight="1">
      <c r="A363" s="142" t="str">
        <f>Query!A364</f>
        <v>20361</v>
      </c>
      <c r="B363" s="142" t="str">
        <f>MID(Query!B364,1,2)</f>
        <v>B1</v>
      </c>
      <c r="C363" s="144" t="str">
        <f>MID(Query!B364,3,50)</f>
        <v>JBA-1309-I6014</v>
      </c>
      <c r="D363" s="142" t="str">
        <f>Query!C364</f>
        <v>Cu</v>
      </c>
      <c r="E363" s="142" t="str">
        <f>Query!D364</f>
        <v>1 x 2 x 1.5  mm²</v>
      </c>
      <c r="F363" s="142" t="s">
        <v>385</v>
      </c>
      <c r="G363" s="142" t="str">
        <f>Query!E364</f>
        <v>20</v>
      </c>
      <c r="H363" s="146" t="s">
        <v>2854</v>
      </c>
      <c r="I363" s="142" t="str">
        <f>Query!G364</f>
        <v>LVL.LUBE OIL BEFORE SEEVES</v>
      </c>
      <c r="J363" s="142" t="s">
        <v>2852</v>
      </c>
      <c r="K363" s="146" t="str">
        <f>Query!K364</f>
        <v>B1-LIT-13202-B01</v>
      </c>
      <c r="L363" s="142" t="str">
        <f>Query!L364</f>
        <v>LVL.LUBE OIL BEFORE SEEVES</v>
      </c>
      <c r="M363" s="142" t="s">
        <v>2852</v>
      </c>
      <c r="N363" s="128"/>
      <c r="O363" s="142" t="str">
        <f>Query!O364</f>
        <v>DSPW/SKID</v>
      </c>
    </row>
    <row r="364" spans="1:15" ht="26.25" customHeight="1">
      <c r="A364" s="142" t="str">
        <f>Query!A365</f>
        <v>20362</v>
      </c>
      <c r="B364" s="142" t="str">
        <f>MID(Query!B365,1,2)</f>
        <v>B1</v>
      </c>
      <c r="C364" s="144" t="str">
        <f>MID(Query!B365,3,50)</f>
        <v>JBA-1310-I6001</v>
      </c>
      <c r="D364" s="142" t="str">
        <f>Query!C365</f>
        <v>1- C5XFE-R /ST/</v>
      </c>
      <c r="E364" s="142" t="str">
        <f>Query!D365</f>
        <v>10 x 2 x 1.0  mm²</v>
      </c>
      <c r="F364" s="142" t="s">
        <v>385</v>
      </c>
      <c r="G364" s="142" t="str">
        <f>Query!E365</f>
        <v>20</v>
      </c>
      <c r="H364" s="146" t="str">
        <f>Query!F365</f>
        <v>B1JBA-1310-U02</v>
      </c>
      <c r="I364" s="142" t="str">
        <f>Query!G365</f>
        <v>Junction box FI</v>
      </c>
      <c r="J364" s="142" t="s">
        <v>2852</v>
      </c>
      <c r="K364" s="146" t="str">
        <f>Query!K365</f>
        <v>B1JBA-1301-X01</v>
      </c>
      <c r="L364" s="142" t="str">
        <f>Query!L365</f>
        <v>Generator JB</v>
      </c>
      <c r="M364" s="142" t="s">
        <v>2852</v>
      </c>
      <c r="N364" s="128"/>
      <c r="O364" s="142" t="str">
        <f>Query!O365</f>
        <v>DSPW/SUPP.FI</v>
      </c>
    </row>
    <row r="365" spans="1:15" ht="26.25" customHeight="1">
      <c r="A365" s="142" t="str">
        <f>Query!A366</f>
        <v>20363</v>
      </c>
      <c r="B365" s="142" t="str">
        <f>MID(Query!B366,1,2)</f>
        <v>B1</v>
      </c>
      <c r="C365" s="144" t="str">
        <f>MID(Query!B366,3,50)</f>
        <v>JBA-1310-I6002</v>
      </c>
      <c r="D365" s="142" t="str">
        <f>Query!C366</f>
        <v>1- C5XFE-R /ST/</v>
      </c>
      <c r="E365" s="142" t="str">
        <f>Query!D366</f>
        <v>10 x 2 x 1.0  mm²</v>
      </c>
      <c r="F365" s="142" t="s">
        <v>385</v>
      </c>
      <c r="G365" s="142" t="str">
        <f>Query!E366</f>
        <v>20</v>
      </c>
      <c r="H365" s="146" t="str">
        <f>Query!F366</f>
        <v>B1JBA-1310-U13</v>
      </c>
      <c r="I365" s="142" t="str">
        <f>Query!G366</f>
        <v>Junction box FI</v>
      </c>
      <c r="J365" s="142" t="s">
        <v>2852</v>
      </c>
      <c r="K365" s="146" t="str">
        <f>Query!K366</f>
        <v>B1JBA-1301-X01</v>
      </c>
      <c r="L365" s="142" t="str">
        <f>Query!L366</f>
        <v>Generator JB</v>
      </c>
      <c r="M365" s="142" t="s">
        <v>2852</v>
      </c>
      <c r="N365" s="128"/>
      <c r="O365" s="142" t="str">
        <f>Query!O366</f>
        <v>DSPW/SUPP.FI</v>
      </c>
    </row>
    <row r="366" spans="1:15" ht="26.25" customHeight="1">
      <c r="A366" s="142" t="str">
        <f>Query!A367</f>
        <v>20364</v>
      </c>
      <c r="B366" s="142" t="str">
        <f>MID(Query!B367,1,2)</f>
        <v>B1</v>
      </c>
      <c r="C366" s="144" t="str">
        <f>MID(Query!B367,3,50)</f>
        <v>JBA-1310-I6003</v>
      </c>
      <c r="D366" s="142" t="str">
        <f>Query!C367</f>
        <v>1- C5XFE-R /ST/</v>
      </c>
      <c r="E366" s="142" t="str">
        <f>Query!D367</f>
        <v>10 x 2 x 1.0  mm²</v>
      </c>
      <c r="F366" s="142" t="s">
        <v>385</v>
      </c>
      <c r="G366" s="142" t="str">
        <f>Query!E367</f>
        <v>20</v>
      </c>
      <c r="H366" s="146" t="str">
        <f>Query!F367</f>
        <v>B1JBA-1310-U24</v>
      </c>
      <c r="I366" s="142" t="str">
        <f>Query!G367</f>
        <v>Junction box FI</v>
      </c>
      <c r="J366" s="142" t="s">
        <v>2852</v>
      </c>
      <c r="K366" s="146" t="str">
        <f>Query!K367</f>
        <v>B1JBA-1301-X03</v>
      </c>
      <c r="L366" s="142" t="str">
        <f>Query!L367</f>
        <v>Generator JB</v>
      </c>
      <c r="M366" s="142" t="s">
        <v>2852</v>
      </c>
      <c r="N366" s="128"/>
      <c r="O366" s="142" t="str">
        <f>Query!O367</f>
        <v>DSPW/SUPP.FI</v>
      </c>
    </row>
    <row r="367" spans="1:15" ht="26.25" customHeight="1">
      <c r="A367" s="142" t="str">
        <f>Query!A368</f>
        <v>20365</v>
      </c>
      <c r="B367" s="142" t="str">
        <f>MID(Query!B368,1,2)</f>
        <v>B1</v>
      </c>
      <c r="C367" s="144" t="str">
        <f>MID(Query!B368,3,50)</f>
        <v>JBA-1310-I6004</v>
      </c>
      <c r="D367" s="142" t="str">
        <f>Query!C368</f>
        <v>1- C5XFE-R /ST/</v>
      </c>
      <c r="E367" s="142" t="str">
        <f>Query!D368</f>
        <v>10 x 2 x 1.0  mm²</v>
      </c>
      <c r="F367" s="142" t="s">
        <v>385</v>
      </c>
      <c r="G367" s="142" t="str">
        <f>Query!E368</f>
        <v>20</v>
      </c>
      <c r="H367" s="146" t="str">
        <f>Query!F368</f>
        <v>B1JBA-1310-X01</v>
      </c>
      <c r="I367" s="142" t="str">
        <f>Query!G368</f>
        <v>Junction box FI</v>
      </c>
      <c r="J367" s="142" t="s">
        <v>2852</v>
      </c>
      <c r="K367" s="146" t="str">
        <f>Query!K368</f>
        <v>B1JBA-1301-X01</v>
      </c>
      <c r="L367" s="142" t="str">
        <f>Query!L368</f>
        <v>Generator JB</v>
      </c>
      <c r="M367" s="142" t="s">
        <v>2852</v>
      </c>
      <c r="N367" s="128"/>
      <c r="O367" s="142" t="str">
        <f>Query!O368</f>
        <v>DSPW/SUPP.FI</v>
      </c>
    </row>
    <row r="368" spans="1:15" ht="26.25" customHeight="1">
      <c r="A368" s="142" t="str">
        <f>Query!A369</f>
        <v>20366</v>
      </c>
      <c r="B368" s="142" t="str">
        <f>MID(Query!B369,1,2)</f>
        <v>B1</v>
      </c>
      <c r="C368" s="144" t="str">
        <f>MID(Query!B369,3,50)</f>
        <v>JBA-1310-I6005</v>
      </c>
      <c r="D368" s="142" t="str">
        <f>Query!C369</f>
        <v>Comp. Cable KX</v>
      </c>
      <c r="E368" s="142" t="str">
        <f>Query!D369</f>
        <v>2 x 2 x 0.5  mm²</v>
      </c>
      <c r="F368" s="142" t="s">
        <v>385</v>
      </c>
      <c r="G368" s="142" t="str">
        <f>Query!E369</f>
        <v>20</v>
      </c>
      <c r="H368" s="146" t="str">
        <f>Query!F369</f>
        <v>B1JBA-1310-U06</v>
      </c>
      <c r="I368" s="142" t="str">
        <f>Query!G369</f>
        <v>Junction box FI</v>
      </c>
      <c r="J368" s="142" t="s">
        <v>2852</v>
      </c>
      <c r="K368" s="146" t="str">
        <f>Query!K369</f>
        <v>B1JBA-1301-X02</v>
      </c>
      <c r="L368" s="142" t="str">
        <f>Query!L369</f>
        <v>Generator JB</v>
      </c>
      <c r="M368" s="142" t="s">
        <v>2852</v>
      </c>
      <c r="N368" s="128"/>
      <c r="O368" s="142" t="str">
        <f>Query!O369</f>
        <v>DSPW/SUPP.FI</v>
      </c>
    </row>
    <row r="369" spans="1:15" ht="26.25" customHeight="1">
      <c r="A369" s="142" t="str">
        <f>Query!A370</f>
        <v>20367</v>
      </c>
      <c r="B369" s="142" t="str">
        <f>MID(Query!B370,1,2)</f>
        <v>B1</v>
      </c>
      <c r="C369" s="144" t="str">
        <f>MID(Query!B370,3,50)</f>
        <v>JBA-1310-I6006</v>
      </c>
      <c r="D369" s="142" t="str">
        <f>Query!C370</f>
        <v>Comp. Cable KX</v>
      </c>
      <c r="E369" s="142" t="str">
        <f>Query!D370</f>
        <v>2 x 2 x 0.5  mm²</v>
      </c>
      <c r="F369" s="142" t="s">
        <v>385</v>
      </c>
      <c r="G369" s="142" t="str">
        <f>Query!E370</f>
        <v>20</v>
      </c>
      <c r="H369" s="146" t="str">
        <f>Query!F370</f>
        <v>B1JBA-1310-U16</v>
      </c>
      <c r="I369" s="142" t="str">
        <f>Query!G370</f>
        <v>Junction box FI</v>
      </c>
      <c r="J369" s="142" t="s">
        <v>2852</v>
      </c>
      <c r="K369" s="146" t="str">
        <f>Query!K370</f>
        <v>B1JBA-1301-X02</v>
      </c>
      <c r="L369" s="142" t="str">
        <f>Query!L370</f>
        <v>Generator JB</v>
      </c>
      <c r="M369" s="142" t="s">
        <v>2852</v>
      </c>
      <c r="N369" s="128"/>
      <c r="O369" s="142" t="str">
        <f>Query!O370</f>
        <v>DSPW/SUPP.FI</v>
      </c>
    </row>
    <row r="370" spans="1:15" ht="26.25" customHeight="1">
      <c r="A370" s="142" t="str">
        <f>Query!A371</f>
        <v>20368</v>
      </c>
      <c r="B370" s="142" t="str">
        <f>MID(Query!B371,1,2)</f>
        <v>B1</v>
      </c>
      <c r="C370" s="144" t="str">
        <f>MID(Query!B371,3,50)</f>
        <v>JBA-1310-I6007</v>
      </c>
      <c r="D370" s="142" t="str">
        <f>Query!C371</f>
        <v>Comp. Cable KX</v>
      </c>
      <c r="E370" s="142" t="str">
        <f>Query!D371</f>
        <v>2 x 2 x 0.5  mm²</v>
      </c>
      <c r="F370" s="142" t="s">
        <v>385</v>
      </c>
      <c r="G370" s="142" t="str">
        <f>Query!E371</f>
        <v>20</v>
      </c>
      <c r="H370" s="146" t="str">
        <f>Query!F371</f>
        <v>B1JBA-1310-U26</v>
      </c>
      <c r="I370" s="142" t="str">
        <f>Query!G371</f>
        <v>Junction box FI</v>
      </c>
      <c r="J370" s="142" t="s">
        <v>2852</v>
      </c>
      <c r="K370" s="146" t="str">
        <f>Query!K371</f>
        <v>B1JBA-1301-X02</v>
      </c>
      <c r="L370" s="142" t="str">
        <f>Query!L371</f>
        <v>Generator JB</v>
      </c>
      <c r="M370" s="142" t="s">
        <v>2852</v>
      </c>
      <c r="N370" s="128"/>
      <c r="O370" s="142" t="str">
        <f>Query!O371</f>
        <v>DSPW/SUPP.FI</v>
      </c>
    </row>
    <row r="371" spans="1:15" ht="26.25" customHeight="1">
      <c r="A371" s="142" t="str">
        <f>Query!A372</f>
        <v>20369</v>
      </c>
      <c r="B371" s="142" t="str">
        <f>MID(Query!B372,1,2)</f>
        <v>B1</v>
      </c>
      <c r="C371" s="144" t="str">
        <f>MID(Query!B372,3,50)</f>
        <v>JBAY-1301-C4001</v>
      </c>
      <c r="D371" s="142" t="str">
        <f>Query!C372</f>
        <v>1- C5XFE-R /ST/</v>
      </c>
      <c r="E371" s="142" t="str">
        <f>Query!D372</f>
        <v>2 x 2 x 1.0  mm²</v>
      </c>
      <c r="F371" s="142" t="s">
        <v>260</v>
      </c>
      <c r="G371" s="142" t="str">
        <f>Query!E372</f>
        <v>20</v>
      </c>
      <c r="H371" s="146" t="str">
        <f>Query!F372</f>
        <v>B1JBAY-1301-X03</v>
      </c>
      <c r="I371" s="142" t="str">
        <f>Query!G372</f>
        <v>Junction box FI</v>
      </c>
      <c r="J371" s="142" t="s">
        <v>2852</v>
      </c>
      <c r="K371" s="146" t="str">
        <f>Query!K372</f>
        <v>B1-TCV-13652-A01</v>
      </c>
      <c r="L371" s="142" t="str">
        <f>Query!L372</f>
        <v>EADCV SPRAY.REAR GLAND</v>
      </c>
      <c r="M371" s="142" t="s">
        <v>2852</v>
      </c>
      <c r="N371" s="128"/>
      <c r="O371" s="142" t="str">
        <f>Query!O372</f>
        <v>DSPW/SUPP.FI</v>
      </c>
    </row>
    <row r="372" spans="1:15" ht="26.25" customHeight="1">
      <c r="A372" s="142" t="str">
        <f>Query!A373</f>
        <v>20370</v>
      </c>
      <c r="B372" s="142" t="str">
        <f>MID(Query!B373,1,2)</f>
        <v>B1</v>
      </c>
      <c r="C372" s="144" t="str">
        <f>MID(Query!B373,3,50)</f>
        <v>JBAY-1301-C4002</v>
      </c>
      <c r="D372" s="142" t="str">
        <f>Query!C373</f>
        <v>1- C5XFE-R /ST/</v>
      </c>
      <c r="E372" s="142" t="str">
        <f>Query!D373</f>
        <v>2 x 2 x 1.0  mm²</v>
      </c>
      <c r="F372" s="142" t="s">
        <v>260</v>
      </c>
      <c r="G372" s="142" t="str">
        <f>Query!E373</f>
        <v>20</v>
      </c>
      <c r="H372" s="146" t="str">
        <f>Query!F373</f>
        <v>B1JBAY-1301-X03</v>
      </c>
      <c r="I372" s="142" t="str">
        <f>Query!G373</f>
        <v>Junction box FI</v>
      </c>
      <c r="J372" s="142" t="s">
        <v>2852</v>
      </c>
      <c r="K372" s="146" t="str">
        <f>Query!K373</f>
        <v>B1-LSH-13801-B01</v>
      </c>
      <c r="L372" s="142" t="str">
        <f>Query!L373</f>
        <v>LVL.IN VSC</v>
      </c>
      <c r="M372" s="142" t="s">
        <v>2852</v>
      </c>
      <c r="N372" s="128"/>
      <c r="O372" s="142" t="str">
        <f>Query!O373</f>
        <v>DSPW/SUPP.FI</v>
      </c>
    </row>
    <row r="373" spans="1:15" ht="26.25" customHeight="1">
      <c r="A373" s="142" t="str">
        <f>Query!A374</f>
        <v>20371</v>
      </c>
      <c r="B373" s="142" t="str">
        <f>MID(Query!B374,1,2)</f>
        <v>B1</v>
      </c>
      <c r="C373" s="144" t="str">
        <f>MID(Query!B374,3,50)</f>
        <v>JBAY-1301-C4003</v>
      </c>
      <c r="D373" s="142" t="str">
        <f>Query!C374</f>
        <v>1- C5XFE-R /ST/</v>
      </c>
      <c r="E373" s="142" t="str">
        <f>Query!D374</f>
        <v>5 x 2 x 1.0  mm²</v>
      </c>
      <c r="F373" s="142" t="s">
        <v>260</v>
      </c>
      <c r="G373" s="142" t="str">
        <f>Query!E374</f>
        <v>20</v>
      </c>
      <c r="H373" s="146" t="str">
        <f>Query!F374</f>
        <v>B1JBAY-1301-X03</v>
      </c>
      <c r="I373" s="142" t="str">
        <f>Query!G374</f>
        <v>Junction box FI</v>
      </c>
      <c r="J373" s="142" t="s">
        <v>2852</v>
      </c>
      <c r="K373" s="146" t="str">
        <f>Query!K374</f>
        <v>B1-XV-13604 X41</v>
      </c>
      <c r="L373" s="142" t="str">
        <f>Query!L374</f>
        <v>EADSF GLAND TO TG</v>
      </c>
      <c r="M373" s="142" t="s">
        <v>2852</v>
      </c>
      <c r="N373" s="128"/>
      <c r="O373" s="142" t="str">
        <f>Query!O374</f>
        <v>DSPW/SUPP.FI</v>
      </c>
    </row>
    <row r="374" spans="1:15" ht="26.25" customHeight="1">
      <c r="A374" s="142" t="str">
        <f>Query!A375</f>
        <v>20372</v>
      </c>
      <c r="B374" s="142" t="str">
        <f>MID(Query!B375,1,2)</f>
        <v>B1</v>
      </c>
      <c r="C374" s="144" t="str">
        <f>MID(Query!B375,3,50)</f>
        <v>JBAY-1301-C4004</v>
      </c>
      <c r="D374" s="142" t="str">
        <f>Query!C375</f>
        <v>1- C5XFE-R /ST/</v>
      </c>
      <c r="E374" s="142" t="str">
        <f>Query!D375</f>
        <v>5 x 2 x 1.0  mm²</v>
      </c>
      <c r="F374" s="142" t="s">
        <v>260</v>
      </c>
      <c r="G374" s="142" t="str">
        <f>Query!E375</f>
        <v>20</v>
      </c>
      <c r="H374" s="146" t="str">
        <f>Query!F375</f>
        <v>B1JBAY-1301-X03</v>
      </c>
      <c r="I374" s="142" t="str">
        <f>Query!G375</f>
        <v>Junction box FI</v>
      </c>
      <c r="J374" s="142" t="s">
        <v>2852</v>
      </c>
      <c r="K374" s="146" t="str">
        <f>Query!K375</f>
        <v>B1-XV-13609 X41</v>
      </c>
      <c r="L374" s="142" t="str">
        <f>Query!L375</f>
        <v>EADSF GLAND TO FLT</v>
      </c>
      <c r="M374" s="142" t="s">
        <v>2852</v>
      </c>
      <c r="N374" s="128"/>
      <c r="O374" s="142" t="str">
        <f>Query!O375</f>
        <v>DSPW/SUPP.FI</v>
      </c>
    </row>
    <row r="375" spans="1:15" ht="26.25" customHeight="1">
      <c r="A375" s="142" t="str">
        <f>Query!A376</f>
        <v>20373</v>
      </c>
      <c r="B375" s="142" t="str">
        <f>MID(Query!B376,1,2)</f>
        <v>B1</v>
      </c>
      <c r="C375" s="144" t="str">
        <f>MID(Query!B376,3,50)</f>
        <v>JBAY-1301-C4005</v>
      </c>
      <c r="D375" s="142" t="str">
        <f>Query!C376</f>
        <v>1- C5XFE-R /ST/</v>
      </c>
      <c r="E375" s="142" t="str">
        <f>Query!D376</f>
        <v>5 x 2 x 1.0  mm²</v>
      </c>
      <c r="F375" s="142" t="s">
        <v>260</v>
      </c>
      <c r="G375" s="142" t="str">
        <f>Query!E376</f>
        <v>20</v>
      </c>
      <c r="H375" s="146" t="str">
        <f>Query!F376</f>
        <v>B1JBAY-1301-X03</v>
      </c>
      <c r="I375" s="142" t="str">
        <f>Query!G376</f>
        <v>Junction box FI</v>
      </c>
      <c r="J375" s="142" t="s">
        <v>2852</v>
      </c>
      <c r="K375" s="146" t="str">
        <f>Query!K376</f>
        <v>B1-XV-13653 X41</v>
      </c>
      <c r="L375" s="142" t="str">
        <f>Query!L376</f>
        <v>EADSV DRAIN G2</v>
      </c>
      <c r="M375" s="142" t="s">
        <v>2852</v>
      </c>
      <c r="N375" s="128"/>
      <c r="O375" s="142" t="str">
        <f>Query!O376</f>
        <v>DSPW/SUPP.FI</v>
      </c>
    </row>
    <row r="376" spans="1:15" ht="26.25" customHeight="1">
      <c r="A376" s="142" t="str">
        <f>Query!A377</f>
        <v>20374</v>
      </c>
      <c r="B376" s="142" t="str">
        <f>MID(Query!B377,1,2)</f>
        <v>B1</v>
      </c>
      <c r="C376" s="144" t="str">
        <f>MID(Query!B377,3,50)</f>
        <v>JBAY-1301-C4006</v>
      </c>
      <c r="D376" s="142" t="str">
        <f>Query!C377</f>
        <v>1- C5XFE-R /ST/</v>
      </c>
      <c r="E376" s="142" t="str">
        <f>Query!D377</f>
        <v>5 x 2 x 1.0  mm²</v>
      </c>
      <c r="F376" s="142" t="s">
        <v>260</v>
      </c>
      <c r="G376" s="142" t="str">
        <f>Query!E377</f>
        <v>20</v>
      </c>
      <c r="H376" s="146" t="str">
        <f>Query!F377</f>
        <v>B1JBAY-1301-X03</v>
      </c>
      <c r="I376" s="142" t="str">
        <f>Query!G377</f>
        <v>Junction box FI</v>
      </c>
      <c r="J376" s="142" t="s">
        <v>2852</v>
      </c>
      <c r="K376" s="146" t="str">
        <f>Query!K377</f>
        <v>B1-XV-13784 X41</v>
      </c>
      <c r="L376" s="142" t="str">
        <f>Query!L377</f>
        <v>EADSV SPRAY FLT.</v>
      </c>
      <c r="M376" s="142" t="s">
        <v>2852</v>
      </c>
      <c r="N376" s="128"/>
      <c r="O376" s="142" t="str">
        <f>Query!O377</f>
        <v>DSPW/SUPP.FI</v>
      </c>
    </row>
    <row r="377" spans="1:15" ht="26.25" customHeight="1">
      <c r="A377" s="142" t="str">
        <f>Query!A378</f>
        <v>20375</v>
      </c>
      <c r="B377" s="142" t="str">
        <f>MID(Query!B378,1,2)</f>
        <v>B1</v>
      </c>
      <c r="C377" s="144" t="str">
        <f>MID(Query!B378,3,50)</f>
        <v>JBAY-1301-C4007</v>
      </c>
      <c r="D377" s="142" t="str">
        <f>Query!C378</f>
        <v>1- C5XFE-R /ST/</v>
      </c>
      <c r="E377" s="142" t="str">
        <f>Query!D378</f>
        <v>5 x 2 x 1.0  mm²</v>
      </c>
      <c r="F377" s="142" t="s">
        <v>260</v>
      </c>
      <c r="G377" s="142" t="str">
        <f>Query!E378</f>
        <v>20</v>
      </c>
      <c r="H377" s="146" t="str">
        <f>Query!F378</f>
        <v>B1JBAY-1301-X03</v>
      </c>
      <c r="I377" s="142" t="str">
        <f>Query!G378</f>
        <v>Junction box FI</v>
      </c>
      <c r="J377" s="142" t="s">
        <v>2852</v>
      </c>
      <c r="K377" s="146" t="str">
        <f>Query!K378</f>
        <v>B1-XV-13794 X41</v>
      </c>
      <c r="L377" s="142" t="str">
        <f>Query!L378</f>
        <v>EADSV SPRAY FLT.</v>
      </c>
      <c r="M377" s="142" t="s">
        <v>2852</v>
      </c>
      <c r="N377" s="128"/>
      <c r="O377" s="142" t="str">
        <f>Query!O378</f>
        <v>DSPW/SUPP.FI</v>
      </c>
    </row>
    <row r="378" spans="1:15" ht="26.25" customHeight="1">
      <c r="A378" s="142" t="str">
        <f>Query!A379</f>
        <v>20376</v>
      </c>
      <c r="B378" s="142" t="str">
        <f>MID(Query!B379,1,2)</f>
        <v>B1</v>
      </c>
      <c r="C378" s="144" t="str">
        <f>MID(Query!B379,3,50)</f>
        <v>JBAY-1301-I6001</v>
      </c>
      <c r="D378" s="142" t="str">
        <f>Query!C379</f>
        <v>Comp. Cable KX</v>
      </c>
      <c r="E378" s="142" t="str">
        <f>Query!D379</f>
        <v>2 x 2 x 0.5  mm²</v>
      </c>
      <c r="F378" s="142" t="s">
        <v>385</v>
      </c>
      <c r="G378" s="142" t="str">
        <f>Query!E379</f>
        <v>20</v>
      </c>
      <c r="H378" s="146" t="str">
        <f>Query!F379</f>
        <v>B1JBAY-1301-X01</v>
      </c>
      <c r="I378" s="142" t="str">
        <f>Query!G379</f>
        <v>Junction box FI</v>
      </c>
      <c r="J378" s="142" t="s">
        <v>2852</v>
      </c>
      <c r="K378" s="146" t="str">
        <f>Query!K379</f>
        <v>B1-TT-27011A-B01</v>
      </c>
      <c r="L378" s="142" t="str">
        <f>Query!L379</f>
        <v>TEMP.1 LP STEAM BEFORE LPSF</v>
      </c>
      <c r="M378" s="142" t="s">
        <v>2852</v>
      </c>
      <c r="N378" s="128"/>
      <c r="O378" s="142" t="str">
        <f>Query!O379</f>
        <v>DSPW/SUPP.FI</v>
      </c>
    </row>
    <row r="379" spans="1:15" ht="26.25" customHeight="1">
      <c r="A379" s="142" t="str">
        <f>Query!A380</f>
        <v>20377</v>
      </c>
      <c r="B379" s="142" t="str">
        <f>MID(Query!B380,1,2)</f>
        <v>B1</v>
      </c>
      <c r="C379" s="144" t="str">
        <f>MID(Query!B380,3,50)</f>
        <v>JBAY-1301-I6002</v>
      </c>
      <c r="D379" s="142" t="str">
        <f>Query!C380</f>
        <v>Comp. Cable KX</v>
      </c>
      <c r="E379" s="142" t="str">
        <f>Query!D380</f>
        <v>2 x 2 x 0.5  mm²</v>
      </c>
      <c r="F379" s="142" t="s">
        <v>385</v>
      </c>
      <c r="G379" s="142" t="str">
        <f>Query!E380</f>
        <v>20</v>
      </c>
      <c r="H379" s="146" t="str">
        <f>Query!F380</f>
        <v>B1JBAY-1301-X02</v>
      </c>
      <c r="I379" s="142" t="str">
        <f>Query!G380</f>
        <v>Junction box FI</v>
      </c>
      <c r="J379" s="142" t="s">
        <v>2852</v>
      </c>
      <c r="K379" s="146" t="str">
        <f>Query!K380</f>
        <v>B1-TT-27011B-B01</v>
      </c>
      <c r="L379" s="142" t="str">
        <f>Query!L380</f>
        <v>TEMP.2 LP STEAM BEFORE LPSF</v>
      </c>
      <c r="M379" s="142" t="s">
        <v>2852</v>
      </c>
      <c r="N379" s="128"/>
      <c r="O379" s="142" t="str">
        <f>Query!O380</f>
        <v>DSPW/SUPP.FI</v>
      </c>
    </row>
    <row r="380" spans="1:15" ht="26.25" customHeight="1">
      <c r="A380" s="142" t="str">
        <f>Query!A381</f>
        <v>20378</v>
      </c>
      <c r="B380" s="142" t="str">
        <f>MID(Query!B381,1,2)</f>
        <v>B1</v>
      </c>
      <c r="C380" s="144" t="str">
        <f>MID(Query!B381,3,50)</f>
        <v>JBAY-1301-I6003</v>
      </c>
      <c r="D380" s="142" t="str">
        <f>Query!C381</f>
        <v>1- C5XFE-R /ST/</v>
      </c>
      <c r="E380" s="142" t="str">
        <f>Query!D381</f>
        <v>2 x 2 x 1.0  mm²</v>
      </c>
      <c r="F380" s="142" t="s">
        <v>385</v>
      </c>
      <c r="G380" s="142" t="str">
        <f>Query!E381</f>
        <v>20</v>
      </c>
      <c r="H380" s="146" t="str">
        <f>Query!F381</f>
        <v>B1JBAY-1301-X01</v>
      </c>
      <c r="I380" s="142" t="str">
        <f>Query!G381</f>
        <v>Junction box FI</v>
      </c>
      <c r="J380" s="142" t="s">
        <v>2852</v>
      </c>
      <c r="K380" s="146" t="str">
        <f>Query!K381</f>
        <v>B1-PIT-27011A-B01</v>
      </c>
      <c r="L380" s="142" t="str">
        <f>Query!L381</f>
        <v>PRESS.1 LP STEAM BEFORE LPSF</v>
      </c>
      <c r="M380" s="142" t="s">
        <v>2852</v>
      </c>
      <c r="N380" s="128"/>
      <c r="O380" s="142" t="str">
        <f>Query!O381</f>
        <v>DSPW/SUPP.FI</v>
      </c>
    </row>
    <row r="381" spans="1:15" ht="26.25" customHeight="1">
      <c r="A381" s="142" t="str">
        <f>Query!A382</f>
        <v>20379</v>
      </c>
      <c r="B381" s="142" t="str">
        <f>MID(Query!B382,1,2)</f>
        <v>B1</v>
      </c>
      <c r="C381" s="144" t="str">
        <f>MID(Query!B382,3,50)</f>
        <v>JBAY-1301-I6004</v>
      </c>
      <c r="D381" s="142" t="str">
        <f>Query!C382</f>
        <v>1- C5XFE-R /ST/</v>
      </c>
      <c r="E381" s="142" t="str">
        <f>Query!D382</f>
        <v>2 x 2 x 1.0  mm²</v>
      </c>
      <c r="F381" s="142" t="s">
        <v>385</v>
      </c>
      <c r="G381" s="142" t="str">
        <f>Query!E382</f>
        <v>20</v>
      </c>
      <c r="H381" s="146" t="str">
        <f>Query!F382</f>
        <v>B1JBAY-1301-X02</v>
      </c>
      <c r="I381" s="142" t="str">
        <f>Query!G382</f>
        <v>Junction box FI</v>
      </c>
      <c r="J381" s="142" t="s">
        <v>2852</v>
      </c>
      <c r="K381" s="146" t="str">
        <f>Query!K382</f>
        <v>B1-PIT-27011B-B01</v>
      </c>
      <c r="L381" s="142" t="str">
        <f>Query!L382</f>
        <v>PRESS.2 LP STEAM BEFORE LPSF</v>
      </c>
      <c r="M381" s="142" t="s">
        <v>2852</v>
      </c>
      <c r="N381" s="128"/>
      <c r="O381" s="142" t="str">
        <f>Query!O382</f>
        <v>DSPW/SUPP.FI</v>
      </c>
    </row>
    <row r="382" spans="1:15" ht="26.25" customHeight="1">
      <c r="A382" s="142" t="str">
        <f>Query!A383</f>
        <v>20380</v>
      </c>
      <c r="B382" s="142" t="str">
        <f>MID(Query!B383,1,2)</f>
        <v>B1</v>
      </c>
      <c r="C382" s="144" t="str">
        <f>MID(Query!B383,3,50)</f>
        <v>JBAY-1301-I6005</v>
      </c>
      <c r="D382" s="142" t="str">
        <f>Query!C383</f>
        <v>1- C5XFE-R /ST/</v>
      </c>
      <c r="E382" s="142" t="str">
        <f>Query!D383</f>
        <v>2 x 2 x 1.0  mm²</v>
      </c>
      <c r="F382" s="142" t="s">
        <v>385</v>
      </c>
      <c r="G382" s="142" t="str">
        <f>Query!E383</f>
        <v>20</v>
      </c>
      <c r="H382" s="146" t="str">
        <f>Query!F383</f>
        <v>B1JBAY-1301-X01</v>
      </c>
      <c r="I382" s="142" t="str">
        <f>Query!G383</f>
        <v>Junction box FI</v>
      </c>
      <c r="J382" s="142" t="s">
        <v>2852</v>
      </c>
      <c r="K382" s="146" t="str">
        <f>Query!K383</f>
        <v>B1-PCV-13651-M01</v>
      </c>
      <c r="L382" s="142" t="str">
        <f>Query!L383</f>
        <v>EDCV REAR GLAND TO FLT</v>
      </c>
      <c r="M382" s="142" t="s">
        <v>2852</v>
      </c>
      <c r="N382" s="128"/>
      <c r="O382" s="142" t="str">
        <f>Query!O383</f>
        <v>DSPW/SUPP.FI</v>
      </c>
    </row>
    <row r="383" spans="1:15" ht="26.25" customHeight="1">
      <c r="A383" s="142" t="str">
        <f>Query!A384</f>
        <v>20381</v>
      </c>
      <c r="B383" s="142" t="str">
        <f>MID(Query!B384,1,2)</f>
        <v>B1</v>
      </c>
      <c r="C383" s="144" t="str">
        <f>MID(Query!B384,3,50)</f>
        <v>JBAY-1301-I6006</v>
      </c>
      <c r="D383" s="142" t="str">
        <f>Query!C384</f>
        <v>1- C5XFE-R /ST/</v>
      </c>
      <c r="E383" s="142" t="str">
        <f>Query!D384</f>
        <v>2 x 2 x 1.0  mm²</v>
      </c>
      <c r="F383" s="142" t="s">
        <v>385</v>
      </c>
      <c r="G383" s="142" t="str">
        <f>Query!E384</f>
        <v>20</v>
      </c>
      <c r="H383" s="146" t="str">
        <f>Query!F384</f>
        <v>B1JBAY-1301-X01</v>
      </c>
      <c r="I383" s="142" t="str">
        <f>Query!G384</f>
        <v>Junction box FI</v>
      </c>
      <c r="J383" s="142" t="s">
        <v>2852</v>
      </c>
      <c r="K383" s="146" t="str">
        <f>Query!K384</f>
        <v>B1-TCV-13652-A01</v>
      </c>
      <c r="L383" s="142" t="str">
        <f>Query!L384</f>
        <v>EADCV SPRAY.REAR GLAND</v>
      </c>
      <c r="M383" s="142" t="s">
        <v>2852</v>
      </c>
      <c r="N383" s="128"/>
      <c r="O383" s="142" t="str">
        <f>Query!O384</f>
        <v>DSPW/SUPP.FI</v>
      </c>
    </row>
    <row r="384" spans="1:15" ht="26.25" customHeight="1">
      <c r="A384" s="142" t="str">
        <f>Query!A385</f>
        <v>20382</v>
      </c>
      <c r="B384" s="142" t="str">
        <f>MID(Query!B385,1,2)</f>
        <v>B1</v>
      </c>
      <c r="C384" s="144" t="str">
        <f>MID(Query!B385,3,50)</f>
        <v>JBAY-1301-I6007</v>
      </c>
      <c r="D384" s="142" t="str">
        <f>Query!C385</f>
        <v>1- C5XFE-R /ST/</v>
      </c>
      <c r="E384" s="142" t="str">
        <f>Query!D385</f>
        <v>2 x 2 x 1.0  mm²</v>
      </c>
      <c r="F384" s="142" t="s">
        <v>385</v>
      </c>
      <c r="G384" s="142" t="str">
        <f>Query!E385</f>
        <v>20</v>
      </c>
      <c r="H384" s="146" t="str">
        <f>Query!F385</f>
        <v>B1JBAY-1301-X01</v>
      </c>
      <c r="I384" s="142" t="str">
        <f>Query!G385</f>
        <v>Junction box FI</v>
      </c>
      <c r="J384" s="142" t="s">
        <v>2852</v>
      </c>
      <c r="K384" s="146" t="str">
        <f>Query!K385</f>
        <v>B1-PCV-13659-M01</v>
      </c>
      <c r="L384" s="142" t="str">
        <f>Query!L385</f>
        <v>EDCV SEALING GLAND</v>
      </c>
      <c r="M384" s="142" t="s">
        <v>2852</v>
      </c>
      <c r="N384" s="128"/>
      <c r="O384" s="142" t="str">
        <f>Query!O385</f>
        <v>DSPW/SUPP.FI</v>
      </c>
    </row>
    <row r="385" spans="1:15" ht="26.25" customHeight="1">
      <c r="A385" s="142" t="str">
        <f>Query!A386</f>
        <v>20383</v>
      </c>
      <c r="B385" s="142" t="str">
        <f>MID(Query!B386,1,2)</f>
        <v>B1</v>
      </c>
      <c r="C385" s="144" t="str">
        <f>MID(Query!B386,3,50)</f>
        <v>JBAY-1301-I6008</v>
      </c>
      <c r="D385" s="142" t="str">
        <f>Query!C386</f>
        <v>1- C5XFE-R /ST/</v>
      </c>
      <c r="E385" s="142" t="str">
        <f>Query!D386</f>
        <v>2 x 2 x 1.0  mm²</v>
      </c>
      <c r="F385" s="142" t="s">
        <v>385</v>
      </c>
      <c r="G385" s="142" t="str">
        <f>Query!E386</f>
        <v>20</v>
      </c>
      <c r="H385" s="146" t="str">
        <f>Query!F386</f>
        <v>B1JBAY-1301-X02</v>
      </c>
      <c r="I385" s="142" t="str">
        <f>Query!G386</f>
        <v>Junction box FI</v>
      </c>
      <c r="J385" s="142" t="s">
        <v>2852</v>
      </c>
      <c r="K385" s="146" t="str">
        <f>Query!K386</f>
        <v>B1-PCV-13601-M01</v>
      </c>
      <c r="L385" s="142" t="str">
        <f>Query!L386</f>
        <v>EDCV INNER GLD.STEAM</v>
      </c>
      <c r="M385" s="142" t="s">
        <v>2852</v>
      </c>
      <c r="N385" s="128"/>
      <c r="O385" s="142" t="str">
        <f>Query!O386</f>
        <v>DSPW/SUPP.FI</v>
      </c>
    </row>
    <row r="386" spans="1:15" ht="26.25" customHeight="1">
      <c r="A386" s="142" t="str">
        <f>Query!A387</f>
        <v>20384</v>
      </c>
      <c r="B386" s="142" t="str">
        <f>MID(Query!B387,1,2)</f>
        <v>B1</v>
      </c>
      <c r="C386" s="144" t="str">
        <f>MID(Query!B387,3,50)</f>
        <v>JBAY-1301-I6009</v>
      </c>
      <c r="D386" s="142" t="str">
        <f>Query!C387</f>
        <v>1- C5XFE-R /ST/</v>
      </c>
      <c r="E386" s="142" t="str">
        <f>Query!D387</f>
        <v>2 x 2 x 1.0  mm²</v>
      </c>
      <c r="F386" s="142" t="s">
        <v>385</v>
      </c>
      <c r="G386" s="142" t="str">
        <f>Query!E387</f>
        <v>20</v>
      </c>
      <c r="H386" s="146" t="str">
        <f>Query!F387</f>
        <v>B1JBAY-1301-X02</v>
      </c>
      <c r="I386" s="142" t="str">
        <f>Query!G387</f>
        <v>Junction box FI</v>
      </c>
      <c r="J386" s="142" t="s">
        <v>2852</v>
      </c>
      <c r="K386" s="146" t="str">
        <f>Query!K387</f>
        <v>B1-PIT-13601-B01</v>
      </c>
      <c r="L386" s="142" t="str">
        <f>Query!L387</f>
        <v>PRESS.INNER GLAND STEAM</v>
      </c>
      <c r="M386" s="142" t="s">
        <v>2852</v>
      </c>
      <c r="N386" s="128"/>
      <c r="O386" s="142" t="str">
        <f>Query!O387</f>
        <v>DSPW/SUPP.FI</v>
      </c>
    </row>
    <row r="387" spans="1:15" ht="26.25" customHeight="1">
      <c r="A387" s="142" t="str">
        <f>Query!A388</f>
        <v>20385</v>
      </c>
      <c r="B387" s="142" t="str">
        <f>MID(Query!B388,1,2)</f>
        <v>B1</v>
      </c>
      <c r="C387" s="144" t="str">
        <f>MID(Query!B388,3,50)</f>
        <v>JBAY-1301-I6010</v>
      </c>
      <c r="D387" s="142" t="str">
        <f>Query!C388</f>
        <v>1- C5XFE-R /ST/</v>
      </c>
      <c r="E387" s="142" t="str">
        <f>Query!D388</f>
        <v>2 x 2 x 1.0  mm²</v>
      </c>
      <c r="F387" s="142" t="s">
        <v>385</v>
      </c>
      <c r="G387" s="142" t="str">
        <f>Query!E388</f>
        <v>20</v>
      </c>
      <c r="H387" s="146" t="str">
        <f>Query!F388</f>
        <v>B1JBAY-1301-X01</v>
      </c>
      <c r="I387" s="142" t="str">
        <f>Query!G388</f>
        <v>Junction box FI</v>
      </c>
      <c r="J387" s="142" t="s">
        <v>2852</v>
      </c>
      <c r="K387" s="146" t="str">
        <f>Query!K388</f>
        <v>B1-PIT-13651-B01</v>
      </c>
      <c r="L387" s="142" t="str">
        <f>Query!L388</f>
        <v>PRESS.REAR GLAND STEAM</v>
      </c>
      <c r="M387" s="142" t="s">
        <v>2852</v>
      </c>
      <c r="N387" s="128"/>
      <c r="O387" s="142" t="str">
        <f>Query!O388</f>
        <v>DSPW/SUPP.FI</v>
      </c>
    </row>
    <row r="388" spans="1:15" ht="26.25" customHeight="1">
      <c r="A388" s="142" t="str">
        <f>Query!A389</f>
        <v>20386</v>
      </c>
      <c r="B388" s="142" t="str">
        <f>MID(Query!B389,1,2)</f>
        <v>B1</v>
      </c>
      <c r="C388" s="144" t="str">
        <f>MID(Query!B389,3,50)</f>
        <v>JBAY-1301-I6011</v>
      </c>
      <c r="D388" s="142" t="str">
        <f>Query!C389</f>
        <v>1- C5XFE-R /ST/</v>
      </c>
      <c r="E388" s="142" t="str">
        <f>Query!D389</f>
        <v>2 x 2 x 1.0  mm²</v>
      </c>
      <c r="F388" s="142" t="s">
        <v>385</v>
      </c>
      <c r="G388" s="142" t="str">
        <f>Query!E389</f>
        <v>20</v>
      </c>
      <c r="H388" s="146" t="str">
        <f>Query!F389</f>
        <v>B1JBAY-1301-X02</v>
      </c>
      <c r="I388" s="142" t="str">
        <f>Query!G389</f>
        <v>Junction box FI</v>
      </c>
      <c r="J388" s="142" t="s">
        <v>2852</v>
      </c>
      <c r="K388" s="146" t="str">
        <f>Query!K389</f>
        <v>B1-PIT-13901-B01</v>
      </c>
      <c r="L388" s="142" t="str">
        <f>Query!L389</f>
        <v>PRESS.STEAM BEH.CV</v>
      </c>
      <c r="M388" s="142" t="s">
        <v>2852</v>
      </c>
      <c r="N388" s="128"/>
      <c r="O388" s="142" t="str">
        <f>Query!O389</f>
        <v>DSPW/SUPP.FI</v>
      </c>
    </row>
    <row r="389" spans="1:15" ht="26.25" customHeight="1">
      <c r="A389" s="142" t="str">
        <f>Query!A390</f>
        <v>20387</v>
      </c>
      <c r="B389" s="142" t="str">
        <f>MID(Query!B390,1,2)</f>
        <v>B1</v>
      </c>
      <c r="C389" s="144" t="str">
        <f>MID(Query!B390,3,50)</f>
        <v>JBAY-1301-I6012</v>
      </c>
      <c r="D389" s="142" t="str">
        <f>Query!C390</f>
        <v>1- C5XFE-R /ST/</v>
      </c>
      <c r="E389" s="142" t="str">
        <f>Query!D390</f>
        <v>2 x 2 x 1.0  mm²</v>
      </c>
      <c r="F389" s="142" t="s">
        <v>385</v>
      </c>
      <c r="G389" s="142" t="str">
        <f>Query!E390</f>
        <v>20</v>
      </c>
      <c r="H389" s="146" t="str">
        <f>Query!F390</f>
        <v>B1JBAY-1301-X02</v>
      </c>
      <c r="I389" s="142" t="str">
        <f>Query!G390</f>
        <v>Junction box FI</v>
      </c>
      <c r="J389" s="142" t="s">
        <v>2852</v>
      </c>
      <c r="K389" s="146" t="str">
        <f>Query!K390</f>
        <v>B1-PIT-28001A-B01</v>
      </c>
      <c r="L389" s="142" t="str">
        <f>Query!L390</f>
        <v>PRESS.AUX.STEAM CONGES.GLAND</v>
      </c>
      <c r="M389" s="142" t="s">
        <v>2852</v>
      </c>
      <c r="N389" s="128"/>
      <c r="O389" s="142" t="str">
        <f>Query!O390</f>
        <v>DSPW/SUPP.FI</v>
      </c>
    </row>
    <row r="390" spans="1:15" ht="26.25" customHeight="1">
      <c r="A390" s="142" t="str">
        <f>Query!A391</f>
        <v>20388</v>
      </c>
      <c r="B390" s="142" t="str">
        <f>MID(Query!B391,1,2)</f>
        <v>B1</v>
      </c>
      <c r="C390" s="144" t="str">
        <f>MID(Query!B391,3,50)</f>
        <v>JBAY-1302-I6001</v>
      </c>
      <c r="D390" s="142" t="str">
        <f>Query!C391</f>
        <v>1- C5XFE-R /ST/</v>
      </c>
      <c r="E390" s="142" t="str">
        <f>Query!D391</f>
        <v>2 x 2 x 1.0  mm²</v>
      </c>
      <c r="F390" s="142" t="s">
        <v>385</v>
      </c>
      <c r="G390" s="142" t="str">
        <f>Query!E391</f>
        <v>20</v>
      </c>
      <c r="H390" s="146" t="str">
        <f>Query!F391</f>
        <v>B1JBAY-1302-X01</v>
      </c>
      <c r="I390" s="142" t="str">
        <f>Query!G391</f>
        <v>Junction box FI</v>
      </c>
      <c r="J390" s="142" t="s">
        <v>2852</v>
      </c>
      <c r="K390" s="146" t="str">
        <f>Query!K391</f>
        <v>B1-LIT-13501A-B01</v>
      </c>
      <c r="L390" s="142" t="str">
        <f>Query!L391</f>
        <v>LVL.1 IN EXPANDER</v>
      </c>
      <c r="M390" s="142" t="s">
        <v>2852</v>
      </c>
      <c r="N390" s="128"/>
      <c r="O390" s="142" t="str">
        <f>Query!O391</f>
        <v>DSPW/SUPP.FI</v>
      </c>
    </row>
    <row r="391" spans="1:15" ht="26.25" customHeight="1">
      <c r="A391" s="142" t="str">
        <f>Query!A392</f>
        <v>20389</v>
      </c>
      <c r="B391" s="142" t="str">
        <f>MID(Query!B392,1,2)</f>
        <v>B1</v>
      </c>
      <c r="C391" s="144" t="str">
        <f>MID(Query!B392,3,50)</f>
        <v>JBAY-1302-I6002</v>
      </c>
      <c r="D391" s="142" t="str">
        <f>Query!C392</f>
        <v>1- C5XFE-R /ST/</v>
      </c>
      <c r="E391" s="142" t="str">
        <f>Query!D392</f>
        <v>2 x 2 x 1.0  mm²</v>
      </c>
      <c r="F391" s="142" t="s">
        <v>385</v>
      </c>
      <c r="G391" s="142" t="str">
        <f>Query!E392</f>
        <v>20</v>
      </c>
      <c r="H391" s="146" t="s">
        <v>705</v>
      </c>
      <c r="I391" s="142" t="str">
        <f>Query!G392</f>
        <v>LVL.2 IN EXPANDER</v>
      </c>
      <c r="J391" s="142" t="s">
        <v>2852</v>
      </c>
      <c r="K391" s="146" t="str">
        <f>Query!K392</f>
        <v>B1-LIT-13501B-B01</v>
      </c>
      <c r="L391" s="142" t="str">
        <f>Query!L392</f>
        <v>LVL.2 IN EXPANDER</v>
      </c>
      <c r="M391" s="142" t="s">
        <v>2852</v>
      </c>
      <c r="N391" s="128"/>
      <c r="O391" s="142" t="str">
        <f>Query!O392</f>
        <v>DSPW/SUPP.FI</v>
      </c>
    </row>
    <row r="392" spans="1:15" ht="26.25" customHeight="1">
      <c r="A392" s="142" t="str">
        <f>Query!A393</f>
        <v>20390</v>
      </c>
      <c r="B392" s="142" t="str">
        <f>MID(Query!B393,1,2)</f>
        <v>B1</v>
      </c>
      <c r="C392" s="144" t="str">
        <f>MID(Query!B393,3,50)</f>
        <v>JBAY-1302-I6003</v>
      </c>
      <c r="D392" s="142" t="str">
        <f>Query!C393</f>
        <v>1- C5XFE-R /ST/</v>
      </c>
      <c r="E392" s="142" t="str">
        <f>Query!D393</f>
        <v>2 x 2 x 1.0  mm²</v>
      </c>
      <c r="F392" s="142" t="s">
        <v>385</v>
      </c>
      <c r="G392" s="142" t="str">
        <f>Query!E393</f>
        <v>20</v>
      </c>
      <c r="H392" s="146" t="s">
        <v>703</v>
      </c>
      <c r="I392" s="142" t="str">
        <f>Query!G393</f>
        <v>LVL.3 IN EXPANDER</v>
      </c>
      <c r="J392" s="142" t="s">
        <v>2852</v>
      </c>
      <c r="K392" s="146" t="str">
        <f>Query!K393</f>
        <v>B1-LIT-13501C-B01</v>
      </c>
      <c r="L392" s="142" t="str">
        <f>Query!L393</f>
        <v>LVL.3 IN EXPANDER</v>
      </c>
      <c r="M392" s="142" t="s">
        <v>2852</v>
      </c>
      <c r="N392" s="128"/>
      <c r="O392" s="142" t="str">
        <f>Query!O393</f>
        <v>DSPW/SUPP.FI</v>
      </c>
    </row>
    <row r="393" spans="1:15" ht="26.25" customHeight="1">
      <c r="A393" s="142" t="str">
        <f>Query!A394</f>
        <v>20391</v>
      </c>
      <c r="B393" s="142" t="str">
        <f>MID(Query!B394,1,2)</f>
        <v>B1</v>
      </c>
      <c r="C393" s="144" t="str">
        <f>MID(Query!B394,3,50)</f>
        <v>JBAY-1302-I6004</v>
      </c>
      <c r="D393" s="142" t="str">
        <f>Query!C394</f>
        <v>1- C5XFE-R /ST/</v>
      </c>
      <c r="E393" s="142" t="str">
        <f>Query!D394</f>
        <v>2 x 2 x 1.0  mm²</v>
      </c>
      <c r="F393" s="142" t="s">
        <v>385</v>
      </c>
      <c r="G393" s="142" t="str">
        <f>Query!E394</f>
        <v>20</v>
      </c>
      <c r="H393" s="146" t="str">
        <f>Query!F394</f>
        <v>B1JBAY-1302-X01</v>
      </c>
      <c r="I393" s="142" t="str">
        <f>Query!G394</f>
        <v>Junction box FI</v>
      </c>
      <c r="J393" s="142" t="s">
        <v>2852</v>
      </c>
      <c r="K393" s="146" t="str">
        <f>Query!K394</f>
        <v>B1-PIT-13504-B01</v>
      </c>
      <c r="L393" s="142" t="str">
        <f>Query!L394</f>
        <v>DPRESS.COND.SUCT.FT.PUMP 1</v>
      </c>
      <c r="M393" s="142" t="s">
        <v>2852</v>
      </c>
      <c r="N393" s="128"/>
      <c r="O393" s="142" t="str">
        <f>Query!O394</f>
        <v>DSPW/SUPP.FI</v>
      </c>
    </row>
    <row r="394" spans="1:15" ht="26.25" customHeight="1">
      <c r="A394" s="142" t="str">
        <f>Query!A395</f>
        <v>20392</v>
      </c>
      <c r="B394" s="142" t="str">
        <f>MID(Query!B395,1,2)</f>
        <v>B1</v>
      </c>
      <c r="C394" s="144" t="str">
        <f>MID(Query!B395,3,50)</f>
        <v>JBAY-1302-I6005</v>
      </c>
      <c r="D394" s="142" t="str">
        <f>Query!C395</f>
        <v>1- C5XFE-R /ST/</v>
      </c>
      <c r="E394" s="142" t="str">
        <f>Query!D395</f>
        <v>2 x 2 x 1.0  mm²</v>
      </c>
      <c r="F394" s="142" t="s">
        <v>385</v>
      </c>
      <c r="G394" s="142" t="str">
        <f>Query!E395</f>
        <v>20</v>
      </c>
      <c r="H394" s="146" t="str">
        <f>Query!F395</f>
        <v>B1JBAY-1302-X01</v>
      </c>
      <c r="I394" s="142" t="str">
        <f>Query!G395</f>
        <v>Junction box FI</v>
      </c>
      <c r="J394" s="142" t="s">
        <v>2852</v>
      </c>
      <c r="K394" s="146" t="str">
        <f>Query!K395</f>
        <v>B1-PIT-13507-B01</v>
      </c>
      <c r="L394" s="142" t="str">
        <f>Query!L395</f>
        <v>PRESS.COND.DICH.FT.PUMP 2</v>
      </c>
      <c r="M394" s="142" t="s">
        <v>2852</v>
      </c>
      <c r="N394" s="128"/>
      <c r="O394" s="142" t="str">
        <f>Query!O395</f>
        <v>DSPW/SUPP.FI</v>
      </c>
    </row>
    <row r="395" spans="1:15" ht="26.25" customHeight="1">
      <c r="A395" s="142" t="str">
        <f>Query!A396</f>
        <v>20393</v>
      </c>
      <c r="B395" s="142" t="str">
        <f>MID(Query!B396,1,2)</f>
        <v>B1</v>
      </c>
      <c r="C395" s="144" t="str">
        <f>MID(Query!B396,3,50)</f>
        <v>JBAY-1302-I6006</v>
      </c>
      <c r="D395" s="142" t="str">
        <f>Query!C396</f>
        <v>1- C5XFE-R /ST/</v>
      </c>
      <c r="E395" s="142" t="str">
        <f>Query!D396</f>
        <v>2 x 2 x 1.0  mm²</v>
      </c>
      <c r="F395" s="142" t="s">
        <v>385</v>
      </c>
      <c r="G395" s="142" t="str">
        <f>Query!E396</f>
        <v>20</v>
      </c>
      <c r="H395" s="146" t="s">
        <v>707</v>
      </c>
      <c r="I395" s="142" t="str">
        <f>Query!G396</f>
        <v>DPRESS.COND.SUCT.FT.PUMP 2</v>
      </c>
      <c r="J395" s="142" t="s">
        <v>2852</v>
      </c>
      <c r="K395" s="146" t="str">
        <f>Query!K396</f>
        <v>B1-PIT-13508-B01</v>
      </c>
      <c r="L395" s="142" t="str">
        <f>Query!L396</f>
        <v>DPRESS.COND.SUCT.FT.PUMP 2</v>
      </c>
      <c r="M395" s="142" t="s">
        <v>2852</v>
      </c>
      <c r="N395" s="128"/>
      <c r="O395" s="142" t="str">
        <f>Query!O396</f>
        <v>DSPW/SUPP.FI</v>
      </c>
    </row>
    <row r="396" spans="1:15" ht="26.25" customHeight="1">
      <c r="A396" s="142" t="str">
        <f>Query!A397</f>
        <v>20394</v>
      </c>
      <c r="B396" s="142" t="str">
        <f>MID(Query!B397,1,2)</f>
        <v>B1</v>
      </c>
      <c r="C396" s="144" t="str">
        <f>MID(Query!B397,3,50)</f>
        <v>JBAY-1302-I6007</v>
      </c>
      <c r="D396" s="142" t="str">
        <f>Query!C397</f>
        <v>1- C5XFE-R /ST/</v>
      </c>
      <c r="E396" s="142" t="str">
        <f>Query!D397</f>
        <v>2 x 2 x 1.0  mm²</v>
      </c>
      <c r="F396" s="142" t="s">
        <v>385</v>
      </c>
      <c r="G396" s="142" t="str">
        <f>Query!E397</f>
        <v>20</v>
      </c>
      <c r="H396" s="146" t="s">
        <v>705</v>
      </c>
      <c r="I396" s="142" t="str">
        <f>Query!G397</f>
        <v>PRESS.COND.DICH.FT.PUMP 2</v>
      </c>
      <c r="J396" s="142" t="s">
        <v>2852</v>
      </c>
      <c r="K396" s="146" t="str">
        <f>Query!K397</f>
        <v>B1-PIT-13511-B01</v>
      </c>
      <c r="L396" s="142" t="str">
        <f>Query!L397</f>
        <v>PRESS.COND.DICH.FT.PUMP 2</v>
      </c>
      <c r="M396" s="142" t="s">
        <v>2852</v>
      </c>
      <c r="N396" s="128"/>
      <c r="O396" s="142" t="str">
        <f>Query!O397</f>
        <v>DSPW/SUPP.FI</v>
      </c>
    </row>
    <row r="397" spans="1:15" ht="26.25" customHeight="1">
      <c r="A397" s="142" t="str">
        <f>Query!A398</f>
        <v>20395</v>
      </c>
      <c r="B397" s="142" t="str">
        <f>MID(Query!B398,1,2)</f>
        <v>B1</v>
      </c>
      <c r="C397" s="144" t="str">
        <f>MID(Query!B398,3,50)</f>
        <v>JBAY-1302-I6008</v>
      </c>
      <c r="D397" s="142" t="str">
        <f>Query!C398</f>
        <v>1- C5XFE-R /ST/</v>
      </c>
      <c r="E397" s="142" t="str">
        <f>Query!D398</f>
        <v>2 x 2 x 1.0  mm²</v>
      </c>
      <c r="F397" s="142" t="s">
        <v>385</v>
      </c>
      <c r="G397" s="142" t="str">
        <f>Query!E398</f>
        <v>20</v>
      </c>
      <c r="H397" s="146" t="str">
        <f>Query!F398</f>
        <v>B1JBAY-1302-X03</v>
      </c>
      <c r="I397" s="142" t="str">
        <f>Query!G398</f>
        <v>Junction box FI</v>
      </c>
      <c r="J397" s="142" t="s">
        <v>2852</v>
      </c>
      <c r="K397" s="146" t="str">
        <f>Query!K398</f>
        <v>B1-LCV-13501-M01</v>
      </c>
      <c r="L397" s="142" t="str">
        <f>Query!L398</f>
        <v>EDCV COND.MINIMAL FROM FLT TO COND.</v>
      </c>
      <c r="M397" s="142" t="s">
        <v>2852</v>
      </c>
      <c r="N397" s="128"/>
      <c r="O397" s="142" t="str">
        <f>Query!O398</f>
        <v>DSPW/SUPP.FI</v>
      </c>
    </row>
    <row r="398" spans="1:15" ht="26.25" customHeight="1">
      <c r="A398" s="142" t="str">
        <f>Query!A399</f>
        <v>20396</v>
      </c>
      <c r="B398" s="142" t="str">
        <f>MID(Query!B399,1,2)</f>
        <v>B1</v>
      </c>
      <c r="C398" s="144" t="str">
        <f>MID(Query!B399,3,50)</f>
        <v>JBAY-1302-I6009</v>
      </c>
      <c r="D398" s="142" t="str">
        <f>Query!C399</f>
        <v>1- C5XFE-R /ST/</v>
      </c>
      <c r="E398" s="142" t="str">
        <f>Query!D399</f>
        <v>2 x 2 x 1.0  mm²</v>
      </c>
      <c r="F398" s="142" t="s">
        <v>385</v>
      </c>
      <c r="G398" s="142" t="str">
        <f>Query!E399</f>
        <v>20</v>
      </c>
      <c r="H398" s="146" t="str">
        <f>Query!F399</f>
        <v>B1JBAY-1302-X03</v>
      </c>
      <c r="I398" s="142" t="str">
        <f>Query!G399</f>
        <v>Junction box FI</v>
      </c>
      <c r="J398" s="142" t="s">
        <v>2852</v>
      </c>
      <c r="K398" s="146" t="str">
        <f>Query!K399</f>
        <v>B1-PCV-13531-M01</v>
      </c>
      <c r="L398" s="142" t="str">
        <f>Query!L399</f>
        <v>EDCV SPRAY.FLT</v>
      </c>
      <c r="M398" s="142" t="s">
        <v>2852</v>
      </c>
      <c r="N398" s="128"/>
      <c r="O398" s="142" t="str">
        <f>Query!O399</f>
        <v>DSPW/SUPP.FI</v>
      </c>
    </row>
    <row r="399" spans="1:15" ht="26.25" customHeight="1">
      <c r="A399" s="142" t="str">
        <f>Query!A400</f>
        <v>20397</v>
      </c>
      <c r="B399" s="142" t="str">
        <f>MID(Query!B400,1,2)</f>
        <v>B1</v>
      </c>
      <c r="C399" s="144" t="str">
        <f>MID(Query!B400,3,50)</f>
        <v>JBAY-1303-I6001</v>
      </c>
      <c r="D399" s="142" t="str">
        <f>Query!C400</f>
        <v>Comp. Cable KX</v>
      </c>
      <c r="E399" s="142" t="str">
        <f>Query!D400</f>
        <v>2 x 2 x 0.5  mm²</v>
      </c>
      <c r="F399" s="142" t="s">
        <v>385</v>
      </c>
      <c r="G399" s="142" t="str">
        <f>Query!E400</f>
        <v>20</v>
      </c>
      <c r="H399" s="146" t="str">
        <f>Query!F400</f>
        <v>B1JBAY-1303-U01</v>
      </c>
      <c r="I399" s="142" t="str">
        <f>Query!G400</f>
        <v>Junction box FI</v>
      </c>
      <c r="J399" s="142" t="s">
        <v>2852</v>
      </c>
      <c r="K399" s="146" t="str">
        <f>Query!K400</f>
        <v>B1-TT-26021A-B01</v>
      </c>
      <c r="L399" s="142" t="str">
        <f>Query!L400</f>
        <v>TEMP.1 HP STEAM BEFORE HPSV 1</v>
      </c>
      <c r="M399" s="142" t="s">
        <v>2852</v>
      </c>
      <c r="N399" s="128"/>
      <c r="O399" s="142" t="str">
        <f>Query!O400</f>
        <v>DSPW/SUPP.FI</v>
      </c>
    </row>
    <row r="400" spans="1:15" ht="26.25" customHeight="1">
      <c r="A400" s="142" t="str">
        <f>Query!A401</f>
        <v>20398</v>
      </c>
      <c r="B400" s="142" t="str">
        <f>MID(Query!B401,1,2)</f>
        <v>B1</v>
      </c>
      <c r="C400" s="144" t="str">
        <f>MID(Query!B401,3,50)</f>
        <v>JBAY-1303-I6002</v>
      </c>
      <c r="D400" s="142" t="str">
        <f>Query!C401</f>
        <v>Comp. Cable KX</v>
      </c>
      <c r="E400" s="142" t="str">
        <f>Query!D401</f>
        <v>2 x 2 x 0.5  mm²</v>
      </c>
      <c r="F400" s="142" t="s">
        <v>385</v>
      </c>
      <c r="G400" s="142" t="str">
        <f>Query!E401</f>
        <v>20</v>
      </c>
      <c r="H400" s="146" t="str">
        <f>Query!F401</f>
        <v>B1JBAY-1303-X02</v>
      </c>
      <c r="I400" s="142" t="str">
        <f>Query!G401</f>
        <v>Junction box FI</v>
      </c>
      <c r="J400" s="142" t="s">
        <v>2852</v>
      </c>
      <c r="K400" s="146" t="str">
        <f>Query!K401</f>
        <v>B1-TT-26021B-B01</v>
      </c>
      <c r="L400" s="142" t="str">
        <f>Query!L401</f>
        <v>TEMP.2 HP STEAM BEFORE HPSV 1</v>
      </c>
      <c r="M400" s="142" t="s">
        <v>2852</v>
      </c>
      <c r="N400" s="128"/>
      <c r="O400" s="142" t="str">
        <f>Query!O401</f>
        <v>DSPW/SUPP.FI</v>
      </c>
    </row>
    <row r="401" spans="1:15" ht="26.25" customHeight="1">
      <c r="A401" s="142" t="str">
        <f>Query!A402</f>
        <v>20399</v>
      </c>
      <c r="B401" s="142" t="str">
        <f>MID(Query!B402,1,2)</f>
        <v>B1</v>
      </c>
      <c r="C401" s="144" t="str">
        <f>MID(Query!B402,3,50)</f>
        <v>JBAY-1303-I6003</v>
      </c>
      <c r="D401" s="142" t="str">
        <f>Query!C402</f>
        <v>Comp. Cable KX</v>
      </c>
      <c r="E401" s="142" t="str">
        <f>Query!D402</f>
        <v>2 x 2 x 0.5  mm²</v>
      </c>
      <c r="F401" s="142" t="s">
        <v>385</v>
      </c>
      <c r="G401" s="142" t="str">
        <f>Query!E402</f>
        <v>20</v>
      </c>
      <c r="H401" s="146" t="str">
        <f>Query!F402</f>
        <v>B1JBAY-1303-X03</v>
      </c>
      <c r="I401" s="142" t="str">
        <f>Query!G402</f>
        <v>Junction box FI</v>
      </c>
      <c r="J401" s="142" t="s">
        <v>2852</v>
      </c>
      <c r="K401" s="146" t="str">
        <f>Query!K402</f>
        <v>B1-TT-26021C-B01</v>
      </c>
      <c r="L401" s="142" t="str">
        <f>Query!L402</f>
        <v>TEMP.3 HP STEAM BEFORE HPSV 1</v>
      </c>
      <c r="M401" s="142" t="s">
        <v>2852</v>
      </c>
      <c r="N401" s="128"/>
      <c r="O401" s="142" t="str">
        <f>Query!O402</f>
        <v>DSPW/SUPP.FI</v>
      </c>
    </row>
    <row r="402" spans="1:15" ht="26.25" customHeight="1">
      <c r="A402" s="142" t="str">
        <f>Query!A403</f>
        <v>20400</v>
      </c>
      <c r="B402" s="142" t="str">
        <f>MID(Query!B403,1,2)</f>
        <v>B1</v>
      </c>
      <c r="C402" s="144" t="str">
        <f>MID(Query!B403,3,50)</f>
        <v>JBAY-1303-I6004</v>
      </c>
      <c r="D402" s="142" t="str">
        <f>Query!C403</f>
        <v>Comp. Cable KX</v>
      </c>
      <c r="E402" s="142" t="str">
        <f>Query!D403</f>
        <v>2 x 2 x 0.5  mm²</v>
      </c>
      <c r="F402" s="142" t="s">
        <v>385</v>
      </c>
      <c r="G402" s="142" t="str">
        <f>Query!E403</f>
        <v>20</v>
      </c>
      <c r="H402" s="146" t="str">
        <f>Query!F403</f>
        <v>B1JBAY-1303-U12</v>
      </c>
      <c r="I402" s="142" t="str">
        <f>Query!G403</f>
        <v>Junction box FI</v>
      </c>
      <c r="J402" s="142" t="s">
        <v>2852</v>
      </c>
      <c r="K402" s="146" t="str">
        <f>Query!K403</f>
        <v>B1-TT-13908-B01</v>
      </c>
      <c r="L402" s="142" t="str">
        <f>Query!L403</f>
        <v>TEMP.IP OUT.CASING_PLN.II-BOTT</v>
      </c>
      <c r="M402" s="142" t="s">
        <v>2852</v>
      </c>
      <c r="N402" s="128"/>
      <c r="O402" s="142" t="str">
        <f>Query!O403</f>
        <v>DSPW/SUPP.FI</v>
      </c>
    </row>
    <row r="403" spans="1:15" ht="26.25" customHeight="1">
      <c r="A403" s="142" t="str">
        <f>Query!A404</f>
        <v>20401</v>
      </c>
      <c r="B403" s="142" t="str">
        <f>MID(Query!B404,1,2)</f>
        <v>B1</v>
      </c>
      <c r="C403" s="144" t="str">
        <f>MID(Query!B404,3,50)</f>
        <v>JBAY-1303-I6005</v>
      </c>
      <c r="D403" s="142" t="str">
        <f>Query!C404</f>
        <v>Comp. Cable KX</v>
      </c>
      <c r="E403" s="142" t="str">
        <f>Query!D404</f>
        <v>2 x 2 x 0.5  mm²</v>
      </c>
      <c r="F403" s="142" t="s">
        <v>385</v>
      </c>
      <c r="G403" s="142" t="str">
        <f>Query!E404</f>
        <v>20</v>
      </c>
      <c r="H403" s="146" t="str">
        <f>Query!F404</f>
        <v>B1JBAY-1303-U02</v>
      </c>
      <c r="I403" s="142" t="str">
        <f>Query!G404</f>
        <v>Junction box FI</v>
      </c>
      <c r="J403" s="142" t="s">
        <v>2852</v>
      </c>
      <c r="K403" s="146" t="str">
        <f>Query!K404</f>
        <v>B1-TT-13910-B01</v>
      </c>
      <c r="L403" s="142" t="str">
        <f>Query!L404</f>
        <v>TEMP.HP OUT.CASING-BOTT</v>
      </c>
      <c r="M403" s="142" t="s">
        <v>2852</v>
      </c>
      <c r="N403" s="128"/>
      <c r="O403" s="142" t="str">
        <f>Query!O404</f>
        <v>DSPW/SUPP.FI</v>
      </c>
    </row>
    <row r="404" spans="1:15" ht="26.25" customHeight="1">
      <c r="A404" s="142" t="str">
        <f>Query!A405</f>
        <v>20402</v>
      </c>
      <c r="B404" s="142" t="str">
        <f>MID(Query!B405,1,2)</f>
        <v>B1</v>
      </c>
      <c r="C404" s="144" t="str">
        <f>MID(Query!B405,3,50)</f>
        <v>JBAY-1303-I6006</v>
      </c>
      <c r="D404" s="142" t="str">
        <f>Query!C405</f>
        <v>Comp. Cable KX</v>
      </c>
      <c r="E404" s="142" t="str">
        <f>Query!D405</f>
        <v>2 x 2 x 0.5  mm²</v>
      </c>
      <c r="F404" s="142" t="s">
        <v>385</v>
      </c>
      <c r="G404" s="142" t="str">
        <f>Query!E405</f>
        <v>20</v>
      </c>
      <c r="H404" s="146" t="str">
        <f>Query!F405</f>
        <v>B1JBAY-1303-X03</v>
      </c>
      <c r="I404" s="142" t="str">
        <f>Query!G405</f>
        <v>Junction box FI</v>
      </c>
      <c r="J404" s="142" t="s">
        <v>2852</v>
      </c>
      <c r="K404" s="146" t="str">
        <f>Query!K405</f>
        <v>B1-TT-13912-B01</v>
      </c>
      <c r="L404" s="142" t="str">
        <f>Query!L405</f>
        <v>TEMP.HP INN.CASING-BOTT</v>
      </c>
      <c r="M404" s="142" t="s">
        <v>2852</v>
      </c>
      <c r="N404" s="128"/>
      <c r="O404" s="142" t="str">
        <f>Query!O405</f>
        <v>DSPW/SUPP.FI</v>
      </c>
    </row>
    <row r="405" spans="1:15" ht="26.25" customHeight="1">
      <c r="A405" s="142" t="str">
        <f>Query!A406</f>
        <v>20403</v>
      </c>
      <c r="B405" s="142" t="str">
        <f>MID(Query!B406,1,2)</f>
        <v>B1</v>
      </c>
      <c r="C405" s="144" t="str">
        <f>MID(Query!B406,3,50)</f>
        <v>JBAY-1303-I6007</v>
      </c>
      <c r="D405" s="142" t="str">
        <f>Query!C406</f>
        <v>Comp. Cable KX</v>
      </c>
      <c r="E405" s="142" t="str">
        <f>Query!D406</f>
        <v>2 x 2 x 0.5  mm²</v>
      </c>
      <c r="F405" s="142" t="s">
        <v>385</v>
      </c>
      <c r="G405" s="142" t="str">
        <f>Query!E406</f>
        <v>20</v>
      </c>
      <c r="H405" s="146" t="str">
        <f>Query!F406</f>
        <v>B1JBAY-1303-U13</v>
      </c>
      <c r="I405" s="142" t="str">
        <f>Query!G406</f>
        <v>Junction box FI</v>
      </c>
      <c r="J405" s="142" t="s">
        <v>2852</v>
      </c>
      <c r="K405" s="146" t="str">
        <f>Query!K406</f>
        <v>B1-TT-13916-B01</v>
      </c>
      <c r="L405" s="142" t="str">
        <f>Query!L406</f>
        <v>TEMP.HP CONTR.VALVE CHAMBER 1</v>
      </c>
      <c r="M405" s="142" t="s">
        <v>2852</v>
      </c>
      <c r="N405" s="128"/>
      <c r="O405" s="142" t="str">
        <f>Query!O406</f>
        <v>DSPW/SUPP.FI</v>
      </c>
    </row>
    <row r="406" spans="1:15" ht="26.25" customHeight="1">
      <c r="A406" s="142" t="str">
        <f>Query!A407</f>
        <v>20404</v>
      </c>
      <c r="B406" s="142" t="str">
        <f>MID(Query!B407,1,2)</f>
        <v>B1</v>
      </c>
      <c r="C406" s="144" t="str">
        <f>MID(Query!B407,3,50)</f>
        <v>JBAY-1303-I6008</v>
      </c>
      <c r="D406" s="142" t="str">
        <f>Query!C407</f>
        <v>Comp. Cable KX</v>
      </c>
      <c r="E406" s="142" t="str">
        <f>Query!D407</f>
        <v>2 x 2 x 0.5  mm²</v>
      </c>
      <c r="F406" s="142" t="s">
        <v>385</v>
      </c>
      <c r="G406" s="142" t="str">
        <f>Query!E407</f>
        <v>20</v>
      </c>
      <c r="H406" s="146" t="str">
        <f>Query!F407</f>
        <v>B1JBAY-1303-X01</v>
      </c>
      <c r="I406" s="142" t="str">
        <f>Query!G407</f>
        <v>Junction box FI</v>
      </c>
      <c r="J406" s="142" t="s">
        <v>2852</v>
      </c>
      <c r="K406" s="146" t="str">
        <f>Query!K407</f>
        <v>B1-TT-13931-B01</v>
      </c>
      <c r="L406" s="142" t="str">
        <f>Query!L407</f>
        <v>TEMP.IP OUT.CASING_PLN.I-TOP</v>
      </c>
      <c r="M406" s="142" t="s">
        <v>2852</v>
      </c>
      <c r="N406" s="128"/>
      <c r="O406" s="142" t="str">
        <f>Query!O407</f>
        <v>DSPW/SUPP.FI</v>
      </c>
    </row>
    <row r="407" spans="1:15" ht="26.25" customHeight="1">
      <c r="A407" s="142" t="str">
        <f>Query!A408</f>
        <v>20405</v>
      </c>
      <c r="B407" s="142" t="str">
        <f>MID(Query!B408,1,2)</f>
        <v>B1</v>
      </c>
      <c r="C407" s="144" t="str">
        <f>MID(Query!B408,3,50)</f>
        <v>JBAY-1303-I6009</v>
      </c>
      <c r="D407" s="142" t="str">
        <f>Query!C408</f>
        <v>1- C5XFE-R /ST/</v>
      </c>
      <c r="E407" s="142" t="str">
        <f>Query!D408</f>
        <v>2 x 2 x 1.0  mm²</v>
      </c>
      <c r="F407" s="142" t="s">
        <v>385</v>
      </c>
      <c r="G407" s="142" t="str">
        <f>Query!E408</f>
        <v>20</v>
      </c>
      <c r="H407" s="146" t="str">
        <f>Query!F408</f>
        <v>B1JBAY-1303-X01</v>
      </c>
      <c r="I407" s="142" t="str">
        <f>Query!G408</f>
        <v>Junction box FI</v>
      </c>
      <c r="J407" s="142" t="s">
        <v>2852</v>
      </c>
      <c r="K407" s="146" t="str">
        <f>Query!K408</f>
        <v>B1-PIT-13217A-B01</v>
      </c>
      <c r="L407" s="142" t="str">
        <f>Query!L408</f>
        <v>PRESS.1 LUB.OIL TO FR.BEAR.</v>
      </c>
      <c r="M407" s="142" t="s">
        <v>2852</v>
      </c>
      <c r="N407" s="128"/>
      <c r="O407" s="142" t="str">
        <f>Query!O408</f>
        <v>DSPW/SUPP.FI</v>
      </c>
    </row>
    <row r="408" spans="1:15" ht="26.25" customHeight="1">
      <c r="A408" s="142" t="str">
        <f>Query!A409</f>
        <v>20406</v>
      </c>
      <c r="B408" s="142" t="str">
        <f>MID(Query!B409,1,2)</f>
        <v>B1</v>
      </c>
      <c r="C408" s="144" t="str">
        <f>MID(Query!B409,3,50)</f>
        <v>JBAY-1303-I6010</v>
      </c>
      <c r="D408" s="142" t="str">
        <f>Query!C409</f>
        <v>1- C5XFE-R /ST/</v>
      </c>
      <c r="E408" s="142" t="str">
        <f>Query!D409</f>
        <v>2 x 2 x 1.0  mm²</v>
      </c>
      <c r="F408" s="142" t="s">
        <v>385</v>
      </c>
      <c r="G408" s="142" t="str">
        <f>Query!E409</f>
        <v>20</v>
      </c>
      <c r="H408" s="146" t="str">
        <f>Query!F409</f>
        <v>B1JBAY-1303-X02</v>
      </c>
      <c r="I408" s="142" t="str">
        <f>Query!G409</f>
        <v>Junction box FI</v>
      </c>
      <c r="J408" s="142" t="s">
        <v>2852</v>
      </c>
      <c r="K408" s="146" t="str">
        <f>Query!K409</f>
        <v>B1-PIT-13217B-B01</v>
      </c>
      <c r="L408" s="142" t="str">
        <f>Query!L409</f>
        <v>PRESS.2 LUB.OIL TO FR.BEAR.</v>
      </c>
      <c r="M408" s="142" t="s">
        <v>2852</v>
      </c>
      <c r="N408" s="128"/>
      <c r="O408" s="142" t="str">
        <f>Query!O409</f>
        <v>DSPW/SUPP.FI</v>
      </c>
    </row>
    <row r="409" spans="1:15" ht="26.25" customHeight="1">
      <c r="A409" s="142" t="str">
        <f>Query!A410</f>
        <v>20407</v>
      </c>
      <c r="B409" s="142" t="str">
        <f>MID(Query!B410,1,2)</f>
        <v>B1</v>
      </c>
      <c r="C409" s="144" t="str">
        <f>MID(Query!B410,3,50)</f>
        <v>JBAY-1303-I6011</v>
      </c>
      <c r="D409" s="142" t="str">
        <f>Query!C410</f>
        <v>1- C5XFE-R /ST/</v>
      </c>
      <c r="E409" s="142" t="str">
        <f>Query!D410</f>
        <v>2 x 2 x 1.0  mm²</v>
      </c>
      <c r="F409" s="142" t="s">
        <v>385</v>
      </c>
      <c r="G409" s="142" t="str">
        <f>Query!E410</f>
        <v>20</v>
      </c>
      <c r="H409" s="146" t="str">
        <f>Query!F410</f>
        <v>B1JBAY-1303-X03</v>
      </c>
      <c r="I409" s="142" t="str">
        <f>Query!G410</f>
        <v>Junction box FI</v>
      </c>
      <c r="J409" s="142" t="s">
        <v>2852</v>
      </c>
      <c r="K409" s="146" t="str">
        <f>Query!K410</f>
        <v>B1-PIT-13217C-B01</v>
      </c>
      <c r="L409" s="142" t="str">
        <f>Query!L410</f>
        <v>PRESS.3 LUB.OIL TO FR.BEAR.</v>
      </c>
      <c r="M409" s="142" t="s">
        <v>2852</v>
      </c>
      <c r="N409" s="128"/>
      <c r="O409" s="142" t="str">
        <f>Query!O410</f>
        <v>DSPW/SUPP.FI</v>
      </c>
    </row>
    <row r="410" spans="1:15" ht="26.25" customHeight="1">
      <c r="A410" s="142" t="str">
        <f>Query!A411</f>
        <v>20408</v>
      </c>
      <c r="B410" s="142" t="str">
        <f>MID(Query!B411,1,2)</f>
        <v>B1</v>
      </c>
      <c r="C410" s="144" t="str">
        <f>MID(Query!B411,3,50)</f>
        <v>JBAY-1304-I6001</v>
      </c>
      <c r="D410" s="142" t="str">
        <f>Query!C411</f>
        <v>Comp. Cable KX</v>
      </c>
      <c r="E410" s="142" t="str">
        <f>Query!D411</f>
        <v>2 x 2 x 0.5  mm²</v>
      </c>
      <c r="F410" s="142" t="s">
        <v>385</v>
      </c>
      <c r="G410" s="142" t="str">
        <f>Query!E411</f>
        <v>20</v>
      </c>
      <c r="H410" s="146" t="str">
        <f>Query!F411</f>
        <v>B1JBAY-1304-X01</v>
      </c>
      <c r="I410" s="142" t="str">
        <f>Query!G411</f>
        <v>Junction box FI</v>
      </c>
      <c r="J410" s="142" t="s">
        <v>2852</v>
      </c>
      <c r="K410" s="146" t="str">
        <f>Query!K411</f>
        <v>B1-TT-26022A-B01</v>
      </c>
      <c r="L410" s="142" t="str">
        <f>Query!L411</f>
        <v>TEMP.1 HP STEAM BEFORE HPSV 2</v>
      </c>
      <c r="M410" s="142" t="s">
        <v>2852</v>
      </c>
      <c r="N410" s="128"/>
      <c r="O410" s="142" t="str">
        <f>Query!O411</f>
        <v>DSPW/SUPP.FI</v>
      </c>
    </row>
    <row r="411" spans="1:15" ht="26.25" customHeight="1">
      <c r="A411" s="142" t="str">
        <f>Query!A412</f>
        <v>20409</v>
      </c>
      <c r="B411" s="142" t="str">
        <f>MID(Query!B412,1,2)</f>
        <v>B1</v>
      </c>
      <c r="C411" s="144" t="str">
        <f>MID(Query!B412,3,50)</f>
        <v>JBAY-1304-I6002</v>
      </c>
      <c r="D411" s="142" t="str">
        <f>Query!C412</f>
        <v>Comp. Cable KX</v>
      </c>
      <c r="E411" s="142" t="str">
        <f>Query!D412</f>
        <v>2 x 2 x 0.5  mm²</v>
      </c>
      <c r="F411" s="142" t="s">
        <v>385</v>
      </c>
      <c r="G411" s="142" t="str">
        <f>Query!E412</f>
        <v>20</v>
      </c>
      <c r="H411" s="146" t="str">
        <f>Query!F412</f>
        <v>B1JBAY-1304-X02</v>
      </c>
      <c r="I411" s="142" t="str">
        <f>Query!G412</f>
        <v>Junction box FI</v>
      </c>
      <c r="J411" s="142" t="s">
        <v>2852</v>
      </c>
      <c r="K411" s="146" t="str">
        <f>Query!K412</f>
        <v>B1-TT-26022B-B01</v>
      </c>
      <c r="L411" s="142" t="str">
        <f>Query!L412</f>
        <v>TEMP.2 HP STEAM BEFORE HPSV 2</v>
      </c>
      <c r="M411" s="142" t="s">
        <v>2852</v>
      </c>
      <c r="N411" s="128"/>
      <c r="O411" s="142" t="str">
        <f>Query!O412</f>
        <v>DSPW/SUPP.FI</v>
      </c>
    </row>
    <row r="412" spans="1:15" ht="26.25" customHeight="1">
      <c r="A412" s="142" t="str">
        <f>Query!A413</f>
        <v>20410</v>
      </c>
      <c r="B412" s="142" t="str">
        <f>MID(Query!B413,1,2)</f>
        <v>B1</v>
      </c>
      <c r="C412" s="144" t="str">
        <f>MID(Query!B413,3,50)</f>
        <v>JBAY-1304-I6003</v>
      </c>
      <c r="D412" s="142" t="str">
        <f>Query!C413</f>
        <v>Comp. Cable KX</v>
      </c>
      <c r="E412" s="142" t="str">
        <f>Query!D413</f>
        <v>2 x 2 x 0.5  mm²</v>
      </c>
      <c r="F412" s="142" t="s">
        <v>385</v>
      </c>
      <c r="G412" s="142" t="str">
        <f>Query!E413</f>
        <v>20</v>
      </c>
      <c r="H412" s="146" t="str">
        <f>Query!F413</f>
        <v>B1JBAY-1304-X03</v>
      </c>
      <c r="I412" s="142" t="str">
        <f>Query!G413</f>
        <v>Junction box FI</v>
      </c>
      <c r="J412" s="142" t="s">
        <v>2852</v>
      </c>
      <c r="K412" s="146" t="str">
        <f>Query!K413</f>
        <v>B1-TT-26022C-B01</v>
      </c>
      <c r="L412" s="142" t="str">
        <f>Query!L413</f>
        <v>TEMP.3 HP STEAM BEFORE HPSV 2</v>
      </c>
      <c r="M412" s="142" t="s">
        <v>2852</v>
      </c>
      <c r="N412" s="128"/>
      <c r="O412" s="142" t="str">
        <f>Query!O413</f>
        <v>DSPW/SUPP.FI</v>
      </c>
    </row>
    <row r="413" spans="1:15" ht="26.25" customHeight="1">
      <c r="A413" s="142" t="str">
        <f>Query!A414</f>
        <v>20411</v>
      </c>
      <c r="B413" s="142" t="str">
        <f>MID(Query!B414,1,2)</f>
        <v>B1</v>
      </c>
      <c r="C413" s="144" t="str">
        <f>MID(Query!B414,3,50)</f>
        <v>JBAY-1304-I6004</v>
      </c>
      <c r="D413" s="142" t="str">
        <f>Query!C414</f>
        <v>Comp. Cable KX</v>
      </c>
      <c r="E413" s="142" t="str">
        <f>Query!D414</f>
        <v>2 x 2 x 0.5  mm²</v>
      </c>
      <c r="F413" s="142" t="s">
        <v>385</v>
      </c>
      <c r="G413" s="142" t="str">
        <f>Query!E414</f>
        <v>20</v>
      </c>
      <c r="H413" s="146" t="str">
        <f>Query!F414</f>
        <v>B1JBAY-1304-X03</v>
      </c>
      <c r="I413" s="142" t="str">
        <f>Query!G414</f>
        <v>Junction box FI</v>
      </c>
      <c r="J413" s="142" t="s">
        <v>2852</v>
      </c>
      <c r="K413" s="146" t="str">
        <f>Query!K414</f>
        <v>B1-TT-13602-B01</v>
      </c>
      <c r="L413" s="142" t="str">
        <f>Query!L414</f>
        <v>TEMP.INNER GLAND STEAM</v>
      </c>
      <c r="M413" s="142" t="s">
        <v>2852</v>
      </c>
      <c r="N413" s="128"/>
      <c r="O413" s="142" t="str">
        <f>Query!O414</f>
        <v>DSPW/SUPP.FI</v>
      </c>
    </row>
    <row r="414" spans="1:15" ht="26.25" customHeight="1">
      <c r="A414" s="142" t="str">
        <f>Query!A415</f>
        <v>20412</v>
      </c>
      <c r="B414" s="142" t="str">
        <f>MID(Query!B415,1,2)</f>
        <v>B1</v>
      </c>
      <c r="C414" s="144" t="str">
        <f>MID(Query!B415,3,50)</f>
        <v>JBAY-1304-I6005</v>
      </c>
      <c r="D414" s="142" t="str">
        <f>Query!C415</f>
        <v>Comp. Cable KX</v>
      </c>
      <c r="E414" s="142" t="str">
        <f>Query!D415</f>
        <v>2 x 2 x 0.5  mm²</v>
      </c>
      <c r="F414" s="142" t="s">
        <v>385</v>
      </c>
      <c r="G414" s="142" t="str">
        <f>Query!E415</f>
        <v>20</v>
      </c>
      <c r="H414" s="146" t="str">
        <f>Query!F415</f>
        <v>B1JBAY-1304-U22</v>
      </c>
      <c r="I414" s="142" t="str">
        <f>Query!G415</f>
        <v>Junction box FI</v>
      </c>
      <c r="J414" s="142" t="s">
        <v>2852</v>
      </c>
      <c r="K414" s="146" t="str">
        <f>Query!K415</f>
        <v>B1-TT-28002-B01</v>
      </c>
      <c r="L414" s="142" t="str">
        <f>Query!L415</f>
        <v>TEMP.AUX.STEAM CONGES.GLAND</v>
      </c>
      <c r="M414" s="142" t="s">
        <v>2852</v>
      </c>
      <c r="N414" s="128"/>
      <c r="O414" s="142" t="str">
        <f>Query!O415</f>
        <v>DSPW/SUPP.FI</v>
      </c>
    </row>
    <row r="415" spans="1:15" ht="26.25" customHeight="1">
      <c r="A415" s="142" t="str">
        <f>Query!A416</f>
        <v>20413</v>
      </c>
      <c r="B415" s="142" t="str">
        <f>MID(Query!B416,1,2)</f>
        <v>B1</v>
      </c>
      <c r="C415" s="144" t="str">
        <f>MID(Query!B416,3,50)</f>
        <v>JBAY-1304-I6006</v>
      </c>
      <c r="D415" s="142" t="str">
        <f>Query!C416</f>
        <v>1- C5XFE-R /ST/</v>
      </c>
      <c r="E415" s="142" t="str">
        <f>Query!D416</f>
        <v>2 x 2 x 1.0  mm²</v>
      </c>
      <c r="F415" s="142" t="s">
        <v>385</v>
      </c>
      <c r="G415" s="142" t="str">
        <f>Query!E416</f>
        <v>20</v>
      </c>
      <c r="H415" s="146" t="s">
        <v>732</v>
      </c>
      <c r="I415" s="142" t="str">
        <f>Query!G416</f>
        <v>PRESS.1 HP STEAM BEFORE HPSV 1</v>
      </c>
      <c r="J415" s="142" t="s">
        <v>2852</v>
      </c>
      <c r="K415" s="146" t="str">
        <f>Query!K416</f>
        <v>B1-PIT-26021A-B01</v>
      </c>
      <c r="L415" s="142" t="str">
        <f>Query!L416</f>
        <v>PRESS.1 HP STEAM BEFORE HPSV 1</v>
      </c>
      <c r="M415" s="142" t="s">
        <v>2852</v>
      </c>
      <c r="N415" s="128"/>
      <c r="O415" s="142" t="str">
        <f>Query!O416</f>
        <v>DSPW/SUPP.FI</v>
      </c>
    </row>
    <row r="416" spans="1:15" ht="26.25" customHeight="1">
      <c r="A416" s="142" t="str">
        <f>Query!A417</f>
        <v>20414</v>
      </c>
      <c r="B416" s="142" t="str">
        <f>MID(Query!B417,1,2)</f>
        <v>B1</v>
      </c>
      <c r="C416" s="144" t="str">
        <f>MID(Query!B417,3,50)</f>
        <v>JBAY-1304-I6007</v>
      </c>
      <c r="D416" s="142" t="str">
        <f>Query!C417</f>
        <v>1- C5XFE-R /ST/</v>
      </c>
      <c r="E416" s="142" t="str">
        <f>Query!D417</f>
        <v>2 x 2 x 1.0  mm²</v>
      </c>
      <c r="F416" s="142" t="s">
        <v>385</v>
      </c>
      <c r="G416" s="142" t="str">
        <f>Query!E417</f>
        <v>20</v>
      </c>
      <c r="H416" s="146" t="str">
        <f>Query!F417</f>
        <v>B1JBAY-1304-X01</v>
      </c>
      <c r="I416" s="142" t="str">
        <f>Query!G417</f>
        <v>Junction box FI</v>
      </c>
      <c r="J416" s="142" t="s">
        <v>2852</v>
      </c>
      <c r="K416" s="146" t="str">
        <f>Query!K417</f>
        <v>B1-PIT-26022A-B01</v>
      </c>
      <c r="L416" s="142" t="str">
        <f>Query!L417</f>
        <v>PRESS.1 HP STEAM BEFORE HPSV 2</v>
      </c>
      <c r="M416" s="142" t="s">
        <v>2852</v>
      </c>
      <c r="N416" s="128"/>
      <c r="O416" s="142" t="str">
        <f>Query!O417</f>
        <v>DSPW/SUPP.FI</v>
      </c>
    </row>
    <row r="417" spans="1:15" ht="26.25" customHeight="1">
      <c r="A417" s="142" t="str">
        <f>Query!A418</f>
        <v>20415</v>
      </c>
      <c r="B417" s="142" t="str">
        <f>MID(Query!B418,1,2)</f>
        <v>B1</v>
      </c>
      <c r="C417" s="144" t="str">
        <f>MID(Query!B418,3,50)</f>
        <v>JBAY-1304-I6008</v>
      </c>
      <c r="D417" s="142" t="str">
        <f>Query!C418</f>
        <v>1- C5XFE-R /ST/</v>
      </c>
      <c r="E417" s="142" t="str">
        <f>Query!D418</f>
        <v>2 x 2 x 1.0  mm²</v>
      </c>
      <c r="F417" s="142" t="s">
        <v>385</v>
      </c>
      <c r="G417" s="142" t="str">
        <f>Query!E418</f>
        <v>20</v>
      </c>
      <c r="H417" s="146" t="str">
        <f>Query!F418</f>
        <v>B1JBAY-1304-X02</v>
      </c>
      <c r="I417" s="142" t="str">
        <f>Query!G418</f>
        <v>Junction box FI</v>
      </c>
      <c r="J417" s="142" t="s">
        <v>2852</v>
      </c>
      <c r="K417" s="146" t="str">
        <f>Query!K418</f>
        <v>B1-PIT-26021B-B01</v>
      </c>
      <c r="L417" s="142" t="str">
        <f>Query!L418</f>
        <v>PRESS.2 HP STEAM BEFORE HPSV 1</v>
      </c>
      <c r="M417" s="142" t="s">
        <v>2852</v>
      </c>
      <c r="N417" s="128"/>
      <c r="O417" s="142" t="str">
        <f>Query!O418</f>
        <v>DSPW/SUPP.FI</v>
      </c>
    </row>
    <row r="418" spans="1:15" ht="26.25" customHeight="1">
      <c r="A418" s="142" t="str">
        <f>Query!A419</f>
        <v>20416</v>
      </c>
      <c r="B418" s="142" t="str">
        <f>MID(Query!B419,1,2)</f>
        <v>B1</v>
      </c>
      <c r="C418" s="144" t="str">
        <f>MID(Query!B419,3,50)</f>
        <v>JBAY-1304-I6009</v>
      </c>
      <c r="D418" s="142" t="str">
        <f>Query!C419</f>
        <v>1- C5XFE-R /ST/</v>
      </c>
      <c r="E418" s="142" t="str">
        <f>Query!D419</f>
        <v>2 x 2 x 1.0  mm²</v>
      </c>
      <c r="F418" s="142" t="s">
        <v>385</v>
      </c>
      <c r="G418" s="142" t="str">
        <f>Query!E419</f>
        <v>20</v>
      </c>
      <c r="H418" s="146" t="str">
        <f>Query!F419</f>
        <v>B1JBAY-1304-X02</v>
      </c>
      <c r="I418" s="142" t="str">
        <f>Query!G419</f>
        <v>Junction box FI</v>
      </c>
      <c r="J418" s="142" t="s">
        <v>2852</v>
      </c>
      <c r="K418" s="146" t="str">
        <f>Query!K419</f>
        <v>B1-PIT-26022B-B01</v>
      </c>
      <c r="L418" s="142" t="str">
        <f>Query!L419</f>
        <v>PRESS.2 HP STEAM BEFORE HPSV 2</v>
      </c>
      <c r="M418" s="142" t="s">
        <v>2852</v>
      </c>
      <c r="N418" s="128"/>
      <c r="O418" s="142" t="str">
        <f>Query!O419</f>
        <v>DSPW/SUPP.FI</v>
      </c>
    </row>
  </sheetData>
  <autoFilter ref="A5:O418" xr:uid="{00000000-0009-0000-0000-000001000000}"/>
  <sortState xmlns:xlrd2="http://schemas.microsoft.com/office/spreadsheetml/2017/richdata2" ref="A6:O81">
    <sortCondition ref="C6:C81"/>
  </sortState>
  <mergeCells count="9">
    <mergeCell ref="A1:O1"/>
    <mergeCell ref="A4:A5"/>
    <mergeCell ref="B4:B5"/>
    <mergeCell ref="D4:E4"/>
    <mergeCell ref="H4:J4"/>
    <mergeCell ref="K4:M4"/>
    <mergeCell ref="O4:O5"/>
    <mergeCell ref="N4:N5"/>
    <mergeCell ref="A2:O2"/>
  </mergeCells>
  <phoneticPr fontId="1" type="noConversion"/>
  <conditionalFormatting sqref="H1:H1048576">
    <cfRule type="cellIs" dxfId="0" priority="1" operator="equal">
      <formula>-JB</formula>
    </cfRule>
  </conditionalFormatting>
  <printOptions horizontalCentered="1"/>
  <pageMargins left="0.31496062992125984" right="0.31496062992125984" top="0.55118110236220474" bottom="0.35433070866141736" header="0.31496062992125984" footer="0.31496062992125984"/>
  <pageSetup paperSize="9" scale="57" orientation="landscape" r:id="rId1"/>
  <headerFooter>
    <oddHeader>&amp;C&amp;"Noto Sans CJK KR Medium,Regular"P00982_EMB020</oddHeader>
    <oddFooter>&amp;LI19_FI_CS_Cable_list&amp;C&amp;P of &amp;N&amp;RRev.: R03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19"/>
  <sheetViews>
    <sheetView view="pageBreakPreview" topLeftCell="A2" zoomScale="60" zoomScaleNormal="100" workbookViewId="0">
      <selection activeCell="W375" sqref="W375"/>
    </sheetView>
  </sheetViews>
  <sheetFormatPr defaultColWidth="9.09765625" defaultRowHeight="17.399999999999999"/>
  <cols>
    <col min="1" max="1" width="10" style="135" bestFit="1" customWidth="1"/>
    <col min="2" max="2" width="26.8984375" style="135" bestFit="1" customWidth="1"/>
    <col min="3" max="3" width="15.69921875" style="135" bestFit="1" customWidth="1"/>
    <col min="4" max="4" width="18.296875" style="135" bestFit="1" customWidth="1"/>
    <col min="5" max="5" width="19.8984375" style="135" bestFit="1" customWidth="1"/>
    <col min="6" max="6" width="28.09765625" style="135" bestFit="1" customWidth="1"/>
    <col min="7" max="7" width="39.59765625" style="135" bestFit="1" customWidth="1"/>
    <col min="8" max="8" width="14.09765625" style="135" bestFit="1" customWidth="1"/>
    <col min="9" max="9" width="15" style="135" hidden="1" customWidth="1"/>
    <col min="10" max="10" width="12.3984375" style="135" hidden="1" customWidth="1"/>
    <col min="11" max="11" width="28.09765625" style="135" bestFit="1" customWidth="1"/>
    <col min="12" max="12" width="42.3984375" style="135" bestFit="1" customWidth="1"/>
    <col min="13" max="13" width="14.8984375" style="135" bestFit="1" customWidth="1"/>
    <col min="14" max="14" width="15.296875" style="135" bestFit="1" customWidth="1"/>
    <col min="15" max="15" width="16.3984375" style="135" bestFit="1" customWidth="1"/>
    <col min="16" max="16" width="9.3984375" style="135" bestFit="1" customWidth="1"/>
    <col min="17" max="17" width="38.296875" style="135" bestFit="1" customWidth="1"/>
    <col min="18" max="18" width="49.59765625" style="135" bestFit="1" customWidth="1"/>
    <col min="19" max="19" width="15.69921875" style="135" bestFit="1" customWidth="1"/>
    <col min="20" max="20" width="23.296875" style="135" bestFit="1" customWidth="1"/>
    <col min="21" max="21" width="28.09765625" style="135" bestFit="1" customWidth="1"/>
    <col min="22" max="22" width="8.69921875" style="135" bestFit="1" customWidth="1"/>
    <col min="23" max="23" width="28.09765625" style="135" bestFit="1" customWidth="1"/>
    <col min="24" max="24" width="9.8984375" style="135" bestFit="1" customWidth="1"/>
    <col min="25" max="25" width="23.296875" style="135" bestFit="1" customWidth="1"/>
    <col min="26" max="26" width="21.69921875" style="135" bestFit="1" customWidth="1"/>
    <col min="27" max="27" width="7.69921875" style="135" bestFit="1" customWidth="1"/>
    <col min="28" max="28" width="255.69921875" style="135" hidden="1" customWidth="1"/>
    <col min="29" max="16384" width="9.09765625" style="135"/>
  </cols>
  <sheetData>
    <row r="1" spans="1:28" hidden="1">
      <c r="A1" s="135" t="s">
        <v>1321</v>
      </c>
      <c r="B1" s="135" t="s">
        <v>1320</v>
      </c>
      <c r="C1" s="135" t="s">
        <v>1319</v>
      </c>
      <c r="D1" s="135" t="s">
        <v>1318</v>
      </c>
      <c r="E1" s="135" t="s">
        <v>1317</v>
      </c>
      <c r="F1" s="135" t="s">
        <v>1316</v>
      </c>
      <c r="G1" s="135" t="s">
        <v>1315</v>
      </c>
      <c r="H1" s="135" t="s">
        <v>1314</v>
      </c>
      <c r="I1" s="135" t="s">
        <v>1313</v>
      </c>
      <c r="J1" s="135" t="s">
        <v>1312</v>
      </c>
      <c r="K1" s="135" t="s">
        <v>1311</v>
      </c>
      <c r="L1" s="135" t="s">
        <v>1310</v>
      </c>
      <c r="M1" s="135" t="s">
        <v>1309</v>
      </c>
      <c r="N1" s="135" t="s">
        <v>1308</v>
      </c>
      <c r="O1" s="135" t="s">
        <v>1307</v>
      </c>
      <c r="P1" s="135" t="s">
        <v>1306</v>
      </c>
      <c r="Q1" s="135" t="s">
        <v>1305</v>
      </c>
      <c r="R1" s="135" t="s">
        <v>1304</v>
      </c>
      <c r="S1" s="135" t="s">
        <v>1303</v>
      </c>
      <c r="T1" s="135" t="s">
        <v>1302</v>
      </c>
      <c r="U1" s="135" t="s">
        <v>1301</v>
      </c>
      <c r="V1" s="135" t="s">
        <v>1326</v>
      </c>
      <c r="W1" s="135" t="s">
        <v>1327</v>
      </c>
      <c r="X1" s="135" t="s">
        <v>1328</v>
      </c>
      <c r="Y1" s="135" t="s">
        <v>1329</v>
      </c>
      <c r="Z1" s="135" t="s">
        <v>1330</v>
      </c>
      <c r="AA1" s="135" t="s">
        <v>1331</v>
      </c>
      <c r="AB1" s="135" t="s">
        <v>1300</v>
      </c>
    </row>
    <row r="2" spans="1:28">
      <c r="A2" s="135" t="s">
        <v>1292</v>
      </c>
      <c r="B2" s="135" t="s">
        <v>1298</v>
      </c>
      <c r="C2" s="135" t="s">
        <v>1296</v>
      </c>
      <c r="D2" s="135" t="s">
        <v>1332</v>
      </c>
      <c r="E2" s="135" t="s">
        <v>1291</v>
      </c>
      <c r="F2" s="135" t="s">
        <v>1290</v>
      </c>
      <c r="G2" s="135" t="s">
        <v>1333</v>
      </c>
      <c r="H2" s="135" t="s">
        <v>1334</v>
      </c>
      <c r="I2" s="135" t="s">
        <v>1286</v>
      </c>
      <c r="J2" s="135" t="s">
        <v>1285</v>
      </c>
      <c r="K2" s="135" t="s">
        <v>1284</v>
      </c>
      <c r="L2" s="135" t="s">
        <v>1335</v>
      </c>
      <c r="M2" s="135" t="s">
        <v>1336</v>
      </c>
      <c r="N2" s="135" t="s">
        <v>1293</v>
      </c>
      <c r="O2" s="135" t="s">
        <v>1295</v>
      </c>
      <c r="P2" s="135" t="s">
        <v>1299</v>
      </c>
      <c r="Q2" s="135" t="s">
        <v>1296</v>
      </c>
      <c r="R2" s="135" t="s">
        <v>1294</v>
      </c>
      <c r="S2" s="135" t="s">
        <v>1297</v>
      </c>
      <c r="T2" s="135" t="s">
        <v>1287</v>
      </c>
      <c r="U2" s="135" t="s">
        <v>1283</v>
      </c>
      <c r="V2" s="135" t="s">
        <v>1282</v>
      </c>
      <c r="W2" s="135" t="s">
        <v>1289</v>
      </c>
      <c r="X2" s="135" t="s">
        <v>1288</v>
      </c>
      <c r="Y2" s="135" t="s">
        <v>1281</v>
      </c>
      <c r="Z2" s="135" t="s">
        <v>1280</v>
      </c>
      <c r="AA2" s="135" t="s">
        <v>322</v>
      </c>
      <c r="AB2" s="135" t="s">
        <v>1337</v>
      </c>
    </row>
    <row r="3" spans="1:28">
      <c r="A3" s="136" t="s">
        <v>1338</v>
      </c>
      <c r="B3" s="135" t="s">
        <v>1279</v>
      </c>
      <c r="C3" s="135" t="s">
        <v>386</v>
      </c>
      <c r="D3" s="136" t="s">
        <v>1339</v>
      </c>
      <c r="E3" s="136" t="s">
        <v>1340</v>
      </c>
      <c r="F3" s="135" t="s">
        <v>1265</v>
      </c>
      <c r="G3" s="136" t="s">
        <v>1341</v>
      </c>
      <c r="H3" s="135" t="s">
        <v>383</v>
      </c>
      <c r="I3" s="135" t="s">
        <v>494</v>
      </c>
      <c r="J3" s="135" t="s">
        <v>494</v>
      </c>
      <c r="K3" s="135" t="s">
        <v>1342</v>
      </c>
      <c r="L3" s="136" t="s">
        <v>1343</v>
      </c>
      <c r="M3" s="135" t="s">
        <v>1344</v>
      </c>
      <c r="N3" s="136"/>
      <c r="O3" s="136" t="s">
        <v>535</v>
      </c>
      <c r="P3" s="136" t="s">
        <v>682</v>
      </c>
      <c r="Q3" s="135" t="s">
        <v>536</v>
      </c>
      <c r="R3" s="135" t="s">
        <v>534</v>
      </c>
      <c r="S3" s="136"/>
      <c r="V3" s="135" t="s">
        <v>1345</v>
      </c>
      <c r="X3" s="135" t="s">
        <v>1264</v>
      </c>
      <c r="Z3" s="135" t="s">
        <v>1247</v>
      </c>
      <c r="AA3" s="136"/>
      <c r="AB3" s="135" t="s">
        <v>1346</v>
      </c>
    </row>
    <row r="4" spans="1:28">
      <c r="A4" s="136" t="s">
        <v>1347</v>
      </c>
      <c r="B4" s="135" t="s">
        <v>1277</v>
      </c>
      <c r="C4" s="135" t="s">
        <v>386</v>
      </c>
      <c r="D4" s="136" t="s">
        <v>1339</v>
      </c>
      <c r="E4" s="136" t="s">
        <v>1340</v>
      </c>
      <c r="F4" s="135" t="s">
        <v>1270</v>
      </c>
      <c r="G4" s="136" t="s">
        <v>1341</v>
      </c>
      <c r="H4" s="135" t="s">
        <v>383</v>
      </c>
      <c r="I4" s="135" t="s">
        <v>494</v>
      </c>
      <c r="J4" s="135" t="s">
        <v>494</v>
      </c>
      <c r="K4" s="135" t="s">
        <v>1276</v>
      </c>
      <c r="L4" s="136" t="s">
        <v>1343</v>
      </c>
      <c r="M4" s="135" t="s">
        <v>1344</v>
      </c>
      <c r="N4" s="136"/>
      <c r="O4" s="136" t="s">
        <v>535</v>
      </c>
      <c r="P4" s="136" t="s">
        <v>499</v>
      </c>
      <c r="Q4" s="135" t="s">
        <v>536</v>
      </c>
      <c r="R4" s="135" t="s">
        <v>534</v>
      </c>
      <c r="S4" s="136"/>
      <c r="V4" s="135" t="s">
        <v>1275</v>
      </c>
      <c r="X4" s="135" t="s">
        <v>1269</v>
      </c>
      <c r="Z4" s="135" t="s">
        <v>1247</v>
      </c>
      <c r="AA4" s="136"/>
      <c r="AB4" s="135" t="s">
        <v>1348</v>
      </c>
    </row>
    <row r="5" spans="1:28">
      <c r="A5" s="136" t="s">
        <v>1349</v>
      </c>
      <c r="B5" s="135" t="s">
        <v>1274</v>
      </c>
      <c r="C5" s="135" t="s">
        <v>386</v>
      </c>
      <c r="D5" s="136" t="s">
        <v>1350</v>
      </c>
      <c r="E5" s="136" t="s">
        <v>1340</v>
      </c>
      <c r="F5" s="135" t="s">
        <v>1265</v>
      </c>
      <c r="G5" s="136" t="s">
        <v>1341</v>
      </c>
      <c r="H5" s="135" t="s">
        <v>383</v>
      </c>
      <c r="I5" s="135" t="s">
        <v>494</v>
      </c>
      <c r="J5" s="135" t="s">
        <v>494</v>
      </c>
      <c r="K5" s="135" t="s">
        <v>1273</v>
      </c>
      <c r="L5" s="136" t="s">
        <v>1343</v>
      </c>
      <c r="M5" s="135" t="s">
        <v>1344</v>
      </c>
      <c r="N5" s="136"/>
      <c r="O5" s="136" t="s">
        <v>535</v>
      </c>
      <c r="P5" s="136" t="s">
        <v>679</v>
      </c>
      <c r="Q5" s="135" t="s">
        <v>574</v>
      </c>
      <c r="R5" s="135" t="s">
        <v>573</v>
      </c>
      <c r="S5" s="136"/>
      <c r="V5" s="135" t="s">
        <v>1272</v>
      </c>
      <c r="X5" s="135" t="s">
        <v>1264</v>
      </c>
      <c r="Z5" s="135" t="s">
        <v>1247</v>
      </c>
      <c r="AA5" s="136"/>
      <c r="AB5" s="135" t="s">
        <v>1351</v>
      </c>
    </row>
    <row r="6" spans="1:28">
      <c r="A6" s="136" t="s">
        <v>1352</v>
      </c>
      <c r="B6" s="135" t="s">
        <v>1271</v>
      </c>
      <c r="C6" s="135" t="s">
        <v>386</v>
      </c>
      <c r="D6" s="136" t="s">
        <v>1353</v>
      </c>
      <c r="E6" s="136" t="s">
        <v>1340</v>
      </c>
      <c r="F6" s="135" t="s">
        <v>1270</v>
      </c>
      <c r="G6" s="136" t="s">
        <v>1341</v>
      </c>
      <c r="H6" s="135" t="s">
        <v>383</v>
      </c>
      <c r="I6" s="135" t="s">
        <v>731</v>
      </c>
      <c r="J6" s="135" t="s">
        <v>731</v>
      </c>
      <c r="K6" s="135" t="s">
        <v>1268</v>
      </c>
      <c r="L6" s="136" t="s">
        <v>1343</v>
      </c>
      <c r="M6" s="135" t="s">
        <v>1344</v>
      </c>
      <c r="N6" s="136"/>
      <c r="O6" s="136" t="s">
        <v>535</v>
      </c>
      <c r="P6" s="136" t="s">
        <v>677</v>
      </c>
      <c r="Q6" s="135" t="s">
        <v>546</v>
      </c>
      <c r="R6" s="135" t="s">
        <v>545</v>
      </c>
      <c r="S6" s="136"/>
      <c r="V6" s="135" t="s">
        <v>1267</v>
      </c>
      <c r="X6" s="135" t="s">
        <v>1269</v>
      </c>
      <c r="Z6" s="135" t="s">
        <v>1247</v>
      </c>
      <c r="AA6" s="136"/>
      <c r="AB6" s="135" t="s">
        <v>1354</v>
      </c>
    </row>
    <row r="7" spans="1:28">
      <c r="A7" s="136" t="s">
        <v>1355</v>
      </c>
      <c r="B7" s="135" t="s">
        <v>1266</v>
      </c>
      <c r="C7" s="135" t="s">
        <v>386</v>
      </c>
      <c r="D7" s="136" t="s">
        <v>1353</v>
      </c>
      <c r="E7" s="136" t="s">
        <v>1340</v>
      </c>
      <c r="F7" s="135" t="s">
        <v>1265</v>
      </c>
      <c r="G7" s="136" t="s">
        <v>1341</v>
      </c>
      <c r="H7" s="135" t="s">
        <v>383</v>
      </c>
      <c r="I7" s="135" t="s">
        <v>454</v>
      </c>
      <c r="J7" s="135" t="s">
        <v>454</v>
      </c>
      <c r="K7" s="135" t="s">
        <v>1263</v>
      </c>
      <c r="L7" s="136" t="s">
        <v>1343</v>
      </c>
      <c r="M7" s="135" t="s">
        <v>1344</v>
      </c>
      <c r="N7" s="136"/>
      <c r="O7" s="136" t="s">
        <v>535</v>
      </c>
      <c r="P7" s="136" t="s">
        <v>675</v>
      </c>
      <c r="Q7" s="135" t="s">
        <v>546</v>
      </c>
      <c r="R7" s="135" t="s">
        <v>545</v>
      </c>
      <c r="S7" s="136"/>
      <c r="V7" s="135" t="s">
        <v>1262</v>
      </c>
      <c r="X7" s="135" t="s">
        <v>1264</v>
      </c>
      <c r="Z7" s="135" t="s">
        <v>1247</v>
      </c>
      <c r="AA7" s="136"/>
      <c r="AB7" s="135" t="s">
        <v>1356</v>
      </c>
    </row>
    <row r="8" spans="1:28">
      <c r="A8" s="136" t="s">
        <v>1357</v>
      </c>
      <c r="B8" s="135" t="s">
        <v>1261</v>
      </c>
      <c r="C8" s="135" t="s">
        <v>386</v>
      </c>
      <c r="D8" s="136" t="s">
        <v>1353</v>
      </c>
      <c r="E8" s="136" t="s">
        <v>1340</v>
      </c>
      <c r="F8" s="135" t="s">
        <v>1270</v>
      </c>
      <c r="G8" s="136" t="s">
        <v>1341</v>
      </c>
      <c r="H8" s="135" t="s">
        <v>383</v>
      </c>
      <c r="I8" s="135" t="s">
        <v>454</v>
      </c>
      <c r="J8" s="135" t="s">
        <v>454</v>
      </c>
      <c r="K8" s="135" t="s">
        <v>1358</v>
      </c>
      <c r="L8" s="136" t="s">
        <v>1343</v>
      </c>
      <c r="M8" s="135" t="s">
        <v>1344</v>
      </c>
      <c r="N8" s="136"/>
      <c r="O8" s="136" t="s">
        <v>535</v>
      </c>
      <c r="P8" s="136" t="s">
        <v>673</v>
      </c>
      <c r="Q8" s="135" t="s">
        <v>546</v>
      </c>
      <c r="R8" s="135" t="s">
        <v>545</v>
      </c>
      <c r="S8" s="136"/>
      <c r="V8" s="135" t="s">
        <v>1359</v>
      </c>
      <c r="X8" s="135" t="s">
        <v>1269</v>
      </c>
      <c r="Z8" s="135" t="s">
        <v>1247</v>
      </c>
      <c r="AA8" s="136"/>
      <c r="AB8" s="135" t="s">
        <v>1360</v>
      </c>
    </row>
    <row r="9" spans="1:28">
      <c r="A9" s="136" t="s">
        <v>1361</v>
      </c>
      <c r="B9" s="135" t="s">
        <v>1260</v>
      </c>
      <c r="C9" s="135" t="s">
        <v>386</v>
      </c>
      <c r="D9" s="136" t="s">
        <v>1339</v>
      </c>
      <c r="E9" s="136" t="s">
        <v>1340</v>
      </c>
      <c r="F9" s="135" t="s">
        <v>1256</v>
      </c>
      <c r="G9" s="136" t="s">
        <v>1341</v>
      </c>
      <c r="H9" s="135" t="s">
        <v>383</v>
      </c>
      <c r="I9" s="135" t="s">
        <v>550</v>
      </c>
      <c r="J9" s="135" t="s">
        <v>550</v>
      </c>
      <c r="K9" s="135" t="s">
        <v>1259</v>
      </c>
      <c r="L9" s="136" t="s">
        <v>1343</v>
      </c>
      <c r="M9" s="135" t="s">
        <v>1344</v>
      </c>
      <c r="N9" s="136"/>
      <c r="O9" s="136" t="s">
        <v>535</v>
      </c>
      <c r="P9" s="136" t="s">
        <v>566</v>
      </c>
      <c r="Q9" s="135" t="s">
        <v>536</v>
      </c>
      <c r="R9" s="135" t="s">
        <v>534</v>
      </c>
      <c r="S9" s="136"/>
      <c r="V9" s="135" t="s">
        <v>1258</v>
      </c>
      <c r="X9" s="135" t="s">
        <v>1255</v>
      </c>
      <c r="Z9" s="135" t="s">
        <v>1252</v>
      </c>
      <c r="AA9" s="136"/>
      <c r="AB9" s="135" t="s">
        <v>1362</v>
      </c>
    </row>
    <row r="10" spans="1:28">
      <c r="A10" s="136" t="s">
        <v>1363</v>
      </c>
      <c r="B10" s="135" t="s">
        <v>1257</v>
      </c>
      <c r="C10" s="135" t="s">
        <v>386</v>
      </c>
      <c r="D10" s="136" t="s">
        <v>1339</v>
      </c>
      <c r="E10" s="136" t="s">
        <v>1340</v>
      </c>
      <c r="F10" s="135" t="s">
        <v>1256</v>
      </c>
      <c r="G10" s="136" t="s">
        <v>1341</v>
      </c>
      <c r="H10" s="135" t="s">
        <v>383</v>
      </c>
      <c r="I10" s="135" t="s">
        <v>454</v>
      </c>
      <c r="J10" s="135" t="s">
        <v>454</v>
      </c>
      <c r="K10" s="135" t="s">
        <v>1254</v>
      </c>
      <c r="L10" s="136" t="s">
        <v>1343</v>
      </c>
      <c r="M10" s="135" t="s">
        <v>1344</v>
      </c>
      <c r="N10" s="136"/>
      <c r="O10" s="136" t="s">
        <v>535</v>
      </c>
      <c r="P10" s="136" t="s">
        <v>555</v>
      </c>
      <c r="Q10" s="135" t="s">
        <v>536</v>
      </c>
      <c r="R10" s="135" t="s">
        <v>534</v>
      </c>
      <c r="S10" s="136"/>
      <c r="V10" s="135" t="s">
        <v>1253</v>
      </c>
      <c r="X10" s="135" t="s">
        <v>1255</v>
      </c>
      <c r="Z10" s="135" t="s">
        <v>1252</v>
      </c>
      <c r="AA10" s="136"/>
      <c r="AB10" s="135" t="s">
        <v>1364</v>
      </c>
    </row>
    <row r="11" spans="1:28">
      <c r="A11" s="136" t="s">
        <v>1365</v>
      </c>
      <c r="B11" s="135" t="s">
        <v>1366</v>
      </c>
      <c r="C11" s="135" t="s">
        <v>386</v>
      </c>
      <c r="D11" s="136" t="s">
        <v>1350</v>
      </c>
      <c r="E11" s="136" t="s">
        <v>1340</v>
      </c>
      <c r="F11" s="135" t="s">
        <v>1367</v>
      </c>
      <c r="G11" s="136" t="s">
        <v>1341</v>
      </c>
      <c r="H11" s="135" t="s">
        <v>383</v>
      </c>
      <c r="I11" s="135" t="s">
        <v>1278</v>
      </c>
      <c r="J11" s="135" t="s">
        <v>1278</v>
      </c>
      <c r="K11" s="135" t="s">
        <v>1368</v>
      </c>
      <c r="L11" s="136" t="s">
        <v>1369</v>
      </c>
      <c r="M11" s="135" t="s">
        <v>383</v>
      </c>
      <c r="N11" s="136"/>
      <c r="O11" s="136" t="s">
        <v>535</v>
      </c>
      <c r="P11" s="136" t="s">
        <v>677</v>
      </c>
      <c r="Q11" s="135" t="s">
        <v>574</v>
      </c>
      <c r="R11" s="135" t="s">
        <v>573</v>
      </c>
      <c r="S11" s="136"/>
      <c r="V11" s="135" t="s">
        <v>1370</v>
      </c>
      <c r="X11" s="135" t="s">
        <v>1371</v>
      </c>
      <c r="Z11" s="135" t="s">
        <v>1372</v>
      </c>
      <c r="AA11" s="136"/>
      <c r="AB11" s="135" t="s">
        <v>1373</v>
      </c>
    </row>
    <row r="12" spans="1:28">
      <c r="A12" s="136" t="s">
        <v>1374</v>
      </c>
      <c r="B12" s="135" t="s">
        <v>1375</v>
      </c>
      <c r="C12" s="135" t="s">
        <v>386</v>
      </c>
      <c r="D12" s="136" t="s">
        <v>1350</v>
      </c>
      <c r="E12" s="136" t="s">
        <v>1340</v>
      </c>
      <c r="F12" s="135" t="s">
        <v>1376</v>
      </c>
      <c r="G12" s="136" t="s">
        <v>1341</v>
      </c>
      <c r="H12" s="135" t="s">
        <v>383</v>
      </c>
      <c r="I12" s="135" t="s">
        <v>454</v>
      </c>
      <c r="J12" s="135" t="s">
        <v>454</v>
      </c>
      <c r="K12" s="135" t="s">
        <v>1251</v>
      </c>
      <c r="L12" s="136" t="s">
        <v>1369</v>
      </c>
      <c r="M12" s="135" t="s">
        <v>383</v>
      </c>
      <c r="N12" s="136"/>
      <c r="O12" s="136" t="s">
        <v>535</v>
      </c>
      <c r="P12" s="136" t="s">
        <v>673</v>
      </c>
      <c r="Q12" s="135" t="s">
        <v>574</v>
      </c>
      <c r="R12" s="135" t="s">
        <v>573</v>
      </c>
      <c r="S12" s="136"/>
      <c r="V12" s="135" t="s">
        <v>1250</v>
      </c>
      <c r="X12" s="135" t="s">
        <v>1377</v>
      </c>
      <c r="Z12" s="135" t="s">
        <v>1247</v>
      </c>
      <c r="AA12" s="136"/>
      <c r="AB12" s="135" t="s">
        <v>1378</v>
      </c>
    </row>
    <row r="13" spans="1:28">
      <c r="A13" s="136" t="s">
        <v>1379</v>
      </c>
      <c r="B13" s="135" t="s">
        <v>1380</v>
      </c>
      <c r="C13" s="135" t="s">
        <v>386</v>
      </c>
      <c r="D13" s="136" t="s">
        <v>1350</v>
      </c>
      <c r="E13" s="136" t="s">
        <v>1340</v>
      </c>
      <c r="F13" s="135" t="s">
        <v>1376</v>
      </c>
      <c r="G13" s="136" t="s">
        <v>1341</v>
      </c>
      <c r="H13" s="135" t="s">
        <v>383</v>
      </c>
      <c r="I13" s="135" t="s">
        <v>556</v>
      </c>
      <c r="J13" s="135" t="s">
        <v>556</v>
      </c>
      <c r="K13" s="135" t="s">
        <v>1251</v>
      </c>
      <c r="L13" s="136" t="s">
        <v>1369</v>
      </c>
      <c r="M13" s="135" t="s">
        <v>383</v>
      </c>
      <c r="N13" s="136"/>
      <c r="O13" s="136" t="s">
        <v>535</v>
      </c>
      <c r="P13" s="136" t="s">
        <v>667</v>
      </c>
      <c r="Q13" s="135" t="s">
        <v>574</v>
      </c>
      <c r="R13" s="135" t="s">
        <v>573</v>
      </c>
      <c r="S13" s="136"/>
      <c r="V13" s="135" t="s">
        <v>1250</v>
      </c>
      <c r="X13" s="135" t="s">
        <v>1377</v>
      </c>
      <c r="Z13" s="135" t="s">
        <v>1247</v>
      </c>
      <c r="AA13" s="136"/>
      <c r="AB13" s="135" t="s">
        <v>1381</v>
      </c>
    </row>
    <row r="14" spans="1:28">
      <c r="A14" s="136" t="s">
        <v>1382</v>
      </c>
      <c r="B14" s="135" t="s">
        <v>1383</v>
      </c>
      <c r="C14" s="135" t="s">
        <v>386</v>
      </c>
      <c r="D14" s="136" t="s">
        <v>1350</v>
      </c>
      <c r="E14" s="136" t="s">
        <v>1340</v>
      </c>
      <c r="F14" s="135" t="s">
        <v>1376</v>
      </c>
      <c r="G14" s="136" t="s">
        <v>1341</v>
      </c>
      <c r="H14" s="135" t="s">
        <v>383</v>
      </c>
      <c r="I14" s="135" t="s">
        <v>731</v>
      </c>
      <c r="J14" s="135" t="s">
        <v>731</v>
      </c>
      <c r="K14" s="135" t="s">
        <v>1251</v>
      </c>
      <c r="L14" s="136" t="s">
        <v>1369</v>
      </c>
      <c r="M14" s="135" t="s">
        <v>383</v>
      </c>
      <c r="N14" s="136"/>
      <c r="O14" s="136" t="s">
        <v>535</v>
      </c>
      <c r="P14" s="136" t="s">
        <v>1384</v>
      </c>
      <c r="Q14" s="135" t="s">
        <v>574</v>
      </c>
      <c r="R14" s="135" t="s">
        <v>573</v>
      </c>
      <c r="S14" s="136"/>
      <c r="V14" s="135" t="s">
        <v>1250</v>
      </c>
      <c r="X14" s="135" t="s">
        <v>1377</v>
      </c>
      <c r="Z14" s="135" t="s">
        <v>1247</v>
      </c>
      <c r="AA14" s="136"/>
      <c r="AB14" s="135" t="s">
        <v>1385</v>
      </c>
    </row>
    <row r="15" spans="1:28">
      <c r="A15" s="136" t="s">
        <v>1386</v>
      </c>
      <c r="B15" s="135" t="s">
        <v>1387</v>
      </c>
      <c r="C15" s="135" t="s">
        <v>386</v>
      </c>
      <c r="D15" s="136" t="s">
        <v>1339</v>
      </c>
      <c r="E15" s="136" t="s">
        <v>1340</v>
      </c>
      <c r="F15" s="135" t="s">
        <v>690</v>
      </c>
      <c r="G15" s="136" t="s">
        <v>1341</v>
      </c>
      <c r="H15" s="135" t="s">
        <v>383</v>
      </c>
      <c r="I15" s="135" t="s">
        <v>494</v>
      </c>
      <c r="J15" s="135" t="s">
        <v>494</v>
      </c>
      <c r="K15" s="135" t="s">
        <v>1249</v>
      </c>
      <c r="L15" s="136" t="s">
        <v>1369</v>
      </c>
      <c r="M15" s="135" t="s">
        <v>383</v>
      </c>
      <c r="N15" s="136"/>
      <c r="O15" s="136" t="s">
        <v>535</v>
      </c>
      <c r="P15" s="136" t="s">
        <v>566</v>
      </c>
      <c r="Q15" s="135" t="s">
        <v>536</v>
      </c>
      <c r="R15" s="135" t="s">
        <v>534</v>
      </c>
      <c r="S15" s="136"/>
      <c r="V15" s="135" t="s">
        <v>1248</v>
      </c>
      <c r="X15" s="135" t="s">
        <v>571</v>
      </c>
      <c r="Z15" s="135" t="s">
        <v>1247</v>
      </c>
      <c r="AA15" s="136"/>
      <c r="AB15" s="135" t="s">
        <v>1388</v>
      </c>
    </row>
    <row r="16" spans="1:28">
      <c r="A16" s="136" t="s">
        <v>1389</v>
      </c>
      <c r="B16" s="135" t="s">
        <v>1390</v>
      </c>
      <c r="C16" s="135" t="s">
        <v>386</v>
      </c>
      <c r="D16" s="136" t="s">
        <v>1339</v>
      </c>
      <c r="E16" s="136" t="s">
        <v>1340</v>
      </c>
      <c r="F16" s="135" t="s">
        <v>690</v>
      </c>
      <c r="G16" s="136" t="s">
        <v>1341</v>
      </c>
      <c r="H16" s="135" t="s">
        <v>383</v>
      </c>
      <c r="I16" s="135" t="s">
        <v>494</v>
      </c>
      <c r="J16" s="135" t="s">
        <v>494</v>
      </c>
      <c r="K16" s="135" t="s">
        <v>1249</v>
      </c>
      <c r="L16" s="136" t="s">
        <v>1369</v>
      </c>
      <c r="M16" s="135" t="s">
        <v>383</v>
      </c>
      <c r="N16" s="136"/>
      <c r="O16" s="136" t="s">
        <v>535</v>
      </c>
      <c r="P16" s="136" t="s">
        <v>561</v>
      </c>
      <c r="Q16" s="135" t="s">
        <v>536</v>
      </c>
      <c r="R16" s="135" t="s">
        <v>534</v>
      </c>
      <c r="S16" s="136"/>
      <c r="V16" s="135" t="s">
        <v>1248</v>
      </c>
      <c r="X16" s="135" t="s">
        <v>571</v>
      </c>
      <c r="Z16" s="135" t="s">
        <v>1247</v>
      </c>
      <c r="AA16" s="136"/>
      <c r="AB16" s="135" t="s">
        <v>1391</v>
      </c>
    </row>
    <row r="17" spans="1:28">
      <c r="A17" s="136" t="s">
        <v>1392</v>
      </c>
      <c r="B17" s="135" t="s">
        <v>1393</v>
      </c>
      <c r="C17" s="135" t="s">
        <v>1394</v>
      </c>
      <c r="D17" s="136" t="s">
        <v>1395</v>
      </c>
      <c r="E17" s="136" t="s">
        <v>1396</v>
      </c>
      <c r="F17" s="135" t="s">
        <v>530</v>
      </c>
      <c r="G17" s="136" t="s">
        <v>1397</v>
      </c>
      <c r="H17" s="135" t="s">
        <v>383</v>
      </c>
      <c r="I17" s="135" t="s">
        <v>494</v>
      </c>
      <c r="J17" s="135" t="s">
        <v>494</v>
      </c>
      <c r="K17" s="135" t="s">
        <v>864</v>
      </c>
      <c r="L17" s="136" t="s">
        <v>1398</v>
      </c>
      <c r="N17" s="136"/>
      <c r="O17" s="136" t="s">
        <v>727</v>
      </c>
      <c r="P17" s="136" t="s">
        <v>542</v>
      </c>
      <c r="Q17" s="135" t="s">
        <v>516</v>
      </c>
      <c r="R17" s="135" t="s">
        <v>515</v>
      </c>
      <c r="S17" s="136"/>
      <c r="U17" s="135" t="s">
        <v>864</v>
      </c>
      <c r="V17" s="135" t="s">
        <v>452</v>
      </c>
      <c r="X17" s="135" t="s">
        <v>529</v>
      </c>
      <c r="Z17" s="135" t="s">
        <v>505</v>
      </c>
      <c r="AA17" s="136"/>
      <c r="AB17" s="135" t="s">
        <v>1399</v>
      </c>
    </row>
    <row r="18" spans="1:28">
      <c r="A18" s="136" t="s">
        <v>1400</v>
      </c>
      <c r="B18" s="135" t="s">
        <v>1401</v>
      </c>
      <c r="C18" s="135" t="s">
        <v>1394</v>
      </c>
      <c r="D18" s="136" t="s">
        <v>1395</v>
      </c>
      <c r="E18" s="136" t="s">
        <v>1396</v>
      </c>
      <c r="F18" s="135" t="s">
        <v>530</v>
      </c>
      <c r="G18" s="136" t="s">
        <v>1397</v>
      </c>
      <c r="H18" s="135" t="s">
        <v>383</v>
      </c>
      <c r="I18" s="135" t="s">
        <v>494</v>
      </c>
      <c r="J18" s="135" t="s">
        <v>494</v>
      </c>
      <c r="K18" s="135" t="s">
        <v>864</v>
      </c>
      <c r="L18" s="136" t="s">
        <v>1398</v>
      </c>
      <c r="N18" s="136"/>
      <c r="O18" s="136" t="s">
        <v>727</v>
      </c>
      <c r="P18" s="136" t="s">
        <v>504</v>
      </c>
      <c r="Q18" s="135" t="s">
        <v>516</v>
      </c>
      <c r="R18" s="135" t="s">
        <v>515</v>
      </c>
      <c r="S18" s="136"/>
      <c r="U18" s="135" t="s">
        <v>864</v>
      </c>
      <c r="V18" s="135" t="s">
        <v>452</v>
      </c>
      <c r="X18" s="135" t="s">
        <v>529</v>
      </c>
      <c r="Z18" s="135" t="s">
        <v>505</v>
      </c>
      <c r="AA18" s="136"/>
      <c r="AB18" s="135" t="s">
        <v>1402</v>
      </c>
    </row>
    <row r="19" spans="1:28">
      <c r="A19" s="136" t="s">
        <v>1403</v>
      </c>
      <c r="B19" s="135" t="s">
        <v>1404</v>
      </c>
      <c r="C19" s="135" t="s">
        <v>1394</v>
      </c>
      <c r="D19" s="136" t="s">
        <v>1395</v>
      </c>
      <c r="E19" s="136" t="s">
        <v>1396</v>
      </c>
      <c r="F19" s="135" t="s">
        <v>530</v>
      </c>
      <c r="G19" s="136" t="s">
        <v>1397</v>
      </c>
      <c r="H19" s="135" t="s">
        <v>383</v>
      </c>
      <c r="I19" s="135" t="s">
        <v>454</v>
      </c>
      <c r="J19" s="135" t="s">
        <v>454</v>
      </c>
      <c r="K19" s="135" t="s">
        <v>863</v>
      </c>
      <c r="L19" s="136" t="s">
        <v>1405</v>
      </c>
      <c r="N19" s="136"/>
      <c r="O19" s="136" t="s">
        <v>727</v>
      </c>
      <c r="P19" s="136" t="s">
        <v>542</v>
      </c>
      <c r="Q19" s="135" t="s">
        <v>516</v>
      </c>
      <c r="R19" s="135" t="s">
        <v>515</v>
      </c>
      <c r="S19" s="136"/>
      <c r="U19" s="135" t="s">
        <v>863</v>
      </c>
      <c r="V19" s="135" t="s">
        <v>452</v>
      </c>
      <c r="X19" s="135" t="s">
        <v>529</v>
      </c>
      <c r="Z19" s="135" t="s">
        <v>505</v>
      </c>
      <c r="AA19" s="136"/>
      <c r="AB19" s="135" t="s">
        <v>1406</v>
      </c>
    </row>
    <row r="20" spans="1:28">
      <c r="A20" s="136" t="s">
        <v>1407</v>
      </c>
      <c r="B20" s="135" t="s">
        <v>1408</v>
      </c>
      <c r="C20" s="135" t="s">
        <v>1394</v>
      </c>
      <c r="D20" s="136" t="s">
        <v>1395</v>
      </c>
      <c r="E20" s="136" t="s">
        <v>1396</v>
      </c>
      <c r="F20" s="135" t="s">
        <v>530</v>
      </c>
      <c r="G20" s="136" t="s">
        <v>1397</v>
      </c>
      <c r="H20" s="135" t="s">
        <v>383</v>
      </c>
      <c r="I20" s="135" t="s">
        <v>454</v>
      </c>
      <c r="J20" s="135" t="s">
        <v>454</v>
      </c>
      <c r="K20" s="135" t="s">
        <v>862</v>
      </c>
      <c r="L20" s="136" t="s">
        <v>1409</v>
      </c>
      <c r="N20" s="136"/>
      <c r="O20" s="136" t="s">
        <v>727</v>
      </c>
      <c r="P20" s="136" t="s">
        <v>542</v>
      </c>
      <c r="Q20" s="135" t="s">
        <v>516</v>
      </c>
      <c r="R20" s="135" t="s">
        <v>515</v>
      </c>
      <c r="S20" s="136"/>
      <c r="U20" s="135" t="s">
        <v>862</v>
      </c>
      <c r="V20" s="135" t="s">
        <v>452</v>
      </c>
      <c r="X20" s="135" t="s">
        <v>529</v>
      </c>
      <c r="Z20" s="135" t="s">
        <v>505</v>
      </c>
      <c r="AA20" s="136"/>
      <c r="AB20" s="135" t="s">
        <v>1410</v>
      </c>
    </row>
    <row r="21" spans="1:28">
      <c r="A21" s="136" t="s">
        <v>1411</v>
      </c>
      <c r="B21" s="135" t="s">
        <v>1412</v>
      </c>
      <c r="C21" s="135" t="s">
        <v>1413</v>
      </c>
      <c r="D21" s="136" t="s">
        <v>1395</v>
      </c>
      <c r="E21" s="136" t="s">
        <v>1396</v>
      </c>
      <c r="F21" s="135" t="s">
        <v>602</v>
      </c>
      <c r="G21" s="136" t="s">
        <v>1414</v>
      </c>
      <c r="H21" s="135" t="s">
        <v>383</v>
      </c>
      <c r="I21" s="135" t="s">
        <v>454</v>
      </c>
      <c r="J21" s="135" t="s">
        <v>454</v>
      </c>
      <c r="K21" s="135" t="s">
        <v>1244</v>
      </c>
      <c r="L21" s="136" t="s">
        <v>1415</v>
      </c>
      <c r="N21" s="136"/>
      <c r="O21" s="136" t="s">
        <v>727</v>
      </c>
      <c r="P21" s="136" t="s">
        <v>1416</v>
      </c>
      <c r="Q21" s="135" t="s">
        <v>1241</v>
      </c>
      <c r="R21" s="135" t="s">
        <v>515</v>
      </c>
      <c r="S21" s="136"/>
      <c r="U21" s="135" t="s">
        <v>1244</v>
      </c>
      <c r="V21" s="135" t="s">
        <v>452</v>
      </c>
      <c r="X21" s="135" t="s">
        <v>601</v>
      </c>
      <c r="Z21" s="135" t="s">
        <v>505</v>
      </c>
      <c r="AA21" s="136"/>
      <c r="AB21" s="135" t="s">
        <v>1417</v>
      </c>
    </row>
    <row r="22" spans="1:28">
      <c r="A22" s="136" t="s">
        <v>1418</v>
      </c>
      <c r="B22" s="135" t="s">
        <v>1419</v>
      </c>
      <c r="C22" s="135" t="s">
        <v>1413</v>
      </c>
      <c r="D22" s="136" t="s">
        <v>1395</v>
      </c>
      <c r="E22" s="136" t="s">
        <v>1396</v>
      </c>
      <c r="F22" s="135" t="s">
        <v>602</v>
      </c>
      <c r="G22" s="136" t="s">
        <v>1414</v>
      </c>
      <c r="H22" s="135" t="s">
        <v>383</v>
      </c>
      <c r="I22" s="135" t="s">
        <v>454</v>
      </c>
      <c r="J22" s="135" t="s">
        <v>454</v>
      </c>
      <c r="K22" s="135" t="s">
        <v>1243</v>
      </c>
      <c r="L22" s="136" t="s">
        <v>1415</v>
      </c>
      <c r="N22" s="136"/>
      <c r="O22" s="136" t="s">
        <v>727</v>
      </c>
      <c r="P22" s="136" t="s">
        <v>1416</v>
      </c>
      <c r="Q22" s="135" t="s">
        <v>1241</v>
      </c>
      <c r="R22" s="135" t="s">
        <v>515</v>
      </c>
      <c r="S22" s="136"/>
      <c r="U22" s="135" t="s">
        <v>1243</v>
      </c>
      <c r="V22" s="135" t="s">
        <v>452</v>
      </c>
      <c r="X22" s="135" t="s">
        <v>601</v>
      </c>
      <c r="Z22" s="135" t="s">
        <v>505</v>
      </c>
      <c r="AA22" s="136"/>
      <c r="AB22" s="135" t="s">
        <v>1420</v>
      </c>
    </row>
    <row r="23" spans="1:28">
      <c r="A23" s="136" t="s">
        <v>1421</v>
      </c>
      <c r="B23" s="135" t="s">
        <v>1422</v>
      </c>
      <c r="C23" s="135" t="s">
        <v>1413</v>
      </c>
      <c r="D23" s="136" t="s">
        <v>1395</v>
      </c>
      <c r="E23" s="136" t="s">
        <v>1396</v>
      </c>
      <c r="F23" s="135" t="s">
        <v>602</v>
      </c>
      <c r="G23" s="136" t="s">
        <v>1414</v>
      </c>
      <c r="H23" s="135" t="s">
        <v>383</v>
      </c>
      <c r="I23" s="135" t="s">
        <v>454</v>
      </c>
      <c r="J23" s="135" t="s">
        <v>454</v>
      </c>
      <c r="K23" s="135" t="s">
        <v>1242</v>
      </c>
      <c r="L23" s="136" t="s">
        <v>1423</v>
      </c>
      <c r="N23" s="136"/>
      <c r="O23" s="136" t="s">
        <v>727</v>
      </c>
      <c r="P23" s="136" t="s">
        <v>1416</v>
      </c>
      <c r="Q23" s="135" t="s">
        <v>1241</v>
      </c>
      <c r="R23" s="135" t="s">
        <v>515</v>
      </c>
      <c r="S23" s="136"/>
      <c r="U23" s="135" t="s">
        <v>1242</v>
      </c>
      <c r="V23" s="135" t="s">
        <v>452</v>
      </c>
      <c r="X23" s="135" t="s">
        <v>601</v>
      </c>
      <c r="Z23" s="135" t="s">
        <v>505</v>
      </c>
      <c r="AA23" s="136"/>
      <c r="AB23" s="135" t="s">
        <v>1424</v>
      </c>
    </row>
    <row r="24" spans="1:28">
      <c r="A24" s="136" t="s">
        <v>1425</v>
      </c>
      <c r="B24" s="135" t="s">
        <v>1426</v>
      </c>
      <c r="C24" s="135" t="s">
        <v>1413</v>
      </c>
      <c r="D24" s="136" t="s">
        <v>1395</v>
      </c>
      <c r="E24" s="136" t="s">
        <v>1396</v>
      </c>
      <c r="F24" s="135" t="s">
        <v>602</v>
      </c>
      <c r="G24" s="136" t="s">
        <v>1414</v>
      </c>
      <c r="H24" s="135" t="s">
        <v>383</v>
      </c>
      <c r="I24" s="135" t="s">
        <v>454</v>
      </c>
      <c r="J24" s="135" t="s">
        <v>454</v>
      </c>
      <c r="K24" s="135" t="s">
        <v>1240</v>
      </c>
      <c r="L24" s="136" t="s">
        <v>1423</v>
      </c>
      <c r="N24" s="136"/>
      <c r="O24" s="136" t="s">
        <v>727</v>
      </c>
      <c r="P24" s="136" t="s">
        <v>1416</v>
      </c>
      <c r="Q24" s="135" t="s">
        <v>1241</v>
      </c>
      <c r="R24" s="135" t="s">
        <v>515</v>
      </c>
      <c r="S24" s="136"/>
      <c r="U24" s="135" t="s">
        <v>1240</v>
      </c>
      <c r="V24" s="135" t="s">
        <v>452</v>
      </c>
      <c r="X24" s="135" t="s">
        <v>601</v>
      </c>
      <c r="Z24" s="135" t="s">
        <v>505</v>
      </c>
      <c r="AA24" s="136"/>
      <c r="AB24" s="135" t="s">
        <v>1427</v>
      </c>
    </row>
    <row r="25" spans="1:28">
      <c r="A25" s="136" t="s">
        <v>1428</v>
      </c>
      <c r="B25" s="135" t="s">
        <v>1429</v>
      </c>
      <c r="C25" s="135" t="s">
        <v>386</v>
      </c>
      <c r="D25" s="136" t="s">
        <v>1339</v>
      </c>
      <c r="E25" s="136" t="s">
        <v>457</v>
      </c>
      <c r="F25" s="135" t="s">
        <v>1430</v>
      </c>
      <c r="G25" s="136" t="s">
        <v>1431</v>
      </c>
      <c r="H25" s="135" t="s">
        <v>383</v>
      </c>
      <c r="I25" s="135" t="s">
        <v>454</v>
      </c>
      <c r="J25" s="135" t="s">
        <v>454</v>
      </c>
      <c r="K25" s="135" t="s">
        <v>1432</v>
      </c>
      <c r="L25" s="136" t="s">
        <v>1433</v>
      </c>
      <c r="N25" s="136"/>
      <c r="O25" s="136" t="s">
        <v>727</v>
      </c>
      <c r="P25" s="136" t="s">
        <v>566</v>
      </c>
      <c r="Q25" s="135" t="s">
        <v>536</v>
      </c>
      <c r="R25" s="135" t="s">
        <v>534</v>
      </c>
      <c r="S25" s="136"/>
      <c r="U25" s="135" t="s">
        <v>1432</v>
      </c>
      <c r="V25" s="135" t="s">
        <v>452</v>
      </c>
      <c r="X25" s="135" t="s">
        <v>1434</v>
      </c>
      <c r="Z25" s="135" t="s">
        <v>505</v>
      </c>
      <c r="AA25" s="136"/>
      <c r="AB25" s="135" t="s">
        <v>1435</v>
      </c>
    </row>
    <row r="26" spans="1:28">
      <c r="A26" s="136" t="s">
        <v>1436</v>
      </c>
      <c r="B26" s="135" t="s">
        <v>991</v>
      </c>
      <c r="C26" s="135" t="s">
        <v>386</v>
      </c>
      <c r="D26" s="136" t="s">
        <v>1339</v>
      </c>
      <c r="E26" s="136" t="s">
        <v>1340</v>
      </c>
      <c r="F26" s="135" t="s">
        <v>983</v>
      </c>
      <c r="G26" s="136" t="s">
        <v>1437</v>
      </c>
      <c r="H26" s="135" t="s">
        <v>383</v>
      </c>
      <c r="I26" s="135" t="s">
        <v>454</v>
      </c>
      <c r="J26" s="135" t="s">
        <v>454</v>
      </c>
      <c r="K26" s="135" t="s">
        <v>989</v>
      </c>
      <c r="L26" s="136" t="s">
        <v>1438</v>
      </c>
      <c r="M26" s="135" t="s">
        <v>383</v>
      </c>
      <c r="N26" s="136"/>
      <c r="O26" s="136" t="s">
        <v>535</v>
      </c>
      <c r="P26" s="136" t="s">
        <v>542</v>
      </c>
      <c r="Q26" s="135" t="s">
        <v>536</v>
      </c>
      <c r="R26" s="135" t="s">
        <v>534</v>
      </c>
      <c r="S26" s="136"/>
      <c r="V26" s="135" t="s">
        <v>988</v>
      </c>
      <c r="X26" s="135" t="s">
        <v>982</v>
      </c>
      <c r="Z26" s="135" t="s">
        <v>505</v>
      </c>
      <c r="AA26" s="136"/>
      <c r="AB26" s="135" t="s">
        <v>1439</v>
      </c>
    </row>
    <row r="27" spans="1:28">
      <c r="A27" s="136" t="s">
        <v>1440</v>
      </c>
      <c r="B27" s="135" t="s">
        <v>990</v>
      </c>
      <c r="C27" s="135" t="s">
        <v>386</v>
      </c>
      <c r="D27" s="136" t="s">
        <v>1339</v>
      </c>
      <c r="E27" s="136" t="s">
        <v>1340</v>
      </c>
      <c r="F27" s="135" t="s">
        <v>983</v>
      </c>
      <c r="G27" s="136" t="s">
        <v>1437</v>
      </c>
      <c r="H27" s="135" t="s">
        <v>383</v>
      </c>
      <c r="I27" s="135" t="s">
        <v>494</v>
      </c>
      <c r="J27" s="135" t="s">
        <v>494</v>
      </c>
      <c r="K27" s="135" t="s">
        <v>989</v>
      </c>
      <c r="L27" s="136" t="s">
        <v>1438</v>
      </c>
      <c r="M27" s="135" t="s">
        <v>383</v>
      </c>
      <c r="N27" s="136"/>
      <c r="O27" s="136" t="s">
        <v>535</v>
      </c>
      <c r="P27" s="136" t="s">
        <v>504</v>
      </c>
      <c r="Q27" s="135" t="s">
        <v>536</v>
      </c>
      <c r="R27" s="135" t="s">
        <v>534</v>
      </c>
      <c r="S27" s="136"/>
      <c r="V27" s="135" t="s">
        <v>988</v>
      </c>
      <c r="X27" s="135" t="s">
        <v>982</v>
      </c>
      <c r="Z27" s="135" t="s">
        <v>505</v>
      </c>
      <c r="AA27" s="136"/>
      <c r="AB27" s="135" t="s">
        <v>1441</v>
      </c>
    </row>
    <row r="28" spans="1:28">
      <c r="A28" s="136" t="s">
        <v>1442</v>
      </c>
      <c r="B28" s="135" t="s">
        <v>987</v>
      </c>
      <c r="C28" s="135" t="s">
        <v>386</v>
      </c>
      <c r="D28" s="136" t="s">
        <v>1350</v>
      </c>
      <c r="E28" s="136" t="s">
        <v>1340</v>
      </c>
      <c r="F28" s="135" t="s">
        <v>983</v>
      </c>
      <c r="G28" s="136" t="s">
        <v>1437</v>
      </c>
      <c r="H28" s="135" t="s">
        <v>383</v>
      </c>
      <c r="I28" s="135" t="s">
        <v>454</v>
      </c>
      <c r="J28" s="135" t="s">
        <v>454</v>
      </c>
      <c r="K28" s="135" t="s">
        <v>986</v>
      </c>
      <c r="L28" s="136" t="s">
        <v>1438</v>
      </c>
      <c r="M28" s="135" t="s">
        <v>383</v>
      </c>
      <c r="N28" s="136"/>
      <c r="O28" s="136" t="s">
        <v>535</v>
      </c>
      <c r="P28" s="136" t="s">
        <v>682</v>
      </c>
      <c r="Q28" s="135" t="s">
        <v>574</v>
      </c>
      <c r="R28" s="135" t="s">
        <v>573</v>
      </c>
      <c r="S28" s="136"/>
      <c r="V28" s="135" t="s">
        <v>985</v>
      </c>
      <c r="X28" s="135" t="s">
        <v>982</v>
      </c>
      <c r="Z28" s="135" t="s">
        <v>505</v>
      </c>
      <c r="AA28" s="136"/>
      <c r="AB28" s="135" t="s">
        <v>1443</v>
      </c>
    </row>
    <row r="29" spans="1:28">
      <c r="A29" s="136" t="s">
        <v>1444</v>
      </c>
      <c r="B29" s="135" t="s">
        <v>984</v>
      </c>
      <c r="C29" s="135" t="s">
        <v>386</v>
      </c>
      <c r="D29" s="136" t="s">
        <v>1339</v>
      </c>
      <c r="E29" s="136" t="s">
        <v>1340</v>
      </c>
      <c r="F29" s="135" t="s">
        <v>983</v>
      </c>
      <c r="G29" s="136" t="s">
        <v>1437</v>
      </c>
      <c r="H29" s="135" t="s">
        <v>383</v>
      </c>
      <c r="I29" s="135" t="s">
        <v>454</v>
      </c>
      <c r="J29" s="135" t="s">
        <v>454</v>
      </c>
      <c r="K29" s="135" t="s">
        <v>981</v>
      </c>
      <c r="L29" s="136" t="s">
        <v>1438</v>
      </c>
      <c r="M29" s="135" t="s">
        <v>383</v>
      </c>
      <c r="N29" s="136"/>
      <c r="O29" s="136" t="s">
        <v>535</v>
      </c>
      <c r="P29" s="136" t="s">
        <v>566</v>
      </c>
      <c r="Q29" s="135" t="s">
        <v>536</v>
      </c>
      <c r="R29" s="135" t="s">
        <v>534</v>
      </c>
      <c r="S29" s="136"/>
      <c r="V29" s="135" t="s">
        <v>980</v>
      </c>
      <c r="X29" s="135" t="s">
        <v>982</v>
      </c>
      <c r="Z29" s="135" t="s">
        <v>505</v>
      </c>
      <c r="AA29" s="136"/>
      <c r="AB29" s="135" t="s">
        <v>1445</v>
      </c>
    </row>
    <row r="30" spans="1:28">
      <c r="A30" s="136" t="s">
        <v>1446</v>
      </c>
      <c r="B30" s="135" t="s">
        <v>1447</v>
      </c>
      <c r="C30" s="135" t="s">
        <v>386</v>
      </c>
      <c r="D30" s="136" t="s">
        <v>1353</v>
      </c>
      <c r="E30" s="136" t="s">
        <v>1448</v>
      </c>
      <c r="F30" s="135" t="s">
        <v>1449</v>
      </c>
      <c r="G30" s="136" t="s">
        <v>1450</v>
      </c>
      <c r="H30" s="135" t="s">
        <v>383</v>
      </c>
      <c r="I30" s="135" t="s">
        <v>480</v>
      </c>
      <c r="J30" s="135" t="s">
        <v>480</v>
      </c>
      <c r="K30" s="135" t="s">
        <v>1451</v>
      </c>
      <c r="L30" s="136" t="s">
        <v>1452</v>
      </c>
      <c r="M30" s="135" t="s">
        <v>383</v>
      </c>
      <c r="N30" s="136"/>
      <c r="O30" s="136" t="s">
        <v>535</v>
      </c>
      <c r="P30" s="136" t="s">
        <v>1453</v>
      </c>
      <c r="Q30" s="135" t="s">
        <v>546</v>
      </c>
      <c r="R30" s="135" t="s">
        <v>545</v>
      </c>
      <c r="S30" s="136"/>
      <c r="V30" s="135" t="s">
        <v>529</v>
      </c>
      <c r="X30" s="135" t="s">
        <v>1454</v>
      </c>
      <c r="Z30" s="135" t="s">
        <v>1372</v>
      </c>
      <c r="AA30" s="136"/>
      <c r="AB30" s="135" t="s">
        <v>1455</v>
      </c>
    </row>
    <row r="31" spans="1:28">
      <c r="A31" s="136" t="s">
        <v>1456</v>
      </c>
      <c r="B31" s="135" t="s">
        <v>1457</v>
      </c>
      <c r="C31" s="135" t="s">
        <v>386</v>
      </c>
      <c r="D31" s="136" t="s">
        <v>1353</v>
      </c>
      <c r="E31" s="136" t="s">
        <v>1448</v>
      </c>
      <c r="F31" s="135" t="s">
        <v>1458</v>
      </c>
      <c r="G31" s="136" t="s">
        <v>1450</v>
      </c>
      <c r="H31" s="135" t="s">
        <v>383</v>
      </c>
      <c r="I31" s="135" t="s">
        <v>454</v>
      </c>
      <c r="J31" s="135" t="s">
        <v>454</v>
      </c>
      <c r="K31" s="135" t="s">
        <v>1459</v>
      </c>
      <c r="L31" s="136" t="s">
        <v>1452</v>
      </c>
      <c r="M31" s="135" t="s">
        <v>383</v>
      </c>
      <c r="N31" s="136"/>
      <c r="O31" s="136" t="s">
        <v>535</v>
      </c>
      <c r="P31" s="136" t="s">
        <v>1460</v>
      </c>
      <c r="Q31" s="135" t="s">
        <v>546</v>
      </c>
      <c r="R31" s="135" t="s">
        <v>545</v>
      </c>
      <c r="S31" s="136"/>
      <c r="V31" s="135" t="s">
        <v>610</v>
      </c>
      <c r="X31" s="135" t="s">
        <v>1461</v>
      </c>
      <c r="Z31" s="135" t="s">
        <v>1372</v>
      </c>
      <c r="AA31" s="136"/>
      <c r="AB31" s="135" t="s">
        <v>1462</v>
      </c>
    </row>
    <row r="32" spans="1:28">
      <c r="A32" s="136" t="s">
        <v>1463</v>
      </c>
      <c r="B32" s="135" t="s">
        <v>1464</v>
      </c>
      <c r="C32" s="135" t="s">
        <v>386</v>
      </c>
      <c r="D32" s="136" t="s">
        <v>1353</v>
      </c>
      <c r="E32" s="136" t="s">
        <v>1448</v>
      </c>
      <c r="F32" s="135" t="s">
        <v>1465</v>
      </c>
      <c r="G32" s="136" t="s">
        <v>1450</v>
      </c>
      <c r="H32" s="135" t="s">
        <v>383</v>
      </c>
      <c r="I32" s="135" t="s">
        <v>454</v>
      </c>
      <c r="J32" s="135" t="s">
        <v>454</v>
      </c>
      <c r="K32" s="135" t="s">
        <v>1466</v>
      </c>
      <c r="L32" s="136" t="s">
        <v>1452</v>
      </c>
      <c r="M32" s="135" t="s">
        <v>383</v>
      </c>
      <c r="N32" s="136"/>
      <c r="O32" s="136" t="s">
        <v>535</v>
      </c>
      <c r="P32" s="136" t="s">
        <v>1467</v>
      </c>
      <c r="Q32" s="135" t="s">
        <v>546</v>
      </c>
      <c r="R32" s="135" t="s">
        <v>545</v>
      </c>
      <c r="S32" s="136"/>
      <c r="V32" s="135" t="s">
        <v>529</v>
      </c>
      <c r="X32" s="135" t="s">
        <v>1468</v>
      </c>
      <c r="Z32" s="135" t="s">
        <v>1372</v>
      </c>
      <c r="AA32" s="136"/>
      <c r="AB32" s="135" t="s">
        <v>1469</v>
      </c>
    </row>
    <row r="33" spans="1:28">
      <c r="A33" s="136" t="s">
        <v>1470</v>
      </c>
      <c r="B33" s="135" t="s">
        <v>1471</v>
      </c>
      <c r="C33" s="135" t="s">
        <v>386</v>
      </c>
      <c r="D33" s="136" t="s">
        <v>1353</v>
      </c>
      <c r="E33" s="136" t="s">
        <v>1448</v>
      </c>
      <c r="F33" s="135" t="s">
        <v>1472</v>
      </c>
      <c r="G33" s="136" t="s">
        <v>1450</v>
      </c>
      <c r="H33" s="135" t="s">
        <v>383</v>
      </c>
      <c r="I33" s="135" t="s">
        <v>494</v>
      </c>
      <c r="J33" s="135" t="s">
        <v>494</v>
      </c>
      <c r="K33" s="135" t="s">
        <v>1473</v>
      </c>
      <c r="L33" s="136" t="s">
        <v>1452</v>
      </c>
      <c r="M33" s="135" t="s">
        <v>383</v>
      </c>
      <c r="N33" s="136"/>
      <c r="O33" s="136" t="s">
        <v>535</v>
      </c>
      <c r="P33" s="136" t="s">
        <v>1474</v>
      </c>
      <c r="Q33" s="135" t="s">
        <v>546</v>
      </c>
      <c r="R33" s="135" t="s">
        <v>545</v>
      </c>
      <c r="S33" s="136"/>
      <c r="V33" s="135" t="s">
        <v>529</v>
      </c>
      <c r="X33" s="135" t="s">
        <v>1475</v>
      </c>
      <c r="Z33" s="135" t="s">
        <v>1372</v>
      </c>
      <c r="AA33" s="136"/>
      <c r="AB33" s="135" t="s">
        <v>1476</v>
      </c>
    </row>
    <row r="34" spans="1:28">
      <c r="A34" s="136" t="s">
        <v>1477</v>
      </c>
      <c r="B34" s="135" t="s">
        <v>1478</v>
      </c>
      <c r="C34" s="135" t="s">
        <v>386</v>
      </c>
      <c r="D34" s="136" t="s">
        <v>1353</v>
      </c>
      <c r="E34" s="136" t="s">
        <v>1448</v>
      </c>
      <c r="F34" s="135" t="s">
        <v>1479</v>
      </c>
      <c r="G34" s="136" t="s">
        <v>1450</v>
      </c>
      <c r="H34" s="135" t="s">
        <v>383</v>
      </c>
      <c r="I34" s="135" t="s">
        <v>454</v>
      </c>
      <c r="J34" s="135" t="s">
        <v>454</v>
      </c>
      <c r="K34" s="135" t="s">
        <v>1480</v>
      </c>
      <c r="L34" s="136" t="s">
        <v>1452</v>
      </c>
      <c r="M34" s="135" t="s">
        <v>383</v>
      </c>
      <c r="N34" s="136"/>
      <c r="O34" s="136" t="s">
        <v>535</v>
      </c>
      <c r="P34" s="136" t="s">
        <v>1481</v>
      </c>
      <c r="Q34" s="135" t="s">
        <v>546</v>
      </c>
      <c r="R34" s="135" t="s">
        <v>545</v>
      </c>
      <c r="S34" s="136"/>
      <c r="V34" s="135" t="s">
        <v>529</v>
      </c>
      <c r="X34" s="135" t="s">
        <v>1482</v>
      </c>
      <c r="Z34" s="135" t="s">
        <v>1372</v>
      </c>
      <c r="AA34" s="136"/>
      <c r="AB34" s="135" t="s">
        <v>1483</v>
      </c>
    </row>
    <row r="35" spans="1:28">
      <c r="A35" s="136" t="s">
        <v>1484</v>
      </c>
      <c r="B35" s="135" t="s">
        <v>1485</v>
      </c>
      <c r="C35" s="135" t="s">
        <v>1486</v>
      </c>
      <c r="D35" s="136" t="s">
        <v>1487</v>
      </c>
      <c r="E35" s="136" t="s">
        <v>1396</v>
      </c>
      <c r="F35" s="135" t="s">
        <v>470</v>
      </c>
      <c r="G35" s="136" t="s">
        <v>1488</v>
      </c>
      <c r="I35" s="135" t="s">
        <v>454</v>
      </c>
      <c r="J35" s="135" t="s">
        <v>454</v>
      </c>
      <c r="K35" s="135" t="s">
        <v>469</v>
      </c>
      <c r="L35" s="136" t="s">
        <v>1488</v>
      </c>
      <c r="N35" s="136"/>
      <c r="O35" s="136" t="s">
        <v>459</v>
      </c>
      <c r="P35" s="136" t="s">
        <v>1489</v>
      </c>
      <c r="Q35" s="135" t="s">
        <v>460</v>
      </c>
      <c r="R35" s="135" t="s">
        <v>458</v>
      </c>
      <c r="S35" s="136"/>
      <c r="U35" s="135" t="s">
        <v>469</v>
      </c>
      <c r="V35" s="135" t="s">
        <v>452</v>
      </c>
      <c r="W35" s="135" t="s">
        <v>470</v>
      </c>
      <c r="X35" s="135" t="s">
        <v>455</v>
      </c>
      <c r="Z35" s="135" t="s">
        <v>451</v>
      </c>
      <c r="AA35" s="136"/>
      <c r="AB35" s="135" t="s">
        <v>1490</v>
      </c>
    </row>
    <row r="36" spans="1:28">
      <c r="A36" s="136" t="s">
        <v>1491</v>
      </c>
      <c r="B36" s="135" t="s">
        <v>1492</v>
      </c>
      <c r="C36" s="135" t="s">
        <v>1486</v>
      </c>
      <c r="D36" s="136" t="s">
        <v>1487</v>
      </c>
      <c r="E36" s="136" t="s">
        <v>1396</v>
      </c>
      <c r="F36" s="135" t="s">
        <v>462</v>
      </c>
      <c r="G36" s="136" t="s">
        <v>1493</v>
      </c>
      <c r="I36" s="135" t="s">
        <v>454</v>
      </c>
      <c r="J36" s="135" t="s">
        <v>454</v>
      </c>
      <c r="K36" s="135" t="s">
        <v>461</v>
      </c>
      <c r="L36" s="136" t="s">
        <v>1493</v>
      </c>
      <c r="N36" s="136"/>
      <c r="O36" s="136" t="s">
        <v>459</v>
      </c>
      <c r="P36" s="136" t="s">
        <v>1494</v>
      </c>
      <c r="Q36" s="135" t="s">
        <v>460</v>
      </c>
      <c r="R36" s="135" t="s">
        <v>458</v>
      </c>
      <c r="S36" s="136"/>
      <c r="U36" s="135" t="s">
        <v>461</v>
      </c>
      <c r="V36" s="135" t="s">
        <v>452</v>
      </c>
      <c r="W36" s="135" t="s">
        <v>462</v>
      </c>
      <c r="X36" s="135" t="s">
        <v>455</v>
      </c>
      <c r="Z36" s="135" t="s">
        <v>451</v>
      </c>
      <c r="AA36" s="136"/>
      <c r="AB36" s="135" t="s">
        <v>1495</v>
      </c>
    </row>
    <row r="37" spans="1:28">
      <c r="A37" s="136" t="s">
        <v>1496</v>
      </c>
      <c r="B37" s="135" t="s">
        <v>1497</v>
      </c>
      <c r="C37" s="135" t="s">
        <v>1394</v>
      </c>
      <c r="D37" s="136" t="s">
        <v>1498</v>
      </c>
      <c r="E37" s="136" t="s">
        <v>1396</v>
      </c>
      <c r="F37" s="135" t="s">
        <v>1451</v>
      </c>
      <c r="G37" s="136" t="s">
        <v>1452</v>
      </c>
      <c r="H37" s="135" t="s">
        <v>383</v>
      </c>
      <c r="I37" s="135" t="s">
        <v>480</v>
      </c>
      <c r="J37" s="135" t="s">
        <v>480</v>
      </c>
      <c r="K37" s="135" t="s">
        <v>487</v>
      </c>
      <c r="L37" s="136" t="s">
        <v>1499</v>
      </c>
      <c r="N37" s="136"/>
      <c r="O37" s="136" t="s">
        <v>459</v>
      </c>
      <c r="P37" s="136" t="s">
        <v>1500</v>
      </c>
      <c r="Q37" s="135" t="s">
        <v>486</v>
      </c>
      <c r="R37" s="135" t="s">
        <v>485</v>
      </c>
      <c r="S37" s="136"/>
      <c r="U37" s="135" t="s">
        <v>487</v>
      </c>
      <c r="V37" s="135" t="s">
        <v>452</v>
      </c>
      <c r="X37" s="135" t="s">
        <v>529</v>
      </c>
      <c r="Z37" s="135" t="s">
        <v>451</v>
      </c>
      <c r="AA37" s="136"/>
      <c r="AB37" s="135" t="s">
        <v>1501</v>
      </c>
    </row>
    <row r="38" spans="1:28">
      <c r="A38" s="136" t="s">
        <v>1502</v>
      </c>
      <c r="B38" s="135" t="s">
        <v>1503</v>
      </c>
      <c r="C38" s="135" t="s">
        <v>1486</v>
      </c>
      <c r="D38" s="136" t="s">
        <v>1487</v>
      </c>
      <c r="E38" s="136" t="s">
        <v>1396</v>
      </c>
      <c r="F38" s="135" t="s">
        <v>476</v>
      </c>
      <c r="G38" s="136" t="s">
        <v>1504</v>
      </c>
      <c r="I38" s="135" t="s">
        <v>454</v>
      </c>
      <c r="J38" s="135" t="s">
        <v>454</v>
      </c>
      <c r="K38" s="135" t="s">
        <v>475</v>
      </c>
      <c r="L38" s="136" t="s">
        <v>1504</v>
      </c>
      <c r="N38" s="136"/>
      <c r="O38" s="136" t="s">
        <v>459</v>
      </c>
      <c r="P38" s="136" t="s">
        <v>1505</v>
      </c>
      <c r="Q38" s="135" t="s">
        <v>460</v>
      </c>
      <c r="R38" s="135" t="s">
        <v>458</v>
      </c>
      <c r="S38" s="136"/>
      <c r="U38" s="135" t="s">
        <v>475</v>
      </c>
      <c r="V38" s="135" t="s">
        <v>452</v>
      </c>
      <c r="W38" s="135" t="s">
        <v>476</v>
      </c>
      <c r="X38" s="135" t="s">
        <v>455</v>
      </c>
      <c r="Z38" s="135" t="s">
        <v>451</v>
      </c>
      <c r="AA38" s="136"/>
      <c r="AB38" s="135" t="s">
        <v>1506</v>
      </c>
    </row>
    <row r="39" spans="1:28">
      <c r="A39" s="136" t="s">
        <v>1507</v>
      </c>
      <c r="B39" s="135" t="s">
        <v>1508</v>
      </c>
      <c r="C39" s="135" t="s">
        <v>1486</v>
      </c>
      <c r="D39" s="136" t="s">
        <v>1509</v>
      </c>
      <c r="E39" s="136" t="s">
        <v>1396</v>
      </c>
      <c r="F39" s="135" t="s">
        <v>1459</v>
      </c>
      <c r="G39" s="136" t="s">
        <v>1452</v>
      </c>
      <c r="H39" s="135" t="s">
        <v>383</v>
      </c>
      <c r="I39" s="135" t="s">
        <v>480</v>
      </c>
      <c r="J39" s="135" t="s">
        <v>480</v>
      </c>
      <c r="K39" s="135" t="s">
        <v>479</v>
      </c>
      <c r="L39" s="136" t="s">
        <v>1510</v>
      </c>
      <c r="N39" s="136"/>
      <c r="O39" s="136" t="s">
        <v>459</v>
      </c>
      <c r="P39" s="136" t="s">
        <v>1511</v>
      </c>
      <c r="Q39" s="135" t="s">
        <v>483</v>
      </c>
      <c r="R39" s="135" t="s">
        <v>482</v>
      </c>
      <c r="S39" s="136"/>
      <c r="U39" s="135" t="s">
        <v>479</v>
      </c>
      <c r="V39" s="135" t="s">
        <v>452</v>
      </c>
      <c r="X39" s="135" t="s">
        <v>610</v>
      </c>
      <c r="Z39" s="135" t="s">
        <v>451</v>
      </c>
      <c r="AA39" s="136"/>
      <c r="AB39" s="135" t="s">
        <v>1512</v>
      </c>
    </row>
    <row r="40" spans="1:28">
      <c r="A40" s="136" t="s">
        <v>1513</v>
      </c>
      <c r="B40" s="135" t="s">
        <v>1514</v>
      </c>
      <c r="C40" s="135" t="s">
        <v>1486</v>
      </c>
      <c r="D40" s="136" t="s">
        <v>1487</v>
      </c>
      <c r="E40" s="136" t="s">
        <v>1396</v>
      </c>
      <c r="F40" s="135" t="s">
        <v>491</v>
      </c>
      <c r="G40" s="136" t="s">
        <v>399</v>
      </c>
      <c r="I40" s="135" t="s">
        <v>454</v>
      </c>
      <c r="J40" s="135" t="s">
        <v>454</v>
      </c>
      <c r="K40" s="135" t="s">
        <v>490</v>
      </c>
      <c r="L40" s="136" t="s">
        <v>399</v>
      </c>
      <c r="N40" s="136"/>
      <c r="O40" s="136" t="s">
        <v>459</v>
      </c>
      <c r="P40" s="136" t="s">
        <v>1515</v>
      </c>
      <c r="Q40" s="135" t="s">
        <v>460</v>
      </c>
      <c r="R40" s="135" t="s">
        <v>458</v>
      </c>
      <c r="S40" s="136"/>
      <c r="U40" s="135" t="s">
        <v>490</v>
      </c>
      <c r="V40" s="135" t="s">
        <v>452</v>
      </c>
      <c r="W40" s="135" t="s">
        <v>491</v>
      </c>
      <c r="X40" s="135" t="s">
        <v>455</v>
      </c>
      <c r="Z40" s="135" t="s">
        <v>451</v>
      </c>
      <c r="AA40" s="136"/>
      <c r="AB40" s="135" t="s">
        <v>1516</v>
      </c>
    </row>
    <row r="41" spans="1:28">
      <c r="A41" s="136" t="s">
        <v>1517</v>
      </c>
      <c r="B41" s="135" t="s">
        <v>1518</v>
      </c>
      <c r="C41" s="135" t="s">
        <v>1486</v>
      </c>
      <c r="D41" s="136" t="s">
        <v>1487</v>
      </c>
      <c r="E41" s="136" t="s">
        <v>1396</v>
      </c>
      <c r="F41" s="135" t="s">
        <v>468</v>
      </c>
      <c r="G41" s="136" t="s">
        <v>424</v>
      </c>
      <c r="I41" s="135" t="s">
        <v>454</v>
      </c>
      <c r="J41" s="135" t="s">
        <v>454</v>
      </c>
      <c r="K41" s="135" t="s">
        <v>467</v>
      </c>
      <c r="L41" s="136" t="s">
        <v>424</v>
      </c>
      <c r="N41" s="136"/>
      <c r="O41" s="136" t="s">
        <v>459</v>
      </c>
      <c r="P41" s="136" t="s">
        <v>1519</v>
      </c>
      <c r="Q41" s="135" t="s">
        <v>460</v>
      </c>
      <c r="R41" s="135" t="s">
        <v>458</v>
      </c>
      <c r="S41" s="136"/>
      <c r="U41" s="135" t="s">
        <v>467</v>
      </c>
      <c r="V41" s="135" t="s">
        <v>452</v>
      </c>
      <c r="W41" s="135" t="s">
        <v>468</v>
      </c>
      <c r="X41" s="135" t="s">
        <v>455</v>
      </c>
      <c r="Z41" s="135" t="s">
        <v>451</v>
      </c>
      <c r="AA41" s="136"/>
      <c r="AB41" s="135" t="s">
        <v>1520</v>
      </c>
    </row>
    <row r="42" spans="1:28">
      <c r="A42" s="136" t="s">
        <v>1521</v>
      </c>
      <c r="B42" s="135" t="s">
        <v>1522</v>
      </c>
      <c r="C42" s="135" t="s">
        <v>1486</v>
      </c>
      <c r="D42" s="136" t="s">
        <v>1487</v>
      </c>
      <c r="E42" s="136" t="s">
        <v>1396</v>
      </c>
      <c r="F42" s="135" t="s">
        <v>456</v>
      </c>
      <c r="G42" s="136" t="s">
        <v>1523</v>
      </c>
      <c r="I42" s="135" t="s">
        <v>454</v>
      </c>
      <c r="J42" s="135" t="s">
        <v>454</v>
      </c>
      <c r="K42" s="135" t="s">
        <v>453</v>
      </c>
      <c r="L42" s="136" t="s">
        <v>1523</v>
      </c>
      <c r="N42" s="136"/>
      <c r="O42" s="136" t="s">
        <v>459</v>
      </c>
      <c r="P42" s="136" t="s">
        <v>1524</v>
      </c>
      <c r="Q42" s="135" t="s">
        <v>460</v>
      </c>
      <c r="R42" s="135" t="s">
        <v>458</v>
      </c>
      <c r="S42" s="136"/>
      <c r="U42" s="135" t="s">
        <v>453</v>
      </c>
      <c r="V42" s="135" t="s">
        <v>452</v>
      </c>
      <c r="W42" s="135" t="s">
        <v>456</v>
      </c>
      <c r="X42" s="135" t="s">
        <v>455</v>
      </c>
      <c r="Z42" s="135" t="s">
        <v>451</v>
      </c>
      <c r="AA42" s="136"/>
      <c r="AB42" s="135" t="s">
        <v>1525</v>
      </c>
    </row>
    <row r="43" spans="1:28">
      <c r="A43" s="136" t="s">
        <v>1526</v>
      </c>
      <c r="B43" s="135" t="s">
        <v>1527</v>
      </c>
      <c r="C43" s="135" t="s">
        <v>1394</v>
      </c>
      <c r="D43" s="136" t="s">
        <v>1498</v>
      </c>
      <c r="E43" s="136" t="s">
        <v>1396</v>
      </c>
      <c r="F43" s="135" t="s">
        <v>1466</v>
      </c>
      <c r="G43" s="136" t="s">
        <v>1452</v>
      </c>
      <c r="H43" s="135" t="s">
        <v>383</v>
      </c>
      <c r="I43" s="135" t="s">
        <v>480</v>
      </c>
      <c r="J43" s="135" t="s">
        <v>480</v>
      </c>
      <c r="K43" s="135" t="s">
        <v>484</v>
      </c>
      <c r="L43" s="136" t="s">
        <v>1528</v>
      </c>
      <c r="N43" s="136"/>
      <c r="O43" s="136" t="s">
        <v>459</v>
      </c>
      <c r="P43" s="136" t="s">
        <v>1529</v>
      </c>
      <c r="Q43" s="135" t="s">
        <v>486</v>
      </c>
      <c r="R43" s="135" t="s">
        <v>485</v>
      </c>
      <c r="S43" s="136"/>
      <c r="U43" s="135" t="s">
        <v>484</v>
      </c>
      <c r="V43" s="135" t="s">
        <v>452</v>
      </c>
      <c r="X43" s="135" t="s">
        <v>529</v>
      </c>
      <c r="Z43" s="135" t="s">
        <v>451</v>
      </c>
      <c r="AA43" s="136"/>
      <c r="AB43" s="135" t="s">
        <v>1530</v>
      </c>
    </row>
    <row r="44" spans="1:28">
      <c r="A44" s="136" t="s">
        <v>1531</v>
      </c>
      <c r="B44" s="135" t="s">
        <v>1532</v>
      </c>
      <c r="C44" s="135" t="s">
        <v>1486</v>
      </c>
      <c r="D44" s="136" t="s">
        <v>1487</v>
      </c>
      <c r="E44" s="136" t="s">
        <v>1396</v>
      </c>
      <c r="F44" s="135" t="s">
        <v>478</v>
      </c>
      <c r="G44" s="136" t="s">
        <v>1533</v>
      </c>
      <c r="I44" s="135" t="s">
        <v>454</v>
      </c>
      <c r="J44" s="135" t="s">
        <v>454</v>
      </c>
      <c r="K44" s="135" t="s">
        <v>477</v>
      </c>
      <c r="L44" s="136" t="s">
        <v>1533</v>
      </c>
      <c r="N44" s="136"/>
      <c r="O44" s="136" t="s">
        <v>459</v>
      </c>
      <c r="P44" s="136" t="s">
        <v>1534</v>
      </c>
      <c r="Q44" s="135" t="s">
        <v>460</v>
      </c>
      <c r="R44" s="135" t="s">
        <v>458</v>
      </c>
      <c r="S44" s="136"/>
      <c r="U44" s="135" t="s">
        <v>477</v>
      </c>
      <c r="V44" s="135" t="s">
        <v>452</v>
      </c>
      <c r="W44" s="135" t="s">
        <v>478</v>
      </c>
      <c r="X44" s="135" t="s">
        <v>455</v>
      </c>
      <c r="Z44" s="135" t="s">
        <v>451</v>
      </c>
      <c r="AA44" s="136"/>
      <c r="AB44" s="135" t="s">
        <v>1535</v>
      </c>
    </row>
    <row r="45" spans="1:28">
      <c r="A45" s="136" t="s">
        <v>1536</v>
      </c>
      <c r="B45" s="135" t="s">
        <v>1537</v>
      </c>
      <c r="C45" s="135" t="s">
        <v>1486</v>
      </c>
      <c r="D45" s="136" t="s">
        <v>1487</v>
      </c>
      <c r="E45" s="136" t="s">
        <v>1396</v>
      </c>
      <c r="F45" s="135" t="s">
        <v>474</v>
      </c>
      <c r="G45" s="136" t="s">
        <v>423</v>
      </c>
      <c r="I45" s="135" t="s">
        <v>454</v>
      </c>
      <c r="J45" s="135" t="s">
        <v>454</v>
      </c>
      <c r="K45" s="135" t="s">
        <v>473</v>
      </c>
      <c r="L45" s="136" t="s">
        <v>423</v>
      </c>
      <c r="N45" s="136"/>
      <c r="O45" s="136" t="s">
        <v>459</v>
      </c>
      <c r="P45" s="136" t="s">
        <v>1538</v>
      </c>
      <c r="Q45" s="135" t="s">
        <v>460</v>
      </c>
      <c r="R45" s="135" t="s">
        <v>458</v>
      </c>
      <c r="S45" s="136"/>
      <c r="U45" s="135" t="s">
        <v>473</v>
      </c>
      <c r="V45" s="135" t="s">
        <v>452</v>
      </c>
      <c r="W45" s="135" t="s">
        <v>474</v>
      </c>
      <c r="X45" s="135" t="s">
        <v>455</v>
      </c>
      <c r="Z45" s="135" t="s">
        <v>451</v>
      </c>
      <c r="AA45" s="136"/>
      <c r="AB45" s="135" t="s">
        <v>1539</v>
      </c>
    </row>
    <row r="46" spans="1:28">
      <c r="A46" s="136" t="s">
        <v>1540</v>
      </c>
      <c r="B46" s="135" t="s">
        <v>1541</v>
      </c>
      <c r="C46" s="135" t="s">
        <v>1486</v>
      </c>
      <c r="D46" s="136" t="s">
        <v>1487</v>
      </c>
      <c r="E46" s="136" t="s">
        <v>1396</v>
      </c>
      <c r="F46" s="135" t="s">
        <v>466</v>
      </c>
      <c r="G46" s="136" t="s">
        <v>1542</v>
      </c>
      <c r="I46" s="135" t="s">
        <v>454</v>
      </c>
      <c r="J46" s="135" t="s">
        <v>454</v>
      </c>
      <c r="K46" s="135" t="s">
        <v>465</v>
      </c>
      <c r="L46" s="136" t="s">
        <v>1542</v>
      </c>
      <c r="N46" s="136"/>
      <c r="O46" s="136" t="s">
        <v>459</v>
      </c>
      <c r="P46" s="136" t="s">
        <v>1543</v>
      </c>
      <c r="Q46" s="135" t="s">
        <v>460</v>
      </c>
      <c r="R46" s="135" t="s">
        <v>458</v>
      </c>
      <c r="S46" s="136"/>
      <c r="U46" s="135" t="s">
        <v>465</v>
      </c>
      <c r="V46" s="135" t="s">
        <v>452</v>
      </c>
      <c r="W46" s="135" t="s">
        <v>466</v>
      </c>
      <c r="X46" s="135" t="s">
        <v>455</v>
      </c>
      <c r="Z46" s="135" t="s">
        <v>451</v>
      </c>
      <c r="AA46" s="136"/>
      <c r="AB46" s="135" t="s">
        <v>1544</v>
      </c>
    </row>
    <row r="47" spans="1:28">
      <c r="A47" s="136" t="s">
        <v>1545</v>
      </c>
      <c r="B47" s="135" t="s">
        <v>1546</v>
      </c>
      <c r="C47" s="135" t="s">
        <v>1394</v>
      </c>
      <c r="D47" s="136" t="s">
        <v>1498</v>
      </c>
      <c r="E47" s="136" t="s">
        <v>1396</v>
      </c>
      <c r="F47" s="135" t="s">
        <v>1473</v>
      </c>
      <c r="G47" s="136" t="s">
        <v>1452</v>
      </c>
      <c r="H47" s="135" t="s">
        <v>383</v>
      </c>
      <c r="I47" s="135" t="s">
        <v>454</v>
      </c>
      <c r="J47" s="135" t="s">
        <v>454</v>
      </c>
      <c r="K47" s="135" t="s">
        <v>489</v>
      </c>
      <c r="L47" s="136" t="s">
        <v>1547</v>
      </c>
      <c r="N47" s="136"/>
      <c r="O47" s="136" t="s">
        <v>459</v>
      </c>
      <c r="P47" s="136" t="s">
        <v>1548</v>
      </c>
      <c r="Q47" s="135" t="s">
        <v>486</v>
      </c>
      <c r="R47" s="135" t="s">
        <v>485</v>
      </c>
      <c r="S47" s="136"/>
      <c r="U47" s="135" t="s">
        <v>489</v>
      </c>
      <c r="V47" s="135" t="s">
        <v>452</v>
      </c>
      <c r="X47" s="135" t="s">
        <v>529</v>
      </c>
      <c r="Z47" s="135" t="s">
        <v>451</v>
      </c>
      <c r="AA47" s="136"/>
      <c r="AB47" s="135" t="s">
        <v>1549</v>
      </c>
    </row>
    <row r="48" spans="1:28">
      <c r="A48" s="136" t="s">
        <v>1550</v>
      </c>
      <c r="B48" s="135" t="s">
        <v>1551</v>
      </c>
      <c r="C48" s="135" t="s">
        <v>1486</v>
      </c>
      <c r="D48" s="136" t="s">
        <v>1487</v>
      </c>
      <c r="E48" s="136" t="s">
        <v>1396</v>
      </c>
      <c r="F48" s="135" t="s">
        <v>472</v>
      </c>
      <c r="G48" s="136" t="s">
        <v>1552</v>
      </c>
      <c r="I48" s="135" t="s">
        <v>454</v>
      </c>
      <c r="J48" s="135" t="s">
        <v>454</v>
      </c>
      <c r="K48" s="135" t="s">
        <v>471</v>
      </c>
      <c r="L48" s="136" t="s">
        <v>1552</v>
      </c>
      <c r="N48" s="136"/>
      <c r="O48" s="136" t="s">
        <v>459</v>
      </c>
      <c r="P48" s="136" t="s">
        <v>1553</v>
      </c>
      <c r="Q48" s="135" t="s">
        <v>460</v>
      </c>
      <c r="R48" s="135" t="s">
        <v>458</v>
      </c>
      <c r="S48" s="136"/>
      <c r="U48" s="135" t="s">
        <v>471</v>
      </c>
      <c r="V48" s="135" t="s">
        <v>452</v>
      </c>
      <c r="W48" s="135" t="s">
        <v>472</v>
      </c>
      <c r="X48" s="135" t="s">
        <v>455</v>
      </c>
      <c r="Z48" s="135" t="s">
        <v>451</v>
      </c>
      <c r="AA48" s="136"/>
      <c r="AB48" s="135" t="s">
        <v>1554</v>
      </c>
    </row>
    <row r="49" spans="1:28">
      <c r="A49" s="136" t="s">
        <v>1555</v>
      </c>
      <c r="B49" s="135" t="s">
        <v>1556</v>
      </c>
      <c r="C49" s="135" t="s">
        <v>1486</v>
      </c>
      <c r="D49" s="136" t="s">
        <v>1487</v>
      </c>
      <c r="E49" s="136" t="s">
        <v>1396</v>
      </c>
      <c r="F49" s="135" t="s">
        <v>464</v>
      </c>
      <c r="G49" s="136" t="s">
        <v>425</v>
      </c>
      <c r="I49" s="135" t="s">
        <v>454</v>
      </c>
      <c r="J49" s="135" t="s">
        <v>454</v>
      </c>
      <c r="K49" s="135" t="s">
        <v>463</v>
      </c>
      <c r="L49" s="136" t="s">
        <v>425</v>
      </c>
      <c r="N49" s="136"/>
      <c r="O49" s="136" t="s">
        <v>459</v>
      </c>
      <c r="P49" s="136" t="s">
        <v>1557</v>
      </c>
      <c r="Q49" s="135" t="s">
        <v>460</v>
      </c>
      <c r="R49" s="135" t="s">
        <v>458</v>
      </c>
      <c r="S49" s="136"/>
      <c r="U49" s="135" t="s">
        <v>463</v>
      </c>
      <c r="V49" s="135" t="s">
        <v>452</v>
      </c>
      <c r="W49" s="135" t="s">
        <v>464</v>
      </c>
      <c r="X49" s="135" t="s">
        <v>455</v>
      </c>
      <c r="Z49" s="135" t="s">
        <v>451</v>
      </c>
      <c r="AA49" s="136"/>
      <c r="AB49" s="135" t="s">
        <v>1558</v>
      </c>
    </row>
    <row r="50" spans="1:28">
      <c r="A50" s="136" t="s">
        <v>1559</v>
      </c>
      <c r="B50" s="135" t="s">
        <v>1560</v>
      </c>
      <c r="C50" s="135" t="s">
        <v>1394</v>
      </c>
      <c r="D50" s="136" t="s">
        <v>1498</v>
      </c>
      <c r="E50" s="136" t="s">
        <v>1396</v>
      </c>
      <c r="F50" s="135" t="s">
        <v>1480</v>
      </c>
      <c r="G50" s="136" t="s">
        <v>1452</v>
      </c>
      <c r="H50" s="135" t="s">
        <v>383</v>
      </c>
      <c r="I50" s="135" t="s">
        <v>454</v>
      </c>
      <c r="J50" s="135" t="s">
        <v>454</v>
      </c>
      <c r="K50" s="135" t="s">
        <v>488</v>
      </c>
      <c r="L50" s="136" t="s">
        <v>1561</v>
      </c>
      <c r="N50" s="136"/>
      <c r="O50" s="136" t="s">
        <v>459</v>
      </c>
      <c r="P50" s="136" t="s">
        <v>1562</v>
      </c>
      <c r="Q50" s="135" t="s">
        <v>486</v>
      </c>
      <c r="R50" s="135" t="s">
        <v>485</v>
      </c>
      <c r="S50" s="136"/>
      <c r="U50" s="135" t="s">
        <v>488</v>
      </c>
      <c r="V50" s="135" t="s">
        <v>452</v>
      </c>
      <c r="X50" s="135" t="s">
        <v>529</v>
      </c>
      <c r="Z50" s="135" t="s">
        <v>451</v>
      </c>
      <c r="AA50" s="136"/>
      <c r="AB50" s="135" t="s">
        <v>1563</v>
      </c>
    </row>
    <row r="51" spans="1:28">
      <c r="A51" s="136" t="s">
        <v>1564</v>
      </c>
      <c r="B51" s="135" t="s">
        <v>1565</v>
      </c>
      <c r="C51" s="135" t="s">
        <v>386</v>
      </c>
      <c r="D51" s="136" t="s">
        <v>1339</v>
      </c>
      <c r="E51" s="136" t="s">
        <v>1448</v>
      </c>
      <c r="F51" s="135" t="s">
        <v>1566</v>
      </c>
      <c r="G51" s="136" t="s">
        <v>1567</v>
      </c>
      <c r="H51" s="135" t="s">
        <v>383</v>
      </c>
      <c r="I51" s="135" t="s">
        <v>454</v>
      </c>
      <c r="J51" s="135" t="s">
        <v>454</v>
      </c>
      <c r="K51" s="135" t="s">
        <v>1568</v>
      </c>
      <c r="L51" s="136" t="s">
        <v>1569</v>
      </c>
      <c r="M51" s="135" t="s">
        <v>383</v>
      </c>
      <c r="N51" s="136"/>
      <c r="O51" s="136" t="s">
        <v>535</v>
      </c>
      <c r="P51" s="136" t="s">
        <v>1570</v>
      </c>
      <c r="Q51" s="135" t="s">
        <v>536</v>
      </c>
      <c r="R51" s="135" t="s">
        <v>534</v>
      </c>
      <c r="S51" s="136"/>
      <c r="V51" s="135" t="s">
        <v>1571</v>
      </c>
      <c r="X51" s="135" t="s">
        <v>1454</v>
      </c>
      <c r="Z51" s="135" t="s">
        <v>1572</v>
      </c>
      <c r="AA51" s="136"/>
      <c r="AB51" s="135" t="s">
        <v>1573</v>
      </c>
    </row>
    <row r="52" spans="1:28">
      <c r="A52" s="136" t="s">
        <v>1574</v>
      </c>
      <c r="B52" s="135" t="s">
        <v>1575</v>
      </c>
      <c r="C52" s="135" t="s">
        <v>386</v>
      </c>
      <c r="D52" s="136" t="s">
        <v>1339</v>
      </c>
      <c r="E52" s="136" t="s">
        <v>1448</v>
      </c>
      <c r="F52" s="135" t="s">
        <v>1566</v>
      </c>
      <c r="G52" s="136" t="s">
        <v>1567</v>
      </c>
      <c r="H52" s="135" t="s">
        <v>383</v>
      </c>
      <c r="I52" s="135" t="s">
        <v>454</v>
      </c>
      <c r="J52" s="135" t="s">
        <v>454</v>
      </c>
      <c r="K52" s="135" t="s">
        <v>1576</v>
      </c>
      <c r="L52" s="136" t="s">
        <v>1569</v>
      </c>
      <c r="M52" s="135" t="s">
        <v>383</v>
      </c>
      <c r="N52" s="136"/>
      <c r="O52" s="136" t="s">
        <v>535</v>
      </c>
      <c r="P52" s="136" t="s">
        <v>1577</v>
      </c>
      <c r="Q52" s="135" t="s">
        <v>536</v>
      </c>
      <c r="R52" s="135" t="s">
        <v>534</v>
      </c>
      <c r="S52" s="136"/>
      <c r="V52" s="135" t="s">
        <v>1571</v>
      </c>
      <c r="X52" s="135" t="s">
        <v>1454</v>
      </c>
      <c r="Z52" s="135" t="s">
        <v>1572</v>
      </c>
      <c r="AA52" s="136"/>
      <c r="AB52" s="135" t="s">
        <v>1578</v>
      </c>
    </row>
    <row r="53" spans="1:28">
      <c r="A53" s="136" t="s">
        <v>1579</v>
      </c>
      <c r="B53" s="135" t="s">
        <v>1580</v>
      </c>
      <c r="C53" s="135" t="s">
        <v>386</v>
      </c>
      <c r="D53" s="136" t="s">
        <v>1339</v>
      </c>
      <c r="E53" s="136" t="s">
        <v>1448</v>
      </c>
      <c r="F53" s="135" t="s">
        <v>1566</v>
      </c>
      <c r="G53" s="136" t="s">
        <v>1567</v>
      </c>
      <c r="H53" s="135" t="s">
        <v>383</v>
      </c>
      <c r="I53" s="135" t="s">
        <v>454</v>
      </c>
      <c r="J53" s="135" t="s">
        <v>454</v>
      </c>
      <c r="K53" s="135" t="s">
        <v>1581</v>
      </c>
      <c r="L53" s="136" t="s">
        <v>1569</v>
      </c>
      <c r="M53" s="135" t="s">
        <v>383</v>
      </c>
      <c r="N53" s="136"/>
      <c r="O53" s="136" t="s">
        <v>535</v>
      </c>
      <c r="P53" s="136" t="s">
        <v>1582</v>
      </c>
      <c r="Q53" s="135" t="s">
        <v>536</v>
      </c>
      <c r="R53" s="135" t="s">
        <v>534</v>
      </c>
      <c r="S53" s="136"/>
      <c r="V53" s="135" t="s">
        <v>1571</v>
      </c>
      <c r="X53" s="135" t="s">
        <v>1454</v>
      </c>
      <c r="Z53" s="135" t="s">
        <v>1572</v>
      </c>
      <c r="AA53" s="136"/>
      <c r="AB53" s="135" t="s">
        <v>1583</v>
      </c>
    </row>
    <row r="54" spans="1:28">
      <c r="A54" s="136" t="s">
        <v>1584</v>
      </c>
      <c r="B54" s="135" t="s">
        <v>1585</v>
      </c>
      <c r="C54" s="135" t="s">
        <v>386</v>
      </c>
      <c r="D54" s="136" t="s">
        <v>1350</v>
      </c>
      <c r="E54" s="136" t="s">
        <v>1448</v>
      </c>
      <c r="F54" s="135" t="s">
        <v>1586</v>
      </c>
      <c r="G54" s="136" t="s">
        <v>1567</v>
      </c>
      <c r="H54" s="135" t="s">
        <v>383</v>
      </c>
      <c r="I54" s="135" t="s">
        <v>454</v>
      </c>
      <c r="J54" s="135" t="s">
        <v>454</v>
      </c>
      <c r="K54" s="135" t="s">
        <v>992</v>
      </c>
      <c r="L54" s="136" t="s">
        <v>1587</v>
      </c>
      <c r="M54" s="135" t="s">
        <v>1588</v>
      </c>
      <c r="N54" s="136"/>
      <c r="O54" s="136" t="s">
        <v>535</v>
      </c>
      <c r="P54" s="136" t="s">
        <v>1589</v>
      </c>
      <c r="Q54" s="135" t="s">
        <v>574</v>
      </c>
      <c r="R54" s="135" t="s">
        <v>573</v>
      </c>
      <c r="S54" s="136"/>
      <c r="U54" s="135" t="s">
        <v>992</v>
      </c>
      <c r="V54" s="135" t="s">
        <v>865</v>
      </c>
      <c r="X54" s="135" t="s">
        <v>1461</v>
      </c>
      <c r="Z54" s="135" t="s">
        <v>451</v>
      </c>
      <c r="AA54" s="136"/>
      <c r="AB54" s="135" t="s">
        <v>1590</v>
      </c>
    </row>
    <row r="55" spans="1:28">
      <c r="A55" s="136" t="s">
        <v>1591</v>
      </c>
      <c r="B55" s="135" t="s">
        <v>1592</v>
      </c>
      <c r="C55" s="135" t="s">
        <v>386</v>
      </c>
      <c r="D55" s="136" t="s">
        <v>1350</v>
      </c>
      <c r="E55" s="136" t="s">
        <v>457</v>
      </c>
      <c r="F55" s="135" t="s">
        <v>1586</v>
      </c>
      <c r="G55" s="136" t="s">
        <v>1567</v>
      </c>
      <c r="H55" s="135" t="s">
        <v>383</v>
      </c>
      <c r="I55" s="135" t="s">
        <v>454</v>
      </c>
      <c r="J55" s="135" t="s">
        <v>454</v>
      </c>
      <c r="K55" s="135" t="s">
        <v>993</v>
      </c>
      <c r="L55" s="136" t="s">
        <v>1593</v>
      </c>
      <c r="N55" s="136"/>
      <c r="O55" s="136" t="s">
        <v>535</v>
      </c>
      <c r="P55" s="136" t="s">
        <v>1594</v>
      </c>
      <c r="Q55" s="135" t="s">
        <v>574</v>
      </c>
      <c r="R55" s="135" t="s">
        <v>573</v>
      </c>
      <c r="S55" s="136"/>
      <c r="U55" s="135" t="s">
        <v>993</v>
      </c>
      <c r="V55" s="135" t="s">
        <v>865</v>
      </c>
      <c r="X55" s="135" t="s">
        <v>1461</v>
      </c>
      <c r="Z55" s="135" t="s">
        <v>451</v>
      </c>
      <c r="AA55" s="136"/>
      <c r="AB55" s="135" t="s">
        <v>1595</v>
      </c>
    </row>
    <row r="56" spans="1:28">
      <c r="A56" s="136" t="s">
        <v>1596</v>
      </c>
      <c r="B56" s="135" t="s">
        <v>1597</v>
      </c>
      <c r="C56" s="135" t="s">
        <v>1394</v>
      </c>
      <c r="D56" s="136" t="s">
        <v>1598</v>
      </c>
      <c r="E56" s="136" t="s">
        <v>457</v>
      </c>
      <c r="F56" s="135" t="s">
        <v>1599</v>
      </c>
      <c r="G56" s="136" t="s">
        <v>1567</v>
      </c>
      <c r="H56" s="135" t="s">
        <v>383</v>
      </c>
      <c r="I56" s="135" t="s">
        <v>494</v>
      </c>
      <c r="J56" s="135" t="s">
        <v>494</v>
      </c>
      <c r="K56" s="135" t="s">
        <v>530</v>
      </c>
      <c r="L56" s="136" t="s">
        <v>1397</v>
      </c>
      <c r="M56" s="135" t="s">
        <v>383</v>
      </c>
      <c r="N56" s="136"/>
      <c r="O56" s="136" t="s">
        <v>535</v>
      </c>
      <c r="P56" s="136" t="s">
        <v>1600</v>
      </c>
      <c r="Q56" s="135" t="s">
        <v>509</v>
      </c>
      <c r="R56" s="135" t="s">
        <v>508</v>
      </c>
      <c r="S56" s="136"/>
      <c r="V56" s="135" t="s">
        <v>529</v>
      </c>
      <c r="X56" s="135" t="s">
        <v>1601</v>
      </c>
      <c r="Z56" s="135" t="s">
        <v>505</v>
      </c>
      <c r="AA56" s="136"/>
      <c r="AB56" s="135" t="s">
        <v>1602</v>
      </c>
    </row>
    <row r="57" spans="1:28">
      <c r="A57" s="136" t="s">
        <v>1603</v>
      </c>
      <c r="B57" s="135" t="s">
        <v>1604</v>
      </c>
      <c r="C57" s="135" t="s">
        <v>1394</v>
      </c>
      <c r="D57" s="136" t="s">
        <v>1598</v>
      </c>
      <c r="E57" s="136" t="s">
        <v>457</v>
      </c>
      <c r="F57" s="135" t="s">
        <v>1599</v>
      </c>
      <c r="G57" s="136" t="s">
        <v>1567</v>
      </c>
      <c r="H57" s="135" t="s">
        <v>383</v>
      </c>
      <c r="I57" s="135" t="s">
        <v>494</v>
      </c>
      <c r="J57" s="135" t="s">
        <v>494</v>
      </c>
      <c r="K57" s="135" t="s">
        <v>530</v>
      </c>
      <c r="L57" s="136" t="s">
        <v>1397</v>
      </c>
      <c r="M57" s="135" t="s">
        <v>383</v>
      </c>
      <c r="N57" s="136"/>
      <c r="O57" s="136" t="s">
        <v>535</v>
      </c>
      <c r="P57" s="136" t="s">
        <v>1605</v>
      </c>
      <c r="Q57" s="135" t="s">
        <v>509</v>
      </c>
      <c r="R57" s="135" t="s">
        <v>508</v>
      </c>
      <c r="S57" s="136"/>
      <c r="V57" s="135" t="s">
        <v>529</v>
      </c>
      <c r="X57" s="135" t="s">
        <v>1601</v>
      </c>
      <c r="Z57" s="135" t="s">
        <v>505</v>
      </c>
      <c r="AA57" s="136"/>
      <c r="AB57" s="135" t="s">
        <v>1606</v>
      </c>
    </row>
    <row r="58" spans="1:28">
      <c r="A58" s="136" t="s">
        <v>1607</v>
      </c>
      <c r="B58" s="135" t="s">
        <v>1608</v>
      </c>
      <c r="C58" s="135" t="s">
        <v>1394</v>
      </c>
      <c r="D58" s="136" t="s">
        <v>1598</v>
      </c>
      <c r="E58" s="136" t="s">
        <v>457</v>
      </c>
      <c r="F58" s="135" t="s">
        <v>1599</v>
      </c>
      <c r="G58" s="136" t="s">
        <v>1567</v>
      </c>
      <c r="H58" s="135" t="s">
        <v>383</v>
      </c>
      <c r="I58" s="135" t="s">
        <v>494</v>
      </c>
      <c r="J58" s="135" t="s">
        <v>494</v>
      </c>
      <c r="K58" s="135" t="s">
        <v>530</v>
      </c>
      <c r="L58" s="136" t="s">
        <v>1397</v>
      </c>
      <c r="M58" s="135" t="s">
        <v>383</v>
      </c>
      <c r="N58" s="136"/>
      <c r="O58" s="136" t="s">
        <v>535</v>
      </c>
      <c r="P58" s="136" t="s">
        <v>1609</v>
      </c>
      <c r="Q58" s="135" t="s">
        <v>509</v>
      </c>
      <c r="R58" s="135" t="s">
        <v>508</v>
      </c>
      <c r="S58" s="136"/>
      <c r="V58" s="135" t="s">
        <v>529</v>
      </c>
      <c r="X58" s="135" t="s">
        <v>1601</v>
      </c>
      <c r="Z58" s="135" t="s">
        <v>505</v>
      </c>
      <c r="AA58" s="136"/>
      <c r="AB58" s="135" t="s">
        <v>1610</v>
      </c>
    </row>
    <row r="59" spans="1:28">
      <c r="A59" s="136" t="s">
        <v>1611</v>
      </c>
      <c r="B59" s="135" t="s">
        <v>1612</v>
      </c>
      <c r="C59" s="135" t="s">
        <v>386</v>
      </c>
      <c r="D59" s="136" t="s">
        <v>1339</v>
      </c>
      <c r="E59" s="136" t="s">
        <v>1340</v>
      </c>
      <c r="F59" s="135" t="s">
        <v>1613</v>
      </c>
      <c r="G59" s="136" t="s">
        <v>1341</v>
      </c>
      <c r="H59" s="135" t="s">
        <v>383</v>
      </c>
      <c r="I59" s="135" t="s">
        <v>765</v>
      </c>
      <c r="J59" s="135" t="s">
        <v>765</v>
      </c>
      <c r="K59" s="135" t="s">
        <v>1614</v>
      </c>
      <c r="L59" s="136" t="s">
        <v>1615</v>
      </c>
      <c r="M59" s="135" t="s">
        <v>383</v>
      </c>
      <c r="N59" s="136"/>
      <c r="O59" s="136" t="s">
        <v>535</v>
      </c>
      <c r="P59" s="136" t="s">
        <v>542</v>
      </c>
      <c r="Q59" s="135" t="s">
        <v>536</v>
      </c>
      <c r="R59" s="135" t="s">
        <v>534</v>
      </c>
      <c r="S59" s="136"/>
      <c r="V59" s="135" t="s">
        <v>1616</v>
      </c>
      <c r="X59" s="135" t="s">
        <v>1617</v>
      </c>
      <c r="Z59" s="135" t="s">
        <v>1372</v>
      </c>
      <c r="AA59" s="136"/>
      <c r="AB59" s="135" t="s">
        <v>1618</v>
      </c>
    </row>
    <row r="60" spans="1:28">
      <c r="A60" s="136" t="s">
        <v>1619</v>
      </c>
      <c r="B60" s="135" t="s">
        <v>1620</v>
      </c>
      <c r="C60" s="135" t="s">
        <v>386</v>
      </c>
      <c r="D60" s="136" t="s">
        <v>1339</v>
      </c>
      <c r="E60" s="136" t="s">
        <v>1340</v>
      </c>
      <c r="F60" s="135" t="s">
        <v>1613</v>
      </c>
      <c r="G60" s="136" t="s">
        <v>1341</v>
      </c>
      <c r="H60" s="135" t="s">
        <v>383</v>
      </c>
      <c r="I60" s="135" t="s">
        <v>731</v>
      </c>
      <c r="J60" s="135" t="s">
        <v>731</v>
      </c>
      <c r="K60" s="135" t="s">
        <v>1614</v>
      </c>
      <c r="L60" s="136" t="s">
        <v>1615</v>
      </c>
      <c r="M60" s="135" t="s">
        <v>383</v>
      </c>
      <c r="N60" s="136"/>
      <c r="O60" s="136" t="s">
        <v>535</v>
      </c>
      <c r="P60" s="136" t="s">
        <v>504</v>
      </c>
      <c r="Q60" s="135" t="s">
        <v>536</v>
      </c>
      <c r="R60" s="135" t="s">
        <v>534</v>
      </c>
      <c r="S60" s="136"/>
      <c r="V60" s="135" t="s">
        <v>1616</v>
      </c>
      <c r="X60" s="135" t="s">
        <v>1617</v>
      </c>
      <c r="Z60" s="135" t="s">
        <v>1372</v>
      </c>
      <c r="AA60" s="136"/>
      <c r="AB60" s="135" t="s">
        <v>1621</v>
      </c>
    </row>
    <row r="61" spans="1:28">
      <c r="A61" s="136" t="s">
        <v>1622</v>
      </c>
      <c r="B61" s="135" t="s">
        <v>1623</v>
      </c>
      <c r="C61" s="135" t="s">
        <v>386</v>
      </c>
      <c r="D61" s="136" t="s">
        <v>1339</v>
      </c>
      <c r="E61" s="136" t="s">
        <v>1340</v>
      </c>
      <c r="F61" s="135" t="s">
        <v>1624</v>
      </c>
      <c r="G61" s="136" t="s">
        <v>1437</v>
      </c>
      <c r="H61" s="135" t="s">
        <v>383</v>
      </c>
      <c r="I61" s="135" t="s">
        <v>454</v>
      </c>
      <c r="J61" s="135" t="s">
        <v>454</v>
      </c>
      <c r="K61" s="135" t="s">
        <v>1625</v>
      </c>
      <c r="L61" s="136" t="s">
        <v>1615</v>
      </c>
      <c r="M61" s="135" t="s">
        <v>383</v>
      </c>
      <c r="N61" s="136"/>
      <c r="O61" s="136" t="s">
        <v>535</v>
      </c>
      <c r="P61" s="136" t="s">
        <v>667</v>
      </c>
      <c r="Q61" s="135" t="s">
        <v>536</v>
      </c>
      <c r="R61" s="135" t="s">
        <v>534</v>
      </c>
      <c r="S61" s="136"/>
      <c r="V61" s="135" t="s">
        <v>1626</v>
      </c>
      <c r="X61" s="135" t="s">
        <v>1627</v>
      </c>
      <c r="Z61" s="135" t="s">
        <v>1372</v>
      </c>
      <c r="AA61" s="136"/>
      <c r="AB61" s="135" t="s">
        <v>1628</v>
      </c>
    </row>
    <row r="62" spans="1:28">
      <c r="A62" s="136" t="s">
        <v>1629</v>
      </c>
      <c r="B62" s="135" t="s">
        <v>1630</v>
      </c>
      <c r="C62" s="135" t="s">
        <v>386</v>
      </c>
      <c r="D62" s="136" t="s">
        <v>1339</v>
      </c>
      <c r="E62" s="136" t="s">
        <v>1340</v>
      </c>
      <c r="F62" s="135" t="s">
        <v>1624</v>
      </c>
      <c r="G62" s="136" t="s">
        <v>1437</v>
      </c>
      <c r="H62" s="135" t="s">
        <v>383</v>
      </c>
      <c r="I62" s="135" t="s">
        <v>454</v>
      </c>
      <c r="J62" s="135" t="s">
        <v>454</v>
      </c>
      <c r="K62" s="135" t="s">
        <v>1625</v>
      </c>
      <c r="L62" s="136" t="s">
        <v>1615</v>
      </c>
      <c r="M62" s="135" t="s">
        <v>383</v>
      </c>
      <c r="N62" s="136"/>
      <c r="O62" s="136" t="s">
        <v>535</v>
      </c>
      <c r="P62" s="136" t="s">
        <v>1384</v>
      </c>
      <c r="Q62" s="135" t="s">
        <v>536</v>
      </c>
      <c r="R62" s="135" t="s">
        <v>534</v>
      </c>
      <c r="S62" s="136"/>
      <c r="V62" s="135" t="s">
        <v>1626</v>
      </c>
      <c r="X62" s="135" t="s">
        <v>1627</v>
      </c>
      <c r="Z62" s="135" t="s">
        <v>1372</v>
      </c>
      <c r="AA62" s="136"/>
      <c r="AB62" s="135" t="s">
        <v>1631</v>
      </c>
    </row>
    <row r="63" spans="1:28">
      <c r="A63" s="136" t="s">
        <v>1632</v>
      </c>
      <c r="B63" s="135" t="s">
        <v>1633</v>
      </c>
      <c r="C63" s="135" t="s">
        <v>386</v>
      </c>
      <c r="D63" s="136" t="s">
        <v>1339</v>
      </c>
      <c r="E63" s="136" t="s">
        <v>1340</v>
      </c>
      <c r="F63" s="135" t="s">
        <v>1624</v>
      </c>
      <c r="G63" s="136" t="s">
        <v>1437</v>
      </c>
      <c r="H63" s="135" t="s">
        <v>383</v>
      </c>
      <c r="I63" s="135" t="s">
        <v>454</v>
      </c>
      <c r="J63" s="135" t="s">
        <v>454</v>
      </c>
      <c r="K63" s="135" t="s">
        <v>1625</v>
      </c>
      <c r="L63" s="136" t="s">
        <v>1615</v>
      </c>
      <c r="M63" s="135" t="s">
        <v>383</v>
      </c>
      <c r="N63" s="136"/>
      <c r="O63" s="136" t="s">
        <v>535</v>
      </c>
      <c r="P63" s="136" t="s">
        <v>1634</v>
      </c>
      <c r="Q63" s="135" t="s">
        <v>536</v>
      </c>
      <c r="R63" s="135" t="s">
        <v>534</v>
      </c>
      <c r="S63" s="136"/>
      <c r="V63" s="135" t="s">
        <v>1626</v>
      </c>
      <c r="X63" s="135" t="s">
        <v>1627</v>
      </c>
      <c r="Z63" s="135" t="s">
        <v>1372</v>
      </c>
      <c r="AA63" s="136"/>
      <c r="AB63" s="135" t="s">
        <v>1635</v>
      </c>
    </row>
    <row r="64" spans="1:28">
      <c r="A64" s="136" t="s">
        <v>1636</v>
      </c>
      <c r="B64" s="135" t="s">
        <v>1637</v>
      </c>
      <c r="C64" s="135" t="s">
        <v>386</v>
      </c>
      <c r="D64" s="136" t="s">
        <v>1339</v>
      </c>
      <c r="E64" s="136" t="s">
        <v>1340</v>
      </c>
      <c r="F64" s="135" t="s">
        <v>1638</v>
      </c>
      <c r="G64" s="136" t="s">
        <v>1341</v>
      </c>
      <c r="H64" s="135" t="s">
        <v>383</v>
      </c>
      <c r="I64" s="135" t="s">
        <v>556</v>
      </c>
      <c r="J64" s="135" t="s">
        <v>556</v>
      </c>
      <c r="K64" s="135" t="s">
        <v>1625</v>
      </c>
      <c r="L64" s="136" t="s">
        <v>1615</v>
      </c>
      <c r="M64" s="135" t="s">
        <v>383</v>
      </c>
      <c r="N64" s="136"/>
      <c r="O64" s="136" t="s">
        <v>535</v>
      </c>
      <c r="P64" s="136" t="s">
        <v>1639</v>
      </c>
      <c r="Q64" s="135" t="s">
        <v>536</v>
      </c>
      <c r="R64" s="135" t="s">
        <v>534</v>
      </c>
      <c r="S64" s="136"/>
      <c r="V64" s="135" t="s">
        <v>1626</v>
      </c>
      <c r="X64" s="135" t="s">
        <v>1640</v>
      </c>
      <c r="Z64" s="135" t="s">
        <v>1247</v>
      </c>
      <c r="AA64" s="136"/>
      <c r="AB64" s="135" t="s">
        <v>1641</v>
      </c>
    </row>
    <row r="65" spans="1:28">
      <c r="A65" s="136" t="s">
        <v>1642</v>
      </c>
      <c r="B65" s="135" t="s">
        <v>1643</v>
      </c>
      <c r="C65" s="135" t="s">
        <v>386</v>
      </c>
      <c r="D65" s="136" t="s">
        <v>1339</v>
      </c>
      <c r="E65" s="136" t="s">
        <v>1340</v>
      </c>
      <c r="F65" s="135" t="s">
        <v>1638</v>
      </c>
      <c r="G65" s="136" t="s">
        <v>1341</v>
      </c>
      <c r="H65" s="135" t="s">
        <v>383</v>
      </c>
      <c r="I65" s="135" t="s">
        <v>556</v>
      </c>
      <c r="J65" s="135" t="s">
        <v>556</v>
      </c>
      <c r="K65" s="135" t="s">
        <v>1625</v>
      </c>
      <c r="L65" s="136" t="s">
        <v>1615</v>
      </c>
      <c r="M65" s="135" t="s">
        <v>383</v>
      </c>
      <c r="N65" s="136"/>
      <c r="O65" s="136" t="s">
        <v>535</v>
      </c>
      <c r="P65" s="136" t="s">
        <v>1644</v>
      </c>
      <c r="Q65" s="135" t="s">
        <v>536</v>
      </c>
      <c r="R65" s="135" t="s">
        <v>534</v>
      </c>
      <c r="S65" s="136"/>
      <c r="V65" s="135" t="s">
        <v>1626</v>
      </c>
      <c r="X65" s="135" t="s">
        <v>1640</v>
      </c>
      <c r="Z65" s="135" t="s">
        <v>1247</v>
      </c>
      <c r="AA65" s="136"/>
      <c r="AB65" s="135" t="s">
        <v>1645</v>
      </c>
    </row>
    <row r="66" spans="1:28">
      <c r="A66" s="136" t="s">
        <v>1646</v>
      </c>
      <c r="B66" s="135" t="s">
        <v>1647</v>
      </c>
      <c r="C66" s="135" t="s">
        <v>386</v>
      </c>
      <c r="D66" s="136" t="s">
        <v>1353</v>
      </c>
      <c r="E66" s="136" t="s">
        <v>1340</v>
      </c>
      <c r="F66" s="135" t="s">
        <v>1638</v>
      </c>
      <c r="G66" s="136" t="s">
        <v>1341</v>
      </c>
      <c r="H66" s="135" t="s">
        <v>383</v>
      </c>
      <c r="I66" s="135" t="s">
        <v>731</v>
      </c>
      <c r="J66" s="135" t="s">
        <v>731</v>
      </c>
      <c r="K66" s="135" t="s">
        <v>1648</v>
      </c>
      <c r="L66" s="136" t="s">
        <v>1615</v>
      </c>
      <c r="M66" s="135" t="s">
        <v>383</v>
      </c>
      <c r="N66" s="136"/>
      <c r="O66" s="136" t="s">
        <v>535</v>
      </c>
      <c r="P66" s="136" t="s">
        <v>1649</v>
      </c>
      <c r="Q66" s="135" t="s">
        <v>546</v>
      </c>
      <c r="R66" s="135" t="s">
        <v>545</v>
      </c>
      <c r="S66" s="136"/>
      <c r="V66" s="135" t="s">
        <v>1250</v>
      </c>
      <c r="X66" s="135" t="s">
        <v>1640</v>
      </c>
      <c r="Z66" s="135" t="s">
        <v>1372</v>
      </c>
      <c r="AA66" s="136"/>
      <c r="AB66" s="135" t="s">
        <v>1650</v>
      </c>
    </row>
    <row r="67" spans="1:28">
      <c r="A67" s="136" t="s">
        <v>1651</v>
      </c>
      <c r="B67" s="135" t="s">
        <v>1652</v>
      </c>
      <c r="C67" s="135" t="s">
        <v>386</v>
      </c>
      <c r="D67" s="136" t="s">
        <v>1339</v>
      </c>
      <c r="E67" s="136" t="s">
        <v>1340</v>
      </c>
      <c r="F67" s="135" t="s">
        <v>1613</v>
      </c>
      <c r="G67" s="136" t="s">
        <v>1341</v>
      </c>
      <c r="H67" s="135" t="s">
        <v>383</v>
      </c>
      <c r="I67" s="135" t="s">
        <v>765</v>
      </c>
      <c r="J67" s="135" t="s">
        <v>765</v>
      </c>
      <c r="K67" s="135" t="s">
        <v>1614</v>
      </c>
      <c r="L67" s="136" t="s">
        <v>1615</v>
      </c>
      <c r="M67" s="135" t="s">
        <v>383</v>
      </c>
      <c r="N67" s="136"/>
      <c r="O67" s="136" t="s">
        <v>535</v>
      </c>
      <c r="P67" s="136" t="s">
        <v>1653</v>
      </c>
      <c r="Q67" s="135" t="s">
        <v>536</v>
      </c>
      <c r="R67" s="135" t="s">
        <v>534</v>
      </c>
      <c r="S67" s="136"/>
      <c r="V67" s="135" t="s">
        <v>1616</v>
      </c>
      <c r="X67" s="135" t="s">
        <v>1617</v>
      </c>
      <c r="Z67" s="135" t="s">
        <v>1372</v>
      </c>
      <c r="AA67" s="136"/>
      <c r="AB67" s="135" t="s">
        <v>1654</v>
      </c>
    </row>
    <row r="68" spans="1:28">
      <c r="A68" s="136" t="s">
        <v>1655</v>
      </c>
      <c r="B68" s="135" t="s">
        <v>1656</v>
      </c>
      <c r="C68" s="135" t="s">
        <v>1394</v>
      </c>
      <c r="D68" s="136" t="s">
        <v>1395</v>
      </c>
      <c r="E68" s="136" t="s">
        <v>1396</v>
      </c>
      <c r="F68" s="135" t="s">
        <v>530</v>
      </c>
      <c r="G68" s="136" t="s">
        <v>1397</v>
      </c>
      <c r="H68" s="135" t="s">
        <v>383</v>
      </c>
      <c r="I68" s="135" t="s">
        <v>494</v>
      </c>
      <c r="J68" s="135" t="s">
        <v>494</v>
      </c>
      <c r="K68" s="135" t="s">
        <v>861</v>
      </c>
      <c r="L68" s="136" t="s">
        <v>1657</v>
      </c>
      <c r="N68" s="136"/>
      <c r="O68" s="136" t="s">
        <v>727</v>
      </c>
      <c r="P68" s="136" t="s">
        <v>542</v>
      </c>
      <c r="Q68" s="135" t="s">
        <v>516</v>
      </c>
      <c r="R68" s="135" t="s">
        <v>515</v>
      </c>
      <c r="S68" s="136"/>
      <c r="U68" s="135" t="s">
        <v>861</v>
      </c>
      <c r="V68" s="135" t="s">
        <v>452</v>
      </c>
      <c r="X68" s="135" t="s">
        <v>529</v>
      </c>
      <c r="Z68" s="135" t="s">
        <v>505</v>
      </c>
      <c r="AA68" s="136"/>
      <c r="AB68" s="135" t="s">
        <v>1658</v>
      </c>
    </row>
    <row r="69" spans="1:28">
      <c r="A69" s="136" t="s">
        <v>1659</v>
      </c>
      <c r="B69" s="135" t="s">
        <v>1660</v>
      </c>
      <c r="C69" s="135" t="s">
        <v>1394</v>
      </c>
      <c r="D69" s="136" t="s">
        <v>1395</v>
      </c>
      <c r="E69" s="136" t="s">
        <v>1396</v>
      </c>
      <c r="F69" s="135" t="s">
        <v>530</v>
      </c>
      <c r="G69" s="136" t="s">
        <v>1397</v>
      </c>
      <c r="H69" s="135" t="s">
        <v>383</v>
      </c>
      <c r="I69" s="135" t="s">
        <v>494</v>
      </c>
      <c r="J69" s="135" t="s">
        <v>494</v>
      </c>
      <c r="K69" s="135" t="s">
        <v>860</v>
      </c>
      <c r="L69" s="136" t="s">
        <v>1661</v>
      </c>
      <c r="N69" s="136"/>
      <c r="O69" s="136" t="s">
        <v>727</v>
      </c>
      <c r="P69" s="136" t="s">
        <v>542</v>
      </c>
      <c r="Q69" s="135" t="s">
        <v>516</v>
      </c>
      <c r="R69" s="135" t="s">
        <v>515</v>
      </c>
      <c r="S69" s="136"/>
      <c r="U69" s="135" t="s">
        <v>860</v>
      </c>
      <c r="V69" s="135" t="s">
        <v>452</v>
      </c>
      <c r="X69" s="135" t="s">
        <v>529</v>
      </c>
      <c r="Z69" s="135" t="s">
        <v>505</v>
      </c>
      <c r="AA69" s="136"/>
      <c r="AB69" s="135" t="s">
        <v>1662</v>
      </c>
    </row>
    <row r="70" spans="1:28">
      <c r="A70" s="136" t="s">
        <v>1663</v>
      </c>
      <c r="B70" s="135" t="s">
        <v>1664</v>
      </c>
      <c r="C70" s="135" t="s">
        <v>1394</v>
      </c>
      <c r="D70" s="136" t="s">
        <v>1395</v>
      </c>
      <c r="E70" s="136" t="s">
        <v>1396</v>
      </c>
      <c r="F70" s="135" t="s">
        <v>530</v>
      </c>
      <c r="G70" s="136" t="s">
        <v>1397</v>
      </c>
      <c r="H70" s="135" t="s">
        <v>383</v>
      </c>
      <c r="I70" s="135" t="s">
        <v>454</v>
      </c>
      <c r="J70" s="135" t="s">
        <v>454</v>
      </c>
      <c r="K70" s="135" t="s">
        <v>859</v>
      </c>
      <c r="L70" s="136" t="s">
        <v>1665</v>
      </c>
      <c r="N70" s="136"/>
      <c r="O70" s="136" t="s">
        <v>727</v>
      </c>
      <c r="P70" s="136" t="s">
        <v>542</v>
      </c>
      <c r="Q70" s="135" t="s">
        <v>516</v>
      </c>
      <c r="R70" s="135" t="s">
        <v>515</v>
      </c>
      <c r="S70" s="136"/>
      <c r="U70" s="135" t="s">
        <v>859</v>
      </c>
      <c r="V70" s="135" t="s">
        <v>452</v>
      </c>
      <c r="X70" s="135" t="s">
        <v>529</v>
      </c>
      <c r="Z70" s="135" t="s">
        <v>505</v>
      </c>
      <c r="AA70" s="136"/>
      <c r="AB70" s="135" t="s">
        <v>1666</v>
      </c>
    </row>
    <row r="71" spans="1:28">
      <c r="A71" s="136" t="s">
        <v>1667</v>
      </c>
      <c r="B71" s="135" t="s">
        <v>1668</v>
      </c>
      <c r="C71" s="135" t="s">
        <v>1394</v>
      </c>
      <c r="D71" s="136" t="s">
        <v>1395</v>
      </c>
      <c r="E71" s="136" t="s">
        <v>1396</v>
      </c>
      <c r="F71" s="135" t="s">
        <v>530</v>
      </c>
      <c r="G71" s="136" t="s">
        <v>1397</v>
      </c>
      <c r="H71" s="135" t="s">
        <v>383</v>
      </c>
      <c r="I71" s="135" t="s">
        <v>454</v>
      </c>
      <c r="J71" s="135" t="s">
        <v>454</v>
      </c>
      <c r="K71" s="135" t="s">
        <v>858</v>
      </c>
      <c r="L71" s="136" t="s">
        <v>1669</v>
      </c>
      <c r="N71" s="136"/>
      <c r="O71" s="136" t="s">
        <v>727</v>
      </c>
      <c r="P71" s="136" t="s">
        <v>542</v>
      </c>
      <c r="Q71" s="135" t="s">
        <v>516</v>
      </c>
      <c r="R71" s="135" t="s">
        <v>515</v>
      </c>
      <c r="S71" s="136"/>
      <c r="U71" s="135" t="s">
        <v>858</v>
      </c>
      <c r="V71" s="135" t="s">
        <v>452</v>
      </c>
      <c r="X71" s="135" t="s">
        <v>529</v>
      </c>
      <c r="Z71" s="135" t="s">
        <v>505</v>
      </c>
      <c r="AA71" s="136"/>
      <c r="AB71" s="135" t="s">
        <v>1670</v>
      </c>
    </row>
    <row r="72" spans="1:28">
      <c r="A72" s="136" t="s">
        <v>1671</v>
      </c>
      <c r="B72" s="135" t="s">
        <v>1672</v>
      </c>
      <c r="C72" s="135" t="s">
        <v>1394</v>
      </c>
      <c r="D72" s="136" t="s">
        <v>1395</v>
      </c>
      <c r="E72" s="136" t="s">
        <v>1396</v>
      </c>
      <c r="F72" s="135" t="s">
        <v>530</v>
      </c>
      <c r="G72" s="136" t="s">
        <v>1397</v>
      </c>
      <c r="H72" s="135" t="s">
        <v>383</v>
      </c>
      <c r="I72" s="135" t="s">
        <v>494</v>
      </c>
      <c r="J72" s="135" t="s">
        <v>494</v>
      </c>
      <c r="K72" s="135" t="s">
        <v>1673</v>
      </c>
      <c r="L72" s="136" t="s">
        <v>1674</v>
      </c>
      <c r="N72" s="136"/>
      <c r="O72" s="136" t="s">
        <v>727</v>
      </c>
      <c r="P72" s="136" t="s">
        <v>542</v>
      </c>
      <c r="Q72" s="135" t="s">
        <v>516</v>
      </c>
      <c r="R72" s="135" t="s">
        <v>515</v>
      </c>
      <c r="S72" s="136"/>
      <c r="U72" s="135" t="s">
        <v>1673</v>
      </c>
      <c r="V72" s="135" t="s">
        <v>452</v>
      </c>
      <c r="X72" s="135" t="s">
        <v>529</v>
      </c>
      <c r="Z72" s="135" t="s">
        <v>505</v>
      </c>
      <c r="AA72" s="136"/>
      <c r="AB72" s="135" t="s">
        <v>1675</v>
      </c>
    </row>
    <row r="73" spans="1:28">
      <c r="A73" s="136" t="s">
        <v>1676</v>
      </c>
      <c r="B73" s="135" t="s">
        <v>1677</v>
      </c>
      <c r="C73" s="135" t="s">
        <v>1394</v>
      </c>
      <c r="D73" s="136" t="s">
        <v>1395</v>
      </c>
      <c r="E73" s="136" t="s">
        <v>1396</v>
      </c>
      <c r="F73" s="135" t="s">
        <v>530</v>
      </c>
      <c r="G73" s="136" t="s">
        <v>1397</v>
      </c>
      <c r="H73" s="135" t="s">
        <v>383</v>
      </c>
      <c r="I73" s="135" t="s">
        <v>494</v>
      </c>
      <c r="J73" s="135" t="s">
        <v>494</v>
      </c>
      <c r="K73" s="135" t="s">
        <v>1678</v>
      </c>
      <c r="L73" s="136" t="s">
        <v>1679</v>
      </c>
      <c r="N73" s="136"/>
      <c r="O73" s="136" t="s">
        <v>727</v>
      </c>
      <c r="P73" s="136" t="s">
        <v>542</v>
      </c>
      <c r="Q73" s="135" t="s">
        <v>516</v>
      </c>
      <c r="R73" s="135" t="s">
        <v>515</v>
      </c>
      <c r="S73" s="136"/>
      <c r="U73" s="135" t="s">
        <v>1678</v>
      </c>
      <c r="V73" s="135" t="s">
        <v>452</v>
      </c>
      <c r="X73" s="135" t="s">
        <v>529</v>
      </c>
      <c r="Z73" s="135" t="s">
        <v>505</v>
      </c>
      <c r="AA73" s="136"/>
      <c r="AB73" s="135" t="s">
        <v>1680</v>
      </c>
    </row>
    <row r="74" spans="1:28">
      <c r="A74" s="136" t="s">
        <v>1681</v>
      </c>
      <c r="B74" s="135" t="s">
        <v>1682</v>
      </c>
      <c r="C74" s="135" t="s">
        <v>1394</v>
      </c>
      <c r="D74" s="136" t="s">
        <v>1395</v>
      </c>
      <c r="E74" s="136" t="s">
        <v>1396</v>
      </c>
      <c r="F74" s="135" t="s">
        <v>530</v>
      </c>
      <c r="G74" s="136" t="s">
        <v>1397</v>
      </c>
      <c r="H74" s="135" t="s">
        <v>383</v>
      </c>
      <c r="I74" s="135" t="s">
        <v>494</v>
      </c>
      <c r="J74" s="135" t="s">
        <v>494</v>
      </c>
      <c r="K74" s="135" t="s">
        <v>1683</v>
      </c>
      <c r="L74" s="136" t="s">
        <v>1684</v>
      </c>
      <c r="N74" s="136"/>
      <c r="O74" s="136" t="s">
        <v>727</v>
      </c>
      <c r="P74" s="136" t="s">
        <v>542</v>
      </c>
      <c r="Q74" s="135" t="s">
        <v>516</v>
      </c>
      <c r="R74" s="135" t="s">
        <v>515</v>
      </c>
      <c r="S74" s="136"/>
      <c r="U74" s="135" t="s">
        <v>1683</v>
      </c>
      <c r="V74" s="135" t="s">
        <v>452</v>
      </c>
      <c r="X74" s="135" t="s">
        <v>529</v>
      </c>
      <c r="Z74" s="135" t="s">
        <v>505</v>
      </c>
      <c r="AA74" s="136"/>
      <c r="AB74" s="135" t="s">
        <v>1685</v>
      </c>
    </row>
    <row r="75" spans="1:28">
      <c r="A75" s="136" t="s">
        <v>1686</v>
      </c>
      <c r="B75" s="135" t="s">
        <v>1687</v>
      </c>
      <c r="C75" s="135" t="s">
        <v>1394</v>
      </c>
      <c r="D75" s="136" t="s">
        <v>1395</v>
      </c>
      <c r="E75" s="136" t="s">
        <v>1396</v>
      </c>
      <c r="F75" s="135" t="s">
        <v>530</v>
      </c>
      <c r="G75" s="136" t="s">
        <v>1397</v>
      </c>
      <c r="H75" s="135" t="s">
        <v>383</v>
      </c>
      <c r="I75" s="135" t="s">
        <v>494</v>
      </c>
      <c r="J75" s="135" t="s">
        <v>494</v>
      </c>
      <c r="K75" s="135" t="s">
        <v>1688</v>
      </c>
      <c r="L75" s="136" t="s">
        <v>1689</v>
      </c>
      <c r="N75" s="136"/>
      <c r="O75" s="136" t="s">
        <v>727</v>
      </c>
      <c r="P75" s="136" t="s">
        <v>542</v>
      </c>
      <c r="Q75" s="135" t="s">
        <v>516</v>
      </c>
      <c r="R75" s="135" t="s">
        <v>515</v>
      </c>
      <c r="S75" s="136"/>
      <c r="U75" s="135" t="s">
        <v>1688</v>
      </c>
      <c r="V75" s="135" t="s">
        <v>452</v>
      </c>
      <c r="X75" s="135" t="s">
        <v>529</v>
      </c>
      <c r="Z75" s="135" t="s">
        <v>505</v>
      </c>
      <c r="AA75" s="136"/>
      <c r="AB75" s="135" t="s">
        <v>1690</v>
      </c>
    </row>
    <row r="76" spans="1:28">
      <c r="A76" s="136" t="s">
        <v>1691</v>
      </c>
      <c r="B76" s="135" t="s">
        <v>1692</v>
      </c>
      <c r="C76" s="135" t="s">
        <v>1394</v>
      </c>
      <c r="D76" s="136" t="s">
        <v>1395</v>
      </c>
      <c r="E76" s="136" t="s">
        <v>1396</v>
      </c>
      <c r="F76" s="135" t="s">
        <v>530</v>
      </c>
      <c r="G76" s="136" t="s">
        <v>1397</v>
      </c>
      <c r="H76" s="135" t="s">
        <v>383</v>
      </c>
      <c r="I76" s="135" t="s">
        <v>494</v>
      </c>
      <c r="J76" s="135" t="s">
        <v>494</v>
      </c>
      <c r="K76" s="135" t="s">
        <v>1693</v>
      </c>
      <c r="L76" s="136" t="s">
        <v>1694</v>
      </c>
      <c r="N76" s="136"/>
      <c r="O76" s="136" t="s">
        <v>727</v>
      </c>
      <c r="P76" s="136" t="s">
        <v>542</v>
      </c>
      <c r="Q76" s="135" t="s">
        <v>516</v>
      </c>
      <c r="R76" s="135" t="s">
        <v>515</v>
      </c>
      <c r="S76" s="136"/>
      <c r="U76" s="135" t="s">
        <v>1693</v>
      </c>
      <c r="V76" s="135" t="s">
        <v>452</v>
      </c>
      <c r="X76" s="135" t="s">
        <v>529</v>
      </c>
      <c r="Z76" s="135" t="s">
        <v>505</v>
      </c>
      <c r="AA76" s="136"/>
      <c r="AB76" s="135" t="s">
        <v>1695</v>
      </c>
    </row>
    <row r="77" spans="1:28">
      <c r="A77" s="136" t="s">
        <v>1696</v>
      </c>
      <c r="B77" s="135" t="s">
        <v>1697</v>
      </c>
      <c r="C77" s="135" t="s">
        <v>1394</v>
      </c>
      <c r="D77" s="136" t="s">
        <v>1395</v>
      </c>
      <c r="E77" s="136" t="s">
        <v>1396</v>
      </c>
      <c r="F77" s="135" t="s">
        <v>530</v>
      </c>
      <c r="G77" s="136" t="s">
        <v>1397</v>
      </c>
      <c r="H77" s="135" t="s">
        <v>383</v>
      </c>
      <c r="I77" s="135" t="s">
        <v>494</v>
      </c>
      <c r="J77" s="135" t="s">
        <v>494</v>
      </c>
      <c r="K77" s="135" t="s">
        <v>1698</v>
      </c>
      <c r="L77" s="136" t="s">
        <v>1699</v>
      </c>
      <c r="N77" s="136"/>
      <c r="O77" s="136" t="s">
        <v>727</v>
      </c>
      <c r="P77" s="136" t="s">
        <v>542</v>
      </c>
      <c r="Q77" s="135" t="s">
        <v>516</v>
      </c>
      <c r="R77" s="135" t="s">
        <v>515</v>
      </c>
      <c r="S77" s="136"/>
      <c r="U77" s="135" t="s">
        <v>1698</v>
      </c>
      <c r="V77" s="135" t="s">
        <v>452</v>
      </c>
      <c r="X77" s="135" t="s">
        <v>529</v>
      </c>
      <c r="Z77" s="135" t="s">
        <v>505</v>
      </c>
      <c r="AA77" s="136"/>
      <c r="AB77" s="135" t="s">
        <v>1700</v>
      </c>
    </row>
    <row r="78" spans="1:28">
      <c r="A78" s="136" t="s">
        <v>1701</v>
      </c>
      <c r="B78" s="135" t="s">
        <v>1702</v>
      </c>
      <c r="C78" s="135" t="s">
        <v>1394</v>
      </c>
      <c r="D78" s="136" t="s">
        <v>1395</v>
      </c>
      <c r="E78" s="136" t="s">
        <v>1396</v>
      </c>
      <c r="F78" s="135" t="s">
        <v>530</v>
      </c>
      <c r="G78" s="136" t="s">
        <v>1397</v>
      </c>
      <c r="H78" s="135" t="s">
        <v>383</v>
      </c>
      <c r="I78" s="135" t="s">
        <v>454</v>
      </c>
      <c r="J78" s="135" t="s">
        <v>454</v>
      </c>
      <c r="K78" s="135" t="s">
        <v>857</v>
      </c>
      <c r="L78" s="136" t="s">
        <v>1703</v>
      </c>
      <c r="N78" s="136"/>
      <c r="O78" s="136" t="s">
        <v>727</v>
      </c>
      <c r="P78" s="136" t="s">
        <v>542</v>
      </c>
      <c r="Q78" s="135" t="s">
        <v>516</v>
      </c>
      <c r="R78" s="135" t="s">
        <v>515</v>
      </c>
      <c r="S78" s="136"/>
      <c r="U78" s="135" t="s">
        <v>857</v>
      </c>
      <c r="V78" s="135" t="s">
        <v>452</v>
      </c>
      <c r="X78" s="135" t="s">
        <v>529</v>
      </c>
      <c r="Z78" s="135" t="s">
        <v>505</v>
      </c>
      <c r="AA78" s="136"/>
      <c r="AB78" s="135" t="s">
        <v>1704</v>
      </c>
    </row>
    <row r="79" spans="1:28">
      <c r="A79" s="136" t="s">
        <v>1705</v>
      </c>
      <c r="B79" s="135" t="s">
        <v>1706</v>
      </c>
      <c r="C79" s="135" t="s">
        <v>1394</v>
      </c>
      <c r="D79" s="136" t="s">
        <v>1395</v>
      </c>
      <c r="E79" s="136" t="s">
        <v>1396</v>
      </c>
      <c r="F79" s="135" t="s">
        <v>530</v>
      </c>
      <c r="G79" s="136" t="s">
        <v>1397</v>
      </c>
      <c r="H79" s="135" t="s">
        <v>383</v>
      </c>
      <c r="I79" s="135" t="s">
        <v>454</v>
      </c>
      <c r="J79" s="135" t="s">
        <v>454</v>
      </c>
      <c r="K79" s="135" t="s">
        <v>856</v>
      </c>
      <c r="L79" s="136" t="s">
        <v>1707</v>
      </c>
      <c r="N79" s="136"/>
      <c r="O79" s="136" t="s">
        <v>727</v>
      </c>
      <c r="P79" s="136" t="s">
        <v>542</v>
      </c>
      <c r="Q79" s="135" t="s">
        <v>516</v>
      </c>
      <c r="R79" s="135" t="s">
        <v>515</v>
      </c>
      <c r="S79" s="136"/>
      <c r="U79" s="135" t="s">
        <v>856</v>
      </c>
      <c r="V79" s="135" t="s">
        <v>452</v>
      </c>
      <c r="X79" s="135" t="s">
        <v>529</v>
      </c>
      <c r="Z79" s="135" t="s">
        <v>505</v>
      </c>
      <c r="AA79" s="136"/>
      <c r="AB79" s="135" t="s">
        <v>1708</v>
      </c>
    </row>
    <row r="80" spans="1:28">
      <c r="A80" s="136" t="s">
        <v>1709</v>
      </c>
      <c r="B80" s="135" t="s">
        <v>1710</v>
      </c>
      <c r="C80" s="135" t="s">
        <v>1394</v>
      </c>
      <c r="D80" s="136" t="s">
        <v>1395</v>
      </c>
      <c r="E80" s="136" t="s">
        <v>1396</v>
      </c>
      <c r="F80" s="135" t="s">
        <v>530</v>
      </c>
      <c r="G80" s="136" t="s">
        <v>1397</v>
      </c>
      <c r="H80" s="135" t="s">
        <v>383</v>
      </c>
      <c r="I80" s="135" t="s">
        <v>454</v>
      </c>
      <c r="J80" s="135" t="s">
        <v>454</v>
      </c>
      <c r="K80" s="135" t="s">
        <v>855</v>
      </c>
      <c r="L80" s="136" t="s">
        <v>1711</v>
      </c>
      <c r="N80" s="136"/>
      <c r="O80" s="136" t="s">
        <v>727</v>
      </c>
      <c r="P80" s="136" t="s">
        <v>542</v>
      </c>
      <c r="Q80" s="135" t="s">
        <v>516</v>
      </c>
      <c r="R80" s="135" t="s">
        <v>515</v>
      </c>
      <c r="S80" s="136"/>
      <c r="U80" s="135" t="s">
        <v>855</v>
      </c>
      <c r="V80" s="135" t="s">
        <v>452</v>
      </c>
      <c r="X80" s="135" t="s">
        <v>529</v>
      </c>
      <c r="Z80" s="135" t="s">
        <v>505</v>
      </c>
      <c r="AA80" s="136"/>
      <c r="AB80" s="135" t="s">
        <v>1712</v>
      </c>
    </row>
    <row r="81" spans="1:28">
      <c r="A81" s="136" t="s">
        <v>1713</v>
      </c>
      <c r="B81" s="135" t="s">
        <v>1714</v>
      </c>
      <c r="C81" s="135" t="s">
        <v>1394</v>
      </c>
      <c r="D81" s="136" t="s">
        <v>1395</v>
      </c>
      <c r="E81" s="136" t="s">
        <v>1396</v>
      </c>
      <c r="F81" s="135" t="s">
        <v>530</v>
      </c>
      <c r="G81" s="136" t="s">
        <v>1397</v>
      </c>
      <c r="H81" s="135" t="s">
        <v>383</v>
      </c>
      <c r="I81" s="135" t="s">
        <v>494</v>
      </c>
      <c r="J81" s="135" t="s">
        <v>494</v>
      </c>
      <c r="K81" s="135" t="s">
        <v>1715</v>
      </c>
      <c r="L81" s="136" t="s">
        <v>1716</v>
      </c>
      <c r="N81" s="136"/>
      <c r="O81" s="136" t="s">
        <v>727</v>
      </c>
      <c r="P81" s="136" t="s">
        <v>542</v>
      </c>
      <c r="Q81" s="135" t="s">
        <v>516</v>
      </c>
      <c r="R81" s="135" t="s">
        <v>515</v>
      </c>
      <c r="S81" s="136"/>
      <c r="U81" s="135" t="s">
        <v>1715</v>
      </c>
      <c r="V81" s="135" t="s">
        <v>452</v>
      </c>
      <c r="X81" s="135" t="s">
        <v>529</v>
      </c>
      <c r="Z81" s="135" t="s">
        <v>505</v>
      </c>
      <c r="AA81" s="136"/>
      <c r="AB81" s="135" t="s">
        <v>1717</v>
      </c>
    </row>
    <row r="82" spans="1:28">
      <c r="A82" s="136" t="s">
        <v>1718</v>
      </c>
      <c r="B82" s="135" t="s">
        <v>1719</v>
      </c>
      <c r="C82" s="135" t="s">
        <v>1394</v>
      </c>
      <c r="D82" s="136" t="s">
        <v>1720</v>
      </c>
      <c r="E82" s="136" t="s">
        <v>1396</v>
      </c>
      <c r="F82" s="135" t="s">
        <v>1430</v>
      </c>
      <c r="G82" s="136" t="s">
        <v>1431</v>
      </c>
      <c r="H82" s="135" t="s">
        <v>383</v>
      </c>
      <c r="I82" s="135" t="s">
        <v>494</v>
      </c>
      <c r="J82" s="135" t="s">
        <v>494</v>
      </c>
      <c r="K82" s="135" t="s">
        <v>1721</v>
      </c>
      <c r="L82" s="136" t="s">
        <v>1722</v>
      </c>
      <c r="N82" s="136"/>
      <c r="O82" s="136" t="s">
        <v>727</v>
      </c>
      <c r="P82" s="136" t="s">
        <v>566</v>
      </c>
      <c r="Q82" s="135" t="s">
        <v>854</v>
      </c>
      <c r="R82" s="135" t="s">
        <v>853</v>
      </c>
      <c r="S82" s="136"/>
      <c r="U82" s="135" t="s">
        <v>1721</v>
      </c>
      <c r="V82" s="135" t="s">
        <v>452</v>
      </c>
      <c r="X82" s="135" t="s">
        <v>1434</v>
      </c>
      <c r="Z82" s="135" t="s">
        <v>505</v>
      </c>
      <c r="AA82" s="136"/>
      <c r="AB82" s="135" t="s">
        <v>1723</v>
      </c>
    </row>
    <row r="83" spans="1:28">
      <c r="A83" s="136" t="s">
        <v>1724</v>
      </c>
      <c r="B83" s="135" t="s">
        <v>1725</v>
      </c>
      <c r="C83" s="135" t="s">
        <v>1394</v>
      </c>
      <c r="D83" s="136" t="s">
        <v>1720</v>
      </c>
      <c r="E83" s="136" t="s">
        <v>1396</v>
      </c>
      <c r="F83" s="135" t="s">
        <v>1430</v>
      </c>
      <c r="G83" s="136" t="s">
        <v>1431</v>
      </c>
      <c r="H83" s="135" t="s">
        <v>383</v>
      </c>
      <c r="I83" s="135" t="s">
        <v>454</v>
      </c>
      <c r="J83" s="135" t="s">
        <v>454</v>
      </c>
      <c r="K83" s="135" t="s">
        <v>1726</v>
      </c>
      <c r="L83" s="136" t="s">
        <v>1727</v>
      </c>
      <c r="N83" s="136"/>
      <c r="O83" s="136" t="s">
        <v>727</v>
      </c>
      <c r="P83" s="136" t="s">
        <v>566</v>
      </c>
      <c r="Q83" s="135" t="s">
        <v>854</v>
      </c>
      <c r="R83" s="135" t="s">
        <v>853</v>
      </c>
      <c r="S83" s="136"/>
      <c r="U83" s="135" t="s">
        <v>1726</v>
      </c>
      <c r="V83" s="135" t="s">
        <v>452</v>
      </c>
      <c r="X83" s="135" t="s">
        <v>1434</v>
      </c>
      <c r="Z83" s="135" t="s">
        <v>505</v>
      </c>
      <c r="AA83" s="136"/>
      <c r="AB83" s="135" t="s">
        <v>1728</v>
      </c>
    </row>
    <row r="84" spans="1:28">
      <c r="A84" s="136" t="s">
        <v>1729</v>
      </c>
      <c r="B84" s="135" t="s">
        <v>1730</v>
      </c>
      <c r="C84" s="135" t="s">
        <v>1394</v>
      </c>
      <c r="D84" s="136" t="s">
        <v>1720</v>
      </c>
      <c r="E84" s="136" t="s">
        <v>1396</v>
      </c>
      <c r="F84" s="135" t="s">
        <v>1430</v>
      </c>
      <c r="G84" s="136" t="s">
        <v>1431</v>
      </c>
      <c r="H84" s="135" t="s">
        <v>383</v>
      </c>
      <c r="I84" s="135" t="s">
        <v>454</v>
      </c>
      <c r="J84" s="135" t="s">
        <v>454</v>
      </c>
      <c r="K84" s="135" t="s">
        <v>1731</v>
      </c>
      <c r="L84" s="136" t="s">
        <v>1732</v>
      </c>
      <c r="N84" s="136"/>
      <c r="O84" s="136" t="s">
        <v>727</v>
      </c>
      <c r="P84" s="136" t="s">
        <v>566</v>
      </c>
      <c r="Q84" s="135" t="s">
        <v>854</v>
      </c>
      <c r="R84" s="135" t="s">
        <v>853</v>
      </c>
      <c r="S84" s="136"/>
      <c r="U84" s="135" t="s">
        <v>1731</v>
      </c>
      <c r="V84" s="135" t="s">
        <v>452</v>
      </c>
      <c r="X84" s="135" t="s">
        <v>1434</v>
      </c>
      <c r="Z84" s="135" t="s">
        <v>505</v>
      </c>
      <c r="AA84" s="136"/>
      <c r="AB84" s="135" t="s">
        <v>1733</v>
      </c>
    </row>
    <row r="85" spans="1:28">
      <c r="A85" s="136" t="s">
        <v>1734</v>
      </c>
      <c r="B85" s="135" t="s">
        <v>1735</v>
      </c>
      <c r="C85" s="135" t="s">
        <v>1394</v>
      </c>
      <c r="D85" s="136" t="s">
        <v>1720</v>
      </c>
      <c r="E85" s="136" t="s">
        <v>1396</v>
      </c>
      <c r="F85" s="135" t="s">
        <v>1430</v>
      </c>
      <c r="G85" s="136" t="s">
        <v>1431</v>
      </c>
      <c r="H85" s="135" t="s">
        <v>383</v>
      </c>
      <c r="I85" s="135" t="s">
        <v>454</v>
      </c>
      <c r="J85" s="135" t="s">
        <v>454</v>
      </c>
      <c r="K85" s="135" t="s">
        <v>1736</v>
      </c>
      <c r="L85" s="136" t="s">
        <v>1737</v>
      </c>
      <c r="N85" s="136"/>
      <c r="O85" s="136" t="s">
        <v>727</v>
      </c>
      <c r="P85" s="136" t="s">
        <v>566</v>
      </c>
      <c r="Q85" s="135" t="s">
        <v>854</v>
      </c>
      <c r="R85" s="135" t="s">
        <v>853</v>
      </c>
      <c r="S85" s="136"/>
      <c r="U85" s="135" t="s">
        <v>1736</v>
      </c>
      <c r="V85" s="135" t="s">
        <v>452</v>
      </c>
      <c r="X85" s="135" t="s">
        <v>1434</v>
      </c>
      <c r="Z85" s="135" t="s">
        <v>505</v>
      </c>
      <c r="AA85" s="136"/>
      <c r="AB85" s="135" t="s">
        <v>1738</v>
      </c>
    </row>
    <row r="86" spans="1:28">
      <c r="A86" s="136" t="s">
        <v>1739</v>
      </c>
      <c r="B86" s="135" t="s">
        <v>1740</v>
      </c>
      <c r="C86" s="135" t="s">
        <v>1394</v>
      </c>
      <c r="D86" s="136" t="s">
        <v>1741</v>
      </c>
      <c r="E86" s="136" t="s">
        <v>1396</v>
      </c>
      <c r="F86" s="135" t="s">
        <v>530</v>
      </c>
      <c r="G86" s="136" t="s">
        <v>1397</v>
      </c>
      <c r="H86" s="135" t="s">
        <v>383</v>
      </c>
      <c r="I86" s="135" t="s">
        <v>494</v>
      </c>
      <c r="J86" s="135" t="s">
        <v>494</v>
      </c>
      <c r="K86" s="135" t="s">
        <v>852</v>
      </c>
      <c r="L86" s="136" t="s">
        <v>1742</v>
      </c>
      <c r="N86" s="136"/>
      <c r="O86" s="136" t="s">
        <v>727</v>
      </c>
      <c r="P86" s="136" t="s">
        <v>1743</v>
      </c>
      <c r="Q86" s="135" t="s">
        <v>1744</v>
      </c>
      <c r="R86" s="135" t="s">
        <v>534</v>
      </c>
      <c r="S86" s="136"/>
      <c r="U86" s="135" t="s">
        <v>852</v>
      </c>
      <c r="V86" s="135" t="s">
        <v>452</v>
      </c>
      <c r="X86" s="135" t="s">
        <v>529</v>
      </c>
      <c r="Z86" s="135" t="s">
        <v>505</v>
      </c>
      <c r="AA86" s="136"/>
      <c r="AB86" s="135" t="s">
        <v>1745</v>
      </c>
    </row>
    <row r="87" spans="1:28">
      <c r="A87" s="136" t="s">
        <v>1746</v>
      </c>
      <c r="B87" s="135" t="s">
        <v>1747</v>
      </c>
      <c r="C87" s="135" t="s">
        <v>1486</v>
      </c>
      <c r="D87" s="136" t="s">
        <v>1748</v>
      </c>
      <c r="E87" s="136" t="s">
        <v>1396</v>
      </c>
      <c r="F87" s="135" t="s">
        <v>1239</v>
      </c>
      <c r="G87" s="136" t="s">
        <v>388</v>
      </c>
      <c r="I87" s="135" t="s">
        <v>765</v>
      </c>
      <c r="J87" s="135" t="s">
        <v>765</v>
      </c>
      <c r="K87" s="135" t="s">
        <v>978</v>
      </c>
      <c r="L87" s="136" t="s">
        <v>388</v>
      </c>
      <c r="N87" s="136"/>
      <c r="O87" s="136" t="s">
        <v>535</v>
      </c>
      <c r="P87" s="136" t="s">
        <v>566</v>
      </c>
      <c r="Q87" s="135" t="s">
        <v>1237</v>
      </c>
      <c r="R87" s="135" t="s">
        <v>1236</v>
      </c>
      <c r="S87" s="136"/>
      <c r="U87" s="135" t="s">
        <v>978</v>
      </c>
      <c r="V87" s="135" t="s">
        <v>975</v>
      </c>
      <c r="W87" s="135" t="s">
        <v>1239</v>
      </c>
      <c r="X87" s="135" t="s">
        <v>452</v>
      </c>
      <c r="Z87" s="135" t="s">
        <v>451</v>
      </c>
      <c r="AA87" s="136"/>
      <c r="AB87" s="135" t="s">
        <v>1749</v>
      </c>
    </row>
    <row r="88" spans="1:28">
      <c r="A88" s="136" t="s">
        <v>1750</v>
      </c>
      <c r="B88" s="135" t="s">
        <v>1751</v>
      </c>
      <c r="C88" s="135" t="s">
        <v>1486</v>
      </c>
      <c r="D88" s="136" t="s">
        <v>1748</v>
      </c>
      <c r="E88" s="136" t="s">
        <v>1396</v>
      </c>
      <c r="F88" s="135" t="s">
        <v>1238</v>
      </c>
      <c r="G88" s="136" t="s">
        <v>389</v>
      </c>
      <c r="I88" s="135" t="s">
        <v>765</v>
      </c>
      <c r="J88" s="135" t="s">
        <v>765</v>
      </c>
      <c r="K88" s="135" t="s">
        <v>977</v>
      </c>
      <c r="L88" s="136" t="s">
        <v>389</v>
      </c>
      <c r="N88" s="136"/>
      <c r="O88" s="136" t="s">
        <v>535</v>
      </c>
      <c r="P88" s="136" t="s">
        <v>566</v>
      </c>
      <c r="Q88" s="135" t="s">
        <v>1237</v>
      </c>
      <c r="R88" s="135" t="s">
        <v>1236</v>
      </c>
      <c r="S88" s="136"/>
      <c r="U88" s="135" t="s">
        <v>977</v>
      </c>
      <c r="V88" s="135" t="s">
        <v>975</v>
      </c>
      <c r="W88" s="135" t="s">
        <v>1238</v>
      </c>
      <c r="X88" s="135" t="s">
        <v>452</v>
      </c>
      <c r="Z88" s="135" t="s">
        <v>451</v>
      </c>
      <c r="AA88" s="136"/>
      <c r="AB88" s="135" t="s">
        <v>1752</v>
      </c>
    </row>
    <row r="89" spans="1:28">
      <c r="A89" s="136" t="s">
        <v>1753</v>
      </c>
      <c r="B89" s="135" t="s">
        <v>1754</v>
      </c>
      <c r="C89" s="135" t="s">
        <v>1486</v>
      </c>
      <c r="D89" s="136" t="s">
        <v>1748</v>
      </c>
      <c r="E89" s="136" t="s">
        <v>1396</v>
      </c>
      <c r="F89" s="135" t="s">
        <v>1235</v>
      </c>
      <c r="G89" s="136" t="s">
        <v>387</v>
      </c>
      <c r="I89" s="135" t="s">
        <v>765</v>
      </c>
      <c r="J89" s="135" t="s">
        <v>765</v>
      </c>
      <c r="K89" s="135" t="s">
        <v>976</v>
      </c>
      <c r="L89" s="136" t="s">
        <v>387</v>
      </c>
      <c r="N89" s="136"/>
      <c r="O89" s="136" t="s">
        <v>535</v>
      </c>
      <c r="P89" s="136" t="s">
        <v>566</v>
      </c>
      <c r="Q89" s="135" t="s">
        <v>1237</v>
      </c>
      <c r="R89" s="135" t="s">
        <v>1236</v>
      </c>
      <c r="S89" s="136"/>
      <c r="U89" s="135" t="s">
        <v>976</v>
      </c>
      <c r="V89" s="135" t="s">
        <v>975</v>
      </c>
      <c r="W89" s="135" t="s">
        <v>1235</v>
      </c>
      <c r="X89" s="135" t="s">
        <v>452</v>
      </c>
      <c r="Z89" s="135" t="s">
        <v>451</v>
      </c>
      <c r="AA89" s="136"/>
      <c r="AB89" s="135" t="s">
        <v>1755</v>
      </c>
    </row>
    <row r="90" spans="1:28">
      <c r="A90" s="136" t="s">
        <v>1756</v>
      </c>
      <c r="B90" s="135" t="s">
        <v>1757</v>
      </c>
      <c r="C90" s="135" t="s">
        <v>1394</v>
      </c>
      <c r="D90" s="136" t="s">
        <v>1758</v>
      </c>
      <c r="E90" s="136" t="s">
        <v>1396</v>
      </c>
      <c r="F90" s="135" t="s">
        <v>530</v>
      </c>
      <c r="G90" s="136" t="s">
        <v>1397</v>
      </c>
      <c r="H90" s="135" t="s">
        <v>383</v>
      </c>
      <c r="I90" s="135" t="s">
        <v>454</v>
      </c>
      <c r="J90" s="135" t="s">
        <v>454</v>
      </c>
      <c r="K90" s="135" t="s">
        <v>974</v>
      </c>
      <c r="L90" s="136" t="s">
        <v>1759</v>
      </c>
      <c r="N90" s="136"/>
      <c r="O90" s="136" t="s">
        <v>727</v>
      </c>
      <c r="P90" s="136" t="s">
        <v>542</v>
      </c>
      <c r="Q90" s="135" t="s">
        <v>963</v>
      </c>
      <c r="R90" s="135" t="s">
        <v>962</v>
      </c>
      <c r="S90" s="136"/>
      <c r="U90" s="135" t="s">
        <v>974</v>
      </c>
      <c r="V90" s="135" t="s">
        <v>960</v>
      </c>
      <c r="X90" s="135" t="s">
        <v>529</v>
      </c>
      <c r="Z90" s="135" t="s">
        <v>505</v>
      </c>
      <c r="AA90" s="136"/>
      <c r="AB90" s="135" t="s">
        <v>1760</v>
      </c>
    </row>
    <row r="91" spans="1:28">
      <c r="A91" s="136" t="s">
        <v>1761</v>
      </c>
      <c r="B91" s="135" t="s">
        <v>1762</v>
      </c>
      <c r="C91" s="135" t="s">
        <v>1394</v>
      </c>
      <c r="D91" s="136" t="s">
        <v>1758</v>
      </c>
      <c r="E91" s="136" t="s">
        <v>1396</v>
      </c>
      <c r="F91" s="135" t="s">
        <v>530</v>
      </c>
      <c r="G91" s="136" t="s">
        <v>1397</v>
      </c>
      <c r="H91" s="135" t="s">
        <v>383</v>
      </c>
      <c r="I91" s="135" t="s">
        <v>454</v>
      </c>
      <c r="J91" s="135" t="s">
        <v>454</v>
      </c>
      <c r="K91" s="135" t="s">
        <v>973</v>
      </c>
      <c r="L91" s="136" t="s">
        <v>1763</v>
      </c>
      <c r="N91" s="136"/>
      <c r="O91" s="136" t="s">
        <v>727</v>
      </c>
      <c r="P91" s="136" t="s">
        <v>542</v>
      </c>
      <c r="Q91" s="135" t="s">
        <v>963</v>
      </c>
      <c r="R91" s="135" t="s">
        <v>962</v>
      </c>
      <c r="S91" s="136"/>
      <c r="U91" s="135" t="s">
        <v>973</v>
      </c>
      <c r="V91" s="135" t="s">
        <v>960</v>
      </c>
      <c r="X91" s="135" t="s">
        <v>529</v>
      </c>
      <c r="Z91" s="135" t="s">
        <v>505</v>
      </c>
      <c r="AA91" s="136"/>
      <c r="AB91" s="135" t="s">
        <v>1764</v>
      </c>
    </row>
    <row r="92" spans="1:28">
      <c r="A92" s="136" t="s">
        <v>1765</v>
      </c>
      <c r="B92" s="135" t="s">
        <v>1766</v>
      </c>
      <c r="C92" s="135" t="s">
        <v>1394</v>
      </c>
      <c r="D92" s="136" t="s">
        <v>1758</v>
      </c>
      <c r="E92" s="136" t="s">
        <v>1396</v>
      </c>
      <c r="F92" s="135" t="s">
        <v>530</v>
      </c>
      <c r="G92" s="136" t="s">
        <v>1397</v>
      </c>
      <c r="H92" s="135" t="s">
        <v>383</v>
      </c>
      <c r="I92" s="135" t="s">
        <v>454</v>
      </c>
      <c r="J92" s="135" t="s">
        <v>454</v>
      </c>
      <c r="K92" s="135" t="s">
        <v>972</v>
      </c>
      <c r="L92" s="136" t="s">
        <v>1767</v>
      </c>
      <c r="N92" s="136"/>
      <c r="O92" s="136" t="s">
        <v>727</v>
      </c>
      <c r="P92" s="136" t="s">
        <v>542</v>
      </c>
      <c r="Q92" s="135" t="s">
        <v>963</v>
      </c>
      <c r="R92" s="135" t="s">
        <v>962</v>
      </c>
      <c r="S92" s="136"/>
      <c r="U92" s="135" t="s">
        <v>972</v>
      </c>
      <c r="V92" s="135" t="s">
        <v>960</v>
      </c>
      <c r="X92" s="135" t="s">
        <v>529</v>
      </c>
      <c r="Z92" s="135" t="s">
        <v>505</v>
      </c>
      <c r="AA92" s="136"/>
      <c r="AB92" s="135" t="s">
        <v>1768</v>
      </c>
    </row>
    <row r="93" spans="1:28">
      <c r="A93" s="136" t="s">
        <v>1769</v>
      </c>
      <c r="B93" s="135" t="s">
        <v>1770</v>
      </c>
      <c r="C93" s="135" t="s">
        <v>1394</v>
      </c>
      <c r="D93" s="136" t="s">
        <v>1758</v>
      </c>
      <c r="E93" s="136" t="s">
        <v>1396</v>
      </c>
      <c r="F93" s="135" t="s">
        <v>528</v>
      </c>
      <c r="G93" s="136" t="s">
        <v>1771</v>
      </c>
      <c r="I93" s="135" t="s">
        <v>494</v>
      </c>
      <c r="J93" s="135" t="s">
        <v>494</v>
      </c>
      <c r="K93" s="135" t="s">
        <v>971</v>
      </c>
      <c r="L93" s="136" t="s">
        <v>1771</v>
      </c>
      <c r="N93" s="136"/>
      <c r="O93" s="136" t="s">
        <v>727</v>
      </c>
      <c r="P93" s="136" t="s">
        <v>542</v>
      </c>
      <c r="Q93" s="135" t="s">
        <v>963</v>
      </c>
      <c r="R93" s="135" t="s">
        <v>962</v>
      </c>
      <c r="S93" s="136"/>
      <c r="U93" s="135" t="s">
        <v>971</v>
      </c>
      <c r="V93" s="135" t="s">
        <v>960</v>
      </c>
      <c r="W93" s="135" t="s">
        <v>528</v>
      </c>
      <c r="X93" s="135" t="s">
        <v>506</v>
      </c>
      <c r="Z93" s="135" t="s">
        <v>505</v>
      </c>
      <c r="AA93" s="136"/>
      <c r="AB93" s="135" t="s">
        <v>1772</v>
      </c>
    </row>
    <row r="94" spans="1:28">
      <c r="A94" s="136" t="s">
        <v>1773</v>
      </c>
      <c r="B94" s="135" t="s">
        <v>1774</v>
      </c>
      <c r="C94" s="135" t="s">
        <v>1394</v>
      </c>
      <c r="D94" s="136" t="s">
        <v>1598</v>
      </c>
      <c r="E94" s="136" t="s">
        <v>457</v>
      </c>
      <c r="F94" s="135" t="s">
        <v>1775</v>
      </c>
      <c r="G94" s="136" t="s">
        <v>1567</v>
      </c>
      <c r="H94" s="135" t="s">
        <v>383</v>
      </c>
      <c r="I94" s="135" t="s">
        <v>454</v>
      </c>
      <c r="J94" s="135" t="s">
        <v>454</v>
      </c>
      <c r="K94" s="135" t="s">
        <v>528</v>
      </c>
      <c r="L94" s="136" t="s">
        <v>1771</v>
      </c>
      <c r="N94" s="136"/>
      <c r="O94" s="136" t="s">
        <v>535</v>
      </c>
      <c r="P94" s="136" t="s">
        <v>504</v>
      </c>
      <c r="Q94" s="135" t="s">
        <v>509</v>
      </c>
      <c r="R94" s="135" t="s">
        <v>508</v>
      </c>
      <c r="S94" s="136"/>
      <c r="U94" s="135" t="s">
        <v>528</v>
      </c>
      <c r="V94" s="135" t="s">
        <v>506</v>
      </c>
      <c r="X94" s="135" t="s">
        <v>1776</v>
      </c>
      <c r="Z94" s="135" t="s">
        <v>505</v>
      </c>
      <c r="AA94" s="136"/>
      <c r="AB94" s="135" t="s">
        <v>1777</v>
      </c>
    </row>
    <row r="95" spans="1:28">
      <c r="A95" s="136" t="s">
        <v>1778</v>
      </c>
      <c r="B95" s="135" t="s">
        <v>1779</v>
      </c>
      <c r="C95" s="135" t="s">
        <v>1394</v>
      </c>
      <c r="D95" s="136" t="s">
        <v>1758</v>
      </c>
      <c r="E95" s="136" t="s">
        <v>1396</v>
      </c>
      <c r="F95" s="135" t="s">
        <v>527</v>
      </c>
      <c r="G95" s="136" t="s">
        <v>1780</v>
      </c>
      <c r="I95" s="135" t="s">
        <v>454</v>
      </c>
      <c r="J95" s="135" t="s">
        <v>454</v>
      </c>
      <c r="K95" s="135" t="s">
        <v>970</v>
      </c>
      <c r="L95" s="136" t="s">
        <v>1780</v>
      </c>
      <c r="N95" s="136"/>
      <c r="O95" s="136" t="s">
        <v>727</v>
      </c>
      <c r="P95" s="136" t="s">
        <v>542</v>
      </c>
      <c r="Q95" s="135" t="s">
        <v>963</v>
      </c>
      <c r="R95" s="135" t="s">
        <v>962</v>
      </c>
      <c r="S95" s="136"/>
      <c r="U95" s="135" t="s">
        <v>970</v>
      </c>
      <c r="V95" s="135" t="s">
        <v>960</v>
      </c>
      <c r="W95" s="135" t="s">
        <v>527</v>
      </c>
      <c r="X95" s="135" t="s">
        <v>506</v>
      </c>
      <c r="Z95" s="135" t="s">
        <v>505</v>
      </c>
      <c r="AA95" s="136"/>
      <c r="AB95" s="135" t="s">
        <v>1781</v>
      </c>
    </row>
    <row r="96" spans="1:28">
      <c r="A96" s="136" t="s">
        <v>1782</v>
      </c>
      <c r="B96" s="135" t="s">
        <v>1783</v>
      </c>
      <c r="C96" s="135" t="s">
        <v>1394</v>
      </c>
      <c r="D96" s="136" t="s">
        <v>1598</v>
      </c>
      <c r="E96" s="136" t="s">
        <v>457</v>
      </c>
      <c r="F96" s="135" t="s">
        <v>1775</v>
      </c>
      <c r="G96" s="136" t="s">
        <v>1567</v>
      </c>
      <c r="H96" s="135" t="s">
        <v>383</v>
      </c>
      <c r="I96" s="135" t="s">
        <v>454</v>
      </c>
      <c r="J96" s="135" t="s">
        <v>454</v>
      </c>
      <c r="K96" s="135" t="s">
        <v>527</v>
      </c>
      <c r="L96" s="136" t="s">
        <v>1780</v>
      </c>
      <c r="N96" s="136"/>
      <c r="O96" s="136" t="s">
        <v>535</v>
      </c>
      <c r="P96" s="136" t="s">
        <v>504</v>
      </c>
      <c r="Q96" s="135" t="s">
        <v>509</v>
      </c>
      <c r="R96" s="135" t="s">
        <v>508</v>
      </c>
      <c r="S96" s="136"/>
      <c r="U96" s="135" t="s">
        <v>527</v>
      </c>
      <c r="V96" s="135" t="s">
        <v>506</v>
      </c>
      <c r="X96" s="135" t="s">
        <v>1776</v>
      </c>
      <c r="Z96" s="135" t="s">
        <v>505</v>
      </c>
      <c r="AA96" s="136"/>
      <c r="AB96" s="135" t="s">
        <v>1784</v>
      </c>
    </row>
    <row r="97" spans="1:28">
      <c r="A97" s="136" t="s">
        <v>1785</v>
      </c>
      <c r="B97" s="135" t="s">
        <v>1786</v>
      </c>
      <c r="C97" s="135" t="s">
        <v>1394</v>
      </c>
      <c r="D97" s="136" t="s">
        <v>1395</v>
      </c>
      <c r="E97" s="136" t="s">
        <v>1396</v>
      </c>
      <c r="F97" s="135" t="s">
        <v>526</v>
      </c>
      <c r="G97" s="136" t="s">
        <v>1787</v>
      </c>
      <c r="I97" s="135" t="s">
        <v>454</v>
      </c>
      <c r="J97" s="135" t="s">
        <v>454</v>
      </c>
      <c r="K97" s="135" t="s">
        <v>525</v>
      </c>
      <c r="L97" s="136" t="s">
        <v>1787</v>
      </c>
      <c r="N97" s="136"/>
      <c r="O97" s="136" t="s">
        <v>727</v>
      </c>
      <c r="P97" s="136" t="s">
        <v>542</v>
      </c>
      <c r="Q97" s="135" t="s">
        <v>516</v>
      </c>
      <c r="R97" s="135" t="s">
        <v>515</v>
      </c>
      <c r="S97" s="136"/>
      <c r="U97" s="135" t="s">
        <v>525</v>
      </c>
      <c r="V97" s="135" t="s">
        <v>511</v>
      </c>
      <c r="W97" s="135" t="s">
        <v>526</v>
      </c>
      <c r="X97" s="135" t="s">
        <v>513</v>
      </c>
      <c r="Z97" s="135" t="s">
        <v>510</v>
      </c>
      <c r="AA97" s="136"/>
      <c r="AB97" s="135" t="s">
        <v>1788</v>
      </c>
    </row>
    <row r="98" spans="1:28">
      <c r="A98" s="136" t="s">
        <v>1789</v>
      </c>
      <c r="B98" s="135" t="s">
        <v>1790</v>
      </c>
      <c r="C98" s="135" t="s">
        <v>1394</v>
      </c>
      <c r="D98" s="136" t="s">
        <v>1758</v>
      </c>
      <c r="E98" s="136" t="s">
        <v>1396</v>
      </c>
      <c r="F98" s="135" t="s">
        <v>524</v>
      </c>
      <c r="G98" s="136" t="s">
        <v>1791</v>
      </c>
      <c r="I98" s="135" t="s">
        <v>454</v>
      </c>
      <c r="J98" s="135" t="s">
        <v>454</v>
      </c>
      <c r="K98" s="135" t="s">
        <v>969</v>
      </c>
      <c r="L98" s="136" t="s">
        <v>1791</v>
      </c>
      <c r="N98" s="136"/>
      <c r="O98" s="136" t="s">
        <v>727</v>
      </c>
      <c r="P98" s="136" t="s">
        <v>542</v>
      </c>
      <c r="Q98" s="135" t="s">
        <v>963</v>
      </c>
      <c r="R98" s="135" t="s">
        <v>962</v>
      </c>
      <c r="S98" s="136"/>
      <c r="U98" s="135" t="s">
        <v>969</v>
      </c>
      <c r="V98" s="135" t="s">
        <v>960</v>
      </c>
      <c r="W98" s="135" t="s">
        <v>524</v>
      </c>
      <c r="X98" s="135" t="s">
        <v>506</v>
      </c>
      <c r="Z98" s="135" t="s">
        <v>505</v>
      </c>
      <c r="AA98" s="136"/>
      <c r="AB98" s="135" t="s">
        <v>1792</v>
      </c>
    </row>
    <row r="99" spans="1:28">
      <c r="A99" s="136" t="s">
        <v>1793</v>
      </c>
      <c r="B99" s="135" t="s">
        <v>1794</v>
      </c>
      <c r="C99" s="135" t="s">
        <v>1394</v>
      </c>
      <c r="D99" s="136" t="s">
        <v>1598</v>
      </c>
      <c r="E99" s="136" t="s">
        <v>457</v>
      </c>
      <c r="F99" s="135" t="s">
        <v>1775</v>
      </c>
      <c r="G99" s="136" t="s">
        <v>1567</v>
      </c>
      <c r="H99" s="135" t="s">
        <v>383</v>
      </c>
      <c r="I99" s="135" t="s">
        <v>454</v>
      </c>
      <c r="J99" s="135" t="s">
        <v>454</v>
      </c>
      <c r="K99" s="135" t="s">
        <v>524</v>
      </c>
      <c r="L99" s="136" t="s">
        <v>1791</v>
      </c>
      <c r="N99" s="136"/>
      <c r="O99" s="136" t="s">
        <v>535</v>
      </c>
      <c r="P99" s="136" t="s">
        <v>504</v>
      </c>
      <c r="Q99" s="135" t="s">
        <v>509</v>
      </c>
      <c r="R99" s="135" t="s">
        <v>508</v>
      </c>
      <c r="S99" s="136"/>
      <c r="U99" s="135" t="s">
        <v>524</v>
      </c>
      <c r="V99" s="135" t="s">
        <v>506</v>
      </c>
      <c r="X99" s="135" t="s">
        <v>1776</v>
      </c>
      <c r="Z99" s="135" t="s">
        <v>505</v>
      </c>
      <c r="AA99" s="136"/>
      <c r="AB99" s="135" t="s">
        <v>1795</v>
      </c>
    </row>
    <row r="100" spans="1:28">
      <c r="A100" s="136" t="s">
        <v>1796</v>
      </c>
      <c r="B100" s="135" t="s">
        <v>1797</v>
      </c>
      <c r="C100" s="135" t="s">
        <v>1394</v>
      </c>
      <c r="D100" s="136" t="s">
        <v>1758</v>
      </c>
      <c r="E100" s="136" t="s">
        <v>1396</v>
      </c>
      <c r="F100" s="135" t="s">
        <v>523</v>
      </c>
      <c r="G100" s="136" t="s">
        <v>1798</v>
      </c>
      <c r="I100" s="135" t="s">
        <v>454</v>
      </c>
      <c r="J100" s="135" t="s">
        <v>454</v>
      </c>
      <c r="K100" s="135" t="s">
        <v>968</v>
      </c>
      <c r="L100" s="136" t="s">
        <v>1798</v>
      </c>
      <c r="N100" s="136"/>
      <c r="O100" s="136" t="s">
        <v>727</v>
      </c>
      <c r="P100" s="136" t="s">
        <v>542</v>
      </c>
      <c r="Q100" s="135" t="s">
        <v>963</v>
      </c>
      <c r="R100" s="135" t="s">
        <v>962</v>
      </c>
      <c r="S100" s="136"/>
      <c r="U100" s="135" t="s">
        <v>968</v>
      </c>
      <c r="V100" s="135" t="s">
        <v>960</v>
      </c>
      <c r="W100" s="135" t="s">
        <v>523</v>
      </c>
      <c r="X100" s="135" t="s">
        <v>506</v>
      </c>
      <c r="Z100" s="135" t="s">
        <v>505</v>
      </c>
      <c r="AA100" s="136"/>
      <c r="AB100" s="135" t="s">
        <v>1799</v>
      </c>
    </row>
    <row r="101" spans="1:28">
      <c r="A101" s="136" t="s">
        <v>1800</v>
      </c>
      <c r="B101" s="135" t="s">
        <v>1801</v>
      </c>
      <c r="C101" s="135" t="s">
        <v>1394</v>
      </c>
      <c r="D101" s="136" t="s">
        <v>1598</v>
      </c>
      <c r="E101" s="136" t="s">
        <v>457</v>
      </c>
      <c r="F101" s="135" t="s">
        <v>1775</v>
      </c>
      <c r="G101" s="136" t="s">
        <v>1567</v>
      </c>
      <c r="H101" s="135" t="s">
        <v>383</v>
      </c>
      <c r="I101" s="135" t="s">
        <v>454</v>
      </c>
      <c r="J101" s="135" t="s">
        <v>454</v>
      </c>
      <c r="K101" s="135" t="s">
        <v>523</v>
      </c>
      <c r="L101" s="136" t="s">
        <v>1798</v>
      </c>
      <c r="N101" s="136"/>
      <c r="O101" s="136" t="s">
        <v>535</v>
      </c>
      <c r="P101" s="136" t="s">
        <v>504</v>
      </c>
      <c r="Q101" s="135" t="s">
        <v>509</v>
      </c>
      <c r="R101" s="135" t="s">
        <v>508</v>
      </c>
      <c r="S101" s="136"/>
      <c r="U101" s="135" t="s">
        <v>523</v>
      </c>
      <c r="V101" s="135" t="s">
        <v>506</v>
      </c>
      <c r="X101" s="135" t="s">
        <v>1776</v>
      </c>
      <c r="Z101" s="135" t="s">
        <v>505</v>
      </c>
      <c r="AA101" s="136"/>
      <c r="AB101" s="135" t="s">
        <v>1802</v>
      </c>
    </row>
    <row r="102" spans="1:28">
      <c r="A102" s="136" t="s">
        <v>1803</v>
      </c>
      <c r="B102" s="135" t="s">
        <v>1804</v>
      </c>
      <c r="C102" s="135" t="s">
        <v>1394</v>
      </c>
      <c r="D102" s="136" t="s">
        <v>1758</v>
      </c>
      <c r="E102" s="136" t="s">
        <v>1396</v>
      </c>
      <c r="F102" s="135" t="s">
        <v>522</v>
      </c>
      <c r="G102" s="136" t="s">
        <v>1805</v>
      </c>
      <c r="I102" s="135" t="s">
        <v>454</v>
      </c>
      <c r="J102" s="135" t="s">
        <v>454</v>
      </c>
      <c r="K102" s="135" t="s">
        <v>967</v>
      </c>
      <c r="L102" s="136" t="s">
        <v>1805</v>
      </c>
      <c r="N102" s="136"/>
      <c r="O102" s="136" t="s">
        <v>727</v>
      </c>
      <c r="P102" s="136" t="s">
        <v>542</v>
      </c>
      <c r="Q102" s="135" t="s">
        <v>963</v>
      </c>
      <c r="R102" s="135" t="s">
        <v>962</v>
      </c>
      <c r="S102" s="136"/>
      <c r="U102" s="135" t="s">
        <v>967</v>
      </c>
      <c r="V102" s="135" t="s">
        <v>960</v>
      </c>
      <c r="W102" s="135" t="s">
        <v>522</v>
      </c>
      <c r="X102" s="135" t="s">
        <v>506</v>
      </c>
      <c r="Z102" s="135" t="s">
        <v>505</v>
      </c>
      <c r="AA102" s="136"/>
      <c r="AB102" s="135" t="s">
        <v>1806</v>
      </c>
    </row>
    <row r="103" spans="1:28">
      <c r="A103" s="136" t="s">
        <v>1807</v>
      </c>
      <c r="B103" s="135" t="s">
        <v>1808</v>
      </c>
      <c r="C103" s="135" t="s">
        <v>1394</v>
      </c>
      <c r="D103" s="136" t="s">
        <v>1598</v>
      </c>
      <c r="E103" s="136" t="s">
        <v>457</v>
      </c>
      <c r="F103" s="135" t="s">
        <v>1775</v>
      </c>
      <c r="G103" s="136" t="s">
        <v>1567</v>
      </c>
      <c r="H103" s="135" t="s">
        <v>383</v>
      </c>
      <c r="I103" s="135" t="s">
        <v>454</v>
      </c>
      <c r="J103" s="135" t="s">
        <v>454</v>
      </c>
      <c r="K103" s="135" t="s">
        <v>522</v>
      </c>
      <c r="L103" s="136" t="s">
        <v>1805</v>
      </c>
      <c r="N103" s="136"/>
      <c r="O103" s="136" t="s">
        <v>535</v>
      </c>
      <c r="P103" s="136" t="s">
        <v>504</v>
      </c>
      <c r="Q103" s="135" t="s">
        <v>509</v>
      </c>
      <c r="R103" s="135" t="s">
        <v>508</v>
      </c>
      <c r="S103" s="136"/>
      <c r="U103" s="135" t="s">
        <v>522</v>
      </c>
      <c r="V103" s="135" t="s">
        <v>506</v>
      </c>
      <c r="X103" s="135" t="s">
        <v>1776</v>
      </c>
      <c r="Z103" s="135" t="s">
        <v>505</v>
      </c>
      <c r="AA103" s="136"/>
      <c r="AB103" s="135" t="s">
        <v>1809</v>
      </c>
    </row>
    <row r="104" spans="1:28">
      <c r="A104" s="136" t="s">
        <v>1810</v>
      </c>
      <c r="B104" s="135" t="s">
        <v>1811</v>
      </c>
      <c r="C104" s="135" t="s">
        <v>1394</v>
      </c>
      <c r="D104" s="136" t="s">
        <v>1395</v>
      </c>
      <c r="E104" s="136" t="s">
        <v>1396</v>
      </c>
      <c r="F104" s="135" t="s">
        <v>521</v>
      </c>
      <c r="G104" s="136" t="s">
        <v>1812</v>
      </c>
      <c r="I104" s="135" t="s">
        <v>454</v>
      </c>
      <c r="J104" s="135" t="s">
        <v>454</v>
      </c>
      <c r="K104" s="135" t="s">
        <v>520</v>
      </c>
      <c r="L104" s="136" t="s">
        <v>1812</v>
      </c>
      <c r="N104" s="136"/>
      <c r="O104" s="136" t="s">
        <v>727</v>
      </c>
      <c r="P104" s="136" t="s">
        <v>542</v>
      </c>
      <c r="Q104" s="135" t="s">
        <v>516</v>
      </c>
      <c r="R104" s="135" t="s">
        <v>515</v>
      </c>
      <c r="S104" s="136"/>
      <c r="U104" s="135" t="s">
        <v>520</v>
      </c>
      <c r="V104" s="135" t="s">
        <v>511</v>
      </c>
      <c r="W104" s="135" t="s">
        <v>521</v>
      </c>
      <c r="X104" s="135" t="s">
        <v>513</v>
      </c>
      <c r="Z104" s="135" t="s">
        <v>510</v>
      </c>
      <c r="AA104" s="136"/>
      <c r="AB104" s="135" t="s">
        <v>1813</v>
      </c>
    </row>
    <row r="105" spans="1:28">
      <c r="A105" s="136" t="s">
        <v>1814</v>
      </c>
      <c r="B105" s="135" t="s">
        <v>1815</v>
      </c>
      <c r="C105" s="135" t="s">
        <v>1394</v>
      </c>
      <c r="D105" s="136" t="s">
        <v>1758</v>
      </c>
      <c r="E105" s="136" t="s">
        <v>1396</v>
      </c>
      <c r="F105" s="135" t="s">
        <v>519</v>
      </c>
      <c r="G105" s="136" t="s">
        <v>1816</v>
      </c>
      <c r="I105" s="135" t="s">
        <v>454</v>
      </c>
      <c r="J105" s="135" t="s">
        <v>454</v>
      </c>
      <c r="K105" s="135" t="s">
        <v>966</v>
      </c>
      <c r="L105" s="136" t="s">
        <v>1816</v>
      </c>
      <c r="N105" s="136"/>
      <c r="O105" s="136" t="s">
        <v>727</v>
      </c>
      <c r="P105" s="136" t="s">
        <v>542</v>
      </c>
      <c r="Q105" s="135" t="s">
        <v>963</v>
      </c>
      <c r="R105" s="135" t="s">
        <v>962</v>
      </c>
      <c r="S105" s="136"/>
      <c r="U105" s="135" t="s">
        <v>966</v>
      </c>
      <c r="V105" s="135" t="s">
        <v>960</v>
      </c>
      <c r="W105" s="135" t="s">
        <v>519</v>
      </c>
      <c r="X105" s="135" t="s">
        <v>506</v>
      </c>
      <c r="Z105" s="135" t="s">
        <v>505</v>
      </c>
      <c r="AA105" s="136"/>
      <c r="AB105" s="135" t="s">
        <v>1817</v>
      </c>
    </row>
    <row r="106" spans="1:28">
      <c r="A106" s="136" t="s">
        <v>1818</v>
      </c>
      <c r="B106" s="135" t="s">
        <v>1819</v>
      </c>
      <c r="C106" s="135" t="s">
        <v>1394</v>
      </c>
      <c r="D106" s="136" t="s">
        <v>1598</v>
      </c>
      <c r="E106" s="136" t="s">
        <v>457</v>
      </c>
      <c r="F106" s="135" t="s">
        <v>1775</v>
      </c>
      <c r="G106" s="136" t="s">
        <v>1567</v>
      </c>
      <c r="H106" s="135" t="s">
        <v>383</v>
      </c>
      <c r="I106" s="135" t="s">
        <v>454</v>
      </c>
      <c r="J106" s="135" t="s">
        <v>454</v>
      </c>
      <c r="K106" s="135" t="s">
        <v>519</v>
      </c>
      <c r="L106" s="136" t="s">
        <v>1816</v>
      </c>
      <c r="N106" s="136"/>
      <c r="O106" s="136" t="s">
        <v>535</v>
      </c>
      <c r="P106" s="136" t="s">
        <v>504</v>
      </c>
      <c r="Q106" s="135" t="s">
        <v>509</v>
      </c>
      <c r="R106" s="135" t="s">
        <v>508</v>
      </c>
      <c r="S106" s="136"/>
      <c r="U106" s="135" t="s">
        <v>519</v>
      </c>
      <c r="V106" s="135" t="s">
        <v>506</v>
      </c>
      <c r="X106" s="135" t="s">
        <v>1776</v>
      </c>
      <c r="Z106" s="135" t="s">
        <v>505</v>
      </c>
      <c r="AA106" s="136"/>
      <c r="AB106" s="135" t="s">
        <v>1820</v>
      </c>
    </row>
    <row r="107" spans="1:28">
      <c r="A107" s="136" t="s">
        <v>1821</v>
      </c>
      <c r="B107" s="135" t="s">
        <v>1822</v>
      </c>
      <c r="C107" s="135" t="s">
        <v>1394</v>
      </c>
      <c r="D107" s="136" t="s">
        <v>1758</v>
      </c>
      <c r="E107" s="136" t="s">
        <v>1396</v>
      </c>
      <c r="F107" s="135" t="s">
        <v>518</v>
      </c>
      <c r="G107" s="136" t="s">
        <v>1823</v>
      </c>
      <c r="I107" s="135" t="s">
        <v>454</v>
      </c>
      <c r="J107" s="135" t="s">
        <v>454</v>
      </c>
      <c r="K107" s="135" t="s">
        <v>965</v>
      </c>
      <c r="L107" s="136" t="s">
        <v>1823</v>
      </c>
      <c r="N107" s="136"/>
      <c r="O107" s="136" t="s">
        <v>727</v>
      </c>
      <c r="P107" s="136" t="s">
        <v>542</v>
      </c>
      <c r="Q107" s="135" t="s">
        <v>963</v>
      </c>
      <c r="R107" s="135" t="s">
        <v>962</v>
      </c>
      <c r="S107" s="136"/>
      <c r="U107" s="135" t="s">
        <v>965</v>
      </c>
      <c r="V107" s="135" t="s">
        <v>960</v>
      </c>
      <c r="W107" s="135" t="s">
        <v>518</v>
      </c>
      <c r="X107" s="135" t="s">
        <v>506</v>
      </c>
      <c r="Z107" s="135" t="s">
        <v>505</v>
      </c>
      <c r="AA107" s="136"/>
      <c r="AB107" s="135" t="s">
        <v>1824</v>
      </c>
    </row>
    <row r="108" spans="1:28">
      <c r="A108" s="136" t="s">
        <v>1825</v>
      </c>
      <c r="B108" s="135" t="s">
        <v>1826</v>
      </c>
      <c r="C108" s="135" t="s">
        <v>1394</v>
      </c>
      <c r="D108" s="136" t="s">
        <v>1598</v>
      </c>
      <c r="E108" s="136" t="s">
        <v>457</v>
      </c>
      <c r="F108" s="135" t="s">
        <v>1775</v>
      </c>
      <c r="G108" s="136" t="s">
        <v>1567</v>
      </c>
      <c r="H108" s="135" t="s">
        <v>383</v>
      </c>
      <c r="I108" s="135" t="s">
        <v>454</v>
      </c>
      <c r="J108" s="135" t="s">
        <v>454</v>
      </c>
      <c r="K108" s="135" t="s">
        <v>518</v>
      </c>
      <c r="L108" s="136" t="s">
        <v>1823</v>
      </c>
      <c r="N108" s="136"/>
      <c r="O108" s="136" t="s">
        <v>535</v>
      </c>
      <c r="P108" s="136" t="s">
        <v>504</v>
      </c>
      <c r="Q108" s="135" t="s">
        <v>509</v>
      </c>
      <c r="R108" s="135" t="s">
        <v>508</v>
      </c>
      <c r="S108" s="136"/>
      <c r="U108" s="135" t="s">
        <v>518</v>
      </c>
      <c r="V108" s="135" t="s">
        <v>506</v>
      </c>
      <c r="X108" s="135" t="s">
        <v>1776</v>
      </c>
      <c r="Z108" s="135" t="s">
        <v>505</v>
      </c>
      <c r="AA108" s="136"/>
      <c r="AB108" s="135" t="s">
        <v>1827</v>
      </c>
    </row>
    <row r="109" spans="1:28">
      <c r="A109" s="136" t="s">
        <v>1828</v>
      </c>
      <c r="B109" s="135" t="s">
        <v>1829</v>
      </c>
      <c r="C109" s="135" t="s">
        <v>1394</v>
      </c>
      <c r="D109" s="136" t="s">
        <v>1758</v>
      </c>
      <c r="E109" s="136" t="s">
        <v>1396</v>
      </c>
      <c r="F109" s="135" t="s">
        <v>517</v>
      </c>
      <c r="G109" s="136" t="s">
        <v>1830</v>
      </c>
      <c r="I109" s="135" t="s">
        <v>454</v>
      </c>
      <c r="J109" s="135" t="s">
        <v>454</v>
      </c>
      <c r="K109" s="135" t="s">
        <v>964</v>
      </c>
      <c r="L109" s="136" t="s">
        <v>1830</v>
      </c>
      <c r="N109" s="136"/>
      <c r="O109" s="136" t="s">
        <v>727</v>
      </c>
      <c r="P109" s="136" t="s">
        <v>542</v>
      </c>
      <c r="Q109" s="135" t="s">
        <v>963</v>
      </c>
      <c r="R109" s="135" t="s">
        <v>962</v>
      </c>
      <c r="S109" s="136"/>
      <c r="U109" s="135" t="s">
        <v>964</v>
      </c>
      <c r="V109" s="135" t="s">
        <v>960</v>
      </c>
      <c r="W109" s="135" t="s">
        <v>517</v>
      </c>
      <c r="X109" s="135" t="s">
        <v>506</v>
      </c>
      <c r="Z109" s="135" t="s">
        <v>505</v>
      </c>
      <c r="AA109" s="136"/>
      <c r="AB109" s="135" t="s">
        <v>1831</v>
      </c>
    </row>
    <row r="110" spans="1:28">
      <c r="A110" s="136" t="s">
        <v>1832</v>
      </c>
      <c r="B110" s="135" t="s">
        <v>1833</v>
      </c>
      <c r="C110" s="135" t="s">
        <v>1394</v>
      </c>
      <c r="D110" s="136" t="s">
        <v>1598</v>
      </c>
      <c r="E110" s="136" t="s">
        <v>457</v>
      </c>
      <c r="F110" s="135" t="s">
        <v>1775</v>
      </c>
      <c r="G110" s="136" t="s">
        <v>1567</v>
      </c>
      <c r="H110" s="135" t="s">
        <v>383</v>
      </c>
      <c r="I110" s="135" t="s">
        <v>454</v>
      </c>
      <c r="J110" s="135" t="s">
        <v>454</v>
      </c>
      <c r="K110" s="135" t="s">
        <v>517</v>
      </c>
      <c r="L110" s="136" t="s">
        <v>1830</v>
      </c>
      <c r="N110" s="136"/>
      <c r="O110" s="136" t="s">
        <v>535</v>
      </c>
      <c r="P110" s="136" t="s">
        <v>504</v>
      </c>
      <c r="Q110" s="135" t="s">
        <v>509</v>
      </c>
      <c r="R110" s="135" t="s">
        <v>508</v>
      </c>
      <c r="S110" s="136"/>
      <c r="U110" s="135" t="s">
        <v>517</v>
      </c>
      <c r="V110" s="135" t="s">
        <v>506</v>
      </c>
      <c r="X110" s="135" t="s">
        <v>1776</v>
      </c>
      <c r="Z110" s="135" t="s">
        <v>505</v>
      </c>
      <c r="AA110" s="136"/>
      <c r="AB110" s="135" t="s">
        <v>1834</v>
      </c>
    </row>
    <row r="111" spans="1:28">
      <c r="A111" s="136" t="s">
        <v>1835</v>
      </c>
      <c r="B111" s="135" t="s">
        <v>1836</v>
      </c>
      <c r="C111" s="135" t="s">
        <v>1394</v>
      </c>
      <c r="D111" s="136" t="s">
        <v>1395</v>
      </c>
      <c r="E111" s="136" t="s">
        <v>1396</v>
      </c>
      <c r="F111" s="135" t="s">
        <v>514</v>
      </c>
      <c r="G111" s="136" t="s">
        <v>1837</v>
      </c>
      <c r="I111" s="135" t="s">
        <v>454</v>
      </c>
      <c r="J111" s="135" t="s">
        <v>454</v>
      </c>
      <c r="K111" s="135" t="s">
        <v>512</v>
      </c>
      <c r="L111" s="136" t="s">
        <v>1837</v>
      </c>
      <c r="N111" s="136"/>
      <c r="O111" s="136" t="s">
        <v>727</v>
      </c>
      <c r="P111" s="136" t="s">
        <v>542</v>
      </c>
      <c r="Q111" s="135" t="s">
        <v>516</v>
      </c>
      <c r="R111" s="135" t="s">
        <v>515</v>
      </c>
      <c r="S111" s="136"/>
      <c r="U111" s="135" t="s">
        <v>512</v>
      </c>
      <c r="V111" s="135" t="s">
        <v>511</v>
      </c>
      <c r="W111" s="135" t="s">
        <v>514</v>
      </c>
      <c r="X111" s="135" t="s">
        <v>513</v>
      </c>
      <c r="Z111" s="135" t="s">
        <v>510</v>
      </c>
      <c r="AA111" s="136"/>
      <c r="AB111" s="135" t="s">
        <v>1838</v>
      </c>
    </row>
    <row r="112" spans="1:28">
      <c r="A112" s="136" t="s">
        <v>1839</v>
      </c>
      <c r="B112" s="135" t="s">
        <v>1840</v>
      </c>
      <c r="C112" s="135" t="s">
        <v>1394</v>
      </c>
      <c r="D112" s="136" t="s">
        <v>1758</v>
      </c>
      <c r="E112" s="136" t="s">
        <v>1396</v>
      </c>
      <c r="F112" s="135" t="s">
        <v>507</v>
      </c>
      <c r="G112" s="136" t="s">
        <v>1841</v>
      </c>
      <c r="I112" s="135" t="s">
        <v>454</v>
      </c>
      <c r="J112" s="135" t="s">
        <v>454</v>
      </c>
      <c r="K112" s="135" t="s">
        <v>961</v>
      </c>
      <c r="L112" s="136" t="s">
        <v>1841</v>
      </c>
      <c r="N112" s="136"/>
      <c r="O112" s="136" t="s">
        <v>727</v>
      </c>
      <c r="P112" s="136" t="s">
        <v>542</v>
      </c>
      <c r="Q112" s="135" t="s">
        <v>963</v>
      </c>
      <c r="R112" s="135" t="s">
        <v>962</v>
      </c>
      <c r="S112" s="136"/>
      <c r="U112" s="135" t="s">
        <v>961</v>
      </c>
      <c r="V112" s="135" t="s">
        <v>960</v>
      </c>
      <c r="W112" s="135" t="s">
        <v>507</v>
      </c>
      <c r="X112" s="135" t="s">
        <v>506</v>
      </c>
      <c r="Z112" s="135" t="s">
        <v>505</v>
      </c>
      <c r="AA112" s="136"/>
      <c r="AB112" s="135" t="s">
        <v>1842</v>
      </c>
    </row>
    <row r="113" spans="1:28">
      <c r="A113" s="136" t="s">
        <v>1843</v>
      </c>
      <c r="B113" s="135" t="s">
        <v>1844</v>
      </c>
      <c r="C113" s="135" t="s">
        <v>1394</v>
      </c>
      <c r="D113" s="136" t="s">
        <v>1598</v>
      </c>
      <c r="E113" s="136" t="s">
        <v>457</v>
      </c>
      <c r="F113" s="135" t="s">
        <v>1775</v>
      </c>
      <c r="G113" s="136" t="s">
        <v>1567</v>
      </c>
      <c r="H113" s="135" t="s">
        <v>383</v>
      </c>
      <c r="I113" s="135" t="s">
        <v>454</v>
      </c>
      <c r="J113" s="135" t="s">
        <v>454</v>
      </c>
      <c r="K113" s="135" t="s">
        <v>507</v>
      </c>
      <c r="L113" s="136" t="s">
        <v>1841</v>
      </c>
      <c r="N113" s="136"/>
      <c r="O113" s="136" t="s">
        <v>535</v>
      </c>
      <c r="P113" s="136" t="s">
        <v>504</v>
      </c>
      <c r="Q113" s="135" t="s">
        <v>509</v>
      </c>
      <c r="R113" s="135" t="s">
        <v>508</v>
      </c>
      <c r="S113" s="136"/>
      <c r="U113" s="135" t="s">
        <v>507</v>
      </c>
      <c r="V113" s="135" t="s">
        <v>506</v>
      </c>
      <c r="X113" s="135" t="s">
        <v>1776</v>
      </c>
      <c r="Z113" s="135" t="s">
        <v>505</v>
      </c>
      <c r="AA113" s="136"/>
      <c r="AB113" s="135" t="s">
        <v>1845</v>
      </c>
    </row>
    <row r="114" spans="1:28">
      <c r="A114" s="136" t="s">
        <v>1846</v>
      </c>
      <c r="B114" s="135" t="s">
        <v>1233</v>
      </c>
      <c r="D114" s="136"/>
      <c r="E114" s="136" t="s">
        <v>1340</v>
      </c>
      <c r="F114" s="135" t="s">
        <v>1200</v>
      </c>
      <c r="G114" s="136" t="s">
        <v>1847</v>
      </c>
      <c r="H114" s="135" t="s">
        <v>383</v>
      </c>
      <c r="I114" s="135" t="s">
        <v>700</v>
      </c>
      <c r="J114" s="135" t="s">
        <v>700</v>
      </c>
      <c r="K114" s="135" t="s">
        <v>1232</v>
      </c>
      <c r="L114" s="136" t="s">
        <v>1369</v>
      </c>
      <c r="M114" s="135" t="s">
        <v>383</v>
      </c>
      <c r="N114" s="136"/>
      <c r="O114" s="136" t="s">
        <v>535</v>
      </c>
      <c r="P114" s="136" t="s">
        <v>1234</v>
      </c>
      <c r="Q114" s="135" t="s">
        <v>1184</v>
      </c>
      <c r="R114" s="135" t="s">
        <v>1183</v>
      </c>
      <c r="S114" s="136"/>
      <c r="V114" s="135" t="s">
        <v>1231</v>
      </c>
      <c r="X114" s="135" t="s">
        <v>1187</v>
      </c>
      <c r="Z114" s="135" t="s">
        <v>881</v>
      </c>
      <c r="AA114" s="136"/>
      <c r="AB114" s="135" t="s">
        <v>1848</v>
      </c>
    </row>
    <row r="115" spans="1:28">
      <c r="A115" s="136" t="s">
        <v>1849</v>
      </c>
      <c r="B115" s="135" t="s">
        <v>1229</v>
      </c>
      <c r="D115" s="136"/>
      <c r="E115" s="136" t="s">
        <v>1340</v>
      </c>
      <c r="F115" s="135" t="s">
        <v>1200</v>
      </c>
      <c r="G115" s="136" t="s">
        <v>1847</v>
      </c>
      <c r="H115" s="135" t="s">
        <v>383</v>
      </c>
      <c r="I115" s="135" t="s">
        <v>765</v>
      </c>
      <c r="J115" s="135" t="s">
        <v>765</v>
      </c>
      <c r="K115" s="135" t="s">
        <v>1226</v>
      </c>
      <c r="L115" s="136" t="s">
        <v>1343</v>
      </c>
      <c r="M115" s="135" t="s">
        <v>1344</v>
      </c>
      <c r="N115" s="136"/>
      <c r="O115" s="136" t="s">
        <v>535</v>
      </c>
      <c r="P115" s="136" t="s">
        <v>1230</v>
      </c>
      <c r="Q115" s="135" t="s">
        <v>1184</v>
      </c>
      <c r="R115" s="135" t="s">
        <v>1183</v>
      </c>
      <c r="S115" s="136"/>
      <c r="V115" s="135" t="s">
        <v>1225</v>
      </c>
      <c r="X115" s="135" t="s">
        <v>1187</v>
      </c>
      <c r="Z115" s="135" t="s">
        <v>881</v>
      </c>
      <c r="AA115" s="136"/>
      <c r="AB115" s="135" t="s">
        <v>1850</v>
      </c>
    </row>
    <row r="116" spans="1:28">
      <c r="A116" s="136" t="s">
        <v>1851</v>
      </c>
      <c r="B116" s="135" t="s">
        <v>1227</v>
      </c>
      <c r="D116" s="136"/>
      <c r="E116" s="136" t="s">
        <v>1340</v>
      </c>
      <c r="F116" s="135" t="s">
        <v>1200</v>
      </c>
      <c r="G116" s="136" t="s">
        <v>1847</v>
      </c>
      <c r="H116" s="135" t="s">
        <v>383</v>
      </c>
      <c r="I116" s="135" t="s">
        <v>731</v>
      </c>
      <c r="J116" s="135" t="s">
        <v>731</v>
      </c>
      <c r="K116" s="135" t="s">
        <v>1226</v>
      </c>
      <c r="L116" s="136" t="s">
        <v>1343</v>
      </c>
      <c r="M116" s="135" t="s">
        <v>1344</v>
      </c>
      <c r="N116" s="136"/>
      <c r="O116" s="136" t="s">
        <v>535</v>
      </c>
      <c r="P116" s="136" t="s">
        <v>1228</v>
      </c>
      <c r="Q116" s="135" t="s">
        <v>1184</v>
      </c>
      <c r="R116" s="135" t="s">
        <v>1183</v>
      </c>
      <c r="S116" s="136"/>
      <c r="V116" s="135" t="s">
        <v>1225</v>
      </c>
      <c r="X116" s="135" t="s">
        <v>1187</v>
      </c>
      <c r="Z116" s="135" t="s">
        <v>1179</v>
      </c>
      <c r="AA116" s="136"/>
      <c r="AB116" s="135" t="s">
        <v>1852</v>
      </c>
    </row>
    <row r="117" spans="1:28">
      <c r="A117" s="136" t="s">
        <v>1853</v>
      </c>
      <c r="B117" s="135" t="s">
        <v>1223</v>
      </c>
      <c r="C117" s="135" t="s">
        <v>1854</v>
      </c>
      <c r="D117" s="136"/>
      <c r="E117" s="136" t="s">
        <v>1340</v>
      </c>
      <c r="F117" s="135" t="s">
        <v>1200</v>
      </c>
      <c r="G117" s="136" t="s">
        <v>1847</v>
      </c>
      <c r="H117" s="135" t="s">
        <v>383</v>
      </c>
      <c r="I117" s="135" t="s">
        <v>494</v>
      </c>
      <c r="J117" s="135" t="s">
        <v>494</v>
      </c>
      <c r="K117" s="135" t="s">
        <v>1220</v>
      </c>
      <c r="L117" s="136" t="s">
        <v>1855</v>
      </c>
      <c r="M117" s="135" t="s">
        <v>383</v>
      </c>
      <c r="N117" s="136"/>
      <c r="O117" s="136" t="s">
        <v>535</v>
      </c>
      <c r="P117" s="136" t="s">
        <v>1224</v>
      </c>
      <c r="Q117" s="135" t="s">
        <v>1222</v>
      </c>
      <c r="R117" s="135" t="s">
        <v>1221</v>
      </c>
      <c r="S117" s="136"/>
      <c r="V117" s="135" t="s">
        <v>1219</v>
      </c>
      <c r="X117" s="135" t="s">
        <v>1187</v>
      </c>
      <c r="Z117" s="135" t="s">
        <v>1179</v>
      </c>
      <c r="AA117" s="136"/>
      <c r="AB117" s="135" t="s">
        <v>1856</v>
      </c>
    </row>
    <row r="118" spans="1:28">
      <c r="A118" s="136" t="s">
        <v>1857</v>
      </c>
      <c r="B118" s="135" t="s">
        <v>1217</v>
      </c>
      <c r="D118" s="136"/>
      <c r="E118" s="136" t="s">
        <v>1340</v>
      </c>
      <c r="G118" s="136" t="s">
        <v>1858</v>
      </c>
      <c r="H118" s="135" t="s">
        <v>1859</v>
      </c>
      <c r="I118" s="135" t="s">
        <v>454</v>
      </c>
      <c r="J118" s="135" t="s">
        <v>454</v>
      </c>
      <c r="K118" s="135" t="s">
        <v>1197</v>
      </c>
      <c r="L118" s="136" t="s">
        <v>1860</v>
      </c>
      <c r="M118" s="135" t="s">
        <v>383</v>
      </c>
      <c r="N118" s="136"/>
      <c r="O118" s="136" t="s">
        <v>535</v>
      </c>
      <c r="P118" s="136" t="s">
        <v>1218</v>
      </c>
      <c r="Q118" s="135" t="s">
        <v>1184</v>
      </c>
      <c r="R118" s="135" t="s">
        <v>1183</v>
      </c>
      <c r="S118" s="136"/>
      <c r="T118" s="135" t="s">
        <v>1216</v>
      </c>
      <c r="V118" s="135" t="s">
        <v>1196</v>
      </c>
      <c r="X118" s="135" t="s">
        <v>1210</v>
      </c>
      <c r="Z118" s="135" t="s">
        <v>1179</v>
      </c>
      <c r="AA118" s="136"/>
      <c r="AB118" s="135" t="s">
        <v>1861</v>
      </c>
    </row>
    <row r="119" spans="1:28">
      <c r="A119" s="136" t="s">
        <v>1862</v>
      </c>
      <c r="B119" s="135" t="s">
        <v>1214</v>
      </c>
      <c r="D119" s="136"/>
      <c r="E119" s="136" t="s">
        <v>1340</v>
      </c>
      <c r="F119" s="135" t="s">
        <v>1197</v>
      </c>
      <c r="G119" s="136" t="s">
        <v>1860</v>
      </c>
      <c r="H119" s="135" t="s">
        <v>383</v>
      </c>
      <c r="I119" s="135" t="s">
        <v>494</v>
      </c>
      <c r="J119" s="135" t="s">
        <v>494</v>
      </c>
      <c r="L119" s="136" t="s">
        <v>1858</v>
      </c>
      <c r="M119" s="135" t="s">
        <v>1859</v>
      </c>
      <c r="N119" s="136"/>
      <c r="O119" s="136" t="s">
        <v>535</v>
      </c>
      <c r="P119" s="136" t="s">
        <v>1215</v>
      </c>
      <c r="Q119" s="135" t="s">
        <v>1184</v>
      </c>
      <c r="R119" s="135" t="s">
        <v>1183</v>
      </c>
      <c r="S119" s="136"/>
      <c r="V119" s="135" t="s">
        <v>1206</v>
      </c>
      <c r="X119" s="135" t="s">
        <v>1196</v>
      </c>
      <c r="Y119" s="135" t="s">
        <v>1213</v>
      </c>
      <c r="Z119" s="135" t="s">
        <v>1179</v>
      </c>
      <c r="AA119" s="136"/>
      <c r="AB119" s="135" t="s">
        <v>1863</v>
      </c>
    </row>
    <row r="120" spans="1:28">
      <c r="A120" s="136" t="s">
        <v>1864</v>
      </c>
      <c r="B120" s="135" t="s">
        <v>1211</v>
      </c>
      <c r="D120" s="136"/>
      <c r="E120" s="136" t="s">
        <v>1340</v>
      </c>
      <c r="F120" s="135" t="s">
        <v>1188</v>
      </c>
      <c r="G120" s="136" t="s">
        <v>1860</v>
      </c>
      <c r="H120" s="135" t="s">
        <v>383</v>
      </c>
      <c r="I120" s="135" t="s">
        <v>731</v>
      </c>
      <c r="J120" s="135" t="s">
        <v>731</v>
      </c>
      <c r="L120" s="136" t="s">
        <v>1858</v>
      </c>
      <c r="M120" s="135" t="s">
        <v>1859</v>
      </c>
      <c r="N120" s="136"/>
      <c r="O120" s="136" t="s">
        <v>535</v>
      </c>
      <c r="P120" s="136" t="s">
        <v>1212</v>
      </c>
      <c r="Q120" s="135" t="s">
        <v>1184</v>
      </c>
      <c r="R120" s="135" t="s">
        <v>1183</v>
      </c>
      <c r="S120" s="136"/>
      <c r="V120" s="135" t="s">
        <v>1210</v>
      </c>
      <c r="X120" s="135" t="s">
        <v>1187</v>
      </c>
      <c r="Y120" s="135" t="s">
        <v>1209</v>
      </c>
      <c r="Z120" s="135" t="s">
        <v>1179</v>
      </c>
      <c r="AA120" s="136"/>
      <c r="AB120" s="135" t="s">
        <v>1865</v>
      </c>
    </row>
    <row r="121" spans="1:28">
      <c r="A121" s="136" t="s">
        <v>1866</v>
      </c>
      <c r="B121" s="135" t="s">
        <v>1207</v>
      </c>
      <c r="D121" s="136"/>
      <c r="E121" s="136" t="s">
        <v>1340</v>
      </c>
      <c r="F121" s="135" t="s">
        <v>1188</v>
      </c>
      <c r="G121" s="136" t="s">
        <v>1860</v>
      </c>
      <c r="H121" s="135" t="s">
        <v>383</v>
      </c>
      <c r="I121" s="135" t="s">
        <v>765</v>
      </c>
      <c r="J121" s="135" t="s">
        <v>765</v>
      </c>
      <c r="L121" s="136" t="s">
        <v>1858</v>
      </c>
      <c r="M121" s="135" t="s">
        <v>1859</v>
      </c>
      <c r="N121" s="136"/>
      <c r="O121" s="136" t="s">
        <v>535</v>
      </c>
      <c r="P121" s="136" t="s">
        <v>1208</v>
      </c>
      <c r="Q121" s="135" t="s">
        <v>1184</v>
      </c>
      <c r="R121" s="135" t="s">
        <v>1183</v>
      </c>
      <c r="S121" s="136"/>
      <c r="V121" s="135" t="s">
        <v>1206</v>
      </c>
      <c r="X121" s="135" t="s">
        <v>1187</v>
      </c>
      <c r="Y121" s="135" t="s">
        <v>1205</v>
      </c>
      <c r="Z121" s="135" t="s">
        <v>1179</v>
      </c>
      <c r="AA121" s="136"/>
      <c r="AB121" s="135" t="s">
        <v>1867</v>
      </c>
    </row>
    <row r="122" spans="1:28">
      <c r="A122" s="136" t="s">
        <v>1868</v>
      </c>
      <c r="B122" s="135" t="s">
        <v>1203</v>
      </c>
      <c r="D122" s="136"/>
      <c r="E122" s="136" t="s">
        <v>1340</v>
      </c>
      <c r="G122" s="136" t="s">
        <v>1858</v>
      </c>
      <c r="H122" s="135" t="s">
        <v>1859</v>
      </c>
      <c r="I122" s="135" t="s">
        <v>454</v>
      </c>
      <c r="J122" s="135" t="s">
        <v>454</v>
      </c>
      <c r="K122" s="135" t="s">
        <v>1200</v>
      </c>
      <c r="L122" s="136" t="s">
        <v>1847</v>
      </c>
      <c r="M122" s="135" t="s">
        <v>383</v>
      </c>
      <c r="N122" s="136"/>
      <c r="O122" s="136" t="s">
        <v>535</v>
      </c>
      <c r="P122" s="136" t="s">
        <v>1204</v>
      </c>
      <c r="Q122" s="135" t="s">
        <v>1184</v>
      </c>
      <c r="R122" s="135" t="s">
        <v>1183</v>
      </c>
      <c r="S122" s="136"/>
      <c r="T122" s="135" t="s">
        <v>1201</v>
      </c>
      <c r="V122" s="135" t="s">
        <v>1187</v>
      </c>
      <c r="X122" s="135" t="s">
        <v>1202</v>
      </c>
      <c r="Z122" s="135" t="s">
        <v>1179</v>
      </c>
      <c r="AA122" s="136"/>
      <c r="AB122" s="135" t="s">
        <v>1869</v>
      </c>
    </row>
    <row r="123" spans="1:28">
      <c r="A123" s="136" t="s">
        <v>1870</v>
      </c>
      <c r="B123" s="135" t="s">
        <v>1198</v>
      </c>
      <c r="D123" s="136"/>
      <c r="E123" s="136" t="s">
        <v>1340</v>
      </c>
      <c r="G123" s="136" t="s">
        <v>1858</v>
      </c>
      <c r="H123" s="135" t="s">
        <v>1871</v>
      </c>
      <c r="I123" s="135" t="s">
        <v>731</v>
      </c>
      <c r="J123" s="135" t="s">
        <v>731</v>
      </c>
      <c r="K123" s="135" t="s">
        <v>1197</v>
      </c>
      <c r="L123" s="136" t="s">
        <v>1860</v>
      </c>
      <c r="M123" s="135" t="s">
        <v>383</v>
      </c>
      <c r="N123" s="136"/>
      <c r="O123" s="136" t="s">
        <v>535</v>
      </c>
      <c r="P123" s="136" t="s">
        <v>1199</v>
      </c>
      <c r="Q123" s="135" t="s">
        <v>1184</v>
      </c>
      <c r="R123" s="135" t="s">
        <v>1183</v>
      </c>
      <c r="S123" s="136"/>
      <c r="T123" s="135" t="s">
        <v>1191</v>
      </c>
      <c r="V123" s="135" t="s">
        <v>1196</v>
      </c>
      <c r="X123" s="135" t="s">
        <v>511</v>
      </c>
      <c r="Z123" s="135" t="s">
        <v>1179</v>
      </c>
      <c r="AA123" s="136"/>
      <c r="AB123" s="135" t="s">
        <v>1872</v>
      </c>
    </row>
    <row r="124" spans="1:28">
      <c r="A124" s="136" t="s">
        <v>1873</v>
      </c>
      <c r="B124" s="135" t="s">
        <v>1194</v>
      </c>
      <c r="D124" s="136"/>
      <c r="E124" s="136" t="s">
        <v>1340</v>
      </c>
      <c r="F124" s="135" t="s">
        <v>1193</v>
      </c>
      <c r="G124" s="136" t="s">
        <v>1860</v>
      </c>
      <c r="H124" s="135" t="s">
        <v>383</v>
      </c>
      <c r="I124" s="135" t="s">
        <v>454</v>
      </c>
      <c r="J124" s="135" t="s">
        <v>454</v>
      </c>
      <c r="L124" s="136" t="s">
        <v>1858</v>
      </c>
      <c r="M124" s="135" t="s">
        <v>1871</v>
      </c>
      <c r="N124" s="136"/>
      <c r="O124" s="136" t="s">
        <v>535</v>
      </c>
      <c r="P124" s="136" t="s">
        <v>1195</v>
      </c>
      <c r="Q124" s="135" t="s">
        <v>1184</v>
      </c>
      <c r="R124" s="135" t="s">
        <v>1183</v>
      </c>
      <c r="S124" s="136"/>
      <c r="V124" s="135" t="s">
        <v>511</v>
      </c>
      <c r="X124" s="135" t="s">
        <v>1192</v>
      </c>
      <c r="Y124" s="135" t="s">
        <v>1191</v>
      </c>
      <c r="Z124" s="135" t="s">
        <v>1179</v>
      </c>
      <c r="AA124" s="136"/>
      <c r="AB124" s="135" t="s">
        <v>1874</v>
      </c>
    </row>
    <row r="125" spans="1:28">
      <c r="A125" s="136" t="s">
        <v>1875</v>
      </c>
      <c r="B125" s="135" t="s">
        <v>1189</v>
      </c>
      <c r="D125" s="136"/>
      <c r="E125" s="136" t="s">
        <v>1340</v>
      </c>
      <c r="G125" s="136" t="s">
        <v>1858</v>
      </c>
      <c r="H125" s="135" t="s">
        <v>1871</v>
      </c>
      <c r="I125" s="135" t="s">
        <v>700</v>
      </c>
      <c r="J125" s="135" t="s">
        <v>700</v>
      </c>
      <c r="K125" s="135" t="s">
        <v>1188</v>
      </c>
      <c r="L125" s="136" t="s">
        <v>1860</v>
      </c>
      <c r="M125" s="135" t="s">
        <v>383</v>
      </c>
      <c r="N125" s="136"/>
      <c r="O125" s="136" t="s">
        <v>535</v>
      </c>
      <c r="P125" s="136" t="s">
        <v>1190</v>
      </c>
      <c r="Q125" s="135" t="s">
        <v>1184</v>
      </c>
      <c r="R125" s="135" t="s">
        <v>1183</v>
      </c>
      <c r="S125" s="136"/>
      <c r="T125" s="135" t="s">
        <v>1182</v>
      </c>
      <c r="V125" s="135" t="s">
        <v>1187</v>
      </c>
      <c r="X125" s="135" t="s">
        <v>511</v>
      </c>
      <c r="Z125" s="135" t="s">
        <v>1179</v>
      </c>
      <c r="AA125" s="136"/>
      <c r="AB125" s="135" t="s">
        <v>1876</v>
      </c>
    </row>
    <row r="126" spans="1:28">
      <c r="A126" s="136" t="s">
        <v>1877</v>
      </c>
      <c r="B126" s="135" t="s">
        <v>1185</v>
      </c>
      <c r="D126" s="136"/>
      <c r="E126" s="136" t="s">
        <v>1340</v>
      </c>
      <c r="G126" s="136" t="s">
        <v>1858</v>
      </c>
      <c r="H126" s="135" t="s">
        <v>1871</v>
      </c>
      <c r="I126" s="135" t="s">
        <v>550</v>
      </c>
      <c r="J126" s="135" t="s">
        <v>550</v>
      </c>
      <c r="K126" s="135" t="s">
        <v>1181</v>
      </c>
      <c r="L126" s="136" t="s">
        <v>1860</v>
      </c>
      <c r="M126" s="135" t="s">
        <v>383</v>
      </c>
      <c r="N126" s="136"/>
      <c r="O126" s="136" t="s">
        <v>535</v>
      </c>
      <c r="P126" s="136" t="s">
        <v>1186</v>
      </c>
      <c r="Q126" s="135" t="s">
        <v>1184</v>
      </c>
      <c r="R126" s="135" t="s">
        <v>1183</v>
      </c>
      <c r="S126" s="136"/>
      <c r="T126" s="135" t="s">
        <v>1182</v>
      </c>
      <c r="V126" s="135" t="s">
        <v>1180</v>
      </c>
      <c r="X126" s="135" t="s">
        <v>511</v>
      </c>
      <c r="Z126" s="135" t="s">
        <v>1179</v>
      </c>
      <c r="AA126" s="136"/>
      <c r="AB126" s="135" t="s">
        <v>1878</v>
      </c>
    </row>
    <row r="127" spans="1:28">
      <c r="A127" s="136" t="s">
        <v>1879</v>
      </c>
      <c r="B127" s="135" t="s">
        <v>1880</v>
      </c>
      <c r="D127" s="136"/>
      <c r="E127" s="136" t="s">
        <v>1170</v>
      </c>
      <c r="G127" s="136"/>
      <c r="L127" s="136"/>
      <c r="N127" s="136"/>
      <c r="O127" s="136"/>
      <c r="P127" s="136" t="s">
        <v>1881</v>
      </c>
      <c r="Q127" s="135" t="s">
        <v>1172</v>
      </c>
      <c r="R127" s="135" t="s">
        <v>1174</v>
      </c>
      <c r="S127" s="136"/>
      <c r="Z127" s="135" t="s">
        <v>881</v>
      </c>
      <c r="AA127" s="136"/>
      <c r="AB127" s="135" t="s">
        <v>1882</v>
      </c>
    </row>
    <row r="128" spans="1:28">
      <c r="A128" s="136" t="s">
        <v>1883</v>
      </c>
      <c r="B128" s="135" t="s">
        <v>1884</v>
      </c>
      <c r="D128" s="136"/>
      <c r="E128" s="136" t="s">
        <v>1170</v>
      </c>
      <c r="G128" s="136"/>
      <c r="L128" s="136"/>
      <c r="N128" s="136"/>
      <c r="O128" s="136"/>
      <c r="P128" s="136" t="s">
        <v>1885</v>
      </c>
      <c r="Q128" s="135" t="s">
        <v>1172</v>
      </c>
      <c r="R128" s="135" t="s">
        <v>1171</v>
      </c>
      <c r="S128" s="136"/>
      <c r="Z128" s="135" t="s">
        <v>881</v>
      </c>
      <c r="AA128" s="136"/>
      <c r="AB128" s="135" t="s">
        <v>1886</v>
      </c>
    </row>
    <row r="129" spans="1:28">
      <c r="A129" s="136" t="s">
        <v>1887</v>
      </c>
      <c r="B129" s="135" t="s">
        <v>1175</v>
      </c>
      <c r="D129" s="136"/>
      <c r="E129" s="136" t="s">
        <v>1170</v>
      </c>
      <c r="G129" s="136"/>
      <c r="L129" s="136"/>
      <c r="N129" s="136"/>
      <c r="O129" s="136"/>
      <c r="P129" s="136" t="s">
        <v>1881</v>
      </c>
      <c r="Q129" s="135" t="s">
        <v>1172</v>
      </c>
      <c r="R129" s="135" t="s">
        <v>1174</v>
      </c>
      <c r="S129" s="136"/>
      <c r="Z129" s="135" t="s">
        <v>881</v>
      </c>
      <c r="AA129" s="136"/>
      <c r="AB129" s="135" t="s">
        <v>1888</v>
      </c>
    </row>
    <row r="130" spans="1:28">
      <c r="A130" s="136" t="s">
        <v>1889</v>
      </c>
      <c r="B130" s="135" t="s">
        <v>1173</v>
      </c>
      <c r="D130" s="136"/>
      <c r="E130" s="136" t="s">
        <v>1170</v>
      </c>
      <c r="G130" s="136"/>
      <c r="L130" s="136"/>
      <c r="N130" s="136"/>
      <c r="O130" s="136"/>
      <c r="P130" s="136" t="s">
        <v>1885</v>
      </c>
      <c r="Q130" s="135" t="s">
        <v>1172</v>
      </c>
      <c r="R130" s="135" t="s">
        <v>1171</v>
      </c>
      <c r="S130" s="136"/>
      <c r="Z130" s="135" t="s">
        <v>881</v>
      </c>
      <c r="AA130" s="136"/>
      <c r="AB130" s="135" t="s">
        <v>1890</v>
      </c>
    </row>
    <row r="131" spans="1:28">
      <c r="A131" s="136" t="s">
        <v>1891</v>
      </c>
      <c r="B131" s="135" t="s">
        <v>724</v>
      </c>
      <c r="C131" s="135" t="s">
        <v>386</v>
      </c>
      <c r="D131" s="136" t="s">
        <v>1353</v>
      </c>
      <c r="E131" s="136" t="s">
        <v>457</v>
      </c>
      <c r="F131" s="135" t="s">
        <v>718</v>
      </c>
      <c r="G131" s="136" t="s">
        <v>1341</v>
      </c>
      <c r="H131" s="135" t="s">
        <v>383</v>
      </c>
      <c r="I131" s="135" t="s">
        <v>454</v>
      </c>
      <c r="J131" s="135" t="s">
        <v>454</v>
      </c>
      <c r="K131" s="135" t="s">
        <v>1034</v>
      </c>
      <c r="L131" s="136" t="s">
        <v>1892</v>
      </c>
      <c r="N131" s="136"/>
      <c r="O131" s="136" t="s">
        <v>535</v>
      </c>
      <c r="P131" s="136" t="s">
        <v>542</v>
      </c>
      <c r="Q131" s="135" t="s">
        <v>546</v>
      </c>
      <c r="R131" s="135" t="s">
        <v>545</v>
      </c>
      <c r="S131" s="136"/>
      <c r="U131" s="135" t="s">
        <v>1034</v>
      </c>
      <c r="V131" s="135" t="s">
        <v>501</v>
      </c>
      <c r="X131" s="135" t="s">
        <v>668</v>
      </c>
      <c r="Z131" s="135" t="s">
        <v>451</v>
      </c>
      <c r="AA131" s="136"/>
      <c r="AB131" s="135" t="s">
        <v>1893</v>
      </c>
    </row>
    <row r="132" spans="1:28">
      <c r="A132" s="136" t="s">
        <v>1894</v>
      </c>
      <c r="B132" s="135" t="s">
        <v>723</v>
      </c>
      <c r="C132" s="135" t="s">
        <v>386</v>
      </c>
      <c r="D132" s="136" t="s">
        <v>1353</v>
      </c>
      <c r="E132" s="136" t="s">
        <v>457</v>
      </c>
      <c r="F132" s="135" t="s">
        <v>718</v>
      </c>
      <c r="G132" s="136" t="s">
        <v>1341</v>
      </c>
      <c r="H132" s="135" t="s">
        <v>383</v>
      </c>
      <c r="I132" s="135" t="s">
        <v>454</v>
      </c>
      <c r="J132" s="135" t="s">
        <v>454</v>
      </c>
      <c r="K132" s="135" t="s">
        <v>1895</v>
      </c>
      <c r="L132" s="136" t="s">
        <v>1896</v>
      </c>
      <c r="N132" s="136"/>
      <c r="O132" s="136" t="s">
        <v>535</v>
      </c>
      <c r="P132" s="136" t="s">
        <v>504</v>
      </c>
      <c r="Q132" s="135" t="s">
        <v>546</v>
      </c>
      <c r="R132" s="135" t="s">
        <v>545</v>
      </c>
      <c r="S132" s="136"/>
      <c r="U132" s="135" t="s">
        <v>1895</v>
      </c>
      <c r="V132" s="135" t="s">
        <v>501</v>
      </c>
      <c r="X132" s="135" t="s">
        <v>668</v>
      </c>
      <c r="Z132" s="135" t="s">
        <v>531</v>
      </c>
      <c r="AA132" s="136"/>
      <c r="AB132" s="135" t="s">
        <v>1897</v>
      </c>
    </row>
    <row r="133" spans="1:28">
      <c r="A133" s="136" t="s">
        <v>1898</v>
      </c>
      <c r="B133" s="135" t="s">
        <v>722</v>
      </c>
      <c r="C133" s="135" t="s">
        <v>386</v>
      </c>
      <c r="D133" s="136" t="s">
        <v>1353</v>
      </c>
      <c r="E133" s="136" t="s">
        <v>457</v>
      </c>
      <c r="F133" s="135" t="s">
        <v>718</v>
      </c>
      <c r="G133" s="136" t="s">
        <v>1341</v>
      </c>
      <c r="H133" s="135" t="s">
        <v>383</v>
      </c>
      <c r="I133" s="135" t="s">
        <v>454</v>
      </c>
      <c r="J133" s="135" t="s">
        <v>454</v>
      </c>
      <c r="K133" s="135" t="s">
        <v>721</v>
      </c>
      <c r="L133" s="136" t="s">
        <v>1899</v>
      </c>
      <c r="N133" s="136"/>
      <c r="O133" s="136" t="s">
        <v>535</v>
      </c>
      <c r="P133" s="136" t="s">
        <v>682</v>
      </c>
      <c r="Q133" s="135" t="s">
        <v>546</v>
      </c>
      <c r="R133" s="135" t="s">
        <v>545</v>
      </c>
      <c r="S133" s="136"/>
      <c r="U133" s="135" t="s">
        <v>721</v>
      </c>
      <c r="V133" s="135" t="s">
        <v>501</v>
      </c>
      <c r="X133" s="135" t="s">
        <v>668</v>
      </c>
      <c r="Z133" s="135" t="s">
        <v>531</v>
      </c>
      <c r="AA133" s="136"/>
      <c r="AB133" s="135" t="s">
        <v>1900</v>
      </c>
    </row>
    <row r="134" spans="1:28">
      <c r="A134" s="136" t="s">
        <v>1901</v>
      </c>
      <c r="B134" s="135" t="s">
        <v>720</v>
      </c>
      <c r="C134" s="135" t="s">
        <v>386</v>
      </c>
      <c r="D134" s="136" t="s">
        <v>1353</v>
      </c>
      <c r="E134" s="136" t="s">
        <v>457</v>
      </c>
      <c r="F134" s="135" t="s">
        <v>718</v>
      </c>
      <c r="G134" s="136" t="s">
        <v>1341</v>
      </c>
      <c r="H134" s="135" t="s">
        <v>383</v>
      </c>
      <c r="I134" s="135" t="s">
        <v>454</v>
      </c>
      <c r="J134" s="135" t="s">
        <v>454</v>
      </c>
      <c r="K134" s="135" t="s">
        <v>1032</v>
      </c>
      <c r="L134" s="136" t="s">
        <v>1902</v>
      </c>
      <c r="N134" s="136"/>
      <c r="O134" s="136" t="s">
        <v>535</v>
      </c>
      <c r="P134" s="136" t="s">
        <v>499</v>
      </c>
      <c r="Q134" s="135" t="s">
        <v>546</v>
      </c>
      <c r="R134" s="135" t="s">
        <v>545</v>
      </c>
      <c r="S134" s="136"/>
      <c r="U134" s="135" t="s">
        <v>1032</v>
      </c>
      <c r="V134" s="135" t="s">
        <v>501</v>
      </c>
      <c r="X134" s="135" t="s">
        <v>668</v>
      </c>
      <c r="Z134" s="135" t="s">
        <v>451</v>
      </c>
      <c r="AA134" s="136"/>
      <c r="AB134" s="135" t="s">
        <v>1903</v>
      </c>
    </row>
    <row r="135" spans="1:28">
      <c r="A135" s="136" t="s">
        <v>1904</v>
      </c>
      <c r="B135" s="135" t="s">
        <v>719</v>
      </c>
      <c r="C135" s="135" t="s">
        <v>386</v>
      </c>
      <c r="D135" s="136" t="s">
        <v>1353</v>
      </c>
      <c r="E135" s="136" t="s">
        <v>457</v>
      </c>
      <c r="F135" s="135" t="s">
        <v>718</v>
      </c>
      <c r="G135" s="136" t="s">
        <v>1341</v>
      </c>
      <c r="H135" s="135" t="s">
        <v>383</v>
      </c>
      <c r="I135" s="135" t="s">
        <v>454</v>
      </c>
      <c r="J135" s="135" t="s">
        <v>454</v>
      </c>
      <c r="K135" s="135" t="s">
        <v>717</v>
      </c>
      <c r="L135" s="136" t="s">
        <v>1905</v>
      </c>
      <c r="N135" s="136"/>
      <c r="O135" s="136" t="s">
        <v>535</v>
      </c>
      <c r="P135" s="136" t="s">
        <v>679</v>
      </c>
      <c r="Q135" s="135" t="s">
        <v>546</v>
      </c>
      <c r="R135" s="135" t="s">
        <v>545</v>
      </c>
      <c r="S135" s="136"/>
      <c r="U135" s="135" t="s">
        <v>717</v>
      </c>
      <c r="V135" s="135" t="s">
        <v>501</v>
      </c>
      <c r="X135" s="135" t="s">
        <v>668</v>
      </c>
      <c r="Z135" s="135" t="s">
        <v>451</v>
      </c>
      <c r="AA135" s="136"/>
      <c r="AB135" s="135" t="s">
        <v>1906</v>
      </c>
    </row>
    <row r="136" spans="1:28">
      <c r="A136" s="136" t="s">
        <v>1907</v>
      </c>
      <c r="B136" s="135" t="s">
        <v>716</v>
      </c>
      <c r="C136" s="135" t="s">
        <v>386</v>
      </c>
      <c r="D136" s="136" t="s">
        <v>1353</v>
      </c>
      <c r="E136" s="136" t="s">
        <v>457</v>
      </c>
      <c r="F136" s="135" t="s">
        <v>718</v>
      </c>
      <c r="G136" s="136" t="s">
        <v>1341</v>
      </c>
      <c r="H136" s="135" t="s">
        <v>383</v>
      </c>
      <c r="I136" s="135" t="s">
        <v>454</v>
      </c>
      <c r="J136" s="135" t="s">
        <v>454</v>
      </c>
      <c r="K136" s="135" t="s">
        <v>1039</v>
      </c>
      <c r="L136" s="136" t="s">
        <v>1908</v>
      </c>
      <c r="N136" s="136"/>
      <c r="O136" s="136" t="s">
        <v>535</v>
      </c>
      <c r="P136" s="136" t="s">
        <v>677</v>
      </c>
      <c r="Q136" s="135" t="s">
        <v>546</v>
      </c>
      <c r="R136" s="135" t="s">
        <v>545</v>
      </c>
      <c r="S136" s="136"/>
      <c r="U136" s="135" t="s">
        <v>1039</v>
      </c>
      <c r="V136" s="135" t="s">
        <v>501</v>
      </c>
      <c r="X136" s="135" t="s">
        <v>668</v>
      </c>
      <c r="Z136" s="135" t="s">
        <v>451</v>
      </c>
      <c r="AA136" s="136"/>
      <c r="AB136" s="135" t="s">
        <v>1909</v>
      </c>
    </row>
    <row r="137" spans="1:28">
      <c r="A137" s="136" t="s">
        <v>1910</v>
      </c>
      <c r="B137" s="135" t="s">
        <v>715</v>
      </c>
      <c r="C137" s="135" t="s">
        <v>386</v>
      </c>
      <c r="D137" s="136" t="s">
        <v>1353</v>
      </c>
      <c r="E137" s="136" t="s">
        <v>457</v>
      </c>
      <c r="F137" s="135" t="s">
        <v>718</v>
      </c>
      <c r="G137" s="136" t="s">
        <v>1341</v>
      </c>
      <c r="H137" s="135" t="s">
        <v>383</v>
      </c>
      <c r="I137" s="135" t="s">
        <v>454</v>
      </c>
      <c r="J137" s="135" t="s">
        <v>454</v>
      </c>
      <c r="K137" s="135" t="s">
        <v>1037</v>
      </c>
      <c r="L137" s="136" t="s">
        <v>1911</v>
      </c>
      <c r="N137" s="136"/>
      <c r="O137" s="136" t="s">
        <v>535</v>
      </c>
      <c r="P137" s="136" t="s">
        <v>675</v>
      </c>
      <c r="Q137" s="135" t="s">
        <v>546</v>
      </c>
      <c r="R137" s="135" t="s">
        <v>545</v>
      </c>
      <c r="S137" s="136"/>
      <c r="U137" s="135" t="s">
        <v>1037</v>
      </c>
      <c r="V137" s="135" t="s">
        <v>501</v>
      </c>
      <c r="X137" s="135" t="s">
        <v>668</v>
      </c>
      <c r="Z137" s="135" t="s">
        <v>451</v>
      </c>
      <c r="AA137" s="136"/>
      <c r="AB137" s="135" t="s">
        <v>1912</v>
      </c>
    </row>
    <row r="138" spans="1:28">
      <c r="A138" s="136" t="s">
        <v>1913</v>
      </c>
      <c r="B138" s="135" t="s">
        <v>714</v>
      </c>
      <c r="C138" s="135" t="s">
        <v>386</v>
      </c>
      <c r="D138" s="136" t="s">
        <v>1353</v>
      </c>
      <c r="E138" s="136" t="s">
        <v>1448</v>
      </c>
      <c r="F138" s="135" t="s">
        <v>712</v>
      </c>
      <c r="G138" s="136" t="s">
        <v>1341</v>
      </c>
      <c r="H138" s="135" t="s">
        <v>383</v>
      </c>
      <c r="I138" s="135" t="s">
        <v>454</v>
      </c>
      <c r="J138" s="135" t="s">
        <v>454</v>
      </c>
      <c r="K138" s="135" t="s">
        <v>540</v>
      </c>
      <c r="L138" s="136" t="s">
        <v>1914</v>
      </c>
      <c r="M138" s="135" t="s">
        <v>383</v>
      </c>
      <c r="N138" s="136"/>
      <c r="O138" s="136" t="s">
        <v>535</v>
      </c>
      <c r="P138" s="136" t="s">
        <v>673</v>
      </c>
      <c r="Q138" s="135" t="s">
        <v>546</v>
      </c>
      <c r="R138" s="135" t="s">
        <v>545</v>
      </c>
      <c r="S138" s="136"/>
      <c r="V138" s="135" t="s">
        <v>539</v>
      </c>
      <c r="X138" s="135" t="s">
        <v>603</v>
      </c>
      <c r="Z138" s="135" t="s">
        <v>665</v>
      </c>
      <c r="AA138" s="136"/>
      <c r="AB138" s="135" t="s">
        <v>1915</v>
      </c>
    </row>
    <row r="139" spans="1:28">
      <c r="A139" s="136" t="s">
        <v>1916</v>
      </c>
      <c r="B139" s="135" t="s">
        <v>713</v>
      </c>
      <c r="C139" s="135" t="s">
        <v>386</v>
      </c>
      <c r="D139" s="136" t="s">
        <v>1353</v>
      </c>
      <c r="E139" s="136" t="s">
        <v>1448</v>
      </c>
      <c r="F139" s="135" t="s">
        <v>712</v>
      </c>
      <c r="G139" s="136" t="s">
        <v>1341</v>
      </c>
      <c r="H139" s="135" t="s">
        <v>383</v>
      </c>
      <c r="I139" s="135" t="s">
        <v>494</v>
      </c>
      <c r="J139" s="135" t="s">
        <v>494</v>
      </c>
      <c r="K139" s="135" t="s">
        <v>540</v>
      </c>
      <c r="L139" s="136" t="s">
        <v>1914</v>
      </c>
      <c r="M139" s="135" t="s">
        <v>383</v>
      </c>
      <c r="N139" s="136"/>
      <c r="O139" s="136" t="s">
        <v>535</v>
      </c>
      <c r="P139" s="136" t="s">
        <v>671</v>
      </c>
      <c r="Q139" s="135" t="s">
        <v>546</v>
      </c>
      <c r="R139" s="135" t="s">
        <v>545</v>
      </c>
      <c r="S139" s="136"/>
      <c r="V139" s="135" t="s">
        <v>539</v>
      </c>
      <c r="X139" s="135" t="s">
        <v>603</v>
      </c>
      <c r="Z139" s="135" t="s">
        <v>665</v>
      </c>
      <c r="AA139" s="136"/>
      <c r="AB139" s="135" t="s">
        <v>1917</v>
      </c>
    </row>
    <row r="140" spans="1:28">
      <c r="A140" s="136" t="s">
        <v>1918</v>
      </c>
      <c r="B140" s="135" t="s">
        <v>1919</v>
      </c>
      <c r="C140" s="135" t="s">
        <v>386</v>
      </c>
      <c r="D140" s="136" t="s">
        <v>1339</v>
      </c>
      <c r="E140" s="136" t="s">
        <v>457</v>
      </c>
      <c r="F140" s="135" t="s">
        <v>1920</v>
      </c>
      <c r="G140" s="136" t="s">
        <v>1341</v>
      </c>
      <c r="H140" s="135" t="s">
        <v>383</v>
      </c>
      <c r="I140" s="135" t="s">
        <v>731</v>
      </c>
      <c r="J140" s="135" t="s">
        <v>731</v>
      </c>
      <c r="K140" s="135" t="s">
        <v>1140</v>
      </c>
      <c r="L140" s="136" t="s">
        <v>391</v>
      </c>
      <c r="N140" s="136"/>
      <c r="O140" s="136" t="s">
        <v>535</v>
      </c>
      <c r="P140" s="136" t="s">
        <v>667</v>
      </c>
      <c r="Q140" s="135" t="s">
        <v>536</v>
      </c>
      <c r="R140" s="135" t="s">
        <v>534</v>
      </c>
      <c r="S140" s="136"/>
      <c r="U140" s="135" t="s">
        <v>1140</v>
      </c>
      <c r="V140" s="135" t="s">
        <v>513</v>
      </c>
      <c r="X140" s="135" t="s">
        <v>1921</v>
      </c>
      <c r="Z140" s="135" t="s">
        <v>510</v>
      </c>
      <c r="AA140" s="136"/>
      <c r="AB140" s="135" t="s">
        <v>1922</v>
      </c>
    </row>
    <row r="141" spans="1:28">
      <c r="A141" s="136" t="s">
        <v>1923</v>
      </c>
      <c r="B141" s="135" t="s">
        <v>1924</v>
      </c>
      <c r="C141" s="135" t="s">
        <v>386</v>
      </c>
      <c r="D141" s="136" t="s">
        <v>1339</v>
      </c>
      <c r="E141" s="136" t="s">
        <v>457</v>
      </c>
      <c r="F141" s="135" t="s">
        <v>1920</v>
      </c>
      <c r="G141" s="136" t="s">
        <v>1341</v>
      </c>
      <c r="H141" s="135" t="s">
        <v>383</v>
      </c>
      <c r="I141" s="135" t="s">
        <v>731</v>
      </c>
      <c r="J141" s="135" t="s">
        <v>731</v>
      </c>
      <c r="K141" s="135" t="s">
        <v>1134</v>
      </c>
      <c r="L141" s="136" t="s">
        <v>394</v>
      </c>
      <c r="N141" s="136"/>
      <c r="O141" s="136" t="s">
        <v>535</v>
      </c>
      <c r="P141" s="136" t="s">
        <v>1384</v>
      </c>
      <c r="Q141" s="135" t="s">
        <v>536</v>
      </c>
      <c r="R141" s="135" t="s">
        <v>534</v>
      </c>
      <c r="S141" s="136"/>
      <c r="U141" s="135" t="s">
        <v>1134</v>
      </c>
      <c r="V141" s="135" t="s">
        <v>513</v>
      </c>
      <c r="X141" s="135" t="s">
        <v>1921</v>
      </c>
      <c r="Z141" s="135" t="s">
        <v>510</v>
      </c>
      <c r="AA141" s="136"/>
      <c r="AB141" s="135" t="s">
        <v>1925</v>
      </c>
    </row>
    <row r="142" spans="1:28">
      <c r="A142" s="136" t="s">
        <v>1926</v>
      </c>
      <c r="B142" s="135" t="s">
        <v>1927</v>
      </c>
      <c r="C142" s="135" t="s">
        <v>386</v>
      </c>
      <c r="D142" s="136" t="s">
        <v>1339</v>
      </c>
      <c r="E142" s="136" t="s">
        <v>457</v>
      </c>
      <c r="F142" s="135" t="s">
        <v>1920</v>
      </c>
      <c r="G142" s="136" t="s">
        <v>1341</v>
      </c>
      <c r="H142" s="135" t="s">
        <v>383</v>
      </c>
      <c r="I142" s="135" t="s">
        <v>731</v>
      </c>
      <c r="J142" s="135" t="s">
        <v>731</v>
      </c>
      <c r="K142" s="135" t="s">
        <v>1128</v>
      </c>
      <c r="L142" s="136" t="s">
        <v>397</v>
      </c>
      <c r="N142" s="136"/>
      <c r="O142" s="136" t="s">
        <v>535</v>
      </c>
      <c r="P142" s="136" t="s">
        <v>1634</v>
      </c>
      <c r="Q142" s="135" t="s">
        <v>536</v>
      </c>
      <c r="R142" s="135" t="s">
        <v>534</v>
      </c>
      <c r="S142" s="136"/>
      <c r="U142" s="135" t="s">
        <v>1128</v>
      </c>
      <c r="V142" s="135" t="s">
        <v>513</v>
      </c>
      <c r="X142" s="135" t="s">
        <v>1921</v>
      </c>
      <c r="Z142" s="135" t="s">
        <v>510</v>
      </c>
      <c r="AA142" s="136"/>
      <c r="AB142" s="135" t="s">
        <v>1928</v>
      </c>
    </row>
    <row r="143" spans="1:28">
      <c r="A143" s="136" t="s">
        <v>1929</v>
      </c>
      <c r="B143" s="135" t="s">
        <v>1930</v>
      </c>
      <c r="C143" s="135" t="s">
        <v>386</v>
      </c>
      <c r="D143" s="136" t="s">
        <v>1339</v>
      </c>
      <c r="E143" s="136" t="s">
        <v>457</v>
      </c>
      <c r="F143" s="135" t="s">
        <v>1920</v>
      </c>
      <c r="G143" s="136" t="s">
        <v>1341</v>
      </c>
      <c r="H143" s="135" t="s">
        <v>383</v>
      </c>
      <c r="I143" s="135" t="s">
        <v>731</v>
      </c>
      <c r="J143" s="135" t="s">
        <v>731</v>
      </c>
      <c r="K143" s="135" t="s">
        <v>1138</v>
      </c>
      <c r="L143" s="136" t="s">
        <v>392</v>
      </c>
      <c r="N143" s="136"/>
      <c r="O143" s="136" t="s">
        <v>535</v>
      </c>
      <c r="P143" s="136" t="s">
        <v>1639</v>
      </c>
      <c r="Q143" s="135" t="s">
        <v>536</v>
      </c>
      <c r="R143" s="135" t="s">
        <v>534</v>
      </c>
      <c r="S143" s="136"/>
      <c r="U143" s="135" t="s">
        <v>1138</v>
      </c>
      <c r="V143" s="135" t="s">
        <v>513</v>
      </c>
      <c r="X143" s="135" t="s">
        <v>1921</v>
      </c>
      <c r="Z143" s="135" t="s">
        <v>510</v>
      </c>
      <c r="AA143" s="136"/>
      <c r="AB143" s="135" t="s">
        <v>1931</v>
      </c>
    </row>
    <row r="144" spans="1:28">
      <c r="A144" s="136" t="s">
        <v>1932</v>
      </c>
      <c r="B144" s="135" t="s">
        <v>1933</v>
      </c>
      <c r="C144" s="135" t="s">
        <v>386</v>
      </c>
      <c r="D144" s="136" t="s">
        <v>1339</v>
      </c>
      <c r="E144" s="136" t="s">
        <v>457</v>
      </c>
      <c r="F144" s="135" t="s">
        <v>1920</v>
      </c>
      <c r="G144" s="136" t="s">
        <v>1341</v>
      </c>
      <c r="H144" s="135" t="s">
        <v>383</v>
      </c>
      <c r="I144" s="135" t="s">
        <v>700</v>
      </c>
      <c r="J144" s="135" t="s">
        <v>700</v>
      </c>
      <c r="K144" s="135" t="s">
        <v>1132</v>
      </c>
      <c r="L144" s="136" t="s">
        <v>395</v>
      </c>
      <c r="N144" s="136"/>
      <c r="O144" s="136" t="s">
        <v>535</v>
      </c>
      <c r="P144" s="136" t="s">
        <v>1644</v>
      </c>
      <c r="Q144" s="135" t="s">
        <v>536</v>
      </c>
      <c r="R144" s="135" t="s">
        <v>534</v>
      </c>
      <c r="S144" s="136"/>
      <c r="U144" s="135" t="s">
        <v>1132</v>
      </c>
      <c r="V144" s="135" t="s">
        <v>513</v>
      </c>
      <c r="X144" s="135" t="s">
        <v>1921</v>
      </c>
      <c r="Z144" s="135" t="s">
        <v>510</v>
      </c>
      <c r="AA144" s="136"/>
      <c r="AB144" s="135" t="s">
        <v>1934</v>
      </c>
    </row>
    <row r="145" spans="1:28">
      <c r="A145" s="136" t="s">
        <v>1935</v>
      </c>
      <c r="B145" s="135" t="s">
        <v>1936</v>
      </c>
      <c r="C145" s="135" t="s">
        <v>386</v>
      </c>
      <c r="D145" s="136" t="s">
        <v>1339</v>
      </c>
      <c r="E145" s="136" t="s">
        <v>457</v>
      </c>
      <c r="F145" s="135" t="s">
        <v>1920</v>
      </c>
      <c r="G145" s="136" t="s">
        <v>1341</v>
      </c>
      <c r="H145" s="135" t="s">
        <v>383</v>
      </c>
      <c r="I145" s="135" t="s">
        <v>731</v>
      </c>
      <c r="J145" s="135" t="s">
        <v>731</v>
      </c>
      <c r="K145" s="135" t="s">
        <v>1124</v>
      </c>
      <c r="L145" s="136" t="s">
        <v>398</v>
      </c>
      <c r="N145" s="136"/>
      <c r="O145" s="136" t="s">
        <v>535</v>
      </c>
      <c r="P145" s="136" t="s">
        <v>1937</v>
      </c>
      <c r="Q145" s="135" t="s">
        <v>536</v>
      </c>
      <c r="R145" s="135" t="s">
        <v>534</v>
      </c>
      <c r="S145" s="136"/>
      <c r="U145" s="135" t="s">
        <v>1124</v>
      </c>
      <c r="V145" s="135" t="s">
        <v>513</v>
      </c>
      <c r="X145" s="135" t="s">
        <v>1921</v>
      </c>
      <c r="Z145" s="135" t="s">
        <v>510</v>
      </c>
      <c r="AA145" s="136"/>
      <c r="AB145" s="135" t="s">
        <v>1938</v>
      </c>
    </row>
    <row r="146" spans="1:28">
      <c r="A146" s="136" t="s">
        <v>1939</v>
      </c>
      <c r="B146" s="135" t="s">
        <v>1940</v>
      </c>
      <c r="C146" s="135" t="s">
        <v>386</v>
      </c>
      <c r="D146" s="136" t="s">
        <v>1339</v>
      </c>
      <c r="E146" s="136" t="s">
        <v>457</v>
      </c>
      <c r="F146" s="135" t="s">
        <v>1941</v>
      </c>
      <c r="G146" s="136" t="s">
        <v>1341</v>
      </c>
      <c r="H146" s="135" t="s">
        <v>383</v>
      </c>
      <c r="I146" s="135" t="s">
        <v>494</v>
      </c>
      <c r="J146" s="135" t="s">
        <v>494</v>
      </c>
      <c r="K146" s="135" t="s">
        <v>526</v>
      </c>
      <c r="L146" s="136" t="s">
        <v>1787</v>
      </c>
      <c r="N146" s="136"/>
      <c r="O146" s="136" t="s">
        <v>535</v>
      </c>
      <c r="P146" s="136" t="s">
        <v>1942</v>
      </c>
      <c r="Q146" s="135" t="s">
        <v>536</v>
      </c>
      <c r="R146" s="135" t="s">
        <v>534</v>
      </c>
      <c r="S146" s="136"/>
      <c r="U146" s="135" t="s">
        <v>526</v>
      </c>
      <c r="V146" s="135" t="s">
        <v>513</v>
      </c>
      <c r="X146" s="135" t="s">
        <v>1943</v>
      </c>
      <c r="Z146" s="135" t="s">
        <v>510</v>
      </c>
      <c r="AA146" s="136"/>
      <c r="AB146" s="135" t="s">
        <v>1944</v>
      </c>
    </row>
    <row r="147" spans="1:28">
      <c r="A147" s="136" t="s">
        <v>1945</v>
      </c>
      <c r="B147" s="135" t="s">
        <v>1946</v>
      </c>
      <c r="C147" s="135" t="s">
        <v>386</v>
      </c>
      <c r="D147" s="136" t="s">
        <v>1339</v>
      </c>
      <c r="E147" s="136" t="s">
        <v>457</v>
      </c>
      <c r="F147" s="135" t="s">
        <v>1941</v>
      </c>
      <c r="G147" s="136" t="s">
        <v>1341</v>
      </c>
      <c r="H147" s="135" t="s">
        <v>383</v>
      </c>
      <c r="I147" s="135" t="s">
        <v>494</v>
      </c>
      <c r="J147" s="135" t="s">
        <v>494</v>
      </c>
      <c r="K147" s="135" t="s">
        <v>521</v>
      </c>
      <c r="L147" s="136" t="s">
        <v>1812</v>
      </c>
      <c r="N147" s="136"/>
      <c r="O147" s="136" t="s">
        <v>535</v>
      </c>
      <c r="P147" s="136" t="s">
        <v>1947</v>
      </c>
      <c r="Q147" s="135" t="s">
        <v>536</v>
      </c>
      <c r="R147" s="135" t="s">
        <v>534</v>
      </c>
      <c r="S147" s="136"/>
      <c r="U147" s="135" t="s">
        <v>521</v>
      </c>
      <c r="V147" s="135" t="s">
        <v>513</v>
      </c>
      <c r="X147" s="135" t="s">
        <v>1943</v>
      </c>
      <c r="Z147" s="135" t="s">
        <v>510</v>
      </c>
      <c r="AA147" s="136"/>
      <c r="AB147" s="135" t="s">
        <v>1948</v>
      </c>
    </row>
    <row r="148" spans="1:28">
      <c r="A148" s="136" t="s">
        <v>1949</v>
      </c>
      <c r="B148" s="135" t="s">
        <v>1950</v>
      </c>
      <c r="C148" s="135" t="s">
        <v>386</v>
      </c>
      <c r="D148" s="136" t="s">
        <v>1339</v>
      </c>
      <c r="E148" s="136" t="s">
        <v>457</v>
      </c>
      <c r="F148" s="135" t="s">
        <v>1941</v>
      </c>
      <c r="G148" s="136" t="s">
        <v>1341</v>
      </c>
      <c r="H148" s="135" t="s">
        <v>383</v>
      </c>
      <c r="I148" s="135" t="s">
        <v>454</v>
      </c>
      <c r="J148" s="135" t="s">
        <v>454</v>
      </c>
      <c r="K148" s="135" t="s">
        <v>514</v>
      </c>
      <c r="L148" s="136" t="s">
        <v>1837</v>
      </c>
      <c r="N148" s="136"/>
      <c r="O148" s="136" t="s">
        <v>535</v>
      </c>
      <c r="P148" s="136" t="s">
        <v>1951</v>
      </c>
      <c r="Q148" s="135" t="s">
        <v>536</v>
      </c>
      <c r="R148" s="135" t="s">
        <v>534</v>
      </c>
      <c r="S148" s="136"/>
      <c r="U148" s="135" t="s">
        <v>514</v>
      </c>
      <c r="V148" s="135" t="s">
        <v>513</v>
      </c>
      <c r="X148" s="135" t="s">
        <v>1943</v>
      </c>
      <c r="Z148" s="135" t="s">
        <v>510</v>
      </c>
      <c r="AA148" s="136"/>
      <c r="AB148" s="135" t="s">
        <v>1952</v>
      </c>
    </row>
    <row r="149" spans="1:28">
      <c r="A149" s="136" t="s">
        <v>1953</v>
      </c>
      <c r="B149" s="135" t="s">
        <v>1954</v>
      </c>
      <c r="C149" s="135" t="s">
        <v>386</v>
      </c>
      <c r="D149" s="136" t="s">
        <v>1353</v>
      </c>
      <c r="E149" s="136" t="s">
        <v>1340</v>
      </c>
      <c r="F149" s="135" t="s">
        <v>1955</v>
      </c>
      <c r="G149" s="136" t="s">
        <v>1341</v>
      </c>
      <c r="H149" s="135" t="s">
        <v>383</v>
      </c>
      <c r="I149" s="135" t="s">
        <v>731</v>
      </c>
      <c r="J149" s="135" t="s">
        <v>731</v>
      </c>
      <c r="K149" s="135" t="s">
        <v>1956</v>
      </c>
      <c r="L149" s="136" t="s">
        <v>1567</v>
      </c>
      <c r="M149" s="135" t="s">
        <v>383</v>
      </c>
      <c r="N149" s="136"/>
      <c r="O149" s="136" t="s">
        <v>535</v>
      </c>
      <c r="P149" s="136" t="s">
        <v>1957</v>
      </c>
      <c r="Q149" s="135" t="s">
        <v>546</v>
      </c>
      <c r="R149" s="135" t="s">
        <v>545</v>
      </c>
      <c r="S149" s="136"/>
      <c r="V149" s="135" t="s">
        <v>1958</v>
      </c>
      <c r="X149" s="135" t="s">
        <v>1959</v>
      </c>
      <c r="Z149" s="135" t="s">
        <v>1572</v>
      </c>
      <c r="AA149" s="136"/>
      <c r="AB149" s="135" t="s">
        <v>1960</v>
      </c>
    </row>
    <row r="150" spans="1:28">
      <c r="A150" s="136" t="s">
        <v>1961</v>
      </c>
      <c r="B150" s="135" t="s">
        <v>1962</v>
      </c>
      <c r="C150" s="135" t="s">
        <v>386</v>
      </c>
      <c r="D150" s="136" t="s">
        <v>1339</v>
      </c>
      <c r="E150" s="136" t="s">
        <v>1340</v>
      </c>
      <c r="F150" s="135" t="s">
        <v>1177</v>
      </c>
      <c r="G150" s="136" t="s">
        <v>1341</v>
      </c>
      <c r="H150" s="135" t="s">
        <v>383</v>
      </c>
      <c r="I150" s="135" t="s">
        <v>494</v>
      </c>
      <c r="J150" s="135" t="s">
        <v>494</v>
      </c>
      <c r="K150" s="135" t="s">
        <v>1963</v>
      </c>
      <c r="L150" s="136" t="s">
        <v>1450</v>
      </c>
      <c r="M150" s="135" t="s">
        <v>383</v>
      </c>
      <c r="N150" s="136"/>
      <c r="O150" s="136" t="s">
        <v>535</v>
      </c>
      <c r="P150" s="136" t="s">
        <v>1964</v>
      </c>
      <c r="Q150" s="135" t="s">
        <v>536</v>
      </c>
      <c r="R150" s="135" t="s">
        <v>534</v>
      </c>
      <c r="S150" s="136"/>
      <c r="V150" s="135" t="s">
        <v>1965</v>
      </c>
      <c r="X150" s="135" t="s">
        <v>1176</v>
      </c>
      <c r="Z150" s="135" t="s">
        <v>1372</v>
      </c>
      <c r="AA150" s="136"/>
      <c r="AB150" s="135" t="s">
        <v>1966</v>
      </c>
    </row>
    <row r="151" spans="1:28">
      <c r="A151" s="136" t="s">
        <v>1967</v>
      </c>
      <c r="B151" s="135" t="s">
        <v>1968</v>
      </c>
      <c r="C151" s="135" t="s">
        <v>386</v>
      </c>
      <c r="D151" s="136" t="s">
        <v>1353</v>
      </c>
      <c r="E151" s="136" t="s">
        <v>1340</v>
      </c>
      <c r="F151" s="135" t="s">
        <v>1969</v>
      </c>
      <c r="G151" s="136" t="s">
        <v>1341</v>
      </c>
      <c r="H151" s="135" t="s">
        <v>383</v>
      </c>
      <c r="I151" s="135" t="s">
        <v>494</v>
      </c>
      <c r="J151" s="135" t="s">
        <v>494</v>
      </c>
      <c r="K151" s="135" t="s">
        <v>1970</v>
      </c>
      <c r="L151" s="136" t="s">
        <v>1971</v>
      </c>
      <c r="N151" s="136"/>
      <c r="O151" s="136" t="s">
        <v>535</v>
      </c>
      <c r="P151" s="136" t="s">
        <v>1972</v>
      </c>
      <c r="Q151" s="135" t="s">
        <v>546</v>
      </c>
      <c r="R151" s="135" t="s">
        <v>545</v>
      </c>
      <c r="S151" s="136"/>
      <c r="U151" s="135" t="s">
        <v>1970</v>
      </c>
      <c r="V151" s="135" t="s">
        <v>880</v>
      </c>
      <c r="X151" s="135" t="s">
        <v>1973</v>
      </c>
      <c r="Z151" s="135" t="s">
        <v>1372</v>
      </c>
      <c r="AA151" s="136"/>
      <c r="AB151" s="135" t="s">
        <v>1974</v>
      </c>
    </row>
    <row r="152" spans="1:28">
      <c r="A152" s="136" t="s">
        <v>1975</v>
      </c>
      <c r="B152" s="135" t="s">
        <v>1976</v>
      </c>
      <c r="C152" s="135" t="s">
        <v>386</v>
      </c>
      <c r="D152" s="136" t="s">
        <v>1353</v>
      </c>
      <c r="E152" s="136" t="s">
        <v>1340</v>
      </c>
      <c r="F152" s="135" t="s">
        <v>1969</v>
      </c>
      <c r="G152" s="136" t="s">
        <v>1341</v>
      </c>
      <c r="H152" s="135" t="s">
        <v>383</v>
      </c>
      <c r="I152" s="135" t="s">
        <v>494</v>
      </c>
      <c r="J152" s="135" t="s">
        <v>494</v>
      </c>
      <c r="K152" s="135" t="s">
        <v>1977</v>
      </c>
      <c r="L152" s="136" t="s">
        <v>1978</v>
      </c>
      <c r="N152" s="136"/>
      <c r="O152" s="136" t="s">
        <v>535</v>
      </c>
      <c r="P152" s="136" t="s">
        <v>1979</v>
      </c>
      <c r="Q152" s="135" t="s">
        <v>546</v>
      </c>
      <c r="R152" s="135" t="s">
        <v>545</v>
      </c>
      <c r="S152" s="136"/>
      <c r="U152" s="135" t="s">
        <v>1977</v>
      </c>
      <c r="V152" s="135" t="s">
        <v>880</v>
      </c>
      <c r="X152" s="135" t="s">
        <v>1973</v>
      </c>
      <c r="Z152" s="135" t="s">
        <v>1372</v>
      </c>
      <c r="AA152" s="136"/>
      <c r="AB152" s="135" t="s">
        <v>1980</v>
      </c>
    </row>
    <row r="153" spans="1:28">
      <c r="A153" s="136" t="s">
        <v>1981</v>
      </c>
      <c r="B153" s="135" t="s">
        <v>1982</v>
      </c>
      <c r="C153" s="135" t="s">
        <v>386</v>
      </c>
      <c r="D153" s="136" t="s">
        <v>1353</v>
      </c>
      <c r="E153" s="136" t="s">
        <v>1340</v>
      </c>
      <c r="F153" s="135" t="s">
        <v>1983</v>
      </c>
      <c r="G153" s="136" t="s">
        <v>1341</v>
      </c>
      <c r="H153" s="135" t="s">
        <v>383</v>
      </c>
      <c r="I153" s="135" t="s">
        <v>454</v>
      </c>
      <c r="J153" s="135" t="s">
        <v>454</v>
      </c>
      <c r="K153" s="135" t="s">
        <v>996</v>
      </c>
      <c r="L153" s="136" t="s">
        <v>1984</v>
      </c>
      <c r="N153" s="136"/>
      <c r="O153" s="136" t="s">
        <v>535</v>
      </c>
      <c r="P153" s="136" t="s">
        <v>1985</v>
      </c>
      <c r="Q153" s="135" t="s">
        <v>546</v>
      </c>
      <c r="R153" s="135" t="s">
        <v>545</v>
      </c>
      <c r="S153" s="136"/>
      <c r="U153" s="135" t="s">
        <v>996</v>
      </c>
      <c r="V153" s="135" t="s">
        <v>880</v>
      </c>
      <c r="X153" s="135" t="s">
        <v>1986</v>
      </c>
      <c r="Z153" s="135" t="s">
        <v>1372</v>
      </c>
      <c r="AA153" s="136"/>
      <c r="AB153" s="135" t="s">
        <v>1987</v>
      </c>
    </row>
    <row r="154" spans="1:28">
      <c r="A154" s="136" t="s">
        <v>1988</v>
      </c>
      <c r="B154" s="135" t="s">
        <v>1989</v>
      </c>
      <c r="C154" s="135" t="s">
        <v>386</v>
      </c>
      <c r="D154" s="136" t="s">
        <v>1353</v>
      </c>
      <c r="E154" s="136" t="s">
        <v>1340</v>
      </c>
      <c r="F154" s="135" t="s">
        <v>1983</v>
      </c>
      <c r="G154" s="136" t="s">
        <v>1341</v>
      </c>
      <c r="H154" s="135" t="s">
        <v>383</v>
      </c>
      <c r="I154" s="135" t="s">
        <v>454</v>
      </c>
      <c r="J154" s="135" t="s">
        <v>454</v>
      </c>
      <c r="K154" s="135" t="s">
        <v>995</v>
      </c>
      <c r="L154" s="136" t="s">
        <v>1984</v>
      </c>
      <c r="N154" s="136"/>
      <c r="O154" s="136" t="s">
        <v>535</v>
      </c>
      <c r="P154" s="136" t="s">
        <v>1649</v>
      </c>
      <c r="Q154" s="135" t="s">
        <v>546</v>
      </c>
      <c r="R154" s="135" t="s">
        <v>545</v>
      </c>
      <c r="S154" s="136"/>
      <c r="U154" s="135" t="s">
        <v>995</v>
      </c>
      <c r="V154" s="135" t="s">
        <v>880</v>
      </c>
      <c r="X154" s="135" t="s">
        <v>1986</v>
      </c>
      <c r="Z154" s="135" t="s">
        <v>1372</v>
      </c>
      <c r="AA154" s="136"/>
      <c r="AB154" s="135" t="s">
        <v>1990</v>
      </c>
    </row>
    <row r="155" spans="1:28">
      <c r="A155" s="136" t="s">
        <v>1991</v>
      </c>
      <c r="B155" s="135" t="s">
        <v>959</v>
      </c>
      <c r="C155" s="135" t="s">
        <v>1394</v>
      </c>
      <c r="D155" s="136" t="s">
        <v>1598</v>
      </c>
      <c r="E155" s="136" t="s">
        <v>457</v>
      </c>
      <c r="F155" s="135" t="s">
        <v>1992</v>
      </c>
      <c r="G155" s="136" t="s">
        <v>1341</v>
      </c>
      <c r="H155" s="135" t="s">
        <v>383</v>
      </c>
      <c r="I155" s="135" t="s">
        <v>700</v>
      </c>
      <c r="J155" s="135" t="s">
        <v>700</v>
      </c>
      <c r="K155" s="135" t="s">
        <v>958</v>
      </c>
      <c r="L155" s="136" t="s">
        <v>1993</v>
      </c>
      <c r="N155" s="136"/>
      <c r="O155" s="136" t="s">
        <v>535</v>
      </c>
      <c r="P155" s="136" t="s">
        <v>929</v>
      </c>
      <c r="Q155" s="135" t="s">
        <v>509</v>
      </c>
      <c r="R155" s="135" t="s">
        <v>508</v>
      </c>
      <c r="S155" s="136"/>
      <c r="U155" s="135" t="s">
        <v>958</v>
      </c>
      <c r="V155" s="135" t="s">
        <v>926</v>
      </c>
      <c r="X155" s="135" t="s">
        <v>1994</v>
      </c>
      <c r="Z155" s="135" t="s">
        <v>531</v>
      </c>
      <c r="AA155" s="136"/>
      <c r="AB155" s="135" t="s">
        <v>1995</v>
      </c>
    </row>
    <row r="156" spans="1:28">
      <c r="A156" s="136" t="s">
        <v>1996</v>
      </c>
      <c r="B156" s="135" t="s">
        <v>956</v>
      </c>
      <c r="C156" s="135" t="s">
        <v>1394</v>
      </c>
      <c r="D156" s="136" t="s">
        <v>1598</v>
      </c>
      <c r="E156" s="136" t="s">
        <v>457</v>
      </c>
      <c r="F156" s="135" t="s">
        <v>1992</v>
      </c>
      <c r="G156" s="136" t="s">
        <v>1341</v>
      </c>
      <c r="H156" s="135" t="s">
        <v>383</v>
      </c>
      <c r="I156" s="135" t="s">
        <v>765</v>
      </c>
      <c r="J156" s="135" t="s">
        <v>765</v>
      </c>
      <c r="K156" s="135" t="s">
        <v>955</v>
      </c>
      <c r="L156" s="136" t="s">
        <v>1997</v>
      </c>
      <c r="N156" s="136"/>
      <c r="O156" s="136" t="s">
        <v>535</v>
      </c>
      <c r="P156" s="136" t="s">
        <v>957</v>
      </c>
      <c r="Q156" s="135" t="s">
        <v>509</v>
      </c>
      <c r="R156" s="135" t="s">
        <v>508</v>
      </c>
      <c r="S156" s="136"/>
      <c r="U156" s="135" t="s">
        <v>955</v>
      </c>
      <c r="V156" s="135" t="s">
        <v>926</v>
      </c>
      <c r="X156" s="135" t="s">
        <v>1994</v>
      </c>
      <c r="Z156" s="135" t="s">
        <v>874</v>
      </c>
      <c r="AA156" s="136"/>
      <c r="AB156" s="135" t="s">
        <v>1998</v>
      </c>
    </row>
    <row r="157" spans="1:28">
      <c r="A157" s="136" t="s">
        <v>1999</v>
      </c>
      <c r="B157" s="135" t="s">
        <v>953</v>
      </c>
      <c r="C157" s="135" t="s">
        <v>1394</v>
      </c>
      <c r="D157" s="136" t="s">
        <v>1598</v>
      </c>
      <c r="E157" s="136" t="s">
        <v>457</v>
      </c>
      <c r="F157" s="135" t="s">
        <v>1992</v>
      </c>
      <c r="G157" s="136" t="s">
        <v>1341</v>
      </c>
      <c r="H157" s="135" t="s">
        <v>383</v>
      </c>
      <c r="I157" s="135" t="s">
        <v>765</v>
      </c>
      <c r="J157" s="135" t="s">
        <v>765</v>
      </c>
      <c r="K157" s="135" t="s">
        <v>952</v>
      </c>
      <c r="L157" s="136" t="s">
        <v>2000</v>
      </c>
      <c r="N157" s="136"/>
      <c r="O157" s="136" t="s">
        <v>535</v>
      </c>
      <c r="P157" s="136" t="s">
        <v>954</v>
      </c>
      <c r="Q157" s="135" t="s">
        <v>509</v>
      </c>
      <c r="R157" s="135" t="s">
        <v>508</v>
      </c>
      <c r="S157" s="136"/>
      <c r="U157" s="135" t="s">
        <v>952</v>
      </c>
      <c r="V157" s="135" t="s">
        <v>926</v>
      </c>
      <c r="X157" s="135" t="s">
        <v>1994</v>
      </c>
      <c r="Z157" s="135" t="s">
        <v>531</v>
      </c>
      <c r="AA157" s="136"/>
      <c r="AB157" s="135" t="s">
        <v>2001</v>
      </c>
    </row>
    <row r="158" spans="1:28">
      <c r="A158" s="136" t="s">
        <v>2002</v>
      </c>
      <c r="B158" s="135" t="s">
        <v>950</v>
      </c>
      <c r="C158" s="135" t="s">
        <v>1394</v>
      </c>
      <c r="D158" s="136" t="s">
        <v>1598</v>
      </c>
      <c r="E158" s="136" t="s">
        <v>457</v>
      </c>
      <c r="F158" s="135" t="s">
        <v>1992</v>
      </c>
      <c r="G158" s="136" t="s">
        <v>1341</v>
      </c>
      <c r="H158" s="135" t="s">
        <v>383</v>
      </c>
      <c r="I158" s="135" t="s">
        <v>550</v>
      </c>
      <c r="J158" s="135" t="s">
        <v>550</v>
      </c>
      <c r="K158" s="135" t="s">
        <v>949</v>
      </c>
      <c r="L158" s="136" t="s">
        <v>2000</v>
      </c>
      <c r="N158" s="136"/>
      <c r="O158" s="136" t="s">
        <v>535</v>
      </c>
      <c r="P158" s="136" t="s">
        <v>951</v>
      </c>
      <c r="Q158" s="135" t="s">
        <v>509</v>
      </c>
      <c r="R158" s="135" t="s">
        <v>508</v>
      </c>
      <c r="S158" s="136"/>
      <c r="U158" s="135" t="s">
        <v>949</v>
      </c>
      <c r="V158" s="135" t="s">
        <v>926</v>
      </c>
      <c r="X158" s="135" t="s">
        <v>1994</v>
      </c>
      <c r="Z158" s="135" t="s">
        <v>531</v>
      </c>
      <c r="AA158" s="136"/>
      <c r="AB158" s="135" t="s">
        <v>2003</v>
      </c>
    </row>
    <row r="159" spans="1:28">
      <c r="A159" s="136" t="s">
        <v>2004</v>
      </c>
      <c r="B159" s="135" t="s">
        <v>948</v>
      </c>
      <c r="C159" s="135" t="s">
        <v>2005</v>
      </c>
      <c r="D159" s="136" t="s">
        <v>2006</v>
      </c>
      <c r="E159" s="136" t="s">
        <v>457</v>
      </c>
      <c r="F159" s="135" t="s">
        <v>931</v>
      </c>
      <c r="G159" s="136" t="s">
        <v>1341</v>
      </c>
      <c r="H159" s="135" t="s">
        <v>383</v>
      </c>
      <c r="I159" s="135" t="s">
        <v>765</v>
      </c>
      <c r="J159" s="135" t="s">
        <v>765</v>
      </c>
      <c r="K159" s="135" t="s">
        <v>947</v>
      </c>
      <c r="L159" s="136" t="s">
        <v>2007</v>
      </c>
      <c r="N159" s="136"/>
      <c r="O159" s="136" t="s">
        <v>866</v>
      </c>
      <c r="P159" s="136" t="s">
        <v>925</v>
      </c>
      <c r="Q159" s="135" t="s">
        <v>884</v>
      </c>
      <c r="R159" s="135" t="s">
        <v>883</v>
      </c>
      <c r="S159" s="136"/>
      <c r="U159" s="135" t="s">
        <v>947</v>
      </c>
      <c r="V159" s="135" t="s">
        <v>635</v>
      </c>
      <c r="X159" s="135" t="s">
        <v>637</v>
      </c>
      <c r="Z159" s="135" t="s">
        <v>531</v>
      </c>
      <c r="AA159" s="136"/>
      <c r="AB159" s="135" t="s">
        <v>2008</v>
      </c>
    </row>
    <row r="160" spans="1:28">
      <c r="A160" s="136" t="s">
        <v>2009</v>
      </c>
      <c r="B160" s="135" t="s">
        <v>946</v>
      </c>
      <c r="C160" s="135" t="s">
        <v>2005</v>
      </c>
      <c r="D160" s="136" t="s">
        <v>2006</v>
      </c>
      <c r="E160" s="136" t="s">
        <v>457</v>
      </c>
      <c r="F160" s="135" t="s">
        <v>931</v>
      </c>
      <c r="G160" s="136" t="s">
        <v>1341</v>
      </c>
      <c r="H160" s="135" t="s">
        <v>383</v>
      </c>
      <c r="I160" s="135" t="s">
        <v>494</v>
      </c>
      <c r="J160" s="135" t="s">
        <v>494</v>
      </c>
      <c r="K160" s="135" t="s">
        <v>945</v>
      </c>
      <c r="L160" s="136" t="s">
        <v>2010</v>
      </c>
      <c r="N160" s="136"/>
      <c r="O160" s="136" t="s">
        <v>866</v>
      </c>
      <c r="P160" s="136" t="s">
        <v>922</v>
      </c>
      <c r="Q160" s="135" t="s">
        <v>884</v>
      </c>
      <c r="R160" s="135" t="s">
        <v>883</v>
      </c>
      <c r="S160" s="136"/>
      <c r="U160" s="135" t="s">
        <v>945</v>
      </c>
      <c r="V160" s="135" t="s">
        <v>635</v>
      </c>
      <c r="X160" s="135" t="s">
        <v>637</v>
      </c>
      <c r="Z160" s="135" t="s">
        <v>531</v>
      </c>
      <c r="AA160" s="136"/>
      <c r="AB160" s="135" t="s">
        <v>2011</v>
      </c>
    </row>
    <row r="161" spans="1:28">
      <c r="A161" s="136" t="s">
        <v>2012</v>
      </c>
      <c r="B161" s="135" t="s">
        <v>944</v>
      </c>
      <c r="C161" s="135" t="s">
        <v>386</v>
      </c>
      <c r="D161" s="136" t="s">
        <v>1339</v>
      </c>
      <c r="E161" s="136" t="s">
        <v>457</v>
      </c>
      <c r="F161" s="135" t="s">
        <v>931</v>
      </c>
      <c r="G161" s="136" t="s">
        <v>1341</v>
      </c>
      <c r="H161" s="135" t="s">
        <v>383</v>
      </c>
      <c r="I161" s="135" t="s">
        <v>454</v>
      </c>
      <c r="J161" s="135" t="s">
        <v>454</v>
      </c>
      <c r="K161" s="135" t="s">
        <v>943</v>
      </c>
      <c r="L161" s="136" t="s">
        <v>1892</v>
      </c>
      <c r="N161" s="136"/>
      <c r="O161" s="136" t="s">
        <v>866</v>
      </c>
      <c r="P161" s="136" t="s">
        <v>919</v>
      </c>
      <c r="Q161" s="135" t="s">
        <v>536</v>
      </c>
      <c r="R161" s="135" t="s">
        <v>534</v>
      </c>
      <c r="S161" s="136"/>
      <c r="U161" s="135" t="s">
        <v>943</v>
      </c>
      <c r="V161" s="135" t="s">
        <v>635</v>
      </c>
      <c r="X161" s="135" t="s">
        <v>637</v>
      </c>
      <c r="Z161" s="135" t="s">
        <v>451</v>
      </c>
      <c r="AA161" s="136"/>
      <c r="AB161" s="135" t="s">
        <v>2013</v>
      </c>
    </row>
    <row r="162" spans="1:28">
      <c r="A162" s="136" t="s">
        <v>2014</v>
      </c>
      <c r="B162" s="135" t="s">
        <v>942</v>
      </c>
      <c r="C162" s="135" t="s">
        <v>386</v>
      </c>
      <c r="D162" s="136" t="s">
        <v>1339</v>
      </c>
      <c r="E162" s="136" t="s">
        <v>457</v>
      </c>
      <c r="F162" s="135" t="s">
        <v>931</v>
      </c>
      <c r="G162" s="136" t="s">
        <v>1341</v>
      </c>
      <c r="H162" s="135" t="s">
        <v>383</v>
      </c>
      <c r="I162" s="135" t="s">
        <v>454</v>
      </c>
      <c r="J162" s="135" t="s">
        <v>454</v>
      </c>
      <c r="K162" s="135" t="s">
        <v>941</v>
      </c>
      <c r="L162" s="136" t="s">
        <v>1896</v>
      </c>
      <c r="N162" s="136"/>
      <c r="O162" s="136" t="s">
        <v>866</v>
      </c>
      <c r="P162" s="136" t="s">
        <v>916</v>
      </c>
      <c r="Q162" s="135" t="s">
        <v>536</v>
      </c>
      <c r="R162" s="135" t="s">
        <v>534</v>
      </c>
      <c r="S162" s="136"/>
      <c r="U162" s="135" t="s">
        <v>941</v>
      </c>
      <c r="V162" s="135" t="s">
        <v>635</v>
      </c>
      <c r="X162" s="135" t="s">
        <v>637</v>
      </c>
      <c r="Z162" s="135" t="s">
        <v>531</v>
      </c>
      <c r="AA162" s="136"/>
      <c r="AB162" s="135" t="s">
        <v>2015</v>
      </c>
    </row>
    <row r="163" spans="1:28">
      <c r="A163" s="136" t="s">
        <v>2016</v>
      </c>
      <c r="B163" s="135" t="s">
        <v>940</v>
      </c>
      <c r="C163" s="135" t="s">
        <v>386</v>
      </c>
      <c r="D163" s="136" t="s">
        <v>1339</v>
      </c>
      <c r="E163" s="136" t="s">
        <v>457</v>
      </c>
      <c r="F163" s="135" t="s">
        <v>931</v>
      </c>
      <c r="G163" s="136" t="s">
        <v>1341</v>
      </c>
      <c r="H163" s="135" t="s">
        <v>383</v>
      </c>
      <c r="I163" s="135" t="s">
        <v>454</v>
      </c>
      <c r="J163" s="135" t="s">
        <v>454</v>
      </c>
      <c r="K163" s="135" t="s">
        <v>939</v>
      </c>
      <c r="L163" s="136" t="s">
        <v>1899</v>
      </c>
      <c r="N163" s="136"/>
      <c r="O163" s="136" t="s">
        <v>866</v>
      </c>
      <c r="P163" s="136" t="s">
        <v>913</v>
      </c>
      <c r="Q163" s="135" t="s">
        <v>536</v>
      </c>
      <c r="R163" s="135" t="s">
        <v>534</v>
      </c>
      <c r="S163" s="136"/>
      <c r="U163" s="135" t="s">
        <v>939</v>
      </c>
      <c r="V163" s="135" t="s">
        <v>635</v>
      </c>
      <c r="X163" s="135" t="s">
        <v>637</v>
      </c>
      <c r="Z163" s="135" t="s">
        <v>531</v>
      </c>
      <c r="AA163" s="136"/>
      <c r="AB163" s="135" t="s">
        <v>2017</v>
      </c>
    </row>
    <row r="164" spans="1:28">
      <c r="A164" s="136" t="s">
        <v>2018</v>
      </c>
      <c r="B164" s="135" t="s">
        <v>938</v>
      </c>
      <c r="C164" s="135" t="s">
        <v>386</v>
      </c>
      <c r="D164" s="136" t="s">
        <v>1339</v>
      </c>
      <c r="E164" s="136" t="s">
        <v>457</v>
      </c>
      <c r="F164" s="135" t="s">
        <v>931</v>
      </c>
      <c r="G164" s="136" t="s">
        <v>1341</v>
      </c>
      <c r="H164" s="135" t="s">
        <v>383</v>
      </c>
      <c r="I164" s="135" t="s">
        <v>454</v>
      </c>
      <c r="J164" s="135" t="s">
        <v>454</v>
      </c>
      <c r="K164" s="135" t="s">
        <v>937</v>
      </c>
      <c r="L164" s="136" t="s">
        <v>1902</v>
      </c>
      <c r="N164" s="136"/>
      <c r="O164" s="136" t="s">
        <v>866</v>
      </c>
      <c r="P164" s="136" t="s">
        <v>910</v>
      </c>
      <c r="Q164" s="135" t="s">
        <v>536</v>
      </c>
      <c r="R164" s="135" t="s">
        <v>534</v>
      </c>
      <c r="S164" s="136"/>
      <c r="U164" s="135" t="s">
        <v>937</v>
      </c>
      <c r="V164" s="135" t="s">
        <v>635</v>
      </c>
      <c r="X164" s="135" t="s">
        <v>637</v>
      </c>
      <c r="Z164" s="135" t="s">
        <v>451</v>
      </c>
      <c r="AA164" s="136"/>
      <c r="AB164" s="135" t="s">
        <v>2019</v>
      </c>
    </row>
    <row r="165" spans="1:28">
      <c r="A165" s="136" t="s">
        <v>2020</v>
      </c>
      <c r="B165" s="135" t="s">
        <v>936</v>
      </c>
      <c r="C165" s="135" t="s">
        <v>386</v>
      </c>
      <c r="D165" s="136" t="s">
        <v>1339</v>
      </c>
      <c r="E165" s="136" t="s">
        <v>457</v>
      </c>
      <c r="F165" s="135" t="s">
        <v>931</v>
      </c>
      <c r="G165" s="136" t="s">
        <v>1341</v>
      </c>
      <c r="H165" s="135" t="s">
        <v>383</v>
      </c>
      <c r="I165" s="135" t="s">
        <v>454</v>
      </c>
      <c r="J165" s="135" t="s">
        <v>454</v>
      </c>
      <c r="K165" s="135" t="s">
        <v>935</v>
      </c>
      <c r="L165" s="136" t="s">
        <v>1905</v>
      </c>
      <c r="N165" s="136"/>
      <c r="O165" s="136" t="s">
        <v>866</v>
      </c>
      <c r="P165" s="136" t="s">
        <v>907</v>
      </c>
      <c r="Q165" s="135" t="s">
        <v>536</v>
      </c>
      <c r="R165" s="135" t="s">
        <v>534</v>
      </c>
      <c r="S165" s="136"/>
      <c r="U165" s="135" t="s">
        <v>935</v>
      </c>
      <c r="V165" s="135" t="s">
        <v>635</v>
      </c>
      <c r="X165" s="135" t="s">
        <v>637</v>
      </c>
      <c r="Z165" s="135" t="s">
        <v>451</v>
      </c>
      <c r="AA165" s="136"/>
      <c r="AB165" s="135" t="s">
        <v>2021</v>
      </c>
    </row>
    <row r="166" spans="1:28">
      <c r="A166" s="136" t="s">
        <v>2022</v>
      </c>
      <c r="B166" s="135" t="s">
        <v>934</v>
      </c>
      <c r="C166" s="135" t="s">
        <v>386</v>
      </c>
      <c r="D166" s="136" t="s">
        <v>1339</v>
      </c>
      <c r="E166" s="136" t="s">
        <v>457</v>
      </c>
      <c r="F166" s="135" t="s">
        <v>931</v>
      </c>
      <c r="G166" s="136" t="s">
        <v>1341</v>
      </c>
      <c r="H166" s="135" t="s">
        <v>383</v>
      </c>
      <c r="I166" s="135" t="s">
        <v>454</v>
      </c>
      <c r="J166" s="135" t="s">
        <v>454</v>
      </c>
      <c r="K166" s="135" t="s">
        <v>933</v>
      </c>
      <c r="L166" s="136" t="s">
        <v>1908</v>
      </c>
      <c r="N166" s="136"/>
      <c r="O166" s="136" t="s">
        <v>866</v>
      </c>
      <c r="P166" s="136" t="s">
        <v>904</v>
      </c>
      <c r="Q166" s="135" t="s">
        <v>536</v>
      </c>
      <c r="R166" s="135" t="s">
        <v>534</v>
      </c>
      <c r="S166" s="136"/>
      <c r="U166" s="135" t="s">
        <v>933</v>
      </c>
      <c r="V166" s="135" t="s">
        <v>635</v>
      </c>
      <c r="X166" s="135" t="s">
        <v>637</v>
      </c>
      <c r="Z166" s="135" t="s">
        <v>451</v>
      </c>
      <c r="AA166" s="136"/>
      <c r="AB166" s="135" t="s">
        <v>2023</v>
      </c>
    </row>
    <row r="167" spans="1:28">
      <c r="A167" s="136" t="s">
        <v>2024</v>
      </c>
      <c r="B167" s="135" t="s">
        <v>932</v>
      </c>
      <c r="C167" s="135" t="s">
        <v>386</v>
      </c>
      <c r="D167" s="136" t="s">
        <v>1339</v>
      </c>
      <c r="E167" s="136" t="s">
        <v>457</v>
      </c>
      <c r="F167" s="135" t="s">
        <v>931</v>
      </c>
      <c r="G167" s="136" t="s">
        <v>1341</v>
      </c>
      <c r="H167" s="135" t="s">
        <v>383</v>
      </c>
      <c r="I167" s="135" t="s">
        <v>454</v>
      </c>
      <c r="J167" s="135" t="s">
        <v>454</v>
      </c>
      <c r="K167" s="135" t="s">
        <v>930</v>
      </c>
      <c r="L167" s="136" t="s">
        <v>1911</v>
      </c>
      <c r="N167" s="136"/>
      <c r="O167" s="136" t="s">
        <v>866</v>
      </c>
      <c r="P167" s="136" t="s">
        <v>901</v>
      </c>
      <c r="Q167" s="135" t="s">
        <v>536</v>
      </c>
      <c r="R167" s="135" t="s">
        <v>534</v>
      </c>
      <c r="S167" s="136"/>
      <c r="U167" s="135" t="s">
        <v>930</v>
      </c>
      <c r="V167" s="135" t="s">
        <v>635</v>
      </c>
      <c r="X167" s="135" t="s">
        <v>637</v>
      </c>
      <c r="Z167" s="135" t="s">
        <v>451</v>
      </c>
      <c r="AA167" s="136"/>
      <c r="AB167" s="135" t="s">
        <v>2025</v>
      </c>
    </row>
    <row r="168" spans="1:28">
      <c r="A168" s="136" t="s">
        <v>2026</v>
      </c>
      <c r="B168" s="135" t="s">
        <v>711</v>
      </c>
      <c r="C168" s="135" t="s">
        <v>386</v>
      </c>
      <c r="D168" s="136" t="s">
        <v>1353</v>
      </c>
      <c r="E168" s="136" t="s">
        <v>1448</v>
      </c>
      <c r="F168" s="135" t="s">
        <v>690</v>
      </c>
      <c r="G168" s="136" t="s">
        <v>1341</v>
      </c>
      <c r="H168" s="135" t="s">
        <v>383</v>
      </c>
      <c r="I168" s="135" t="s">
        <v>454</v>
      </c>
      <c r="J168" s="135" t="s">
        <v>454</v>
      </c>
      <c r="K168" s="135" t="s">
        <v>710</v>
      </c>
      <c r="L168" s="136" t="s">
        <v>1914</v>
      </c>
      <c r="M168" s="135" t="s">
        <v>383</v>
      </c>
      <c r="N168" s="136"/>
      <c r="O168" s="136" t="s">
        <v>535</v>
      </c>
      <c r="P168" s="136" t="s">
        <v>566</v>
      </c>
      <c r="Q168" s="135" t="s">
        <v>546</v>
      </c>
      <c r="R168" s="135" t="s">
        <v>545</v>
      </c>
      <c r="S168" s="136"/>
      <c r="U168" s="135" t="s">
        <v>709</v>
      </c>
      <c r="V168" s="135" t="s">
        <v>692</v>
      </c>
      <c r="X168" s="135" t="s">
        <v>571</v>
      </c>
      <c r="Z168" s="135" t="s">
        <v>543</v>
      </c>
      <c r="AA168" s="136"/>
      <c r="AB168" s="135" t="s">
        <v>2027</v>
      </c>
    </row>
    <row r="169" spans="1:28">
      <c r="A169" s="136" t="s">
        <v>2028</v>
      </c>
      <c r="B169" s="135" t="s">
        <v>708</v>
      </c>
      <c r="C169" s="135" t="s">
        <v>386</v>
      </c>
      <c r="D169" s="136" t="s">
        <v>1350</v>
      </c>
      <c r="E169" s="136" t="s">
        <v>1448</v>
      </c>
      <c r="F169" s="135" t="s">
        <v>690</v>
      </c>
      <c r="G169" s="136" t="s">
        <v>1341</v>
      </c>
      <c r="H169" s="135" t="s">
        <v>383</v>
      </c>
      <c r="I169" s="135" t="s">
        <v>494</v>
      </c>
      <c r="J169" s="135" t="s">
        <v>494</v>
      </c>
      <c r="K169" s="135" t="s">
        <v>707</v>
      </c>
      <c r="L169" s="136" t="s">
        <v>1914</v>
      </c>
      <c r="M169" s="135" t="s">
        <v>383</v>
      </c>
      <c r="N169" s="136"/>
      <c r="O169" s="136" t="s">
        <v>535</v>
      </c>
      <c r="P169" s="136" t="s">
        <v>561</v>
      </c>
      <c r="Q169" s="135" t="s">
        <v>574</v>
      </c>
      <c r="R169" s="135" t="s">
        <v>573</v>
      </c>
      <c r="S169" s="136"/>
      <c r="V169" s="135" t="s">
        <v>529</v>
      </c>
      <c r="X169" s="135" t="s">
        <v>571</v>
      </c>
      <c r="Z169" s="135" t="s">
        <v>665</v>
      </c>
      <c r="AA169" s="136"/>
      <c r="AB169" s="135" t="s">
        <v>2029</v>
      </c>
    </row>
    <row r="170" spans="1:28">
      <c r="A170" s="136" t="s">
        <v>2030</v>
      </c>
      <c r="B170" s="135" t="s">
        <v>706</v>
      </c>
      <c r="C170" s="135" t="s">
        <v>386</v>
      </c>
      <c r="D170" s="136" t="s">
        <v>1350</v>
      </c>
      <c r="E170" s="136" t="s">
        <v>1448</v>
      </c>
      <c r="F170" s="135" t="s">
        <v>690</v>
      </c>
      <c r="G170" s="136" t="s">
        <v>1341</v>
      </c>
      <c r="H170" s="135" t="s">
        <v>383</v>
      </c>
      <c r="I170" s="135" t="s">
        <v>454</v>
      </c>
      <c r="J170" s="135" t="s">
        <v>454</v>
      </c>
      <c r="K170" s="135" t="s">
        <v>705</v>
      </c>
      <c r="L170" s="136" t="s">
        <v>1914</v>
      </c>
      <c r="M170" s="135" t="s">
        <v>383</v>
      </c>
      <c r="N170" s="136"/>
      <c r="O170" s="136" t="s">
        <v>535</v>
      </c>
      <c r="P170" s="136" t="s">
        <v>555</v>
      </c>
      <c r="Q170" s="135" t="s">
        <v>574</v>
      </c>
      <c r="R170" s="135" t="s">
        <v>573</v>
      </c>
      <c r="S170" s="136"/>
      <c r="V170" s="135" t="s">
        <v>610</v>
      </c>
      <c r="X170" s="135" t="s">
        <v>571</v>
      </c>
      <c r="Z170" s="135" t="s">
        <v>665</v>
      </c>
      <c r="AA170" s="136"/>
      <c r="AB170" s="135" t="s">
        <v>2031</v>
      </c>
    </row>
    <row r="171" spans="1:28">
      <c r="A171" s="136" t="s">
        <v>2032</v>
      </c>
      <c r="B171" s="135" t="s">
        <v>704</v>
      </c>
      <c r="C171" s="135" t="s">
        <v>386</v>
      </c>
      <c r="D171" s="136" t="s">
        <v>1353</v>
      </c>
      <c r="E171" s="136" t="s">
        <v>1448</v>
      </c>
      <c r="F171" s="135" t="s">
        <v>690</v>
      </c>
      <c r="G171" s="136" t="s">
        <v>1341</v>
      </c>
      <c r="H171" s="135" t="s">
        <v>383</v>
      </c>
      <c r="I171" s="135" t="s">
        <v>454</v>
      </c>
      <c r="J171" s="135" t="s">
        <v>454</v>
      </c>
      <c r="K171" s="135" t="s">
        <v>703</v>
      </c>
      <c r="L171" s="136" t="s">
        <v>1914</v>
      </c>
      <c r="M171" s="135" t="s">
        <v>383</v>
      </c>
      <c r="N171" s="136"/>
      <c r="O171" s="136" t="s">
        <v>535</v>
      </c>
      <c r="P171" s="136" t="s">
        <v>548</v>
      </c>
      <c r="Q171" s="135" t="s">
        <v>546</v>
      </c>
      <c r="R171" s="135" t="s">
        <v>545</v>
      </c>
      <c r="S171" s="136"/>
      <c r="V171" s="135" t="s">
        <v>539</v>
      </c>
      <c r="X171" s="135" t="s">
        <v>571</v>
      </c>
      <c r="Z171" s="135" t="s">
        <v>665</v>
      </c>
      <c r="AA171" s="136"/>
      <c r="AB171" s="135" t="s">
        <v>2033</v>
      </c>
    </row>
    <row r="172" spans="1:28">
      <c r="A172" s="136" t="s">
        <v>2034</v>
      </c>
      <c r="B172" s="135" t="s">
        <v>702</v>
      </c>
      <c r="C172" s="135" t="s">
        <v>386</v>
      </c>
      <c r="D172" s="136" t="s">
        <v>1353</v>
      </c>
      <c r="E172" s="136" t="s">
        <v>457</v>
      </c>
      <c r="F172" s="135" t="s">
        <v>690</v>
      </c>
      <c r="G172" s="136" t="s">
        <v>1341</v>
      </c>
      <c r="H172" s="135" t="s">
        <v>383</v>
      </c>
      <c r="I172" s="135" t="s">
        <v>454</v>
      </c>
      <c r="J172" s="135" t="s">
        <v>454</v>
      </c>
      <c r="K172" s="135" t="s">
        <v>533</v>
      </c>
      <c r="L172" s="136" t="s">
        <v>1914</v>
      </c>
      <c r="M172" s="135" t="s">
        <v>383</v>
      </c>
      <c r="N172" s="136"/>
      <c r="O172" s="136" t="s">
        <v>535</v>
      </c>
      <c r="P172" s="136" t="s">
        <v>625</v>
      </c>
      <c r="Q172" s="135" t="s">
        <v>546</v>
      </c>
      <c r="R172" s="135" t="s">
        <v>545</v>
      </c>
      <c r="S172" s="136"/>
      <c r="V172" s="135" t="s">
        <v>529</v>
      </c>
      <c r="X172" s="135" t="s">
        <v>571</v>
      </c>
      <c r="Z172" s="135" t="s">
        <v>665</v>
      </c>
      <c r="AA172" s="136"/>
      <c r="AB172" s="135" t="s">
        <v>2035</v>
      </c>
    </row>
    <row r="173" spans="1:28">
      <c r="A173" s="136" t="s">
        <v>2036</v>
      </c>
      <c r="B173" s="135" t="s">
        <v>701</v>
      </c>
      <c r="C173" s="135" t="s">
        <v>386</v>
      </c>
      <c r="D173" s="136" t="s">
        <v>1353</v>
      </c>
      <c r="E173" s="136" t="s">
        <v>1448</v>
      </c>
      <c r="F173" s="135" t="s">
        <v>690</v>
      </c>
      <c r="G173" s="136" t="s">
        <v>1341</v>
      </c>
      <c r="H173" s="135" t="s">
        <v>383</v>
      </c>
      <c r="I173" s="135" t="s">
        <v>700</v>
      </c>
      <c r="J173" s="135" t="s">
        <v>700</v>
      </c>
      <c r="K173" s="135" t="s">
        <v>699</v>
      </c>
      <c r="L173" s="136" t="s">
        <v>1914</v>
      </c>
      <c r="M173" s="135" t="s">
        <v>383</v>
      </c>
      <c r="N173" s="136"/>
      <c r="O173" s="136" t="s">
        <v>535</v>
      </c>
      <c r="P173" s="136" t="s">
        <v>538</v>
      </c>
      <c r="Q173" s="135" t="s">
        <v>546</v>
      </c>
      <c r="R173" s="135" t="s">
        <v>545</v>
      </c>
      <c r="S173" s="136"/>
      <c r="V173" s="135" t="s">
        <v>610</v>
      </c>
      <c r="X173" s="135" t="s">
        <v>571</v>
      </c>
      <c r="Z173" s="135" t="s">
        <v>665</v>
      </c>
      <c r="AA173" s="136"/>
      <c r="AB173" s="135" t="s">
        <v>2037</v>
      </c>
    </row>
    <row r="174" spans="1:28">
      <c r="A174" s="136" t="s">
        <v>2038</v>
      </c>
      <c r="B174" s="135" t="s">
        <v>698</v>
      </c>
      <c r="C174" s="135" t="s">
        <v>386</v>
      </c>
      <c r="D174" s="136" t="s">
        <v>1350</v>
      </c>
      <c r="E174" s="136" t="s">
        <v>1448</v>
      </c>
      <c r="F174" s="135" t="s">
        <v>690</v>
      </c>
      <c r="G174" s="136" t="s">
        <v>1341</v>
      </c>
      <c r="H174" s="135" t="s">
        <v>383</v>
      </c>
      <c r="I174" s="135" t="s">
        <v>454</v>
      </c>
      <c r="J174" s="135" t="s">
        <v>454</v>
      </c>
      <c r="K174" s="135" t="s">
        <v>697</v>
      </c>
      <c r="L174" s="136" t="s">
        <v>1914</v>
      </c>
      <c r="M174" s="135" t="s">
        <v>383</v>
      </c>
      <c r="N174" s="136"/>
      <c r="O174" s="136" t="s">
        <v>535</v>
      </c>
      <c r="P174" s="136" t="s">
        <v>616</v>
      </c>
      <c r="Q174" s="135" t="s">
        <v>574</v>
      </c>
      <c r="R174" s="135" t="s">
        <v>573</v>
      </c>
      <c r="S174" s="136"/>
      <c r="U174" s="135" t="s">
        <v>696</v>
      </c>
      <c r="V174" s="135" t="s">
        <v>455</v>
      </c>
      <c r="X174" s="135" t="s">
        <v>571</v>
      </c>
      <c r="Z174" s="135" t="s">
        <v>567</v>
      </c>
      <c r="AA174" s="136"/>
      <c r="AB174" s="135" t="s">
        <v>2039</v>
      </c>
    </row>
    <row r="175" spans="1:28">
      <c r="A175" s="136" t="s">
        <v>2040</v>
      </c>
      <c r="B175" s="135" t="s">
        <v>695</v>
      </c>
      <c r="C175" s="135" t="s">
        <v>386</v>
      </c>
      <c r="D175" s="136" t="s">
        <v>1350</v>
      </c>
      <c r="E175" s="136" t="s">
        <v>1448</v>
      </c>
      <c r="F175" s="135" t="s">
        <v>690</v>
      </c>
      <c r="G175" s="136" t="s">
        <v>1341</v>
      </c>
      <c r="H175" s="135" t="s">
        <v>383</v>
      </c>
      <c r="I175" s="135" t="s">
        <v>454</v>
      </c>
      <c r="J175" s="135" t="s">
        <v>454</v>
      </c>
      <c r="K175" s="135" t="s">
        <v>694</v>
      </c>
      <c r="L175" s="136" t="s">
        <v>1914</v>
      </c>
      <c r="M175" s="135" t="s">
        <v>383</v>
      </c>
      <c r="N175" s="136"/>
      <c r="O175" s="136" t="s">
        <v>535</v>
      </c>
      <c r="P175" s="136" t="s">
        <v>613</v>
      </c>
      <c r="Q175" s="135" t="s">
        <v>574</v>
      </c>
      <c r="R175" s="135" t="s">
        <v>573</v>
      </c>
      <c r="S175" s="136"/>
      <c r="U175" s="135" t="s">
        <v>693</v>
      </c>
      <c r="V175" s="135" t="s">
        <v>692</v>
      </c>
      <c r="X175" s="135" t="s">
        <v>571</v>
      </c>
      <c r="Z175" s="135" t="s">
        <v>567</v>
      </c>
      <c r="AA175" s="136"/>
      <c r="AB175" s="135" t="s">
        <v>2041</v>
      </c>
    </row>
    <row r="176" spans="1:28">
      <c r="A176" s="136" t="s">
        <v>2042</v>
      </c>
      <c r="B176" s="135" t="s">
        <v>691</v>
      </c>
      <c r="C176" s="135" t="s">
        <v>386</v>
      </c>
      <c r="D176" s="136" t="s">
        <v>1350</v>
      </c>
      <c r="E176" s="136" t="s">
        <v>1448</v>
      </c>
      <c r="F176" s="135" t="s">
        <v>690</v>
      </c>
      <c r="G176" s="136" t="s">
        <v>1341</v>
      </c>
      <c r="H176" s="135" t="s">
        <v>383</v>
      </c>
      <c r="I176" s="135" t="s">
        <v>454</v>
      </c>
      <c r="J176" s="135" t="s">
        <v>454</v>
      </c>
      <c r="K176" s="135" t="s">
        <v>689</v>
      </c>
      <c r="L176" s="136" t="s">
        <v>1914</v>
      </c>
      <c r="M176" s="135" t="s">
        <v>383</v>
      </c>
      <c r="N176" s="136"/>
      <c r="O176" s="136" t="s">
        <v>535</v>
      </c>
      <c r="P176" s="136" t="s">
        <v>609</v>
      </c>
      <c r="Q176" s="135" t="s">
        <v>574</v>
      </c>
      <c r="R176" s="135" t="s">
        <v>573</v>
      </c>
      <c r="S176" s="136"/>
      <c r="U176" s="135" t="s">
        <v>688</v>
      </c>
      <c r="V176" s="135" t="s">
        <v>687</v>
      </c>
      <c r="X176" s="135" t="s">
        <v>571</v>
      </c>
      <c r="Z176" s="135" t="s">
        <v>567</v>
      </c>
      <c r="AA176" s="136"/>
      <c r="AB176" s="135" t="s">
        <v>2043</v>
      </c>
    </row>
    <row r="177" spans="1:28">
      <c r="A177" s="136" t="s">
        <v>2044</v>
      </c>
      <c r="B177" s="135" t="s">
        <v>2045</v>
      </c>
      <c r="C177" s="135" t="s">
        <v>386</v>
      </c>
      <c r="D177" s="136" t="s">
        <v>1350</v>
      </c>
      <c r="E177" s="136" t="s">
        <v>1340</v>
      </c>
      <c r="F177" s="135" t="s">
        <v>690</v>
      </c>
      <c r="G177" s="136" t="s">
        <v>1341</v>
      </c>
      <c r="H177" s="135" t="s">
        <v>383</v>
      </c>
      <c r="I177" s="135" t="s">
        <v>454</v>
      </c>
      <c r="J177" s="135" t="s">
        <v>454</v>
      </c>
      <c r="K177" s="135" t="s">
        <v>2046</v>
      </c>
      <c r="L177" s="136" t="s">
        <v>1450</v>
      </c>
      <c r="M177" s="135" t="s">
        <v>383</v>
      </c>
      <c r="N177" s="136"/>
      <c r="O177" s="136" t="s">
        <v>535</v>
      </c>
      <c r="P177" s="136" t="s">
        <v>606</v>
      </c>
      <c r="Q177" s="135" t="s">
        <v>574</v>
      </c>
      <c r="R177" s="135" t="s">
        <v>573</v>
      </c>
      <c r="S177" s="136"/>
      <c r="V177" s="135" t="s">
        <v>2047</v>
      </c>
      <c r="X177" s="135" t="s">
        <v>571</v>
      </c>
      <c r="Z177" s="135" t="s">
        <v>1372</v>
      </c>
      <c r="AA177" s="136"/>
      <c r="AB177" s="135" t="s">
        <v>2048</v>
      </c>
    </row>
    <row r="178" spans="1:28">
      <c r="A178" s="136" t="s">
        <v>2049</v>
      </c>
      <c r="B178" s="135" t="s">
        <v>2050</v>
      </c>
      <c r="C178" s="135" t="s">
        <v>386</v>
      </c>
      <c r="D178" s="136" t="s">
        <v>1353</v>
      </c>
      <c r="E178" s="136" t="s">
        <v>1340</v>
      </c>
      <c r="F178" s="135" t="s">
        <v>2051</v>
      </c>
      <c r="G178" s="136" t="s">
        <v>1341</v>
      </c>
      <c r="H178" s="135" t="s">
        <v>383</v>
      </c>
      <c r="I178" s="135" t="s">
        <v>454</v>
      </c>
      <c r="J178" s="135" t="s">
        <v>454</v>
      </c>
      <c r="L178" s="136"/>
      <c r="N178" s="136"/>
      <c r="O178" s="136" t="s">
        <v>535</v>
      </c>
      <c r="P178" s="136" t="s">
        <v>600</v>
      </c>
      <c r="Q178" s="135" t="s">
        <v>546</v>
      </c>
      <c r="R178" s="135" t="s">
        <v>545</v>
      </c>
      <c r="S178" s="136"/>
      <c r="X178" s="135" t="s">
        <v>2052</v>
      </c>
      <c r="Z178" s="135" t="s">
        <v>1372</v>
      </c>
      <c r="AA178" s="136"/>
      <c r="AB178" s="135" t="s">
        <v>2053</v>
      </c>
    </row>
    <row r="179" spans="1:28">
      <c r="A179" s="136" t="s">
        <v>2054</v>
      </c>
      <c r="B179" s="135" t="s">
        <v>2055</v>
      </c>
      <c r="C179" s="135" t="s">
        <v>386</v>
      </c>
      <c r="D179" s="136" t="s">
        <v>1353</v>
      </c>
      <c r="E179" s="136" t="s">
        <v>1340</v>
      </c>
      <c r="F179" s="135" t="s">
        <v>2051</v>
      </c>
      <c r="G179" s="136" t="s">
        <v>1341</v>
      </c>
      <c r="H179" s="135" t="s">
        <v>383</v>
      </c>
      <c r="I179" s="135" t="s">
        <v>494</v>
      </c>
      <c r="J179" s="135" t="s">
        <v>494</v>
      </c>
      <c r="K179" s="135" t="s">
        <v>979</v>
      </c>
      <c r="L179" s="136" t="s">
        <v>2056</v>
      </c>
      <c r="N179" s="136"/>
      <c r="O179" s="136" t="s">
        <v>535</v>
      </c>
      <c r="P179" s="136" t="s">
        <v>595</v>
      </c>
      <c r="Q179" s="135" t="s">
        <v>546</v>
      </c>
      <c r="R179" s="135" t="s">
        <v>545</v>
      </c>
      <c r="S179" s="136"/>
      <c r="U179" s="135" t="s">
        <v>979</v>
      </c>
      <c r="V179" s="135" t="s">
        <v>880</v>
      </c>
      <c r="X179" s="135" t="s">
        <v>2052</v>
      </c>
      <c r="Z179" s="135" t="s">
        <v>1372</v>
      </c>
      <c r="AA179" s="136"/>
      <c r="AB179" s="135" t="s">
        <v>2057</v>
      </c>
    </row>
    <row r="180" spans="1:28">
      <c r="A180" s="136" t="s">
        <v>2058</v>
      </c>
      <c r="B180" s="135" t="s">
        <v>2059</v>
      </c>
      <c r="C180" s="135" t="s">
        <v>386</v>
      </c>
      <c r="D180" s="136" t="s">
        <v>1339</v>
      </c>
      <c r="E180" s="136" t="s">
        <v>457</v>
      </c>
      <c r="F180" s="135" t="s">
        <v>2060</v>
      </c>
      <c r="G180" s="136" t="s">
        <v>1341</v>
      </c>
      <c r="H180" s="135" t="s">
        <v>383</v>
      </c>
      <c r="I180" s="135" t="s">
        <v>731</v>
      </c>
      <c r="J180" s="135" t="s">
        <v>731</v>
      </c>
      <c r="K180" s="135" t="s">
        <v>978</v>
      </c>
      <c r="L180" s="136" t="s">
        <v>388</v>
      </c>
      <c r="N180" s="136"/>
      <c r="O180" s="136" t="s">
        <v>535</v>
      </c>
      <c r="P180" s="136" t="s">
        <v>590</v>
      </c>
      <c r="Q180" s="135" t="s">
        <v>536</v>
      </c>
      <c r="R180" s="135" t="s">
        <v>534</v>
      </c>
      <c r="S180" s="136"/>
      <c r="U180" s="135" t="s">
        <v>978</v>
      </c>
      <c r="V180" s="135" t="s">
        <v>975</v>
      </c>
      <c r="X180" s="135" t="s">
        <v>2061</v>
      </c>
      <c r="Z180" s="135" t="s">
        <v>451</v>
      </c>
      <c r="AA180" s="136"/>
      <c r="AB180" s="135" t="s">
        <v>2062</v>
      </c>
    </row>
    <row r="181" spans="1:28">
      <c r="A181" s="136" t="s">
        <v>2063</v>
      </c>
      <c r="B181" s="135" t="s">
        <v>2064</v>
      </c>
      <c r="C181" s="135" t="s">
        <v>386</v>
      </c>
      <c r="D181" s="136" t="s">
        <v>1339</v>
      </c>
      <c r="E181" s="136" t="s">
        <v>457</v>
      </c>
      <c r="F181" s="135" t="s">
        <v>2060</v>
      </c>
      <c r="G181" s="136" t="s">
        <v>1341</v>
      </c>
      <c r="H181" s="135" t="s">
        <v>383</v>
      </c>
      <c r="I181" s="135" t="s">
        <v>454</v>
      </c>
      <c r="J181" s="135" t="s">
        <v>454</v>
      </c>
      <c r="K181" s="135" t="s">
        <v>977</v>
      </c>
      <c r="L181" s="136" t="s">
        <v>389</v>
      </c>
      <c r="N181" s="136"/>
      <c r="O181" s="136" t="s">
        <v>535</v>
      </c>
      <c r="P181" s="136" t="s">
        <v>585</v>
      </c>
      <c r="Q181" s="135" t="s">
        <v>536</v>
      </c>
      <c r="R181" s="135" t="s">
        <v>534</v>
      </c>
      <c r="S181" s="136"/>
      <c r="U181" s="135" t="s">
        <v>977</v>
      </c>
      <c r="V181" s="135" t="s">
        <v>975</v>
      </c>
      <c r="X181" s="135" t="s">
        <v>2061</v>
      </c>
      <c r="Z181" s="135" t="s">
        <v>451</v>
      </c>
      <c r="AA181" s="136"/>
      <c r="AB181" s="135" t="s">
        <v>2065</v>
      </c>
    </row>
    <row r="182" spans="1:28">
      <c r="A182" s="136" t="s">
        <v>2066</v>
      </c>
      <c r="B182" s="135" t="s">
        <v>2067</v>
      </c>
      <c r="C182" s="135" t="s">
        <v>386</v>
      </c>
      <c r="D182" s="136" t="s">
        <v>1339</v>
      </c>
      <c r="E182" s="136" t="s">
        <v>457</v>
      </c>
      <c r="F182" s="135" t="s">
        <v>2060</v>
      </c>
      <c r="G182" s="136" t="s">
        <v>1341</v>
      </c>
      <c r="H182" s="135" t="s">
        <v>383</v>
      </c>
      <c r="I182" s="135" t="s">
        <v>454</v>
      </c>
      <c r="J182" s="135" t="s">
        <v>454</v>
      </c>
      <c r="K182" s="135" t="s">
        <v>976</v>
      </c>
      <c r="L182" s="136" t="s">
        <v>387</v>
      </c>
      <c r="N182" s="136"/>
      <c r="O182" s="136" t="s">
        <v>535</v>
      </c>
      <c r="P182" s="136" t="s">
        <v>581</v>
      </c>
      <c r="Q182" s="135" t="s">
        <v>536</v>
      </c>
      <c r="R182" s="135" t="s">
        <v>534</v>
      </c>
      <c r="S182" s="136"/>
      <c r="U182" s="135" t="s">
        <v>976</v>
      </c>
      <c r="V182" s="135" t="s">
        <v>975</v>
      </c>
      <c r="X182" s="135" t="s">
        <v>2061</v>
      </c>
      <c r="Z182" s="135" t="s">
        <v>451</v>
      </c>
      <c r="AA182" s="136"/>
      <c r="AB182" s="135" t="s">
        <v>2068</v>
      </c>
    </row>
    <row r="183" spans="1:28">
      <c r="A183" s="136" t="s">
        <v>2069</v>
      </c>
      <c r="B183" s="135" t="s">
        <v>686</v>
      </c>
      <c r="C183" s="135" t="s">
        <v>386</v>
      </c>
      <c r="D183" s="136" t="s">
        <v>1353</v>
      </c>
      <c r="E183" s="136" t="s">
        <v>457</v>
      </c>
      <c r="F183" s="135" t="s">
        <v>669</v>
      </c>
      <c r="G183" s="136" t="s">
        <v>1437</v>
      </c>
      <c r="H183" s="135" t="s">
        <v>383</v>
      </c>
      <c r="I183" s="135" t="s">
        <v>454</v>
      </c>
      <c r="J183" s="135" t="s">
        <v>454</v>
      </c>
      <c r="K183" s="135" t="s">
        <v>685</v>
      </c>
      <c r="L183" s="136" t="s">
        <v>2070</v>
      </c>
      <c r="N183" s="136"/>
      <c r="O183" s="136" t="s">
        <v>535</v>
      </c>
      <c r="P183" s="136" t="s">
        <v>542</v>
      </c>
      <c r="Q183" s="135" t="s">
        <v>546</v>
      </c>
      <c r="R183" s="135" t="s">
        <v>545</v>
      </c>
      <c r="S183" s="136"/>
      <c r="U183" s="135" t="s">
        <v>685</v>
      </c>
      <c r="V183" s="135" t="s">
        <v>501</v>
      </c>
      <c r="X183" s="135" t="s">
        <v>668</v>
      </c>
      <c r="Z183" s="135" t="s">
        <v>531</v>
      </c>
      <c r="AA183" s="136"/>
      <c r="AB183" s="135" t="s">
        <v>2071</v>
      </c>
    </row>
    <row r="184" spans="1:28">
      <c r="A184" s="136" t="s">
        <v>2072</v>
      </c>
      <c r="B184" s="135" t="s">
        <v>684</v>
      </c>
      <c r="C184" s="135" t="s">
        <v>386</v>
      </c>
      <c r="D184" s="136" t="s">
        <v>1353</v>
      </c>
      <c r="E184" s="136" t="s">
        <v>457</v>
      </c>
      <c r="F184" s="135" t="s">
        <v>669</v>
      </c>
      <c r="G184" s="136" t="s">
        <v>1437</v>
      </c>
      <c r="H184" s="135" t="s">
        <v>383</v>
      </c>
      <c r="I184" s="135" t="s">
        <v>454</v>
      </c>
      <c r="J184" s="135" t="s">
        <v>454</v>
      </c>
      <c r="K184" s="135" t="s">
        <v>683</v>
      </c>
      <c r="L184" s="136" t="s">
        <v>2073</v>
      </c>
      <c r="N184" s="136"/>
      <c r="O184" s="136" t="s">
        <v>535</v>
      </c>
      <c r="P184" s="136" t="s">
        <v>504</v>
      </c>
      <c r="Q184" s="135" t="s">
        <v>546</v>
      </c>
      <c r="R184" s="135" t="s">
        <v>545</v>
      </c>
      <c r="S184" s="136"/>
      <c r="U184" s="135" t="s">
        <v>683</v>
      </c>
      <c r="V184" s="135" t="s">
        <v>501</v>
      </c>
      <c r="X184" s="135" t="s">
        <v>668</v>
      </c>
      <c r="Z184" s="135" t="s">
        <v>531</v>
      </c>
      <c r="AA184" s="136"/>
      <c r="AB184" s="135" t="s">
        <v>2074</v>
      </c>
    </row>
    <row r="185" spans="1:28">
      <c r="A185" s="136" t="s">
        <v>2075</v>
      </c>
      <c r="B185" s="135" t="s">
        <v>681</v>
      </c>
      <c r="C185" s="135" t="s">
        <v>386</v>
      </c>
      <c r="D185" s="136" t="s">
        <v>1353</v>
      </c>
      <c r="E185" s="136" t="s">
        <v>457</v>
      </c>
      <c r="F185" s="135" t="s">
        <v>669</v>
      </c>
      <c r="G185" s="136" t="s">
        <v>1437</v>
      </c>
      <c r="H185" s="135" t="s">
        <v>383</v>
      </c>
      <c r="I185" s="135" t="s">
        <v>454</v>
      </c>
      <c r="J185" s="135" t="s">
        <v>454</v>
      </c>
      <c r="K185" s="135" t="s">
        <v>2076</v>
      </c>
      <c r="L185" s="136" t="s">
        <v>2077</v>
      </c>
      <c r="N185" s="136"/>
      <c r="O185" s="136" t="s">
        <v>535</v>
      </c>
      <c r="P185" s="136" t="s">
        <v>682</v>
      </c>
      <c r="Q185" s="135" t="s">
        <v>546</v>
      </c>
      <c r="R185" s="135" t="s">
        <v>545</v>
      </c>
      <c r="S185" s="136"/>
      <c r="U185" s="135" t="s">
        <v>2076</v>
      </c>
      <c r="V185" s="135" t="s">
        <v>501</v>
      </c>
      <c r="X185" s="135" t="s">
        <v>668</v>
      </c>
      <c r="Z185" s="135" t="s">
        <v>531</v>
      </c>
      <c r="AA185" s="136"/>
      <c r="AB185" s="135" t="s">
        <v>2078</v>
      </c>
    </row>
    <row r="186" spans="1:28">
      <c r="A186" s="136" t="s">
        <v>2079</v>
      </c>
      <c r="B186" s="135" t="s">
        <v>680</v>
      </c>
      <c r="C186" s="135" t="s">
        <v>386</v>
      </c>
      <c r="D186" s="136" t="s">
        <v>1353</v>
      </c>
      <c r="E186" s="136" t="s">
        <v>457</v>
      </c>
      <c r="F186" s="135" t="s">
        <v>669</v>
      </c>
      <c r="G186" s="136" t="s">
        <v>1437</v>
      </c>
      <c r="H186" s="135" t="s">
        <v>383</v>
      </c>
      <c r="I186" s="135" t="s">
        <v>494</v>
      </c>
      <c r="J186" s="135" t="s">
        <v>494</v>
      </c>
      <c r="K186" s="135" t="s">
        <v>2080</v>
      </c>
      <c r="L186" s="136" t="s">
        <v>2081</v>
      </c>
      <c r="N186" s="136"/>
      <c r="O186" s="136" t="s">
        <v>535</v>
      </c>
      <c r="P186" s="136" t="s">
        <v>499</v>
      </c>
      <c r="Q186" s="135" t="s">
        <v>546</v>
      </c>
      <c r="R186" s="135" t="s">
        <v>545</v>
      </c>
      <c r="S186" s="136"/>
      <c r="U186" s="135" t="s">
        <v>2080</v>
      </c>
      <c r="V186" s="135" t="s">
        <v>501</v>
      </c>
      <c r="X186" s="135" t="s">
        <v>668</v>
      </c>
      <c r="Z186" s="135" t="s">
        <v>531</v>
      </c>
      <c r="AA186" s="136"/>
      <c r="AB186" s="135" t="s">
        <v>2082</v>
      </c>
    </row>
    <row r="187" spans="1:28">
      <c r="A187" s="136" t="s">
        <v>2083</v>
      </c>
      <c r="B187" s="135" t="s">
        <v>678</v>
      </c>
      <c r="C187" s="135" t="s">
        <v>386</v>
      </c>
      <c r="D187" s="136" t="s">
        <v>1353</v>
      </c>
      <c r="E187" s="136" t="s">
        <v>457</v>
      </c>
      <c r="F187" s="135" t="s">
        <v>669</v>
      </c>
      <c r="G187" s="136" t="s">
        <v>1437</v>
      </c>
      <c r="H187" s="135" t="s">
        <v>383</v>
      </c>
      <c r="I187" s="135" t="s">
        <v>454</v>
      </c>
      <c r="J187" s="135" t="s">
        <v>454</v>
      </c>
      <c r="K187" s="135" t="s">
        <v>2084</v>
      </c>
      <c r="L187" s="136" t="s">
        <v>2085</v>
      </c>
      <c r="N187" s="136"/>
      <c r="O187" s="136" t="s">
        <v>535</v>
      </c>
      <c r="P187" s="136" t="s">
        <v>679</v>
      </c>
      <c r="Q187" s="135" t="s">
        <v>546</v>
      </c>
      <c r="R187" s="135" t="s">
        <v>545</v>
      </c>
      <c r="S187" s="136"/>
      <c r="U187" s="135" t="s">
        <v>2084</v>
      </c>
      <c r="V187" s="135" t="s">
        <v>501</v>
      </c>
      <c r="X187" s="135" t="s">
        <v>668</v>
      </c>
      <c r="Z187" s="135" t="s">
        <v>531</v>
      </c>
      <c r="AA187" s="136"/>
      <c r="AB187" s="135" t="s">
        <v>2086</v>
      </c>
    </row>
    <row r="188" spans="1:28">
      <c r="A188" s="136" t="s">
        <v>2087</v>
      </c>
      <c r="B188" s="135" t="s">
        <v>676</v>
      </c>
      <c r="C188" s="135" t="s">
        <v>386</v>
      </c>
      <c r="D188" s="136" t="s">
        <v>1353</v>
      </c>
      <c r="E188" s="136" t="s">
        <v>457</v>
      </c>
      <c r="F188" s="135" t="s">
        <v>669</v>
      </c>
      <c r="G188" s="136" t="s">
        <v>1437</v>
      </c>
      <c r="H188" s="135" t="s">
        <v>383</v>
      </c>
      <c r="I188" s="135" t="s">
        <v>454</v>
      </c>
      <c r="J188" s="135" t="s">
        <v>454</v>
      </c>
      <c r="K188" s="135" t="s">
        <v>2088</v>
      </c>
      <c r="L188" s="136" t="s">
        <v>2089</v>
      </c>
      <c r="N188" s="136"/>
      <c r="O188" s="136" t="s">
        <v>535</v>
      </c>
      <c r="P188" s="136" t="s">
        <v>677</v>
      </c>
      <c r="Q188" s="135" t="s">
        <v>546</v>
      </c>
      <c r="R188" s="135" t="s">
        <v>545</v>
      </c>
      <c r="S188" s="136"/>
      <c r="U188" s="135" t="s">
        <v>2088</v>
      </c>
      <c r="V188" s="135" t="s">
        <v>501</v>
      </c>
      <c r="X188" s="135" t="s">
        <v>668</v>
      </c>
      <c r="Z188" s="135" t="s">
        <v>531</v>
      </c>
      <c r="AA188" s="136"/>
      <c r="AB188" s="135" t="s">
        <v>2090</v>
      </c>
    </row>
    <row r="189" spans="1:28">
      <c r="A189" s="136" t="s">
        <v>2091</v>
      </c>
      <c r="B189" s="135" t="s">
        <v>674</v>
      </c>
      <c r="C189" s="135" t="s">
        <v>386</v>
      </c>
      <c r="D189" s="136" t="s">
        <v>1353</v>
      </c>
      <c r="E189" s="136" t="s">
        <v>457</v>
      </c>
      <c r="F189" s="135" t="s">
        <v>669</v>
      </c>
      <c r="G189" s="136" t="s">
        <v>1437</v>
      </c>
      <c r="H189" s="135" t="s">
        <v>383</v>
      </c>
      <c r="I189" s="135" t="s">
        <v>454</v>
      </c>
      <c r="J189" s="135" t="s">
        <v>454</v>
      </c>
      <c r="K189" s="135" t="s">
        <v>2092</v>
      </c>
      <c r="L189" s="136" t="s">
        <v>2093</v>
      </c>
      <c r="N189" s="136"/>
      <c r="O189" s="136" t="s">
        <v>535</v>
      </c>
      <c r="P189" s="136" t="s">
        <v>675</v>
      </c>
      <c r="Q189" s="135" t="s">
        <v>546</v>
      </c>
      <c r="R189" s="135" t="s">
        <v>545</v>
      </c>
      <c r="S189" s="136"/>
      <c r="U189" s="135" t="s">
        <v>2092</v>
      </c>
      <c r="V189" s="135" t="s">
        <v>501</v>
      </c>
      <c r="X189" s="135" t="s">
        <v>668</v>
      </c>
      <c r="Z189" s="135" t="s">
        <v>531</v>
      </c>
      <c r="AA189" s="136"/>
      <c r="AB189" s="135" t="s">
        <v>2094</v>
      </c>
    </row>
    <row r="190" spans="1:28">
      <c r="A190" s="136" t="s">
        <v>2095</v>
      </c>
      <c r="B190" s="135" t="s">
        <v>672</v>
      </c>
      <c r="C190" s="135" t="s">
        <v>386</v>
      </c>
      <c r="D190" s="136" t="s">
        <v>1353</v>
      </c>
      <c r="E190" s="136" t="s">
        <v>1448</v>
      </c>
      <c r="F190" s="135" t="s">
        <v>669</v>
      </c>
      <c r="G190" s="136" t="s">
        <v>1437</v>
      </c>
      <c r="H190" s="135" t="s">
        <v>383</v>
      </c>
      <c r="I190" s="135" t="s">
        <v>454</v>
      </c>
      <c r="J190" s="135" t="s">
        <v>454</v>
      </c>
      <c r="K190" s="135" t="s">
        <v>493</v>
      </c>
      <c r="L190" s="136" t="s">
        <v>1431</v>
      </c>
      <c r="M190" s="135" t="s">
        <v>383</v>
      </c>
      <c r="N190" s="136"/>
      <c r="O190" s="136" t="s">
        <v>535</v>
      </c>
      <c r="P190" s="136" t="s">
        <v>673</v>
      </c>
      <c r="Q190" s="135" t="s">
        <v>546</v>
      </c>
      <c r="R190" s="135" t="s">
        <v>545</v>
      </c>
      <c r="S190" s="136"/>
      <c r="V190" s="135" t="s">
        <v>492</v>
      </c>
      <c r="X190" s="135" t="s">
        <v>668</v>
      </c>
      <c r="Z190" s="135" t="s">
        <v>451</v>
      </c>
      <c r="AA190" s="136"/>
      <c r="AB190" s="135" t="s">
        <v>2096</v>
      </c>
    </row>
    <row r="191" spans="1:28">
      <c r="A191" s="136" t="s">
        <v>2097</v>
      </c>
      <c r="B191" s="135" t="s">
        <v>670</v>
      </c>
      <c r="C191" s="135" t="s">
        <v>386</v>
      </c>
      <c r="D191" s="136" t="s">
        <v>1353</v>
      </c>
      <c r="E191" s="136" t="s">
        <v>1448</v>
      </c>
      <c r="F191" s="135" t="s">
        <v>669</v>
      </c>
      <c r="G191" s="136" t="s">
        <v>1437</v>
      </c>
      <c r="H191" s="135" t="s">
        <v>383</v>
      </c>
      <c r="I191" s="135" t="s">
        <v>454</v>
      </c>
      <c r="J191" s="135" t="s">
        <v>454</v>
      </c>
      <c r="K191" s="135" t="s">
        <v>493</v>
      </c>
      <c r="L191" s="136" t="s">
        <v>1431</v>
      </c>
      <c r="M191" s="135" t="s">
        <v>383</v>
      </c>
      <c r="N191" s="136"/>
      <c r="O191" s="136" t="s">
        <v>535</v>
      </c>
      <c r="P191" s="136" t="s">
        <v>671</v>
      </c>
      <c r="Q191" s="135" t="s">
        <v>546</v>
      </c>
      <c r="R191" s="135" t="s">
        <v>545</v>
      </c>
      <c r="S191" s="136"/>
      <c r="V191" s="135" t="s">
        <v>492</v>
      </c>
      <c r="X191" s="135" t="s">
        <v>668</v>
      </c>
      <c r="Z191" s="135" t="s">
        <v>451</v>
      </c>
      <c r="AA191" s="136"/>
      <c r="AB191" s="135" t="s">
        <v>2098</v>
      </c>
    </row>
    <row r="192" spans="1:28">
      <c r="A192" s="136" t="s">
        <v>2099</v>
      </c>
      <c r="B192" s="135" t="s">
        <v>666</v>
      </c>
      <c r="C192" s="135" t="s">
        <v>386</v>
      </c>
      <c r="D192" s="136" t="s">
        <v>1350</v>
      </c>
      <c r="E192" s="136" t="s">
        <v>1448</v>
      </c>
      <c r="F192" s="135" t="s">
        <v>604</v>
      </c>
      <c r="G192" s="136" t="s">
        <v>1437</v>
      </c>
      <c r="H192" s="135" t="s">
        <v>383</v>
      </c>
      <c r="I192" s="135" t="s">
        <v>454</v>
      </c>
      <c r="J192" s="135" t="s">
        <v>454</v>
      </c>
      <c r="K192" s="135" t="s">
        <v>540</v>
      </c>
      <c r="L192" s="136" t="s">
        <v>1914</v>
      </c>
      <c r="M192" s="135" t="s">
        <v>383</v>
      </c>
      <c r="N192" s="136"/>
      <c r="O192" s="136" t="s">
        <v>535</v>
      </c>
      <c r="P192" s="136" t="s">
        <v>667</v>
      </c>
      <c r="Q192" s="135" t="s">
        <v>574</v>
      </c>
      <c r="R192" s="135" t="s">
        <v>573</v>
      </c>
      <c r="S192" s="136"/>
      <c r="V192" s="135" t="s">
        <v>539</v>
      </c>
      <c r="X192" s="135" t="s">
        <v>603</v>
      </c>
      <c r="Z192" s="135" t="s">
        <v>665</v>
      </c>
      <c r="AA192" s="136"/>
      <c r="AB192" s="135" t="s">
        <v>2100</v>
      </c>
    </row>
    <row r="193" spans="1:28">
      <c r="A193" s="136" t="s">
        <v>2101</v>
      </c>
      <c r="B193" s="135" t="s">
        <v>2102</v>
      </c>
      <c r="C193" s="135" t="s">
        <v>386</v>
      </c>
      <c r="D193" s="136" t="s">
        <v>1350</v>
      </c>
      <c r="E193" s="136" t="s">
        <v>457</v>
      </c>
      <c r="F193" s="135" t="s">
        <v>2103</v>
      </c>
      <c r="G193" s="136" t="s">
        <v>1437</v>
      </c>
      <c r="H193" s="135" t="s">
        <v>383</v>
      </c>
      <c r="I193" s="135" t="s">
        <v>494</v>
      </c>
      <c r="J193" s="135" t="s">
        <v>494</v>
      </c>
      <c r="K193" s="135" t="s">
        <v>847</v>
      </c>
      <c r="L193" s="136" t="s">
        <v>390</v>
      </c>
      <c r="N193" s="136"/>
      <c r="O193" s="136" t="s">
        <v>535</v>
      </c>
      <c r="P193" s="136" t="s">
        <v>1384</v>
      </c>
      <c r="Q193" s="135" t="s">
        <v>574</v>
      </c>
      <c r="R193" s="135" t="s">
        <v>573</v>
      </c>
      <c r="S193" s="136"/>
      <c r="U193" s="135" t="s">
        <v>847</v>
      </c>
      <c r="V193" s="135" t="s">
        <v>840</v>
      </c>
      <c r="X193" s="135" t="s">
        <v>1617</v>
      </c>
      <c r="Z193" s="135" t="s">
        <v>510</v>
      </c>
      <c r="AA193" s="136"/>
      <c r="AB193" s="135" t="s">
        <v>2104</v>
      </c>
    </row>
    <row r="194" spans="1:28">
      <c r="A194" s="136" t="s">
        <v>2105</v>
      </c>
      <c r="B194" s="135" t="s">
        <v>2106</v>
      </c>
      <c r="C194" s="135" t="s">
        <v>386</v>
      </c>
      <c r="D194" s="136" t="s">
        <v>1350</v>
      </c>
      <c r="E194" s="136" t="s">
        <v>457</v>
      </c>
      <c r="F194" s="135" t="s">
        <v>2103</v>
      </c>
      <c r="G194" s="136" t="s">
        <v>1437</v>
      </c>
      <c r="H194" s="135" t="s">
        <v>383</v>
      </c>
      <c r="I194" s="135" t="s">
        <v>700</v>
      </c>
      <c r="J194" s="135" t="s">
        <v>700</v>
      </c>
      <c r="K194" s="135" t="s">
        <v>845</v>
      </c>
      <c r="L194" s="136" t="s">
        <v>393</v>
      </c>
      <c r="N194" s="136"/>
      <c r="O194" s="136" t="s">
        <v>535</v>
      </c>
      <c r="P194" s="136" t="s">
        <v>1634</v>
      </c>
      <c r="Q194" s="135" t="s">
        <v>574</v>
      </c>
      <c r="R194" s="135" t="s">
        <v>573</v>
      </c>
      <c r="S194" s="136"/>
      <c r="U194" s="135" t="s">
        <v>845</v>
      </c>
      <c r="V194" s="135" t="s">
        <v>840</v>
      </c>
      <c r="X194" s="135" t="s">
        <v>1617</v>
      </c>
      <c r="Z194" s="135" t="s">
        <v>510</v>
      </c>
      <c r="AA194" s="136"/>
      <c r="AB194" s="135" t="s">
        <v>2107</v>
      </c>
    </row>
    <row r="195" spans="1:28">
      <c r="A195" s="136" t="s">
        <v>2108</v>
      </c>
      <c r="B195" s="135" t="s">
        <v>2109</v>
      </c>
      <c r="C195" s="135" t="s">
        <v>386</v>
      </c>
      <c r="D195" s="136" t="s">
        <v>1350</v>
      </c>
      <c r="E195" s="136" t="s">
        <v>457</v>
      </c>
      <c r="F195" s="135" t="s">
        <v>2103</v>
      </c>
      <c r="G195" s="136" t="s">
        <v>1437</v>
      </c>
      <c r="H195" s="135" t="s">
        <v>383</v>
      </c>
      <c r="I195" s="135" t="s">
        <v>494</v>
      </c>
      <c r="J195" s="135" t="s">
        <v>494</v>
      </c>
      <c r="K195" s="135" t="s">
        <v>841</v>
      </c>
      <c r="L195" s="136" t="s">
        <v>396</v>
      </c>
      <c r="N195" s="136"/>
      <c r="O195" s="136" t="s">
        <v>535</v>
      </c>
      <c r="P195" s="136" t="s">
        <v>1639</v>
      </c>
      <c r="Q195" s="135" t="s">
        <v>574</v>
      </c>
      <c r="R195" s="135" t="s">
        <v>573</v>
      </c>
      <c r="S195" s="136"/>
      <c r="U195" s="135" t="s">
        <v>841</v>
      </c>
      <c r="V195" s="135" t="s">
        <v>840</v>
      </c>
      <c r="X195" s="135" t="s">
        <v>1617</v>
      </c>
      <c r="Z195" s="135" t="s">
        <v>510</v>
      </c>
      <c r="AA195" s="136"/>
      <c r="AB195" s="135" t="s">
        <v>2110</v>
      </c>
    </row>
    <row r="196" spans="1:28">
      <c r="A196" s="136" t="s">
        <v>2111</v>
      </c>
      <c r="B196" s="135" t="s">
        <v>2112</v>
      </c>
      <c r="C196" s="135" t="s">
        <v>386</v>
      </c>
      <c r="D196" s="136" t="s">
        <v>1339</v>
      </c>
      <c r="E196" s="136" t="s">
        <v>457</v>
      </c>
      <c r="F196" s="135" t="s">
        <v>2113</v>
      </c>
      <c r="G196" s="136" t="s">
        <v>1437</v>
      </c>
      <c r="H196" s="135" t="s">
        <v>383</v>
      </c>
      <c r="I196" s="135" t="s">
        <v>494</v>
      </c>
      <c r="J196" s="135" t="s">
        <v>494</v>
      </c>
      <c r="K196" s="135" t="s">
        <v>1142</v>
      </c>
      <c r="L196" s="136" t="s">
        <v>390</v>
      </c>
      <c r="N196" s="136"/>
      <c r="O196" s="136" t="s">
        <v>535</v>
      </c>
      <c r="P196" s="136" t="s">
        <v>1644</v>
      </c>
      <c r="Q196" s="135" t="s">
        <v>536</v>
      </c>
      <c r="R196" s="135" t="s">
        <v>534</v>
      </c>
      <c r="S196" s="136"/>
      <c r="U196" s="135" t="s">
        <v>1142</v>
      </c>
      <c r="V196" s="135" t="s">
        <v>513</v>
      </c>
      <c r="X196" s="135" t="s">
        <v>1921</v>
      </c>
      <c r="Z196" s="135" t="s">
        <v>510</v>
      </c>
      <c r="AA196" s="136"/>
      <c r="AB196" s="135" t="s">
        <v>2114</v>
      </c>
    </row>
    <row r="197" spans="1:28">
      <c r="A197" s="136" t="s">
        <v>2115</v>
      </c>
      <c r="B197" s="135" t="s">
        <v>2116</v>
      </c>
      <c r="C197" s="135" t="s">
        <v>386</v>
      </c>
      <c r="D197" s="136" t="s">
        <v>1339</v>
      </c>
      <c r="E197" s="136" t="s">
        <v>457</v>
      </c>
      <c r="F197" s="135" t="s">
        <v>2113</v>
      </c>
      <c r="G197" s="136" t="s">
        <v>1437</v>
      </c>
      <c r="H197" s="135" t="s">
        <v>383</v>
      </c>
      <c r="I197" s="135" t="s">
        <v>454</v>
      </c>
      <c r="J197" s="135" t="s">
        <v>454</v>
      </c>
      <c r="K197" s="135" t="s">
        <v>1136</v>
      </c>
      <c r="L197" s="136" t="s">
        <v>393</v>
      </c>
      <c r="N197" s="136"/>
      <c r="O197" s="136" t="s">
        <v>535</v>
      </c>
      <c r="P197" s="136" t="s">
        <v>1937</v>
      </c>
      <c r="Q197" s="135" t="s">
        <v>536</v>
      </c>
      <c r="R197" s="135" t="s">
        <v>534</v>
      </c>
      <c r="S197" s="136"/>
      <c r="U197" s="135" t="s">
        <v>1136</v>
      </c>
      <c r="V197" s="135" t="s">
        <v>513</v>
      </c>
      <c r="X197" s="135" t="s">
        <v>1921</v>
      </c>
      <c r="Z197" s="135" t="s">
        <v>510</v>
      </c>
      <c r="AA197" s="136"/>
      <c r="AB197" s="135" t="s">
        <v>2117</v>
      </c>
    </row>
    <row r="198" spans="1:28">
      <c r="A198" s="136" t="s">
        <v>2118</v>
      </c>
      <c r="B198" s="135" t="s">
        <v>2119</v>
      </c>
      <c r="C198" s="135" t="s">
        <v>386</v>
      </c>
      <c r="D198" s="136" t="s">
        <v>1339</v>
      </c>
      <c r="E198" s="136" t="s">
        <v>457</v>
      </c>
      <c r="F198" s="135" t="s">
        <v>2113</v>
      </c>
      <c r="G198" s="136" t="s">
        <v>1437</v>
      </c>
      <c r="H198" s="135" t="s">
        <v>383</v>
      </c>
      <c r="I198" s="135" t="s">
        <v>454</v>
      </c>
      <c r="J198" s="135" t="s">
        <v>454</v>
      </c>
      <c r="K198" s="135" t="s">
        <v>1130</v>
      </c>
      <c r="L198" s="136" t="s">
        <v>396</v>
      </c>
      <c r="N198" s="136"/>
      <c r="O198" s="136" t="s">
        <v>535</v>
      </c>
      <c r="P198" s="136" t="s">
        <v>1942</v>
      </c>
      <c r="Q198" s="135" t="s">
        <v>536</v>
      </c>
      <c r="R198" s="135" t="s">
        <v>534</v>
      </c>
      <c r="S198" s="136"/>
      <c r="U198" s="135" t="s">
        <v>1130</v>
      </c>
      <c r="V198" s="135" t="s">
        <v>513</v>
      </c>
      <c r="X198" s="135" t="s">
        <v>1921</v>
      </c>
      <c r="Z198" s="135" t="s">
        <v>510</v>
      </c>
      <c r="AA198" s="136"/>
      <c r="AB198" s="135" t="s">
        <v>2120</v>
      </c>
    </row>
    <row r="199" spans="1:28">
      <c r="A199" s="136" t="s">
        <v>2121</v>
      </c>
      <c r="B199" s="135" t="s">
        <v>2122</v>
      </c>
      <c r="C199" s="135" t="s">
        <v>386</v>
      </c>
      <c r="D199" s="136" t="s">
        <v>1339</v>
      </c>
      <c r="E199" s="136" t="s">
        <v>1340</v>
      </c>
      <c r="F199" s="135" t="s">
        <v>2123</v>
      </c>
      <c r="G199" s="136" t="s">
        <v>1437</v>
      </c>
      <c r="H199" s="135" t="s">
        <v>383</v>
      </c>
      <c r="I199" s="135" t="s">
        <v>454</v>
      </c>
      <c r="J199" s="135" t="s">
        <v>454</v>
      </c>
      <c r="K199" s="135" t="s">
        <v>2124</v>
      </c>
      <c r="L199" s="136" t="s">
        <v>1567</v>
      </c>
      <c r="M199" s="135" t="s">
        <v>383</v>
      </c>
      <c r="N199" s="136"/>
      <c r="O199" s="136" t="s">
        <v>535</v>
      </c>
      <c r="P199" s="136" t="s">
        <v>1947</v>
      </c>
      <c r="Q199" s="135" t="s">
        <v>536</v>
      </c>
      <c r="R199" s="135" t="s">
        <v>534</v>
      </c>
      <c r="S199" s="136"/>
      <c r="V199" s="135" t="s">
        <v>2125</v>
      </c>
      <c r="X199" s="135" t="s">
        <v>1973</v>
      </c>
      <c r="Z199" s="135" t="s">
        <v>505</v>
      </c>
      <c r="AA199" s="136"/>
      <c r="AB199" s="135" t="s">
        <v>2126</v>
      </c>
    </row>
    <row r="200" spans="1:28">
      <c r="A200" s="136" t="s">
        <v>2127</v>
      </c>
      <c r="B200" s="135" t="s">
        <v>2128</v>
      </c>
      <c r="C200" s="135" t="s">
        <v>386</v>
      </c>
      <c r="D200" s="136" t="s">
        <v>1339</v>
      </c>
      <c r="E200" s="136" t="s">
        <v>1340</v>
      </c>
      <c r="F200" s="135" t="s">
        <v>2123</v>
      </c>
      <c r="G200" s="136" t="s">
        <v>1437</v>
      </c>
      <c r="H200" s="135" t="s">
        <v>383</v>
      </c>
      <c r="I200" s="135" t="s">
        <v>454</v>
      </c>
      <c r="J200" s="135" t="s">
        <v>454</v>
      </c>
      <c r="K200" s="135" t="s">
        <v>2124</v>
      </c>
      <c r="L200" s="136" t="s">
        <v>1567</v>
      </c>
      <c r="M200" s="135" t="s">
        <v>383</v>
      </c>
      <c r="N200" s="136"/>
      <c r="O200" s="136" t="s">
        <v>535</v>
      </c>
      <c r="P200" s="136" t="s">
        <v>1951</v>
      </c>
      <c r="Q200" s="135" t="s">
        <v>536</v>
      </c>
      <c r="R200" s="135" t="s">
        <v>534</v>
      </c>
      <c r="S200" s="136"/>
      <c r="V200" s="135" t="s">
        <v>2125</v>
      </c>
      <c r="X200" s="135" t="s">
        <v>1973</v>
      </c>
      <c r="Z200" s="135" t="s">
        <v>505</v>
      </c>
      <c r="AA200" s="136"/>
      <c r="AB200" s="135" t="s">
        <v>2129</v>
      </c>
    </row>
    <row r="201" spans="1:28">
      <c r="A201" s="136" t="s">
        <v>2130</v>
      </c>
      <c r="B201" s="135" t="s">
        <v>2131</v>
      </c>
      <c r="C201" s="135" t="s">
        <v>386</v>
      </c>
      <c r="D201" s="136" t="s">
        <v>1339</v>
      </c>
      <c r="E201" s="136" t="s">
        <v>1340</v>
      </c>
      <c r="F201" s="135" t="s">
        <v>2123</v>
      </c>
      <c r="G201" s="136" t="s">
        <v>1437</v>
      </c>
      <c r="H201" s="135" t="s">
        <v>383</v>
      </c>
      <c r="I201" s="135" t="s">
        <v>494</v>
      </c>
      <c r="J201" s="135" t="s">
        <v>494</v>
      </c>
      <c r="K201" s="135" t="s">
        <v>2124</v>
      </c>
      <c r="L201" s="136" t="s">
        <v>1567</v>
      </c>
      <c r="M201" s="135" t="s">
        <v>383</v>
      </c>
      <c r="N201" s="136"/>
      <c r="O201" s="136" t="s">
        <v>535</v>
      </c>
      <c r="P201" s="136" t="s">
        <v>1957</v>
      </c>
      <c r="Q201" s="135" t="s">
        <v>536</v>
      </c>
      <c r="R201" s="135" t="s">
        <v>534</v>
      </c>
      <c r="S201" s="136"/>
      <c r="V201" s="135" t="s">
        <v>2125</v>
      </c>
      <c r="X201" s="135" t="s">
        <v>1973</v>
      </c>
      <c r="Z201" s="135" t="s">
        <v>505</v>
      </c>
      <c r="AA201" s="136"/>
      <c r="AB201" s="135" t="s">
        <v>2132</v>
      </c>
    </row>
    <row r="202" spans="1:28">
      <c r="A202" s="136" t="s">
        <v>2133</v>
      </c>
      <c r="B202" s="135" t="s">
        <v>2134</v>
      </c>
      <c r="C202" s="135" t="s">
        <v>386</v>
      </c>
      <c r="D202" s="136" t="s">
        <v>1353</v>
      </c>
      <c r="E202" s="136" t="s">
        <v>1340</v>
      </c>
      <c r="F202" s="135" t="s">
        <v>2135</v>
      </c>
      <c r="G202" s="136" t="s">
        <v>1437</v>
      </c>
      <c r="H202" s="135" t="s">
        <v>383</v>
      </c>
      <c r="I202" s="135" t="s">
        <v>494</v>
      </c>
      <c r="J202" s="135" t="s">
        <v>494</v>
      </c>
      <c r="K202" s="135" t="s">
        <v>1956</v>
      </c>
      <c r="L202" s="136" t="s">
        <v>1567</v>
      </c>
      <c r="M202" s="135" t="s">
        <v>383</v>
      </c>
      <c r="N202" s="136"/>
      <c r="O202" s="136" t="s">
        <v>535</v>
      </c>
      <c r="P202" s="136" t="s">
        <v>1964</v>
      </c>
      <c r="Q202" s="135" t="s">
        <v>546</v>
      </c>
      <c r="R202" s="135" t="s">
        <v>545</v>
      </c>
      <c r="S202" s="136"/>
      <c r="V202" s="135" t="s">
        <v>1958</v>
      </c>
      <c r="X202" s="135" t="s">
        <v>1959</v>
      </c>
      <c r="Z202" s="135" t="s">
        <v>1572</v>
      </c>
      <c r="AA202" s="136"/>
      <c r="AB202" s="135" t="s">
        <v>2136</v>
      </c>
    </row>
    <row r="203" spans="1:28">
      <c r="A203" s="136" t="s">
        <v>2137</v>
      </c>
      <c r="B203" s="135" t="s">
        <v>2138</v>
      </c>
      <c r="C203" s="135" t="s">
        <v>386</v>
      </c>
      <c r="D203" s="136" t="s">
        <v>1350</v>
      </c>
      <c r="E203" s="136" t="s">
        <v>1340</v>
      </c>
      <c r="F203" s="135" t="s">
        <v>2135</v>
      </c>
      <c r="G203" s="136" t="s">
        <v>1437</v>
      </c>
      <c r="H203" s="135" t="s">
        <v>383</v>
      </c>
      <c r="I203" s="135" t="s">
        <v>494</v>
      </c>
      <c r="J203" s="135" t="s">
        <v>494</v>
      </c>
      <c r="K203" s="135" t="s">
        <v>1956</v>
      </c>
      <c r="L203" s="136" t="s">
        <v>1567</v>
      </c>
      <c r="M203" s="135" t="s">
        <v>383</v>
      </c>
      <c r="N203" s="136"/>
      <c r="O203" s="136" t="s">
        <v>535</v>
      </c>
      <c r="P203" s="136" t="s">
        <v>1972</v>
      </c>
      <c r="Q203" s="135" t="s">
        <v>574</v>
      </c>
      <c r="R203" s="135" t="s">
        <v>573</v>
      </c>
      <c r="S203" s="136"/>
      <c r="V203" s="135" t="s">
        <v>1958</v>
      </c>
      <c r="X203" s="135" t="s">
        <v>1959</v>
      </c>
      <c r="Z203" s="135" t="s">
        <v>1572</v>
      </c>
      <c r="AA203" s="136"/>
      <c r="AB203" s="135" t="s">
        <v>2139</v>
      </c>
    </row>
    <row r="204" spans="1:28">
      <c r="A204" s="136" t="s">
        <v>2140</v>
      </c>
      <c r="B204" s="135" t="s">
        <v>2141</v>
      </c>
      <c r="C204" s="135" t="s">
        <v>386</v>
      </c>
      <c r="D204" s="136" t="s">
        <v>1350</v>
      </c>
      <c r="E204" s="136" t="s">
        <v>1340</v>
      </c>
      <c r="F204" s="135" t="s">
        <v>2142</v>
      </c>
      <c r="G204" s="136" t="s">
        <v>1437</v>
      </c>
      <c r="H204" s="135" t="s">
        <v>383</v>
      </c>
      <c r="I204" s="135" t="s">
        <v>454</v>
      </c>
      <c r="J204" s="135" t="s">
        <v>454</v>
      </c>
      <c r="K204" s="135" t="s">
        <v>2143</v>
      </c>
      <c r="L204" s="136" t="s">
        <v>1567</v>
      </c>
      <c r="M204" s="135" t="s">
        <v>383</v>
      </c>
      <c r="N204" s="136"/>
      <c r="O204" s="136" t="s">
        <v>535</v>
      </c>
      <c r="P204" s="136" t="s">
        <v>1979</v>
      </c>
      <c r="Q204" s="135" t="s">
        <v>574</v>
      </c>
      <c r="R204" s="135" t="s">
        <v>573</v>
      </c>
      <c r="S204" s="136"/>
      <c r="V204" s="135" t="s">
        <v>1482</v>
      </c>
      <c r="X204" s="135" t="s">
        <v>1371</v>
      </c>
      <c r="Z204" s="135" t="s">
        <v>1572</v>
      </c>
      <c r="AA204" s="136"/>
      <c r="AB204" s="135" t="s">
        <v>2144</v>
      </c>
    </row>
    <row r="205" spans="1:28">
      <c r="A205" s="136" t="s">
        <v>2145</v>
      </c>
      <c r="B205" s="135" t="s">
        <v>2146</v>
      </c>
      <c r="C205" s="135" t="s">
        <v>386</v>
      </c>
      <c r="D205" s="136" t="s">
        <v>1350</v>
      </c>
      <c r="E205" s="136" t="s">
        <v>1340</v>
      </c>
      <c r="F205" s="135" t="s">
        <v>2142</v>
      </c>
      <c r="G205" s="136" t="s">
        <v>1437</v>
      </c>
      <c r="H205" s="135" t="s">
        <v>383</v>
      </c>
      <c r="I205" s="135" t="s">
        <v>731</v>
      </c>
      <c r="J205" s="135" t="s">
        <v>731</v>
      </c>
      <c r="K205" s="135" t="s">
        <v>2143</v>
      </c>
      <c r="L205" s="136" t="s">
        <v>1567</v>
      </c>
      <c r="M205" s="135" t="s">
        <v>383</v>
      </c>
      <c r="N205" s="136"/>
      <c r="O205" s="136" t="s">
        <v>535</v>
      </c>
      <c r="P205" s="136" t="s">
        <v>1985</v>
      </c>
      <c r="Q205" s="135" t="s">
        <v>574</v>
      </c>
      <c r="R205" s="135" t="s">
        <v>573</v>
      </c>
      <c r="S205" s="136"/>
      <c r="V205" s="135" t="s">
        <v>1482</v>
      </c>
      <c r="X205" s="135" t="s">
        <v>1371</v>
      </c>
      <c r="Z205" s="135" t="s">
        <v>1572</v>
      </c>
      <c r="AA205" s="136"/>
      <c r="AB205" s="135" t="s">
        <v>2147</v>
      </c>
    </row>
    <row r="206" spans="1:28">
      <c r="A206" s="136" t="s">
        <v>2148</v>
      </c>
      <c r="B206" s="135" t="s">
        <v>2149</v>
      </c>
      <c r="C206" s="135" t="s">
        <v>386</v>
      </c>
      <c r="D206" s="136" t="s">
        <v>1350</v>
      </c>
      <c r="E206" s="136" t="s">
        <v>1340</v>
      </c>
      <c r="F206" s="135" t="s">
        <v>2142</v>
      </c>
      <c r="G206" s="136" t="s">
        <v>1437</v>
      </c>
      <c r="H206" s="135" t="s">
        <v>383</v>
      </c>
      <c r="I206" s="135" t="s">
        <v>765</v>
      </c>
      <c r="J206" s="135" t="s">
        <v>765</v>
      </c>
      <c r="K206" s="135" t="s">
        <v>2143</v>
      </c>
      <c r="L206" s="136" t="s">
        <v>1567</v>
      </c>
      <c r="M206" s="135" t="s">
        <v>383</v>
      </c>
      <c r="N206" s="136"/>
      <c r="O206" s="136" t="s">
        <v>535</v>
      </c>
      <c r="P206" s="136" t="s">
        <v>1649</v>
      </c>
      <c r="Q206" s="135" t="s">
        <v>574</v>
      </c>
      <c r="R206" s="135" t="s">
        <v>573</v>
      </c>
      <c r="S206" s="136"/>
      <c r="V206" s="135" t="s">
        <v>1482</v>
      </c>
      <c r="X206" s="135" t="s">
        <v>1371</v>
      </c>
      <c r="Z206" s="135" t="s">
        <v>1572</v>
      </c>
      <c r="AA206" s="136"/>
      <c r="AB206" s="135" t="s">
        <v>2150</v>
      </c>
    </row>
    <row r="207" spans="1:28">
      <c r="A207" s="136" t="s">
        <v>2151</v>
      </c>
      <c r="B207" s="135" t="s">
        <v>2152</v>
      </c>
      <c r="C207" s="135" t="s">
        <v>386</v>
      </c>
      <c r="D207" s="136" t="s">
        <v>1339</v>
      </c>
      <c r="E207" s="136" t="s">
        <v>1340</v>
      </c>
      <c r="F207" s="135" t="s">
        <v>2153</v>
      </c>
      <c r="G207" s="136" t="s">
        <v>1437</v>
      </c>
      <c r="H207" s="135" t="s">
        <v>383</v>
      </c>
      <c r="I207" s="135" t="s">
        <v>765</v>
      </c>
      <c r="J207" s="135" t="s">
        <v>765</v>
      </c>
      <c r="K207" s="135" t="s">
        <v>2154</v>
      </c>
      <c r="L207" s="136" t="s">
        <v>1567</v>
      </c>
      <c r="M207" s="135" t="s">
        <v>383</v>
      </c>
      <c r="N207" s="136"/>
      <c r="O207" s="136" t="s">
        <v>535</v>
      </c>
      <c r="P207" s="136" t="s">
        <v>1653</v>
      </c>
      <c r="Q207" s="135" t="s">
        <v>536</v>
      </c>
      <c r="R207" s="135" t="s">
        <v>534</v>
      </c>
      <c r="S207" s="136"/>
      <c r="V207" s="135" t="s">
        <v>2155</v>
      </c>
      <c r="X207" s="135" t="s">
        <v>1377</v>
      </c>
      <c r="Z207" s="135" t="s">
        <v>1572</v>
      </c>
      <c r="AA207" s="136"/>
      <c r="AB207" s="135" t="s">
        <v>2156</v>
      </c>
    </row>
    <row r="208" spans="1:28">
      <c r="A208" s="136" t="s">
        <v>2157</v>
      </c>
      <c r="B208" s="135" t="s">
        <v>2158</v>
      </c>
      <c r="C208" s="135" t="s">
        <v>386</v>
      </c>
      <c r="D208" s="136" t="s">
        <v>1339</v>
      </c>
      <c r="E208" s="136" t="s">
        <v>1340</v>
      </c>
      <c r="F208" s="135" t="s">
        <v>2153</v>
      </c>
      <c r="G208" s="136" t="s">
        <v>1437</v>
      </c>
      <c r="H208" s="135" t="s">
        <v>383</v>
      </c>
      <c r="I208" s="135" t="s">
        <v>454</v>
      </c>
      <c r="J208" s="135" t="s">
        <v>454</v>
      </c>
      <c r="K208" s="135" t="s">
        <v>2154</v>
      </c>
      <c r="L208" s="136" t="s">
        <v>1567</v>
      </c>
      <c r="M208" s="135" t="s">
        <v>383</v>
      </c>
      <c r="N208" s="136"/>
      <c r="O208" s="136" t="s">
        <v>535</v>
      </c>
      <c r="P208" s="136" t="s">
        <v>2159</v>
      </c>
      <c r="Q208" s="135" t="s">
        <v>536</v>
      </c>
      <c r="R208" s="135" t="s">
        <v>534</v>
      </c>
      <c r="S208" s="136"/>
      <c r="V208" s="135" t="s">
        <v>2155</v>
      </c>
      <c r="X208" s="135" t="s">
        <v>1377</v>
      </c>
      <c r="Z208" s="135" t="s">
        <v>1572</v>
      </c>
      <c r="AA208" s="136"/>
      <c r="AB208" s="135" t="s">
        <v>2160</v>
      </c>
    </row>
    <row r="209" spans="1:28">
      <c r="A209" s="136" t="s">
        <v>2161</v>
      </c>
      <c r="B209" s="135" t="s">
        <v>2162</v>
      </c>
      <c r="C209" s="135" t="s">
        <v>386</v>
      </c>
      <c r="D209" s="136" t="s">
        <v>1339</v>
      </c>
      <c r="E209" s="136" t="s">
        <v>1340</v>
      </c>
      <c r="F209" s="135" t="s">
        <v>2153</v>
      </c>
      <c r="G209" s="136" t="s">
        <v>1437</v>
      </c>
      <c r="H209" s="135" t="s">
        <v>383</v>
      </c>
      <c r="I209" s="135" t="s">
        <v>454</v>
      </c>
      <c r="J209" s="135" t="s">
        <v>454</v>
      </c>
      <c r="K209" s="135" t="s">
        <v>2154</v>
      </c>
      <c r="L209" s="136" t="s">
        <v>1567</v>
      </c>
      <c r="M209" s="135" t="s">
        <v>383</v>
      </c>
      <c r="N209" s="136"/>
      <c r="O209" s="136" t="s">
        <v>535</v>
      </c>
      <c r="P209" s="136" t="s">
        <v>2163</v>
      </c>
      <c r="Q209" s="135" t="s">
        <v>536</v>
      </c>
      <c r="R209" s="135" t="s">
        <v>534</v>
      </c>
      <c r="S209" s="136"/>
      <c r="V209" s="135" t="s">
        <v>2155</v>
      </c>
      <c r="X209" s="135" t="s">
        <v>1377</v>
      </c>
      <c r="Z209" s="135" t="s">
        <v>1572</v>
      </c>
      <c r="AA209" s="136"/>
      <c r="AB209" s="135" t="s">
        <v>2164</v>
      </c>
    </row>
    <row r="210" spans="1:28">
      <c r="A210" s="136" t="s">
        <v>2165</v>
      </c>
      <c r="B210" s="135" t="s">
        <v>2166</v>
      </c>
      <c r="C210" s="135" t="s">
        <v>386</v>
      </c>
      <c r="D210" s="136" t="s">
        <v>1353</v>
      </c>
      <c r="E210" s="136" t="s">
        <v>1340</v>
      </c>
      <c r="F210" s="135" t="s">
        <v>2153</v>
      </c>
      <c r="G210" s="136" t="s">
        <v>1437</v>
      </c>
      <c r="H210" s="135" t="s">
        <v>383</v>
      </c>
      <c r="I210" s="135" t="s">
        <v>454</v>
      </c>
      <c r="J210" s="135" t="s">
        <v>454</v>
      </c>
      <c r="K210" s="135" t="s">
        <v>2167</v>
      </c>
      <c r="L210" s="136" t="s">
        <v>2168</v>
      </c>
      <c r="N210" s="136"/>
      <c r="O210" s="136" t="s">
        <v>535</v>
      </c>
      <c r="P210" s="136" t="s">
        <v>2169</v>
      </c>
      <c r="Q210" s="135" t="s">
        <v>546</v>
      </c>
      <c r="R210" s="135" t="s">
        <v>545</v>
      </c>
      <c r="S210" s="136"/>
      <c r="U210" s="135" t="s">
        <v>2167</v>
      </c>
      <c r="V210" s="135" t="s">
        <v>880</v>
      </c>
      <c r="X210" s="135" t="s">
        <v>1377</v>
      </c>
      <c r="Z210" s="135" t="s">
        <v>1572</v>
      </c>
      <c r="AA210" s="136"/>
      <c r="AB210" s="135" t="s">
        <v>2170</v>
      </c>
    </row>
    <row r="211" spans="1:28">
      <c r="A211" s="136" t="s">
        <v>2171</v>
      </c>
      <c r="B211" s="135" t="s">
        <v>2172</v>
      </c>
      <c r="C211" s="135" t="s">
        <v>386</v>
      </c>
      <c r="D211" s="136" t="s">
        <v>1353</v>
      </c>
      <c r="E211" s="136" t="s">
        <v>1340</v>
      </c>
      <c r="F211" s="135" t="s">
        <v>2153</v>
      </c>
      <c r="G211" s="136" t="s">
        <v>1437</v>
      </c>
      <c r="H211" s="135" t="s">
        <v>383</v>
      </c>
      <c r="I211" s="135" t="s">
        <v>494</v>
      </c>
      <c r="J211" s="135" t="s">
        <v>494</v>
      </c>
      <c r="K211" s="135" t="s">
        <v>2173</v>
      </c>
      <c r="L211" s="136" t="s">
        <v>1567</v>
      </c>
      <c r="M211" s="135" t="s">
        <v>383</v>
      </c>
      <c r="N211" s="136"/>
      <c r="O211" s="136" t="s">
        <v>535</v>
      </c>
      <c r="P211" s="136" t="s">
        <v>2174</v>
      </c>
      <c r="Q211" s="135" t="s">
        <v>546</v>
      </c>
      <c r="R211" s="135" t="s">
        <v>545</v>
      </c>
      <c r="S211" s="136"/>
      <c r="V211" s="135" t="s">
        <v>2175</v>
      </c>
      <c r="X211" s="135" t="s">
        <v>1377</v>
      </c>
      <c r="Z211" s="135" t="s">
        <v>1572</v>
      </c>
      <c r="AA211" s="136"/>
      <c r="AB211" s="135" t="s">
        <v>2176</v>
      </c>
    </row>
    <row r="212" spans="1:28">
      <c r="A212" s="136" t="s">
        <v>2177</v>
      </c>
      <c r="B212" s="135" t="s">
        <v>2178</v>
      </c>
      <c r="C212" s="135" t="s">
        <v>386</v>
      </c>
      <c r="D212" s="136" t="s">
        <v>1339</v>
      </c>
      <c r="E212" s="136" t="s">
        <v>1340</v>
      </c>
      <c r="F212" s="135" t="s">
        <v>2179</v>
      </c>
      <c r="G212" s="136" t="s">
        <v>1437</v>
      </c>
      <c r="H212" s="135" t="s">
        <v>383</v>
      </c>
      <c r="I212" s="135" t="s">
        <v>700</v>
      </c>
      <c r="J212" s="135" t="s">
        <v>700</v>
      </c>
      <c r="K212" s="135" t="s">
        <v>2180</v>
      </c>
      <c r="L212" s="136" t="s">
        <v>1450</v>
      </c>
      <c r="M212" s="135" t="s">
        <v>383</v>
      </c>
      <c r="N212" s="136"/>
      <c r="O212" s="136" t="s">
        <v>535</v>
      </c>
      <c r="P212" s="136" t="s">
        <v>2181</v>
      </c>
      <c r="Q212" s="135" t="s">
        <v>536</v>
      </c>
      <c r="R212" s="135" t="s">
        <v>534</v>
      </c>
      <c r="S212" s="136"/>
      <c r="V212" s="135" t="s">
        <v>2182</v>
      </c>
      <c r="X212" s="135" t="s">
        <v>1176</v>
      </c>
      <c r="Z212" s="135" t="s">
        <v>451</v>
      </c>
      <c r="AA212" s="136"/>
      <c r="AB212" s="135" t="s">
        <v>2183</v>
      </c>
    </row>
    <row r="213" spans="1:28">
      <c r="A213" s="136" t="s">
        <v>2184</v>
      </c>
      <c r="B213" s="135" t="s">
        <v>2185</v>
      </c>
      <c r="C213" s="135" t="s">
        <v>386</v>
      </c>
      <c r="D213" s="136" t="s">
        <v>1339</v>
      </c>
      <c r="E213" s="136" t="s">
        <v>1340</v>
      </c>
      <c r="F213" s="135" t="s">
        <v>2179</v>
      </c>
      <c r="G213" s="136" t="s">
        <v>1437</v>
      </c>
      <c r="H213" s="135" t="s">
        <v>383</v>
      </c>
      <c r="I213" s="135" t="s">
        <v>454</v>
      </c>
      <c r="J213" s="135" t="s">
        <v>454</v>
      </c>
      <c r="K213" s="135" t="s">
        <v>2180</v>
      </c>
      <c r="L213" s="136" t="s">
        <v>1450</v>
      </c>
      <c r="M213" s="135" t="s">
        <v>383</v>
      </c>
      <c r="N213" s="136"/>
      <c r="O213" s="136" t="s">
        <v>535</v>
      </c>
      <c r="P213" s="136" t="s">
        <v>2186</v>
      </c>
      <c r="Q213" s="135" t="s">
        <v>536</v>
      </c>
      <c r="R213" s="135" t="s">
        <v>534</v>
      </c>
      <c r="S213" s="136"/>
      <c r="V213" s="135" t="s">
        <v>2182</v>
      </c>
      <c r="X213" s="135" t="s">
        <v>1176</v>
      </c>
      <c r="Z213" s="135" t="s">
        <v>451</v>
      </c>
      <c r="AA213" s="136"/>
      <c r="AB213" s="135" t="s">
        <v>2187</v>
      </c>
    </row>
    <row r="214" spans="1:28">
      <c r="A214" s="136" t="s">
        <v>2188</v>
      </c>
      <c r="B214" s="135" t="s">
        <v>2189</v>
      </c>
      <c r="C214" s="135" t="s">
        <v>386</v>
      </c>
      <c r="D214" s="136" t="s">
        <v>1350</v>
      </c>
      <c r="E214" s="136" t="s">
        <v>1340</v>
      </c>
      <c r="F214" s="135" t="s">
        <v>2179</v>
      </c>
      <c r="G214" s="136" t="s">
        <v>1437</v>
      </c>
      <c r="H214" s="135" t="s">
        <v>383</v>
      </c>
      <c r="I214" s="135" t="s">
        <v>454</v>
      </c>
      <c r="J214" s="135" t="s">
        <v>454</v>
      </c>
      <c r="K214" s="135" t="s">
        <v>2180</v>
      </c>
      <c r="L214" s="136" t="s">
        <v>1450</v>
      </c>
      <c r="M214" s="135" t="s">
        <v>383</v>
      </c>
      <c r="N214" s="136"/>
      <c r="O214" s="136" t="s">
        <v>535</v>
      </c>
      <c r="P214" s="136" t="s">
        <v>2190</v>
      </c>
      <c r="Q214" s="135" t="s">
        <v>574</v>
      </c>
      <c r="R214" s="135" t="s">
        <v>573</v>
      </c>
      <c r="S214" s="136"/>
      <c r="V214" s="135" t="s">
        <v>2182</v>
      </c>
      <c r="X214" s="135" t="s">
        <v>1176</v>
      </c>
      <c r="Z214" s="135" t="s">
        <v>451</v>
      </c>
      <c r="AA214" s="136"/>
      <c r="AB214" s="135" t="s">
        <v>2191</v>
      </c>
    </row>
    <row r="215" spans="1:28">
      <c r="A215" s="136" t="s">
        <v>2192</v>
      </c>
      <c r="B215" s="135" t="s">
        <v>2193</v>
      </c>
      <c r="C215" s="135" t="s">
        <v>386</v>
      </c>
      <c r="D215" s="136" t="s">
        <v>1353</v>
      </c>
      <c r="E215" s="136" t="s">
        <v>1340</v>
      </c>
      <c r="F215" s="135" t="s">
        <v>2179</v>
      </c>
      <c r="G215" s="136" t="s">
        <v>1437</v>
      </c>
      <c r="H215" s="135" t="s">
        <v>383</v>
      </c>
      <c r="I215" s="135" t="s">
        <v>700</v>
      </c>
      <c r="J215" s="135" t="s">
        <v>700</v>
      </c>
      <c r="K215" s="135" t="s">
        <v>1246</v>
      </c>
      <c r="L215" s="136" t="s">
        <v>2194</v>
      </c>
      <c r="N215" s="136"/>
      <c r="O215" s="136" t="s">
        <v>535</v>
      </c>
      <c r="P215" s="136" t="s">
        <v>2195</v>
      </c>
      <c r="Q215" s="135" t="s">
        <v>546</v>
      </c>
      <c r="R215" s="135" t="s">
        <v>545</v>
      </c>
      <c r="S215" s="136"/>
      <c r="U215" s="135" t="s">
        <v>1246</v>
      </c>
      <c r="V215" s="135" t="s">
        <v>880</v>
      </c>
      <c r="X215" s="135" t="s">
        <v>1176</v>
      </c>
      <c r="Z215" s="135" t="s">
        <v>1245</v>
      </c>
      <c r="AA215" s="136"/>
      <c r="AB215" s="135" t="s">
        <v>2196</v>
      </c>
    </row>
    <row r="216" spans="1:28">
      <c r="A216" s="136" t="s">
        <v>2197</v>
      </c>
      <c r="B216" s="135" t="s">
        <v>2198</v>
      </c>
      <c r="C216" s="135" t="s">
        <v>386</v>
      </c>
      <c r="D216" s="136" t="s">
        <v>1350</v>
      </c>
      <c r="E216" s="136" t="s">
        <v>1340</v>
      </c>
      <c r="F216" s="135" t="s">
        <v>638</v>
      </c>
      <c r="G216" s="136" t="s">
        <v>1437</v>
      </c>
      <c r="H216" s="135" t="s">
        <v>383</v>
      </c>
      <c r="I216" s="135" t="s">
        <v>494</v>
      </c>
      <c r="J216" s="135" t="s">
        <v>494</v>
      </c>
      <c r="K216" s="135" t="s">
        <v>879</v>
      </c>
      <c r="L216" s="136" t="s">
        <v>2199</v>
      </c>
      <c r="N216" s="136"/>
      <c r="O216" s="136" t="s">
        <v>535</v>
      </c>
      <c r="P216" s="136" t="s">
        <v>2200</v>
      </c>
      <c r="Q216" s="135" t="s">
        <v>574</v>
      </c>
      <c r="R216" s="135" t="s">
        <v>573</v>
      </c>
      <c r="S216" s="136"/>
      <c r="U216" s="135" t="s">
        <v>879</v>
      </c>
      <c r="V216" s="135" t="s">
        <v>635</v>
      </c>
      <c r="X216" s="135" t="s">
        <v>637</v>
      </c>
      <c r="Z216" s="135" t="s">
        <v>1372</v>
      </c>
      <c r="AA216" s="136"/>
      <c r="AB216" s="135" t="s">
        <v>2201</v>
      </c>
    </row>
    <row r="217" spans="1:28">
      <c r="A217" s="136" t="s">
        <v>2202</v>
      </c>
      <c r="B217" s="135" t="s">
        <v>2203</v>
      </c>
      <c r="C217" s="135" t="s">
        <v>386</v>
      </c>
      <c r="D217" s="136" t="s">
        <v>1350</v>
      </c>
      <c r="E217" s="136" t="s">
        <v>1340</v>
      </c>
      <c r="F217" s="135" t="s">
        <v>2204</v>
      </c>
      <c r="G217" s="136" t="s">
        <v>1437</v>
      </c>
      <c r="H217" s="135" t="s">
        <v>383</v>
      </c>
      <c r="I217" s="135" t="s">
        <v>494</v>
      </c>
      <c r="J217" s="135" t="s">
        <v>494</v>
      </c>
      <c r="K217" s="135" t="s">
        <v>2205</v>
      </c>
      <c r="L217" s="136" t="s">
        <v>2206</v>
      </c>
      <c r="N217" s="136"/>
      <c r="O217" s="136" t="s">
        <v>535</v>
      </c>
      <c r="P217" s="136" t="s">
        <v>2207</v>
      </c>
      <c r="Q217" s="135" t="s">
        <v>574</v>
      </c>
      <c r="R217" s="135" t="s">
        <v>573</v>
      </c>
      <c r="S217" s="136"/>
      <c r="U217" s="135" t="s">
        <v>2205</v>
      </c>
      <c r="V217" s="135" t="s">
        <v>880</v>
      </c>
      <c r="X217" s="135" t="s">
        <v>1178</v>
      </c>
      <c r="Z217" s="135" t="s">
        <v>1372</v>
      </c>
      <c r="AA217" s="136"/>
      <c r="AB217" s="135" t="s">
        <v>2208</v>
      </c>
    </row>
    <row r="218" spans="1:28">
      <c r="A218" s="136" t="s">
        <v>2209</v>
      </c>
      <c r="B218" s="135" t="s">
        <v>2210</v>
      </c>
      <c r="C218" s="135" t="s">
        <v>386</v>
      </c>
      <c r="D218" s="136" t="s">
        <v>1350</v>
      </c>
      <c r="E218" s="136" t="s">
        <v>1340</v>
      </c>
      <c r="F218" s="135" t="s">
        <v>2204</v>
      </c>
      <c r="G218" s="136" t="s">
        <v>1437</v>
      </c>
      <c r="H218" s="135" t="s">
        <v>383</v>
      </c>
      <c r="I218" s="135" t="s">
        <v>454</v>
      </c>
      <c r="J218" s="135" t="s">
        <v>454</v>
      </c>
      <c r="K218" s="135" t="s">
        <v>2205</v>
      </c>
      <c r="L218" s="136" t="s">
        <v>2206</v>
      </c>
      <c r="N218" s="136"/>
      <c r="O218" s="136" t="s">
        <v>535</v>
      </c>
      <c r="P218" s="136" t="s">
        <v>2211</v>
      </c>
      <c r="Q218" s="135" t="s">
        <v>574</v>
      </c>
      <c r="R218" s="135" t="s">
        <v>573</v>
      </c>
      <c r="S218" s="136"/>
      <c r="U218" s="135" t="s">
        <v>2205</v>
      </c>
      <c r="V218" s="135" t="s">
        <v>880</v>
      </c>
      <c r="X218" s="135" t="s">
        <v>1178</v>
      </c>
      <c r="Z218" s="135" t="s">
        <v>1372</v>
      </c>
      <c r="AA218" s="136"/>
      <c r="AB218" s="135" t="s">
        <v>2212</v>
      </c>
    </row>
    <row r="219" spans="1:28">
      <c r="A219" s="136" t="s">
        <v>2213</v>
      </c>
      <c r="B219" s="135" t="s">
        <v>2214</v>
      </c>
      <c r="C219" s="135" t="s">
        <v>386</v>
      </c>
      <c r="D219" s="136" t="s">
        <v>1350</v>
      </c>
      <c r="E219" s="136" t="s">
        <v>1340</v>
      </c>
      <c r="F219" s="135" t="s">
        <v>2204</v>
      </c>
      <c r="G219" s="136" t="s">
        <v>1437</v>
      </c>
      <c r="H219" s="135" t="s">
        <v>383</v>
      </c>
      <c r="I219" s="135" t="s">
        <v>454</v>
      </c>
      <c r="J219" s="135" t="s">
        <v>454</v>
      </c>
      <c r="L219" s="136"/>
      <c r="N219" s="136"/>
      <c r="O219" s="136" t="s">
        <v>535</v>
      </c>
      <c r="P219" s="136" t="s">
        <v>2215</v>
      </c>
      <c r="Q219" s="135" t="s">
        <v>574</v>
      </c>
      <c r="R219" s="135" t="s">
        <v>573</v>
      </c>
      <c r="S219" s="136"/>
      <c r="X219" s="135" t="s">
        <v>1178</v>
      </c>
      <c r="Z219" s="135" t="s">
        <v>1372</v>
      </c>
      <c r="AA219" s="136"/>
      <c r="AB219" s="135" t="s">
        <v>2216</v>
      </c>
    </row>
    <row r="220" spans="1:28">
      <c r="A220" s="136" t="s">
        <v>2217</v>
      </c>
      <c r="B220" s="135" t="s">
        <v>928</v>
      </c>
      <c r="C220" s="135" t="s">
        <v>1394</v>
      </c>
      <c r="D220" s="136" t="s">
        <v>1598</v>
      </c>
      <c r="E220" s="136" t="s">
        <v>457</v>
      </c>
      <c r="F220" s="135" t="s">
        <v>2218</v>
      </c>
      <c r="G220" s="136" t="s">
        <v>1437</v>
      </c>
      <c r="H220" s="135" t="s">
        <v>383</v>
      </c>
      <c r="I220" s="135" t="s">
        <v>700</v>
      </c>
      <c r="J220" s="135" t="s">
        <v>700</v>
      </c>
      <c r="K220" s="135" t="s">
        <v>927</v>
      </c>
      <c r="L220" s="136" t="s">
        <v>2219</v>
      </c>
      <c r="N220" s="136"/>
      <c r="O220" s="136" t="s">
        <v>535</v>
      </c>
      <c r="P220" s="136" t="s">
        <v>929</v>
      </c>
      <c r="Q220" s="135" t="s">
        <v>509</v>
      </c>
      <c r="R220" s="135" t="s">
        <v>508</v>
      </c>
      <c r="S220" s="136"/>
      <c r="U220" s="135" t="s">
        <v>927</v>
      </c>
      <c r="V220" s="135" t="s">
        <v>926</v>
      </c>
      <c r="X220" s="135" t="s">
        <v>1994</v>
      </c>
      <c r="Z220" s="135" t="s">
        <v>531</v>
      </c>
      <c r="AA220" s="136"/>
      <c r="AB220" s="135" t="s">
        <v>2220</v>
      </c>
    </row>
    <row r="221" spans="1:28">
      <c r="A221" s="136" t="s">
        <v>2221</v>
      </c>
      <c r="B221" s="135" t="s">
        <v>924</v>
      </c>
      <c r="C221" s="135" t="s">
        <v>2005</v>
      </c>
      <c r="D221" s="136" t="s">
        <v>2006</v>
      </c>
      <c r="E221" s="136" t="s">
        <v>457</v>
      </c>
      <c r="F221" s="135" t="s">
        <v>638</v>
      </c>
      <c r="G221" s="136" t="s">
        <v>1437</v>
      </c>
      <c r="H221" s="135" t="s">
        <v>383</v>
      </c>
      <c r="I221" s="135" t="s">
        <v>731</v>
      </c>
      <c r="J221" s="135" t="s">
        <v>731</v>
      </c>
      <c r="K221" s="135" t="s">
        <v>923</v>
      </c>
      <c r="L221" s="136" t="s">
        <v>2222</v>
      </c>
      <c r="N221" s="136"/>
      <c r="O221" s="136" t="s">
        <v>866</v>
      </c>
      <c r="P221" s="136" t="s">
        <v>925</v>
      </c>
      <c r="Q221" s="135" t="s">
        <v>884</v>
      </c>
      <c r="R221" s="135" t="s">
        <v>883</v>
      </c>
      <c r="S221" s="136"/>
      <c r="U221" s="135" t="s">
        <v>923</v>
      </c>
      <c r="V221" s="135" t="s">
        <v>635</v>
      </c>
      <c r="X221" s="135" t="s">
        <v>637</v>
      </c>
      <c r="Z221" s="135" t="s">
        <v>531</v>
      </c>
      <c r="AA221" s="136"/>
      <c r="AB221" s="135" t="s">
        <v>2223</v>
      </c>
    </row>
    <row r="222" spans="1:28">
      <c r="A222" s="136" t="s">
        <v>2224</v>
      </c>
      <c r="B222" s="135" t="s">
        <v>921</v>
      </c>
      <c r="C222" s="135" t="s">
        <v>2005</v>
      </c>
      <c r="D222" s="136" t="s">
        <v>2006</v>
      </c>
      <c r="E222" s="136" t="s">
        <v>457</v>
      </c>
      <c r="F222" s="135" t="s">
        <v>638</v>
      </c>
      <c r="G222" s="136" t="s">
        <v>1437</v>
      </c>
      <c r="H222" s="135" t="s">
        <v>383</v>
      </c>
      <c r="I222" s="135" t="s">
        <v>731</v>
      </c>
      <c r="J222" s="135" t="s">
        <v>731</v>
      </c>
      <c r="K222" s="135" t="s">
        <v>920</v>
      </c>
      <c r="L222" s="136" t="s">
        <v>2225</v>
      </c>
      <c r="N222" s="136"/>
      <c r="O222" s="136" t="s">
        <v>866</v>
      </c>
      <c r="P222" s="136" t="s">
        <v>922</v>
      </c>
      <c r="Q222" s="135" t="s">
        <v>884</v>
      </c>
      <c r="R222" s="135" t="s">
        <v>883</v>
      </c>
      <c r="S222" s="136"/>
      <c r="U222" s="135" t="s">
        <v>920</v>
      </c>
      <c r="V222" s="135" t="s">
        <v>635</v>
      </c>
      <c r="X222" s="135" t="s">
        <v>637</v>
      </c>
      <c r="Z222" s="135" t="s">
        <v>531</v>
      </c>
      <c r="AA222" s="136"/>
      <c r="AB222" s="135" t="s">
        <v>2226</v>
      </c>
    </row>
    <row r="223" spans="1:28">
      <c r="A223" s="136" t="s">
        <v>2227</v>
      </c>
      <c r="B223" s="135" t="s">
        <v>918</v>
      </c>
      <c r="C223" s="135" t="s">
        <v>2005</v>
      </c>
      <c r="D223" s="136" t="s">
        <v>2006</v>
      </c>
      <c r="E223" s="136" t="s">
        <v>457</v>
      </c>
      <c r="F223" s="135" t="s">
        <v>638</v>
      </c>
      <c r="G223" s="136" t="s">
        <v>1437</v>
      </c>
      <c r="H223" s="135" t="s">
        <v>383</v>
      </c>
      <c r="I223" s="135" t="s">
        <v>731</v>
      </c>
      <c r="J223" s="135" t="s">
        <v>731</v>
      </c>
      <c r="K223" s="135" t="s">
        <v>917</v>
      </c>
      <c r="L223" s="136" t="s">
        <v>2228</v>
      </c>
      <c r="N223" s="136"/>
      <c r="O223" s="136" t="s">
        <v>866</v>
      </c>
      <c r="P223" s="136" t="s">
        <v>919</v>
      </c>
      <c r="Q223" s="135" t="s">
        <v>884</v>
      </c>
      <c r="R223" s="135" t="s">
        <v>883</v>
      </c>
      <c r="S223" s="136"/>
      <c r="U223" s="135" t="s">
        <v>917</v>
      </c>
      <c r="V223" s="135" t="s">
        <v>635</v>
      </c>
      <c r="X223" s="135" t="s">
        <v>637</v>
      </c>
      <c r="Z223" s="135" t="s">
        <v>531</v>
      </c>
      <c r="AA223" s="136"/>
      <c r="AB223" s="135" t="s">
        <v>2229</v>
      </c>
    </row>
    <row r="224" spans="1:28">
      <c r="A224" s="136" t="s">
        <v>2230</v>
      </c>
      <c r="B224" s="135" t="s">
        <v>915</v>
      </c>
      <c r="C224" s="135" t="s">
        <v>2005</v>
      </c>
      <c r="D224" s="136" t="s">
        <v>2006</v>
      </c>
      <c r="E224" s="136" t="s">
        <v>457</v>
      </c>
      <c r="F224" s="135" t="s">
        <v>638</v>
      </c>
      <c r="G224" s="136" t="s">
        <v>1437</v>
      </c>
      <c r="H224" s="135" t="s">
        <v>383</v>
      </c>
      <c r="I224" s="135" t="s">
        <v>731</v>
      </c>
      <c r="J224" s="135" t="s">
        <v>731</v>
      </c>
      <c r="K224" s="135" t="s">
        <v>914</v>
      </c>
      <c r="L224" s="136" t="s">
        <v>2231</v>
      </c>
      <c r="N224" s="136"/>
      <c r="O224" s="136" t="s">
        <v>866</v>
      </c>
      <c r="P224" s="136" t="s">
        <v>916</v>
      </c>
      <c r="Q224" s="135" t="s">
        <v>884</v>
      </c>
      <c r="R224" s="135" t="s">
        <v>883</v>
      </c>
      <c r="S224" s="136"/>
      <c r="U224" s="135" t="s">
        <v>914</v>
      </c>
      <c r="V224" s="135" t="s">
        <v>635</v>
      </c>
      <c r="X224" s="135" t="s">
        <v>637</v>
      </c>
      <c r="Z224" s="135" t="s">
        <v>531</v>
      </c>
      <c r="AA224" s="136"/>
      <c r="AB224" s="135" t="s">
        <v>2232</v>
      </c>
    </row>
    <row r="225" spans="1:28">
      <c r="A225" s="136" t="s">
        <v>2233</v>
      </c>
      <c r="B225" s="135" t="s">
        <v>912</v>
      </c>
      <c r="C225" s="135" t="s">
        <v>2005</v>
      </c>
      <c r="D225" s="136" t="s">
        <v>2006</v>
      </c>
      <c r="E225" s="136" t="s">
        <v>457</v>
      </c>
      <c r="F225" s="135" t="s">
        <v>638</v>
      </c>
      <c r="G225" s="136" t="s">
        <v>1437</v>
      </c>
      <c r="H225" s="135" t="s">
        <v>383</v>
      </c>
      <c r="I225" s="135" t="s">
        <v>494</v>
      </c>
      <c r="J225" s="135" t="s">
        <v>494</v>
      </c>
      <c r="K225" s="135" t="s">
        <v>911</v>
      </c>
      <c r="L225" s="136" t="s">
        <v>2234</v>
      </c>
      <c r="N225" s="136"/>
      <c r="O225" s="136" t="s">
        <v>866</v>
      </c>
      <c r="P225" s="136" t="s">
        <v>913</v>
      </c>
      <c r="Q225" s="135" t="s">
        <v>884</v>
      </c>
      <c r="R225" s="135" t="s">
        <v>883</v>
      </c>
      <c r="S225" s="136"/>
      <c r="U225" s="135" t="s">
        <v>911</v>
      </c>
      <c r="V225" s="135" t="s">
        <v>635</v>
      </c>
      <c r="X225" s="135" t="s">
        <v>637</v>
      </c>
      <c r="Z225" s="135" t="s">
        <v>531</v>
      </c>
      <c r="AA225" s="136"/>
      <c r="AB225" s="135" t="s">
        <v>2235</v>
      </c>
    </row>
    <row r="226" spans="1:28">
      <c r="A226" s="136" t="s">
        <v>2236</v>
      </c>
      <c r="B226" s="135" t="s">
        <v>909</v>
      </c>
      <c r="C226" s="135" t="s">
        <v>2005</v>
      </c>
      <c r="D226" s="136" t="s">
        <v>2006</v>
      </c>
      <c r="E226" s="136" t="s">
        <v>457</v>
      </c>
      <c r="F226" s="135" t="s">
        <v>638</v>
      </c>
      <c r="G226" s="136" t="s">
        <v>1437</v>
      </c>
      <c r="H226" s="135" t="s">
        <v>383</v>
      </c>
      <c r="I226" s="135" t="s">
        <v>494</v>
      </c>
      <c r="J226" s="135" t="s">
        <v>494</v>
      </c>
      <c r="K226" s="135" t="s">
        <v>908</v>
      </c>
      <c r="L226" s="136" t="s">
        <v>2237</v>
      </c>
      <c r="N226" s="136"/>
      <c r="O226" s="136" t="s">
        <v>866</v>
      </c>
      <c r="P226" s="136" t="s">
        <v>910</v>
      </c>
      <c r="Q226" s="135" t="s">
        <v>884</v>
      </c>
      <c r="R226" s="135" t="s">
        <v>883</v>
      </c>
      <c r="S226" s="136"/>
      <c r="U226" s="135" t="s">
        <v>908</v>
      </c>
      <c r="V226" s="135" t="s">
        <v>635</v>
      </c>
      <c r="X226" s="135" t="s">
        <v>637</v>
      </c>
      <c r="Z226" s="135" t="s">
        <v>531</v>
      </c>
      <c r="AA226" s="136"/>
      <c r="AB226" s="135" t="s">
        <v>2238</v>
      </c>
    </row>
    <row r="227" spans="1:28">
      <c r="A227" s="136" t="s">
        <v>2239</v>
      </c>
      <c r="B227" s="135" t="s">
        <v>906</v>
      </c>
      <c r="C227" s="135" t="s">
        <v>2005</v>
      </c>
      <c r="D227" s="136" t="s">
        <v>2006</v>
      </c>
      <c r="E227" s="136" t="s">
        <v>457</v>
      </c>
      <c r="F227" s="135" t="s">
        <v>638</v>
      </c>
      <c r="G227" s="136" t="s">
        <v>1437</v>
      </c>
      <c r="H227" s="135" t="s">
        <v>383</v>
      </c>
      <c r="I227" s="135" t="s">
        <v>731</v>
      </c>
      <c r="J227" s="135" t="s">
        <v>731</v>
      </c>
      <c r="K227" s="135" t="s">
        <v>905</v>
      </c>
      <c r="L227" s="136" t="s">
        <v>2240</v>
      </c>
      <c r="N227" s="136"/>
      <c r="O227" s="136" t="s">
        <v>866</v>
      </c>
      <c r="P227" s="136" t="s">
        <v>907</v>
      </c>
      <c r="Q227" s="135" t="s">
        <v>884</v>
      </c>
      <c r="R227" s="135" t="s">
        <v>883</v>
      </c>
      <c r="S227" s="136"/>
      <c r="U227" s="135" t="s">
        <v>905</v>
      </c>
      <c r="V227" s="135" t="s">
        <v>635</v>
      </c>
      <c r="X227" s="135" t="s">
        <v>637</v>
      </c>
      <c r="Z227" s="135" t="s">
        <v>531</v>
      </c>
      <c r="AA227" s="136"/>
      <c r="AB227" s="135" t="s">
        <v>2241</v>
      </c>
    </row>
    <row r="228" spans="1:28">
      <c r="A228" s="136" t="s">
        <v>2242</v>
      </c>
      <c r="B228" s="135" t="s">
        <v>903</v>
      </c>
      <c r="C228" s="135" t="s">
        <v>2005</v>
      </c>
      <c r="D228" s="136" t="s">
        <v>2006</v>
      </c>
      <c r="E228" s="136" t="s">
        <v>457</v>
      </c>
      <c r="F228" s="135" t="s">
        <v>638</v>
      </c>
      <c r="G228" s="136" t="s">
        <v>1437</v>
      </c>
      <c r="H228" s="135" t="s">
        <v>383</v>
      </c>
      <c r="I228" s="135" t="s">
        <v>731</v>
      </c>
      <c r="J228" s="135" t="s">
        <v>731</v>
      </c>
      <c r="K228" s="135" t="s">
        <v>902</v>
      </c>
      <c r="L228" s="136" t="s">
        <v>2243</v>
      </c>
      <c r="N228" s="136"/>
      <c r="O228" s="136" t="s">
        <v>866</v>
      </c>
      <c r="P228" s="136" t="s">
        <v>904</v>
      </c>
      <c r="Q228" s="135" t="s">
        <v>884</v>
      </c>
      <c r="R228" s="135" t="s">
        <v>883</v>
      </c>
      <c r="S228" s="136"/>
      <c r="U228" s="135" t="s">
        <v>902</v>
      </c>
      <c r="V228" s="135" t="s">
        <v>635</v>
      </c>
      <c r="X228" s="135" t="s">
        <v>637</v>
      </c>
      <c r="Z228" s="135" t="s">
        <v>531</v>
      </c>
      <c r="AA228" s="136"/>
      <c r="AB228" s="135" t="s">
        <v>2244</v>
      </c>
    </row>
    <row r="229" spans="1:28">
      <c r="A229" s="136" t="s">
        <v>2245</v>
      </c>
      <c r="B229" s="135" t="s">
        <v>900</v>
      </c>
      <c r="C229" s="135" t="s">
        <v>2005</v>
      </c>
      <c r="D229" s="136" t="s">
        <v>2006</v>
      </c>
      <c r="E229" s="136" t="s">
        <v>457</v>
      </c>
      <c r="F229" s="135" t="s">
        <v>638</v>
      </c>
      <c r="G229" s="136" t="s">
        <v>1437</v>
      </c>
      <c r="H229" s="135" t="s">
        <v>383</v>
      </c>
      <c r="I229" s="135" t="s">
        <v>731</v>
      </c>
      <c r="J229" s="135" t="s">
        <v>731</v>
      </c>
      <c r="K229" s="135" t="s">
        <v>899</v>
      </c>
      <c r="L229" s="136" t="s">
        <v>2246</v>
      </c>
      <c r="N229" s="136"/>
      <c r="O229" s="136" t="s">
        <v>866</v>
      </c>
      <c r="P229" s="136" t="s">
        <v>901</v>
      </c>
      <c r="Q229" s="135" t="s">
        <v>884</v>
      </c>
      <c r="R229" s="135" t="s">
        <v>883</v>
      </c>
      <c r="S229" s="136"/>
      <c r="U229" s="135" t="s">
        <v>899</v>
      </c>
      <c r="V229" s="135" t="s">
        <v>635</v>
      </c>
      <c r="X229" s="135" t="s">
        <v>637</v>
      </c>
      <c r="Z229" s="135" t="s">
        <v>531</v>
      </c>
      <c r="AA229" s="136"/>
      <c r="AB229" s="135" t="s">
        <v>2247</v>
      </c>
    </row>
    <row r="230" spans="1:28">
      <c r="A230" s="136" t="s">
        <v>2248</v>
      </c>
      <c r="B230" s="135" t="s">
        <v>897</v>
      </c>
      <c r="C230" s="135" t="s">
        <v>2005</v>
      </c>
      <c r="D230" s="136" t="s">
        <v>2006</v>
      </c>
      <c r="E230" s="136" t="s">
        <v>457</v>
      </c>
      <c r="F230" s="135" t="s">
        <v>638</v>
      </c>
      <c r="G230" s="136" t="s">
        <v>1437</v>
      </c>
      <c r="H230" s="135" t="s">
        <v>383</v>
      </c>
      <c r="I230" s="135" t="s">
        <v>731</v>
      </c>
      <c r="J230" s="135" t="s">
        <v>731</v>
      </c>
      <c r="K230" s="135" t="s">
        <v>896</v>
      </c>
      <c r="L230" s="136" t="s">
        <v>2249</v>
      </c>
      <c r="N230" s="136"/>
      <c r="O230" s="136" t="s">
        <v>866</v>
      </c>
      <c r="P230" s="136" t="s">
        <v>898</v>
      </c>
      <c r="Q230" s="135" t="s">
        <v>884</v>
      </c>
      <c r="R230" s="135" t="s">
        <v>883</v>
      </c>
      <c r="S230" s="136"/>
      <c r="U230" s="135" t="s">
        <v>896</v>
      </c>
      <c r="V230" s="135" t="s">
        <v>635</v>
      </c>
      <c r="X230" s="135" t="s">
        <v>637</v>
      </c>
      <c r="Z230" s="135" t="s">
        <v>531</v>
      </c>
      <c r="AA230" s="136"/>
      <c r="AB230" s="135" t="s">
        <v>2250</v>
      </c>
    </row>
    <row r="231" spans="1:28">
      <c r="A231" s="136" t="s">
        <v>2251</v>
      </c>
      <c r="B231" s="135" t="s">
        <v>894</v>
      </c>
      <c r="C231" s="135" t="s">
        <v>2005</v>
      </c>
      <c r="D231" s="136" t="s">
        <v>2006</v>
      </c>
      <c r="E231" s="136" t="s">
        <v>457</v>
      </c>
      <c r="F231" s="135" t="s">
        <v>638</v>
      </c>
      <c r="G231" s="136" t="s">
        <v>1437</v>
      </c>
      <c r="H231" s="135" t="s">
        <v>383</v>
      </c>
      <c r="I231" s="135" t="s">
        <v>494</v>
      </c>
      <c r="J231" s="135" t="s">
        <v>494</v>
      </c>
      <c r="K231" s="135" t="s">
        <v>893</v>
      </c>
      <c r="L231" s="136" t="s">
        <v>2252</v>
      </c>
      <c r="N231" s="136"/>
      <c r="O231" s="136" t="s">
        <v>866</v>
      </c>
      <c r="P231" s="136" t="s">
        <v>895</v>
      </c>
      <c r="Q231" s="135" t="s">
        <v>884</v>
      </c>
      <c r="R231" s="135" t="s">
        <v>883</v>
      </c>
      <c r="S231" s="136"/>
      <c r="U231" s="135" t="s">
        <v>893</v>
      </c>
      <c r="V231" s="135" t="s">
        <v>635</v>
      </c>
      <c r="X231" s="135" t="s">
        <v>637</v>
      </c>
      <c r="Z231" s="135" t="s">
        <v>531</v>
      </c>
      <c r="AA231" s="136"/>
      <c r="AB231" s="135" t="s">
        <v>2253</v>
      </c>
    </row>
    <row r="232" spans="1:28">
      <c r="A232" s="136" t="s">
        <v>2254</v>
      </c>
      <c r="B232" s="135" t="s">
        <v>891</v>
      </c>
      <c r="C232" s="135" t="s">
        <v>2005</v>
      </c>
      <c r="D232" s="136" t="s">
        <v>2006</v>
      </c>
      <c r="E232" s="136" t="s">
        <v>457</v>
      </c>
      <c r="F232" s="135" t="s">
        <v>638</v>
      </c>
      <c r="G232" s="136" t="s">
        <v>1437</v>
      </c>
      <c r="H232" s="135" t="s">
        <v>383</v>
      </c>
      <c r="I232" s="135" t="s">
        <v>494</v>
      </c>
      <c r="J232" s="135" t="s">
        <v>494</v>
      </c>
      <c r="K232" s="135" t="s">
        <v>890</v>
      </c>
      <c r="L232" s="136" t="s">
        <v>2255</v>
      </c>
      <c r="N232" s="136"/>
      <c r="O232" s="136" t="s">
        <v>866</v>
      </c>
      <c r="P232" s="136" t="s">
        <v>892</v>
      </c>
      <c r="Q232" s="135" t="s">
        <v>884</v>
      </c>
      <c r="R232" s="135" t="s">
        <v>883</v>
      </c>
      <c r="S232" s="136"/>
      <c r="U232" s="135" t="s">
        <v>890</v>
      </c>
      <c r="V232" s="135" t="s">
        <v>635</v>
      </c>
      <c r="X232" s="135" t="s">
        <v>637</v>
      </c>
      <c r="Z232" s="135" t="s">
        <v>531</v>
      </c>
      <c r="AA232" s="136"/>
      <c r="AB232" s="135" t="s">
        <v>2256</v>
      </c>
    </row>
    <row r="233" spans="1:28">
      <c r="A233" s="136" t="s">
        <v>2257</v>
      </c>
      <c r="B233" s="135" t="s">
        <v>888</v>
      </c>
      <c r="C233" s="135" t="s">
        <v>2005</v>
      </c>
      <c r="D233" s="136" t="s">
        <v>2006</v>
      </c>
      <c r="E233" s="136" t="s">
        <v>457</v>
      </c>
      <c r="F233" s="135" t="s">
        <v>638</v>
      </c>
      <c r="G233" s="136" t="s">
        <v>1437</v>
      </c>
      <c r="H233" s="135" t="s">
        <v>383</v>
      </c>
      <c r="I233" s="135" t="s">
        <v>731</v>
      </c>
      <c r="J233" s="135" t="s">
        <v>731</v>
      </c>
      <c r="K233" s="135" t="s">
        <v>887</v>
      </c>
      <c r="L233" s="136" t="s">
        <v>2258</v>
      </c>
      <c r="N233" s="136"/>
      <c r="O233" s="136" t="s">
        <v>866</v>
      </c>
      <c r="P233" s="136" t="s">
        <v>889</v>
      </c>
      <c r="Q233" s="135" t="s">
        <v>884</v>
      </c>
      <c r="R233" s="135" t="s">
        <v>883</v>
      </c>
      <c r="S233" s="136"/>
      <c r="U233" s="135" t="s">
        <v>887</v>
      </c>
      <c r="V233" s="135" t="s">
        <v>635</v>
      </c>
      <c r="X233" s="135" t="s">
        <v>637</v>
      </c>
      <c r="Z233" s="135" t="s">
        <v>531</v>
      </c>
      <c r="AA233" s="136"/>
      <c r="AB233" s="135" t="s">
        <v>2259</v>
      </c>
    </row>
    <row r="234" spans="1:28">
      <c r="A234" s="136" t="s">
        <v>2260</v>
      </c>
      <c r="B234" s="135" t="s">
        <v>885</v>
      </c>
      <c r="C234" s="135" t="s">
        <v>2005</v>
      </c>
      <c r="D234" s="136" t="s">
        <v>2006</v>
      </c>
      <c r="E234" s="136" t="s">
        <v>457</v>
      </c>
      <c r="F234" s="135" t="s">
        <v>638</v>
      </c>
      <c r="G234" s="136" t="s">
        <v>1437</v>
      </c>
      <c r="H234" s="135" t="s">
        <v>383</v>
      </c>
      <c r="I234" s="135" t="s">
        <v>731</v>
      </c>
      <c r="J234" s="135" t="s">
        <v>731</v>
      </c>
      <c r="K234" s="135" t="s">
        <v>882</v>
      </c>
      <c r="L234" s="136" t="s">
        <v>2261</v>
      </c>
      <c r="N234" s="136"/>
      <c r="O234" s="136" t="s">
        <v>866</v>
      </c>
      <c r="P234" s="136" t="s">
        <v>886</v>
      </c>
      <c r="Q234" s="135" t="s">
        <v>884</v>
      </c>
      <c r="R234" s="135" t="s">
        <v>883</v>
      </c>
      <c r="S234" s="136"/>
      <c r="U234" s="135" t="s">
        <v>882</v>
      </c>
      <c r="V234" s="135" t="s">
        <v>635</v>
      </c>
      <c r="X234" s="135" t="s">
        <v>637</v>
      </c>
      <c r="Z234" s="135" t="s">
        <v>531</v>
      </c>
      <c r="AA234" s="136"/>
      <c r="AB234" s="135" t="s">
        <v>2262</v>
      </c>
    </row>
    <row r="235" spans="1:28">
      <c r="A235" s="136" t="s">
        <v>2263</v>
      </c>
      <c r="B235" s="135" t="s">
        <v>663</v>
      </c>
      <c r="C235" s="135" t="s">
        <v>386</v>
      </c>
      <c r="D235" s="136" t="s">
        <v>1339</v>
      </c>
      <c r="E235" s="136" t="s">
        <v>457</v>
      </c>
      <c r="F235" s="135" t="s">
        <v>638</v>
      </c>
      <c r="G235" s="136" t="s">
        <v>1437</v>
      </c>
      <c r="H235" s="135" t="s">
        <v>383</v>
      </c>
      <c r="I235" s="135" t="s">
        <v>454</v>
      </c>
      <c r="J235" s="135" t="s">
        <v>454</v>
      </c>
      <c r="K235" s="135" t="s">
        <v>662</v>
      </c>
      <c r="L235" s="136" t="s">
        <v>2070</v>
      </c>
      <c r="N235" s="136"/>
      <c r="O235" s="136" t="s">
        <v>866</v>
      </c>
      <c r="P235" s="136" t="s">
        <v>664</v>
      </c>
      <c r="Q235" s="135" t="s">
        <v>536</v>
      </c>
      <c r="R235" s="135" t="s">
        <v>534</v>
      </c>
      <c r="S235" s="136"/>
      <c r="U235" s="135" t="s">
        <v>662</v>
      </c>
      <c r="V235" s="135" t="s">
        <v>635</v>
      </c>
      <c r="X235" s="135" t="s">
        <v>637</v>
      </c>
      <c r="Z235" s="135" t="s">
        <v>531</v>
      </c>
      <c r="AA235" s="136"/>
      <c r="AB235" s="135" t="s">
        <v>2264</v>
      </c>
    </row>
    <row r="236" spans="1:28">
      <c r="A236" s="136" t="s">
        <v>2265</v>
      </c>
      <c r="B236" s="135" t="s">
        <v>660</v>
      </c>
      <c r="C236" s="135" t="s">
        <v>386</v>
      </c>
      <c r="D236" s="136" t="s">
        <v>1339</v>
      </c>
      <c r="E236" s="136" t="s">
        <v>457</v>
      </c>
      <c r="F236" s="135" t="s">
        <v>638</v>
      </c>
      <c r="G236" s="136" t="s">
        <v>1437</v>
      </c>
      <c r="H236" s="135" t="s">
        <v>383</v>
      </c>
      <c r="I236" s="135" t="s">
        <v>454</v>
      </c>
      <c r="J236" s="135" t="s">
        <v>454</v>
      </c>
      <c r="K236" s="135" t="s">
        <v>659</v>
      </c>
      <c r="L236" s="136" t="s">
        <v>2073</v>
      </c>
      <c r="N236" s="136"/>
      <c r="O236" s="136" t="s">
        <v>866</v>
      </c>
      <c r="P236" s="136" t="s">
        <v>661</v>
      </c>
      <c r="Q236" s="135" t="s">
        <v>536</v>
      </c>
      <c r="R236" s="135" t="s">
        <v>534</v>
      </c>
      <c r="S236" s="136"/>
      <c r="U236" s="135" t="s">
        <v>659</v>
      </c>
      <c r="V236" s="135" t="s">
        <v>635</v>
      </c>
      <c r="X236" s="135" t="s">
        <v>637</v>
      </c>
      <c r="Z236" s="135" t="s">
        <v>531</v>
      </c>
      <c r="AA236" s="136"/>
      <c r="AB236" s="135" t="s">
        <v>2266</v>
      </c>
    </row>
    <row r="237" spans="1:28">
      <c r="A237" s="136" t="s">
        <v>2267</v>
      </c>
      <c r="B237" s="135" t="s">
        <v>657</v>
      </c>
      <c r="C237" s="135" t="s">
        <v>386</v>
      </c>
      <c r="D237" s="136" t="s">
        <v>1339</v>
      </c>
      <c r="E237" s="136" t="s">
        <v>457</v>
      </c>
      <c r="F237" s="135" t="s">
        <v>638</v>
      </c>
      <c r="G237" s="136" t="s">
        <v>1437</v>
      </c>
      <c r="H237" s="135" t="s">
        <v>383</v>
      </c>
      <c r="I237" s="135" t="s">
        <v>454</v>
      </c>
      <c r="J237" s="135" t="s">
        <v>454</v>
      </c>
      <c r="K237" s="135" t="s">
        <v>656</v>
      </c>
      <c r="L237" s="136" t="s">
        <v>2077</v>
      </c>
      <c r="N237" s="136"/>
      <c r="O237" s="136" t="s">
        <v>866</v>
      </c>
      <c r="P237" s="136" t="s">
        <v>658</v>
      </c>
      <c r="Q237" s="135" t="s">
        <v>536</v>
      </c>
      <c r="R237" s="135" t="s">
        <v>534</v>
      </c>
      <c r="S237" s="136"/>
      <c r="U237" s="135" t="s">
        <v>656</v>
      </c>
      <c r="V237" s="135" t="s">
        <v>635</v>
      </c>
      <c r="X237" s="135" t="s">
        <v>637</v>
      </c>
      <c r="Z237" s="135" t="s">
        <v>531</v>
      </c>
      <c r="AA237" s="136"/>
      <c r="AB237" s="135" t="s">
        <v>2268</v>
      </c>
    </row>
    <row r="238" spans="1:28">
      <c r="A238" s="136" t="s">
        <v>2269</v>
      </c>
      <c r="B238" s="135" t="s">
        <v>654</v>
      </c>
      <c r="C238" s="135" t="s">
        <v>386</v>
      </c>
      <c r="D238" s="136" t="s">
        <v>1339</v>
      </c>
      <c r="E238" s="136" t="s">
        <v>457</v>
      </c>
      <c r="F238" s="135" t="s">
        <v>638</v>
      </c>
      <c r="G238" s="136" t="s">
        <v>1437</v>
      </c>
      <c r="H238" s="135" t="s">
        <v>383</v>
      </c>
      <c r="I238" s="135" t="s">
        <v>454</v>
      </c>
      <c r="J238" s="135" t="s">
        <v>454</v>
      </c>
      <c r="K238" s="135" t="s">
        <v>653</v>
      </c>
      <c r="L238" s="136" t="s">
        <v>2081</v>
      </c>
      <c r="N238" s="136"/>
      <c r="O238" s="136" t="s">
        <v>866</v>
      </c>
      <c r="P238" s="136" t="s">
        <v>655</v>
      </c>
      <c r="Q238" s="135" t="s">
        <v>536</v>
      </c>
      <c r="R238" s="135" t="s">
        <v>534</v>
      </c>
      <c r="S238" s="136"/>
      <c r="U238" s="135" t="s">
        <v>653</v>
      </c>
      <c r="V238" s="135" t="s">
        <v>635</v>
      </c>
      <c r="X238" s="135" t="s">
        <v>637</v>
      </c>
      <c r="Z238" s="135" t="s">
        <v>531</v>
      </c>
      <c r="AA238" s="136"/>
      <c r="AB238" s="135" t="s">
        <v>2270</v>
      </c>
    </row>
    <row r="239" spans="1:28">
      <c r="A239" s="136" t="s">
        <v>2271</v>
      </c>
      <c r="B239" s="135" t="s">
        <v>651</v>
      </c>
      <c r="C239" s="135" t="s">
        <v>386</v>
      </c>
      <c r="D239" s="136" t="s">
        <v>1339</v>
      </c>
      <c r="E239" s="136" t="s">
        <v>457</v>
      </c>
      <c r="F239" s="135" t="s">
        <v>638</v>
      </c>
      <c r="G239" s="136" t="s">
        <v>1437</v>
      </c>
      <c r="H239" s="135" t="s">
        <v>383</v>
      </c>
      <c r="I239" s="135" t="s">
        <v>454</v>
      </c>
      <c r="J239" s="135" t="s">
        <v>454</v>
      </c>
      <c r="K239" s="135" t="s">
        <v>650</v>
      </c>
      <c r="L239" s="136" t="s">
        <v>2085</v>
      </c>
      <c r="N239" s="136"/>
      <c r="O239" s="136" t="s">
        <v>866</v>
      </c>
      <c r="P239" s="136" t="s">
        <v>652</v>
      </c>
      <c r="Q239" s="135" t="s">
        <v>536</v>
      </c>
      <c r="R239" s="135" t="s">
        <v>534</v>
      </c>
      <c r="S239" s="136"/>
      <c r="U239" s="135" t="s">
        <v>650</v>
      </c>
      <c r="V239" s="135" t="s">
        <v>635</v>
      </c>
      <c r="X239" s="135" t="s">
        <v>637</v>
      </c>
      <c r="Z239" s="135" t="s">
        <v>531</v>
      </c>
      <c r="AA239" s="136"/>
      <c r="AB239" s="135" t="s">
        <v>2272</v>
      </c>
    </row>
    <row r="240" spans="1:28">
      <c r="A240" s="136" t="s">
        <v>2273</v>
      </c>
      <c r="B240" s="135" t="s">
        <v>648</v>
      </c>
      <c r="C240" s="135" t="s">
        <v>386</v>
      </c>
      <c r="D240" s="136" t="s">
        <v>1339</v>
      </c>
      <c r="E240" s="136" t="s">
        <v>457</v>
      </c>
      <c r="F240" s="135" t="s">
        <v>638</v>
      </c>
      <c r="G240" s="136" t="s">
        <v>1437</v>
      </c>
      <c r="H240" s="135" t="s">
        <v>383</v>
      </c>
      <c r="I240" s="135" t="s">
        <v>454</v>
      </c>
      <c r="J240" s="135" t="s">
        <v>454</v>
      </c>
      <c r="K240" s="135" t="s">
        <v>647</v>
      </c>
      <c r="L240" s="136" t="s">
        <v>2089</v>
      </c>
      <c r="N240" s="136"/>
      <c r="O240" s="136" t="s">
        <v>866</v>
      </c>
      <c r="P240" s="136" t="s">
        <v>649</v>
      </c>
      <c r="Q240" s="135" t="s">
        <v>536</v>
      </c>
      <c r="R240" s="135" t="s">
        <v>534</v>
      </c>
      <c r="S240" s="136"/>
      <c r="U240" s="135" t="s">
        <v>647</v>
      </c>
      <c r="V240" s="135" t="s">
        <v>635</v>
      </c>
      <c r="X240" s="135" t="s">
        <v>637</v>
      </c>
      <c r="Z240" s="135" t="s">
        <v>531</v>
      </c>
      <c r="AA240" s="136"/>
      <c r="AB240" s="135" t="s">
        <v>2274</v>
      </c>
    </row>
    <row r="241" spans="1:28">
      <c r="A241" s="136" t="s">
        <v>2275</v>
      </c>
      <c r="B241" s="135" t="s">
        <v>645</v>
      </c>
      <c r="C241" s="135" t="s">
        <v>386</v>
      </c>
      <c r="D241" s="136" t="s">
        <v>1339</v>
      </c>
      <c r="E241" s="136" t="s">
        <v>457</v>
      </c>
      <c r="F241" s="135" t="s">
        <v>638</v>
      </c>
      <c r="G241" s="136" t="s">
        <v>1437</v>
      </c>
      <c r="H241" s="135" t="s">
        <v>383</v>
      </c>
      <c r="I241" s="135" t="s">
        <v>454</v>
      </c>
      <c r="J241" s="135" t="s">
        <v>454</v>
      </c>
      <c r="K241" s="135" t="s">
        <v>644</v>
      </c>
      <c r="L241" s="136" t="s">
        <v>2093</v>
      </c>
      <c r="N241" s="136"/>
      <c r="O241" s="136" t="s">
        <v>866</v>
      </c>
      <c r="P241" s="136" t="s">
        <v>646</v>
      </c>
      <c r="Q241" s="135" t="s">
        <v>536</v>
      </c>
      <c r="R241" s="135" t="s">
        <v>534</v>
      </c>
      <c r="S241" s="136"/>
      <c r="U241" s="135" t="s">
        <v>644</v>
      </c>
      <c r="V241" s="135" t="s">
        <v>635</v>
      </c>
      <c r="X241" s="135" t="s">
        <v>637</v>
      </c>
      <c r="Z241" s="135" t="s">
        <v>531</v>
      </c>
      <c r="AA241" s="136"/>
      <c r="AB241" s="135" t="s">
        <v>2276</v>
      </c>
    </row>
    <row r="242" spans="1:28">
      <c r="A242" s="136" t="s">
        <v>2277</v>
      </c>
      <c r="B242" s="135" t="s">
        <v>642</v>
      </c>
      <c r="C242" s="135" t="s">
        <v>386</v>
      </c>
      <c r="D242" s="136" t="s">
        <v>1339</v>
      </c>
      <c r="E242" s="136" t="s">
        <v>457</v>
      </c>
      <c r="F242" s="135" t="s">
        <v>638</v>
      </c>
      <c r="G242" s="136" t="s">
        <v>1437</v>
      </c>
      <c r="H242" s="135" t="s">
        <v>383</v>
      </c>
      <c r="I242" s="135" t="s">
        <v>454</v>
      </c>
      <c r="J242" s="135" t="s">
        <v>454</v>
      </c>
      <c r="K242" s="135" t="s">
        <v>641</v>
      </c>
      <c r="L242" s="136" t="s">
        <v>2278</v>
      </c>
      <c r="N242" s="136"/>
      <c r="O242" s="136" t="s">
        <v>866</v>
      </c>
      <c r="P242" s="136" t="s">
        <v>643</v>
      </c>
      <c r="Q242" s="135" t="s">
        <v>536</v>
      </c>
      <c r="R242" s="135" t="s">
        <v>534</v>
      </c>
      <c r="S242" s="136"/>
      <c r="U242" s="135" t="s">
        <v>641</v>
      </c>
      <c r="V242" s="135" t="s">
        <v>635</v>
      </c>
      <c r="X242" s="135" t="s">
        <v>637</v>
      </c>
      <c r="Z242" s="135" t="s">
        <v>451</v>
      </c>
      <c r="AA242" s="136"/>
      <c r="AB242" s="135" t="s">
        <v>2279</v>
      </c>
    </row>
    <row r="243" spans="1:28">
      <c r="A243" s="136" t="s">
        <v>2280</v>
      </c>
      <c r="B243" s="135" t="s">
        <v>639</v>
      </c>
      <c r="C243" s="135" t="s">
        <v>386</v>
      </c>
      <c r="D243" s="136" t="s">
        <v>1339</v>
      </c>
      <c r="E243" s="136" t="s">
        <v>457</v>
      </c>
      <c r="F243" s="135" t="s">
        <v>638</v>
      </c>
      <c r="G243" s="136" t="s">
        <v>1437</v>
      </c>
      <c r="H243" s="135" t="s">
        <v>383</v>
      </c>
      <c r="I243" s="135" t="s">
        <v>454</v>
      </c>
      <c r="J243" s="135" t="s">
        <v>454</v>
      </c>
      <c r="K243" s="135" t="s">
        <v>636</v>
      </c>
      <c r="L243" s="136" t="s">
        <v>2281</v>
      </c>
      <c r="N243" s="136"/>
      <c r="O243" s="136" t="s">
        <v>866</v>
      </c>
      <c r="P243" s="136" t="s">
        <v>640</v>
      </c>
      <c r="Q243" s="135" t="s">
        <v>536</v>
      </c>
      <c r="R243" s="135" t="s">
        <v>534</v>
      </c>
      <c r="S243" s="136"/>
      <c r="U243" s="135" t="s">
        <v>636</v>
      </c>
      <c r="V243" s="135" t="s">
        <v>635</v>
      </c>
      <c r="X243" s="135" t="s">
        <v>637</v>
      </c>
      <c r="Z243" s="135" t="s">
        <v>451</v>
      </c>
      <c r="AA243" s="136"/>
      <c r="AB243" s="135" t="s">
        <v>2282</v>
      </c>
    </row>
    <row r="244" spans="1:28">
      <c r="A244" s="136" t="s">
        <v>2283</v>
      </c>
      <c r="B244" s="135" t="s">
        <v>634</v>
      </c>
      <c r="C244" s="135" t="s">
        <v>386</v>
      </c>
      <c r="D244" s="136" t="s">
        <v>1353</v>
      </c>
      <c r="E244" s="136" t="s">
        <v>457</v>
      </c>
      <c r="F244" s="135" t="s">
        <v>572</v>
      </c>
      <c r="G244" s="136" t="s">
        <v>1437</v>
      </c>
      <c r="H244" s="135" t="s">
        <v>383</v>
      </c>
      <c r="I244" s="135" t="s">
        <v>731</v>
      </c>
      <c r="J244" s="135" t="s">
        <v>731</v>
      </c>
      <c r="K244" s="135" t="s">
        <v>632</v>
      </c>
      <c r="L244" s="136" t="s">
        <v>1431</v>
      </c>
      <c r="M244" s="135" t="s">
        <v>383</v>
      </c>
      <c r="N244" s="136"/>
      <c r="O244" s="136" t="s">
        <v>535</v>
      </c>
      <c r="P244" s="136" t="s">
        <v>566</v>
      </c>
      <c r="Q244" s="135" t="s">
        <v>546</v>
      </c>
      <c r="R244" s="135" t="s">
        <v>545</v>
      </c>
      <c r="S244" s="136"/>
      <c r="V244" s="135" t="s">
        <v>631</v>
      </c>
      <c r="X244" s="135" t="s">
        <v>571</v>
      </c>
      <c r="Z244" s="135" t="s">
        <v>500</v>
      </c>
      <c r="AA244" s="136"/>
      <c r="AB244" s="135" t="s">
        <v>2284</v>
      </c>
    </row>
    <row r="245" spans="1:28">
      <c r="A245" s="136" t="s">
        <v>2285</v>
      </c>
      <c r="B245" s="135" t="s">
        <v>633</v>
      </c>
      <c r="C245" s="135" t="s">
        <v>386</v>
      </c>
      <c r="D245" s="136" t="s">
        <v>1353</v>
      </c>
      <c r="E245" s="136" t="s">
        <v>1448</v>
      </c>
      <c r="F245" s="135" t="s">
        <v>572</v>
      </c>
      <c r="G245" s="136" t="s">
        <v>1437</v>
      </c>
      <c r="H245" s="135" t="s">
        <v>383</v>
      </c>
      <c r="I245" s="135" t="s">
        <v>454</v>
      </c>
      <c r="J245" s="135" t="s">
        <v>454</v>
      </c>
      <c r="K245" s="135" t="s">
        <v>632</v>
      </c>
      <c r="L245" s="136" t="s">
        <v>1431</v>
      </c>
      <c r="M245" s="135" t="s">
        <v>383</v>
      </c>
      <c r="N245" s="136"/>
      <c r="O245" s="136" t="s">
        <v>535</v>
      </c>
      <c r="P245" s="136" t="s">
        <v>561</v>
      </c>
      <c r="Q245" s="135" t="s">
        <v>546</v>
      </c>
      <c r="R245" s="135" t="s">
        <v>545</v>
      </c>
      <c r="S245" s="136"/>
      <c r="V245" s="135" t="s">
        <v>631</v>
      </c>
      <c r="X245" s="135" t="s">
        <v>571</v>
      </c>
      <c r="Z245" s="135" t="s">
        <v>500</v>
      </c>
      <c r="AA245" s="136"/>
      <c r="AB245" s="135" t="s">
        <v>2286</v>
      </c>
    </row>
    <row r="246" spans="1:28">
      <c r="A246" s="136" t="s">
        <v>2287</v>
      </c>
      <c r="B246" s="135" t="s">
        <v>630</v>
      </c>
      <c r="C246" s="135" t="s">
        <v>386</v>
      </c>
      <c r="D246" s="136" t="s">
        <v>1353</v>
      </c>
      <c r="E246" s="136" t="s">
        <v>457</v>
      </c>
      <c r="F246" s="135" t="s">
        <v>604</v>
      </c>
      <c r="G246" s="136" t="s">
        <v>1437</v>
      </c>
      <c r="H246" s="135" t="s">
        <v>383</v>
      </c>
      <c r="I246" s="135" t="s">
        <v>494</v>
      </c>
      <c r="J246" s="135" t="s">
        <v>494</v>
      </c>
      <c r="K246" s="135" t="s">
        <v>1430</v>
      </c>
      <c r="L246" s="136" t="s">
        <v>1431</v>
      </c>
      <c r="M246" s="135" t="s">
        <v>383</v>
      </c>
      <c r="N246" s="136"/>
      <c r="O246" s="136" t="s">
        <v>535</v>
      </c>
      <c r="P246" s="136" t="s">
        <v>555</v>
      </c>
      <c r="Q246" s="135" t="s">
        <v>546</v>
      </c>
      <c r="R246" s="135" t="s">
        <v>545</v>
      </c>
      <c r="S246" s="136"/>
      <c r="V246" s="135" t="s">
        <v>1434</v>
      </c>
      <c r="X246" s="135" t="s">
        <v>603</v>
      </c>
      <c r="Z246" s="135" t="s">
        <v>500</v>
      </c>
      <c r="AA246" s="136"/>
      <c r="AB246" s="135" t="s">
        <v>2288</v>
      </c>
    </row>
    <row r="247" spans="1:28">
      <c r="A247" s="136" t="s">
        <v>2289</v>
      </c>
      <c r="B247" s="135" t="s">
        <v>629</v>
      </c>
      <c r="C247" s="135" t="s">
        <v>386</v>
      </c>
      <c r="D247" s="136" t="s">
        <v>1353</v>
      </c>
      <c r="E247" s="136" t="s">
        <v>1448</v>
      </c>
      <c r="F247" s="135" t="s">
        <v>572</v>
      </c>
      <c r="G247" s="136" t="s">
        <v>1437</v>
      </c>
      <c r="H247" s="135" t="s">
        <v>383</v>
      </c>
      <c r="I247" s="135" t="s">
        <v>454</v>
      </c>
      <c r="J247" s="135" t="s">
        <v>454</v>
      </c>
      <c r="K247" s="135" t="s">
        <v>628</v>
      </c>
      <c r="L247" s="136" t="s">
        <v>1914</v>
      </c>
      <c r="M247" s="135" t="s">
        <v>383</v>
      </c>
      <c r="N247" s="136"/>
      <c r="O247" s="136" t="s">
        <v>535</v>
      </c>
      <c r="P247" s="136" t="s">
        <v>548</v>
      </c>
      <c r="Q247" s="135" t="s">
        <v>546</v>
      </c>
      <c r="R247" s="135" t="s">
        <v>545</v>
      </c>
      <c r="S247" s="136"/>
      <c r="U247" s="135" t="s">
        <v>627</v>
      </c>
      <c r="V247" s="135" t="s">
        <v>626</v>
      </c>
      <c r="X247" s="135" t="s">
        <v>571</v>
      </c>
      <c r="Z247" s="135" t="s">
        <v>543</v>
      </c>
      <c r="AA247" s="136"/>
      <c r="AB247" s="135" t="s">
        <v>2290</v>
      </c>
    </row>
    <row r="248" spans="1:28">
      <c r="A248" s="136" t="s">
        <v>2291</v>
      </c>
      <c r="B248" s="135" t="s">
        <v>624</v>
      </c>
      <c r="C248" s="135" t="s">
        <v>386</v>
      </c>
      <c r="D248" s="136" t="s">
        <v>1353</v>
      </c>
      <c r="E248" s="136" t="s">
        <v>1448</v>
      </c>
      <c r="F248" s="135" t="s">
        <v>572</v>
      </c>
      <c r="G248" s="136" t="s">
        <v>1437</v>
      </c>
      <c r="H248" s="135" t="s">
        <v>383</v>
      </c>
      <c r="I248" s="135" t="s">
        <v>454</v>
      </c>
      <c r="J248" s="135" t="s">
        <v>454</v>
      </c>
      <c r="K248" s="135" t="s">
        <v>623</v>
      </c>
      <c r="L248" s="136" t="s">
        <v>1914</v>
      </c>
      <c r="M248" s="135" t="s">
        <v>383</v>
      </c>
      <c r="N248" s="136"/>
      <c r="O248" s="136" t="s">
        <v>535</v>
      </c>
      <c r="P248" s="136" t="s">
        <v>625</v>
      </c>
      <c r="Q248" s="135" t="s">
        <v>546</v>
      </c>
      <c r="R248" s="135" t="s">
        <v>545</v>
      </c>
      <c r="S248" s="136"/>
      <c r="U248" s="135" t="s">
        <v>622</v>
      </c>
      <c r="V248" s="135" t="s">
        <v>621</v>
      </c>
      <c r="X248" s="135" t="s">
        <v>571</v>
      </c>
      <c r="Z248" s="135" t="s">
        <v>543</v>
      </c>
      <c r="AA248" s="136"/>
      <c r="AB248" s="135" t="s">
        <v>2292</v>
      </c>
    </row>
    <row r="249" spans="1:28">
      <c r="A249" s="136" t="s">
        <v>2293</v>
      </c>
      <c r="B249" s="135" t="s">
        <v>620</v>
      </c>
      <c r="C249" s="135" t="s">
        <v>386</v>
      </c>
      <c r="D249" s="136" t="s">
        <v>1350</v>
      </c>
      <c r="E249" s="136" t="s">
        <v>1448</v>
      </c>
      <c r="F249" s="135" t="s">
        <v>572</v>
      </c>
      <c r="G249" s="136" t="s">
        <v>1437</v>
      </c>
      <c r="H249" s="135" t="s">
        <v>383</v>
      </c>
      <c r="I249" s="135" t="s">
        <v>454</v>
      </c>
      <c r="J249" s="135" t="s">
        <v>454</v>
      </c>
      <c r="K249" s="135" t="s">
        <v>619</v>
      </c>
      <c r="L249" s="136" t="s">
        <v>1914</v>
      </c>
      <c r="M249" s="135" t="s">
        <v>383</v>
      </c>
      <c r="N249" s="136"/>
      <c r="O249" s="136" t="s">
        <v>535</v>
      </c>
      <c r="P249" s="136" t="s">
        <v>538</v>
      </c>
      <c r="Q249" s="135" t="s">
        <v>574</v>
      </c>
      <c r="R249" s="135" t="s">
        <v>573</v>
      </c>
      <c r="S249" s="136"/>
      <c r="U249" s="135" t="s">
        <v>618</v>
      </c>
      <c r="V249" s="135" t="s">
        <v>617</v>
      </c>
      <c r="X249" s="135" t="s">
        <v>571</v>
      </c>
      <c r="Z249" s="135" t="s">
        <v>543</v>
      </c>
      <c r="AA249" s="136"/>
      <c r="AB249" s="135" t="s">
        <v>2294</v>
      </c>
    </row>
    <row r="250" spans="1:28">
      <c r="A250" s="136" t="s">
        <v>2295</v>
      </c>
      <c r="B250" s="135" t="s">
        <v>615</v>
      </c>
      <c r="C250" s="135" t="s">
        <v>386</v>
      </c>
      <c r="D250" s="136" t="s">
        <v>1350</v>
      </c>
      <c r="E250" s="136" t="s">
        <v>1448</v>
      </c>
      <c r="F250" s="135" t="s">
        <v>572</v>
      </c>
      <c r="G250" s="136" t="s">
        <v>1437</v>
      </c>
      <c r="H250" s="135" t="s">
        <v>383</v>
      </c>
      <c r="I250" s="135" t="s">
        <v>454</v>
      </c>
      <c r="J250" s="135" t="s">
        <v>454</v>
      </c>
      <c r="K250" s="135" t="s">
        <v>614</v>
      </c>
      <c r="L250" s="136" t="s">
        <v>1914</v>
      </c>
      <c r="M250" s="135" t="s">
        <v>383</v>
      </c>
      <c r="N250" s="136"/>
      <c r="O250" s="136" t="s">
        <v>535</v>
      </c>
      <c r="P250" s="136" t="s">
        <v>616</v>
      </c>
      <c r="Q250" s="135" t="s">
        <v>574</v>
      </c>
      <c r="R250" s="135" t="s">
        <v>573</v>
      </c>
      <c r="S250" s="136"/>
      <c r="V250" s="135" t="s">
        <v>529</v>
      </c>
      <c r="X250" s="135" t="s">
        <v>571</v>
      </c>
      <c r="Z250" s="135" t="s">
        <v>543</v>
      </c>
      <c r="AA250" s="136"/>
      <c r="AB250" s="135" t="s">
        <v>2296</v>
      </c>
    </row>
    <row r="251" spans="1:28">
      <c r="A251" s="136" t="s">
        <v>2297</v>
      </c>
      <c r="B251" s="135" t="s">
        <v>612</v>
      </c>
      <c r="C251" s="135" t="s">
        <v>386</v>
      </c>
      <c r="D251" s="136" t="s">
        <v>1350</v>
      </c>
      <c r="E251" s="136" t="s">
        <v>1448</v>
      </c>
      <c r="F251" s="135" t="s">
        <v>572</v>
      </c>
      <c r="G251" s="136" t="s">
        <v>1437</v>
      </c>
      <c r="H251" s="135" t="s">
        <v>383</v>
      </c>
      <c r="I251" s="135" t="s">
        <v>494</v>
      </c>
      <c r="J251" s="135" t="s">
        <v>494</v>
      </c>
      <c r="K251" s="135" t="s">
        <v>611</v>
      </c>
      <c r="L251" s="136" t="s">
        <v>1914</v>
      </c>
      <c r="M251" s="135" t="s">
        <v>383</v>
      </c>
      <c r="N251" s="136"/>
      <c r="O251" s="136" t="s">
        <v>535</v>
      </c>
      <c r="P251" s="136" t="s">
        <v>613</v>
      </c>
      <c r="Q251" s="135" t="s">
        <v>574</v>
      </c>
      <c r="R251" s="135" t="s">
        <v>573</v>
      </c>
      <c r="S251" s="136"/>
      <c r="V251" s="135" t="s">
        <v>610</v>
      </c>
      <c r="X251" s="135" t="s">
        <v>571</v>
      </c>
      <c r="Z251" s="135" t="s">
        <v>543</v>
      </c>
      <c r="AA251" s="136"/>
      <c r="AB251" s="135" t="s">
        <v>2298</v>
      </c>
    </row>
    <row r="252" spans="1:28">
      <c r="A252" s="136" t="s">
        <v>2299</v>
      </c>
      <c r="B252" s="135" t="s">
        <v>608</v>
      </c>
      <c r="C252" s="135" t="s">
        <v>386</v>
      </c>
      <c r="D252" s="136" t="s">
        <v>1353</v>
      </c>
      <c r="E252" s="136" t="s">
        <v>1448</v>
      </c>
      <c r="F252" s="135" t="s">
        <v>572</v>
      </c>
      <c r="G252" s="136" t="s">
        <v>1437</v>
      </c>
      <c r="H252" s="135" t="s">
        <v>383</v>
      </c>
      <c r="I252" s="135" t="s">
        <v>454</v>
      </c>
      <c r="J252" s="135" t="s">
        <v>454</v>
      </c>
      <c r="K252" s="135" t="s">
        <v>607</v>
      </c>
      <c r="L252" s="136" t="s">
        <v>1914</v>
      </c>
      <c r="M252" s="135" t="s">
        <v>383</v>
      </c>
      <c r="N252" s="136"/>
      <c r="O252" s="136" t="s">
        <v>535</v>
      </c>
      <c r="P252" s="136" t="s">
        <v>609</v>
      </c>
      <c r="Q252" s="135" t="s">
        <v>546</v>
      </c>
      <c r="R252" s="135" t="s">
        <v>545</v>
      </c>
      <c r="S252" s="136"/>
      <c r="V252" s="135" t="s">
        <v>539</v>
      </c>
      <c r="X252" s="135" t="s">
        <v>571</v>
      </c>
      <c r="Z252" s="135" t="s">
        <v>543</v>
      </c>
      <c r="AA252" s="136"/>
      <c r="AB252" s="135" t="s">
        <v>2300</v>
      </c>
    </row>
    <row r="253" spans="1:28">
      <c r="A253" s="136" t="s">
        <v>2301</v>
      </c>
      <c r="B253" s="135" t="s">
        <v>605</v>
      </c>
      <c r="C253" s="135" t="s">
        <v>386</v>
      </c>
      <c r="D253" s="136" t="s">
        <v>1353</v>
      </c>
      <c r="E253" s="136" t="s">
        <v>1448</v>
      </c>
      <c r="F253" s="135" t="s">
        <v>604</v>
      </c>
      <c r="G253" s="136" t="s">
        <v>1437</v>
      </c>
      <c r="H253" s="135" t="s">
        <v>383</v>
      </c>
      <c r="I253" s="135" t="s">
        <v>454</v>
      </c>
      <c r="J253" s="135" t="s">
        <v>454</v>
      </c>
      <c r="K253" s="135" t="s">
        <v>602</v>
      </c>
      <c r="L253" s="136" t="s">
        <v>1414</v>
      </c>
      <c r="M253" s="135" t="s">
        <v>383</v>
      </c>
      <c r="N253" s="136"/>
      <c r="O253" s="136" t="s">
        <v>535</v>
      </c>
      <c r="P253" s="136" t="s">
        <v>606</v>
      </c>
      <c r="Q253" s="135" t="s">
        <v>546</v>
      </c>
      <c r="R253" s="135" t="s">
        <v>545</v>
      </c>
      <c r="S253" s="136"/>
      <c r="V253" s="135" t="s">
        <v>601</v>
      </c>
      <c r="X253" s="135" t="s">
        <v>603</v>
      </c>
      <c r="Z253" s="135" t="s">
        <v>543</v>
      </c>
      <c r="AA253" s="136"/>
      <c r="AB253" s="135" t="s">
        <v>2302</v>
      </c>
    </row>
    <row r="254" spans="1:28">
      <c r="A254" s="136" t="s">
        <v>2303</v>
      </c>
      <c r="B254" s="135" t="s">
        <v>599</v>
      </c>
      <c r="C254" s="135" t="s">
        <v>386</v>
      </c>
      <c r="D254" s="136" t="s">
        <v>1353</v>
      </c>
      <c r="E254" s="136" t="s">
        <v>1448</v>
      </c>
      <c r="F254" s="135" t="s">
        <v>572</v>
      </c>
      <c r="G254" s="136" t="s">
        <v>1437</v>
      </c>
      <c r="H254" s="135" t="s">
        <v>383</v>
      </c>
      <c r="I254" s="135" t="s">
        <v>454</v>
      </c>
      <c r="J254" s="135" t="s">
        <v>454</v>
      </c>
      <c r="K254" s="135" t="s">
        <v>598</v>
      </c>
      <c r="L254" s="136" t="s">
        <v>1914</v>
      </c>
      <c r="M254" s="135" t="s">
        <v>383</v>
      </c>
      <c r="N254" s="136"/>
      <c r="O254" s="136" t="s">
        <v>535</v>
      </c>
      <c r="P254" s="136" t="s">
        <v>600</v>
      </c>
      <c r="Q254" s="135" t="s">
        <v>546</v>
      </c>
      <c r="R254" s="135" t="s">
        <v>545</v>
      </c>
      <c r="S254" s="136"/>
      <c r="U254" s="135" t="s">
        <v>597</v>
      </c>
      <c r="V254" s="135" t="s">
        <v>596</v>
      </c>
      <c r="X254" s="135" t="s">
        <v>571</v>
      </c>
      <c r="Z254" s="135" t="s">
        <v>543</v>
      </c>
      <c r="AA254" s="136"/>
      <c r="AB254" s="135" t="s">
        <v>2304</v>
      </c>
    </row>
    <row r="255" spans="1:28">
      <c r="A255" s="136" t="s">
        <v>2305</v>
      </c>
      <c r="B255" s="135" t="s">
        <v>594</v>
      </c>
      <c r="C255" s="135" t="s">
        <v>386</v>
      </c>
      <c r="D255" s="136" t="s">
        <v>1353</v>
      </c>
      <c r="E255" s="136" t="s">
        <v>1448</v>
      </c>
      <c r="F255" s="135" t="s">
        <v>572</v>
      </c>
      <c r="G255" s="136" t="s">
        <v>1437</v>
      </c>
      <c r="H255" s="135" t="s">
        <v>383</v>
      </c>
      <c r="I255" s="135" t="s">
        <v>494</v>
      </c>
      <c r="J255" s="135" t="s">
        <v>494</v>
      </c>
      <c r="K255" s="135" t="s">
        <v>593</v>
      </c>
      <c r="L255" s="136" t="s">
        <v>1914</v>
      </c>
      <c r="M255" s="135" t="s">
        <v>383</v>
      </c>
      <c r="N255" s="136"/>
      <c r="O255" s="136" t="s">
        <v>535</v>
      </c>
      <c r="P255" s="136" t="s">
        <v>595</v>
      </c>
      <c r="Q255" s="135" t="s">
        <v>546</v>
      </c>
      <c r="R255" s="135" t="s">
        <v>545</v>
      </c>
      <c r="S255" s="136"/>
      <c r="U255" s="135" t="s">
        <v>592</v>
      </c>
      <c r="V255" s="135" t="s">
        <v>591</v>
      </c>
      <c r="X255" s="135" t="s">
        <v>571</v>
      </c>
      <c r="Z255" s="135" t="s">
        <v>543</v>
      </c>
      <c r="AA255" s="136"/>
      <c r="AB255" s="135" t="s">
        <v>2306</v>
      </c>
    </row>
    <row r="256" spans="1:28">
      <c r="A256" s="136" t="s">
        <v>2307</v>
      </c>
      <c r="B256" s="135" t="s">
        <v>589</v>
      </c>
      <c r="C256" s="135" t="s">
        <v>386</v>
      </c>
      <c r="D256" s="136" t="s">
        <v>1353</v>
      </c>
      <c r="E256" s="136" t="s">
        <v>1448</v>
      </c>
      <c r="F256" s="135" t="s">
        <v>572</v>
      </c>
      <c r="G256" s="136" t="s">
        <v>1437</v>
      </c>
      <c r="H256" s="135" t="s">
        <v>383</v>
      </c>
      <c r="I256" s="135" t="s">
        <v>454</v>
      </c>
      <c r="J256" s="135" t="s">
        <v>454</v>
      </c>
      <c r="K256" s="135" t="s">
        <v>588</v>
      </c>
      <c r="L256" s="136" t="s">
        <v>1914</v>
      </c>
      <c r="M256" s="135" t="s">
        <v>383</v>
      </c>
      <c r="N256" s="136"/>
      <c r="O256" s="136" t="s">
        <v>535</v>
      </c>
      <c r="P256" s="136" t="s">
        <v>590</v>
      </c>
      <c r="Q256" s="135" t="s">
        <v>546</v>
      </c>
      <c r="R256" s="135" t="s">
        <v>545</v>
      </c>
      <c r="S256" s="136"/>
      <c r="U256" s="135" t="s">
        <v>587</v>
      </c>
      <c r="V256" s="135" t="s">
        <v>586</v>
      </c>
      <c r="X256" s="135" t="s">
        <v>571</v>
      </c>
      <c r="Z256" s="135" t="s">
        <v>543</v>
      </c>
      <c r="AA256" s="136"/>
      <c r="AB256" s="135" t="s">
        <v>2308</v>
      </c>
    </row>
    <row r="257" spans="1:28">
      <c r="A257" s="136" t="s">
        <v>2309</v>
      </c>
      <c r="B257" s="135" t="s">
        <v>584</v>
      </c>
      <c r="C257" s="135" t="s">
        <v>386</v>
      </c>
      <c r="D257" s="136" t="s">
        <v>1350</v>
      </c>
      <c r="E257" s="136" t="s">
        <v>1448</v>
      </c>
      <c r="F257" s="135" t="s">
        <v>572</v>
      </c>
      <c r="G257" s="136" t="s">
        <v>1437</v>
      </c>
      <c r="H257" s="135" t="s">
        <v>383</v>
      </c>
      <c r="I257" s="135" t="s">
        <v>454</v>
      </c>
      <c r="J257" s="135" t="s">
        <v>454</v>
      </c>
      <c r="K257" s="135" t="s">
        <v>583</v>
      </c>
      <c r="L257" s="136" t="s">
        <v>1914</v>
      </c>
      <c r="M257" s="135" t="s">
        <v>383</v>
      </c>
      <c r="N257" s="136"/>
      <c r="O257" s="136" t="s">
        <v>535</v>
      </c>
      <c r="P257" s="136" t="s">
        <v>585</v>
      </c>
      <c r="Q257" s="135" t="s">
        <v>574</v>
      </c>
      <c r="R257" s="135" t="s">
        <v>573</v>
      </c>
      <c r="S257" s="136"/>
      <c r="U257" s="135" t="s">
        <v>582</v>
      </c>
      <c r="V257" s="135" t="s">
        <v>562</v>
      </c>
      <c r="X257" s="135" t="s">
        <v>571</v>
      </c>
      <c r="Z257" s="135" t="s">
        <v>567</v>
      </c>
      <c r="AA257" s="136"/>
      <c r="AB257" s="135" t="s">
        <v>2310</v>
      </c>
    </row>
    <row r="258" spans="1:28">
      <c r="A258" s="136" t="s">
        <v>2311</v>
      </c>
      <c r="B258" s="135" t="s">
        <v>580</v>
      </c>
      <c r="C258" s="135" t="s">
        <v>386</v>
      </c>
      <c r="D258" s="136" t="s">
        <v>1350</v>
      </c>
      <c r="E258" s="136" t="s">
        <v>1448</v>
      </c>
      <c r="F258" s="135" t="s">
        <v>572</v>
      </c>
      <c r="G258" s="136" t="s">
        <v>1437</v>
      </c>
      <c r="H258" s="135" t="s">
        <v>383</v>
      </c>
      <c r="I258" s="135" t="s">
        <v>454</v>
      </c>
      <c r="J258" s="135" t="s">
        <v>454</v>
      </c>
      <c r="K258" s="135" t="s">
        <v>579</v>
      </c>
      <c r="L258" s="136" t="s">
        <v>1914</v>
      </c>
      <c r="M258" s="135" t="s">
        <v>383</v>
      </c>
      <c r="N258" s="136"/>
      <c r="O258" s="136" t="s">
        <v>535</v>
      </c>
      <c r="P258" s="136" t="s">
        <v>581</v>
      </c>
      <c r="Q258" s="135" t="s">
        <v>574</v>
      </c>
      <c r="R258" s="135" t="s">
        <v>573</v>
      </c>
      <c r="S258" s="136"/>
      <c r="U258" s="135" t="s">
        <v>578</v>
      </c>
      <c r="V258" s="135" t="s">
        <v>577</v>
      </c>
      <c r="X258" s="135" t="s">
        <v>571</v>
      </c>
      <c r="Z258" s="135" t="s">
        <v>567</v>
      </c>
      <c r="AA258" s="136"/>
      <c r="AB258" s="135" t="s">
        <v>2312</v>
      </c>
    </row>
    <row r="259" spans="1:28">
      <c r="A259" s="136" t="s">
        <v>2313</v>
      </c>
      <c r="B259" s="135" t="s">
        <v>575</v>
      </c>
      <c r="C259" s="135" t="s">
        <v>386</v>
      </c>
      <c r="D259" s="136" t="s">
        <v>1350</v>
      </c>
      <c r="E259" s="136" t="s">
        <v>1448</v>
      </c>
      <c r="F259" s="135" t="s">
        <v>572</v>
      </c>
      <c r="G259" s="136" t="s">
        <v>1437</v>
      </c>
      <c r="H259" s="135" t="s">
        <v>383</v>
      </c>
      <c r="I259" s="135" t="s">
        <v>454</v>
      </c>
      <c r="J259" s="135" t="s">
        <v>454</v>
      </c>
      <c r="K259" s="135" t="s">
        <v>570</v>
      </c>
      <c r="L259" s="136" t="s">
        <v>1914</v>
      </c>
      <c r="M259" s="135" t="s">
        <v>383</v>
      </c>
      <c r="N259" s="136"/>
      <c r="O259" s="136" t="s">
        <v>535</v>
      </c>
      <c r="P259" s="136" t="s">
        <v>576</v>
      </c>
      <c r="Q259" s="135" t="s">
        <v>574</v>
      </c>
      <c r="R259" s="135" t="s">
        <v>573</v>
      </c>
      <c r="S259" s="136"/>
      <c r="U259" s="135" t="s">
        <v>569</v>
      </c>
      <c r="V259" s="135" t="s">
        <v>568</v>
      </c>
      <c r="X259" s="135" t="s">
        <v>571</v>
      </c>
      <c r="Z259" s="135" t="s">
        <v>567</v>
      </c>
      <c r="AA259" s="136"/>
      <c r="AB259" s="135" t="s">
        <v>2314</v>
      </c>
    </row>
    <row r="260" spans="1:28">
      <c r="A260" s="136" t="s">
        <v>2315</v>
      </c>
      <c r="B260" s="135" t="s">
        <v>2316</v>
      </c>
      <c r="C260" s="135" t="s">
        <v>386</v>
      </c>
      <c r="D260" s="136" t="s">
        <v>1339</v>
      </c>
      <c r="E260" s="136" t="s">
        <v>2317</v>
      </c>
      <c r="F260" s="135" t="s">
        <v>572</v>
      </c>
      <c r="G260" s="136" t="s">
        <v>1437</v>
      </c>
      <c r="H260" s="135" t="s">
        <v>383</v>
      </c>
      <c r="I260" s="135" t="s">
        <v>454</v>
      </c>
      <c r="J260" s="135" t="s">
        <v>454</v>
      </c>
      <c r="K260" s="135" t="s">
        <v>2318</v>
      </c>
      <c r="L260" s="136" t="s">
        <v>1860</v>
      </c>
      <c r="M260" s="135" t="s">
        <v>383</v>
      </c>
      <c r="N260" s="136"/>
      <c r="O260" s="136" t="s">
        <v>535</v>
      </c>
      <c r="P260" s="136" t="s">
        <v>2319</v>
      </c>
      <c r="Q260" s="135" t="s">
        <v>536</v>
      </c>
      <c r="R260" s="135" t="s">
        <v>534</v>
      </c>
      <c r="S260" s="136"/>
      <c r="V260" s="135" t="s">
        <v>2320</v>
      </c>
      <c r="X260" s="135" t="s">
        <v>571</v>
      </c>
      <c r="Z260" s="135" t="s">
        <v>994</v>
      </c>
      <c r="AA260" s="136"/>
      <c r="AB260" s="135" t="s">
        <v>2321</v>
      </c>
    </row>
    <row r="261" spans="1:28">
      <c r="A261" s="136" t="s">
        <v>2322</v>
      </c>
      <c r="B261" s="135" t="s">
        <v>2323</v>
      </c>
      <c r="C261" s="135" t="s">
        <v>386</v>
      </c>
      <c r="D261" s="136" t="s">
        <v>1350</v>
      </c>
      <c r="E261" s="136" t="s">
        <v>2317</v>
      </c>
      <c r="F261" s="135" t="s">
        <v>604</v>
      </c>
      <c r="G261" s="136" t="s">
        <v>1437</v>
      </c>
      <c r="H261" s="135" t="s">
        <v>383</v>
      </c>
      <c r="I261" s="135" t="s">
        <v>454</v>
      </c>
      <c r="J261" s="135" t="s">
        <v>454</v>
      </c>
      <c r="K261" s="135" t="s">
        <v>2318</v>
      </c>
      <c r="L261" s="136" t="s">
        <v>1860</v>
      </c>
      <c r="M261" s="135" t="s">
        <v>383</v>
      </c>
      <c r="N261" s="136"/>
      <c r="O261" s="136" t="s">
        <v>535</v>
      </c>
      <c r="P261" s="136" t="s">
        <v>2324</v>
      </c>
      <c r="Q261" s="135" t="s">
        <v>574</v>
      </c>
      <c r="R261" s="135" t="s">
        <v>573</v>
      </c>
      <c r="S261" s="136"/>
      <c r="V261" s="135" t="s">
        <v>2320</v>
      </c>
      <c r="X261" s="135" t="s">
        <v>603</v>
      </c>
      <c r="Z261" s="135" t="s">
        <v>994</v>
      </c>
      <c r="AA261" s="136"/>
      <c r="AB261" s="135" t="s">
        <v>2325</v>
      </c>
    </row>
    <row r="262" spans="1:28">
      <c r="A262" s="136" t="s">
        <v>2326</v>
      </c>
      <c r="B262" s="135" t="s">
        <v>2327</v>
      </c>
      <c r="C262" s="135" t="s">
        <v>386</v>
      </c>
      <c r="D262" s="136" t="s">
        <v>1339</v>
      </c>
      <c r="E262" s="136" t="s">
        <v>457</v>
      </c>
      <c r="F262" s="135" t="s">
        <v>572</v>
      </c>
      <c r="G262" s="136" t="s">
        <v>1437</v>
      </c>
      <c r="H262" s="135" t="s">
        <v>383</v>
      </c>
      <c r="I262" s="135" t="s">
        <v>494</v>
      </c>
      <c r="J262" s="135" t="s">
        <v>494</v>
      </c>
      <c r="K262" s="135" t="s">
        <v>530</v>
      </c>
      <c r="L262" s="136" t="s">
        <v>1397</v>
      </c>
      <c r="M262" s="135" t="s">
        <v>383</v>
      </c>
      <c r="N262" s="136"/>
      <c r="O262" s="136" t="s">
        <v>535</v>
      </c>
      <c r="P262" s="136" t="s">
        <v>2328</v>
      </c>
      <c r="Q262" s="135" t="s">
        <v>536</v>
      </c>
      <c r="R262" s="135" t="s">
        <v>534</v>
      </c>
      <c r="S262" s="136"/>
      <c r="V262" s="135" t="s">
        <v>529</v>
      </c>
      <c r="X262" s="135" t="s">
        <v>571</v>
      </c>
      <c r="Z262" s="135" t="s">
        <v>1572</v>
      </c>
      <c r="AA262" s="136"/>
      <c r="AB262" s="135" t="s">
        <v>2329</v>
      </c>
    </row>
    <row r="263" spans="1:28">
      <c r="A263" s="136" t="s">
        <v>2330</v>
      </c>
      <c r="B263" s="135" t="s">
        <v>2331</v>
      </c>
      <c r="C263" s="135" t="s">
        <v>386</v>
      </c>
      <c r="D263" s="136" t="s">
        <v>1350</v>
      </c>
      <c r="E263" s="136" t="s">
        <v>457</v>
      </c>
      <c r="F263" s="135" t="s">
        <v>572</v>
      </c>
      <c r="G263" s="136" t="s">
        <v>1437</v>
      </c>
      <c r="H263" s="135" t="s">
        <v>383</v>
      </c>
      <c r="I263" s="135" t="s">
        <v>494</v>
      </c>
      <c r="J263" s="135" t="s">
        <v>494</v>
      </c>
      <c r="K263" s="135" t="s">
        <v>530</v>
      </c>
      <c r="L263" s="136" t="s">
        <v>1397</v>
      </c>
      <c r="M263" s="135" t="s">
        <v>383</v>
      </c>
      <c r="N263" s="136"/>
      <c r="O263" s="136" t="s">
        <v>535</v>
      </c>
      <c r="P263" s="136" t="s">
        <v>2332</v>
      </c>
      <c r="Q263" s="135" t="s">
        <v>574</v>
      </c>
      <c r="R263" s="135" t="s">
        <v>573</v>
      </c>
      <c r="S263" s="136"/>
      <c r="V263" s="135" t="s">
        <v>529</v>
      </c>
      <c r="X263" s="135" t="s">
        <v>571</v>
      </c>
      <c r="Z263" s="135" t="s">
        <v>1572</v>
      </c>
      <c r="AA263" s="136"/>
      <c r="AB263" s="135" t="s">
        <v>2333</v>
      </c>
    </row>
    <row r="264" spans="1:28">
      <c r="A264" s="136" t="s">
        <v>2334</v>
      </c>
      <c r="B264" s="135" t="s">
        <v>2335</v>
      </c>
      <c r="C264" s="135" t="s">
        <v>386</v>
      </c>
      <c r="D264" s="136" t="s">
        <v>1339</v>
      </c>
      <c r="E264" s="136" t="s">
        <v>457</v>
      </c>
      <c r="F264" s="135" t="s">
        <v>572</v>
      </c>
      <c r="G264" s="136" t="s">
        <v>1437</v>
      </c>
      <c r="H264" s="135" t="s">
        <v>383</v>
      </c>
      <c r="I264" s="135" t="s">
        <v>494</v>
      </c>
      <c r="J264" s="135" t="s">
        <v>494</v>
      </c>
      <c r="K264" s="135" t="s">
        <v>530</v>
      </c>
      <c r="L264" s="136" t="s">
        <v>1397</v>
      </c>
      <c r="M264" s="135" t="s">
        <v>383</v>
      </c>
      <c r="N264" s="136"/>
      <c r="O264" s="136" t="s">
        <v>535</v>
      </c>
      <c r="P264" s="136" t="s">
        <v>2336</v>
      </c>
      <c r="Q264" s="135" t="s">
        <v>536</v>
      </c>
      <c r="R264" s="135" t="s">
        <v>534</v>
      </c>
      <c r="S264" s="136"/>
      <c r="V264" s="135" t="s">
        <v>529</v>
      </c>
      <c r="X264" s="135" t="s">
        <v>571</v>
      </c>
      <c r="Z264" s="135" t="s">
        <v>1572</v>
      </c>
      <c r="AA264" s="136"/>
      <c r="AB264" s="135" t="s">
        <v>2337</v>
      </c>
    </row>
    <row r="265" spans="1:28">
      <c r="A265" s="136" t="s">
        <v>2338</v>
      </c>
      <c r="B265" s="135" t="s">
        <v>2339</v>
      </c>
      <c r="C265" s="135" t="s">
        <v>386</v>
      </c>
      <c r="D265" s="136" t="s">
        <v>1353</v>
      </c>
      <c r="E265" s="136" t="s">
        <v>1448</v>
      </c>
      <c r="F265" s="135" t="s">
        <v>604</v>
      </c>
      <c r="G265" s="136" t="s">
        <v>1437</v>
      </c>
      <c r="H265" s="135" t="s">
        <v>383</v>
      </c>
      <c r="I265" s="135" t="s">
        <v>494</v>
      </c>
      <c r="J265" s="135" t="s">
        <v>494</v>
      </c>
      <c r="K265" s="135" t="s">
        <v>530</v>
      </c>
      <c r="L265" s="136" t="s">
        <v>1397</v>
      </c>
      <c r="M265" s="135" t="s">
        <v>383</v>
      </c>
      <c r="N265" s="136"/>
      <c r="O265" s="136" t="s">
        <v>535</v>
      </c>
      <c r="P265" s="136" t="s">
        <v>2340</v>
      </c>
      <c r="Q265" s="135" t="s">
        <v>546</v>
      </c>
      <c r="R265" s="135" t="s">
        <v>545</v>
      </c>
      <c r="S265" s="136"/>
      <c r="V265" s="135" t="s">
        <v>529</v>
      </c>
      <c r="X265" s="135" t="s">
        <v>603</v>
      </c>
      <c r="Z265" s="135" t="s">
        <v>1572</v>
      </c>
      <c r="AA265" s="136"/>
      <c r="AB265" s="135" t="s">
        <v>2341</v>
      </c>
    </row>
    <row r="266" spans="1:28">
      <c r="A266" s="136" t="s">
        <v>2342</v>
      </c>
      <c r="B266" s="135" t="s">
        <v>2343</v>
      </c>
      <c r="C266" s="135" t="s">
        <v>386</v>
      </c>
      <c r="D266" s="136" t="s">
        <v>1353</v>
      </c>
      <c r="E266" s="136" t="s">
        <v>1448</v>
      </c>
      <c r="F266" s="135" t="s">
        <v>604</v>
      </c>
      <c r="G266" s="136" t="s">
        <v>1437</v>
      </c>
      <c r="H266" s="135" t="s">
        <v>383</v>
      </c>
      <c r="I266" s="135" t="s">
        <v>494</v>
      </c>
      <c r="J266" s="135" t="s">
        <v>494</v>
      </c>
      <c r="K266" s="135" t="s">
        <v>530</v>
      </c>
      <c r="L266" s="136" t="s">
        <v>1397</v>
      </c>
      <c r="M266" s="135" t="s">
        <v>383</v>
      </c>
      <c r="N266" s="136"/>
      <c r="O266" s="136" t="s">
        <v>535</v>
      </c>
      <c r="P266" s="136" t="s">
        <v>2344</v>
      </c>
      <c r="Q266" s="135" t="s">
        <v>546</v>
      </c>
      <c r="R266" s="135" t="s">
        <v>545</v>
      </c>
      <c r="S266" s="136"/>
      <c r="V266" s="135" t="s">
        <v>529</v>
      </c>
      <c r="X266" s="135" t="s">
        <v>603</v>
      </c>
      <c r="Z266" s="135" t="s">
        <v>1572</v>
      </c>
      <c r="AA266" s="136"/>
      <c r="AB266" s="135" t="s">
        <v>2345</v>
      </c>
    </row>
    <row r="267" spans="1:28">
      <c r="A267" s="136" t="s">
        <v>2346</v>
      </c>
      <c r="B267" s="135" t="s">
        <v>2347</v>
      </c>
      <c r="C267" s="135" t="s">
        <v>386</v>
      </c>
      <c r="D267" s="136" t="s">
        <v>1353</v>
      </c>
      <c r="E267" s="136" t="s">
        <v>1448</v>
      </c>
      <c r="F267" s="135" t="s">
        <v>604</v>
      </c>
      <c r="G267" s="136" t="s">
        <v>1437</v>
      </c>
      <c r="H267" s="135" t="s">
        <v>383</v>
      </c>
      <c r="I267" s="135" t="s">
        <v>494</v>
      </c>
      <c r="J267" s="135" t="s">
        <v>494</v>
      </c>
      <c r="K267" s="135" t="s">
        <v>530</v>
      </c>
      <c r="L267" s="136" t="s">
        <v>1397</v>
      </c>
      <c r="M267" s="135" t="s">
        <v>383</v>
      </c>
      <c r="N267" s="136"/>
      <c r="O267" s="136" t="s">
        <v>535</v>
      </c>
      <c r="P267" s="136" t="s">
        <v>2348</v>
      </c>
      <c r="Q267" s="135" t="s">
        <v>546</v>
      </c>
      <c r="R267" s="135" t="s">
        <v>545</v>
      </c>
      <c r="S267" s="136"/>
      <c r="V267" s="135" t="s">
        <v>529</v>
      </c>
      <c r="X267" s="135" t="s">
        <v>603</v>
      </c>
      <c r="Z267" s="135" t="s">
        <v>1572</v>
      </c>
      <c r="AA267" s="136"/>
      <c r="AB267" s="135" t="s">
        <v>2349</v>
      </c>
    </row>
    <row r="268" spans="1:28">
      <c r="A268" s="136" t="s">
        <v>2350</v>
      </c>
      <c r="B268" s="135" t="s">
        <v>2351</v>
      </c>
      <c r="C268" s="135" t="s">
        <v>386</v>
      </c>
      <c r="D268" s="136" t="s">
        <v>1339</v>
      </c>
      <c r="E268" s="136" t="s">
        <v>1340</v>
      </c>
      <c r="F268" s="135" t="s">
        <v>572</v>
      </c>
      <c r="G268" s="136" t="s">
        <v>1437</v>
      </c>
      <c r="H268" s="135" t="s">
        <v>383</v>
      </c>
      <c r="I268" s="135" t="s">
        <v>454</v>
      </c>
      <c r="J268" s="135" t="s">
        <v>454</v>
      </c>
      <c r="K268" s="135" t="s">
        <v>2352</v>
      </c>
      <c r="L268" s="136" t="s">
        <v>1567</v>
      </c>
      <c r="M268" s="135" t="s">
        <v>383</v>
      </c>
      <c r="N268" s="136"/>
      <c r="O268" s="136" t="s">
        <v>535</v>
      </c>
      <c r="P268" s="136" t="s">
        <v>2353</v>
      </c>
      <c r="Q268" s="135" t="s">
        <v>536</v>
      </c>
      <c r="R268" s="135" t="s">
        <v>534</v>
      </c>
      <c r="S268" s="136"/>
      <c r="V268" s="135" t="s">
        <v>980</v>
      </c>
      <c r="X268" s="135" t="s">
        <v>571</v>
      </c>
      <c r="Z268" s="135" t="s">
        <v>1572</v>
      </c>
      <c r="AA268" s="136"/>
      <c r="AB268" s="135" t="s">
        <v>2354</v>
      </c>
    </row>
    <row r="269" spans="1:28">
      <c r="A269" s="136" t="s">
        <v>2355</v>
      </c>
      <c r="B269" s="135" t="s">
        <v>2356</v>
      </c>
      <c r="C269" s="135" t="s">
        <v>386</v>
      </c>
      <c r="D269" s="136" t="s">
        <v>1350</v>
      </c>
      <c r="E269" s="136" t="s">
        <v>1340</v>
      </c>
      <c r="F269" s="135" t="s">
        <v>2357</v>
      </c>
      <c r="G269" s="136" t="s">
        <v>1437</v>
      </c>
      <c r="H269" s="135" t="s">
        <v>383</v>
      </c>
      <c r="I269" s="135" t="s">
        <v>454</v>
      </c>
      <c r="J269" s="135" t="s">
        <v>454</v>
      </c>
      <c r="K269" s="135" t="s">
        <v>2358</v>
      </c>
      <c r="L269" s="136" t="s">
        <v>1450</v>
      </c>
      <c r="M269" s="135" t="s">
        <v>383</v>
      </c>
      <c r="N269" s="136"/>
      <c r="O269" s="136" t="s">
        <v>535</v>
      </c>
      <c r="P269" s="136" t="s">
        <v>2359</v>
      </c>
      <c r="Q269" s="135" t="s">
        <v>574</v>
      </c>
      <c r="R269" s="135" t="s">
        <v>573</v>
      </c>
      <c r="S269" s="136"/>
      <c r="V269" s="135" t="s">
        <v>1776</v>
      </c>
      <c r="X269" s="135" t="s">
        <v>2360</v>
      </c>
      <c r="Z269" s="135" t="s">
        <v>1372</v>
      </c>
      <c r="AA269" s="136"/>
      <c r="AB269" s="135" t="s">
        <v>2361</v>
      </c>
    </row>
    <row r="270" spans="1:28">
      <c r="A270" s="136" t="s">
        <v>2362</v>
      </c>
      <c r="B270" s="135" t="s">
        <v>2363</v>
      </c>
      <c r="C270" s="135" t="s">
        <v>386</v>
      </c>
      <c r="D270" s="136" t="s">
        <v>1353</v>
      </c>
      <c r="E270" s="136" t="s">
        <v>1340</v>
      </c>
      <c r="F270" s="135" t="s">
        <v>2357</v>
      </c>
      <c r="G270" s="136" t="s">
        <v>1437</v>
      </c>
      <c r="H270" s="135" t="s">
        <v>383</v>
      </c>
      <c r="I270" s="135" t="s">
        <v>454</v>
      </c>
      <c r="J270" s="135" t="s">
        <v>454</v>
      </c>
      <c r="K270" s="135" t="s">
        <v>2364</v>
      </c>
      <c r="L270" s="136" t="s">
        <v>1450</v>
      </c>
      <c r="M270" s="135" t="s">
        <v>383</v>
      </c>
      <c r="N270" s="136"/>
      <c r="O270" s="136" t="s">
        <v>535</v>
      </c>
      <c r="P270" s="136" t="s">
        <v>2365</v>
      </c>
      <c r="Q270" s="135" t="s">
        <v>546</v>
      </c>
      <c r="R270" s="135" t="s">
        <v>545</v>
      </c>
      <c r="S270" s="136"/>
      <c r="V270" s="135" t="s">
        <v>1958</v>
      </c>
      <c r="X270" s="135" t="s">
        <v>2360</v>
      </c>
      <c r="Z270" s="135" t="s">
        <v>1372</v>
      </c>
      <c r="AA270" s="136"/>
      <c r="AB270" s="135" t="s">
        <v>2366</v>
      </c>
    </row>
    <row r="271" spans="1:28">
      <c r="A271" s="136" t="s">
        <v>2367</v>
      </c>
      <c r="B271" s="135" t="s">
        <v>2368</v>
      </c>
      <c r="C271" s="135" t="s">
        <v>386</v>
      </c>
      <c r="D271" s="136" t="s">
        <v>1350</v>
      </c>
      <c r="E271" s="136" t="s">
        <v>1340</v>
      </c>
      <c r="F271" s="135" t="s">
        <v>2357</v>
      </c>
      <c r="G271" s="136" t="s">
        <v>1437</v>
      </c>
      <c r="H271" s="135" t="s">
        <v>383</v>
      </c>
      <c r="I271" s="135" t="s">
        <v>454</v>
      </c>
      <c r="J271" s="135" t="s">
        <v>454</v>
      </c>
      <c r="K271" s="135" t="s">
        <v>2369</v>
      </c>
      <c r="L271" s="136" t="s">
        <v>1450</v>
      </c>
      <c r="M271" s="135" t="s">
        <v>383</v>
      </c>
      <c r="N271" s="136"/>
      <c r="O271" s="136" t="s">
        <v>535</v>
      </c>
      <c r="P271" s="136" t="s">
        <v>2370</v>
      </c>
      <c r="Q271" s="135" t="s">
        <v>574</v>
      </c>
      <c r="R271" s="135" t="s">
        <v>573</v>
      </c>
      <c r="S271" s="136"/>
      <c r="V271" s="135" t="s">
        <v>2371</v>
      </c>
      <c r="X271" s="135" t="s">
        <v>2360</v>
      </c>
      <c r="Z271" s="135" t="s">
        <v>1372</v>
      </c>
      <c r="AA271" s="136"/>
      <c r="AB271" s="135" t="s">
        <v>2372</v>
      </c>
    </row>
    <row r="272" spans="1:28">
      <c r="A272" s="136" t="s">
        <v>2373</v>
      </c>
      <c r="B272" s="135" t="s">
        <v>2374</v>
      </c>
      <c r="C272" s="135" t="s">
        <v>386</v>
      </c>
      <c r="D272" s="136" t="s">
        <v>1339</v>
      </c>
      <c r="E272" s="136" t="s">
        <v>457</v>
      </c>
      <c r="F272" s="135" t="s">
        <v>2375</v>
      </c>
      <c r="G272" s="136" t="s">
        <v>1567</v>
      </c>
      <c r="H272" s="135" t="s">
        <v>383</v>
      </c>
      <c r="I272" s="135" t="s">
        <v>454</v>
      </c>
      <c r="J272" s="135" t="s">
        <v>454</v>
      </c>
      <c r="K272" s="135" t="s">
        <v>2376</v>
      </c>
      <c r="L272" s="136" t="s">
        <v>412</v>
      </c>
      <c r="N272" s="136"/>
      <c r="O272" s="136" t="s">
        <v>535</v>
      </c>
      <c r="P272" s="136" t="s">
        <v>566</v>
      </c>
      <c r="Q272" s="135" t="s">
        <v>536</v>
      </c>
      <c r="R272" s="135" t="s">
        <v>534</v>
      </c>
      <c r="S272" s="136"/>
      <c r="U272" s="135" t="s">
        <v>2376</v>
      </c>
      <c r="V272" s="135" t="s">
        <v>452</v>
      </c>
      <c r="X272" s="135" t="s">
        <v>1468</v>
      </c>
      <c r="Z272" s="135" t="s">
        <v>1572</v>
      </c>
      <c r="AA272" s="136"/>
      <c r="AB272" s="135" t="s">
        <v>2377</v>
      </c>
    </row>
    <row r="273" spans="1:28">
      <c r="A273" s="136" t="s">
        <v>2378</v>
      </c>
      <c r="B273" s="135" t="s">
        <v>2379</v>
      </c>
      <c r="C273" s="135" t="s">
        <v>386</v>
      </c>
      <c r="D273" s="136" t="s">
        <v>1339</v>
      </c>
      <c r="E273" s="136" t="s">
        <v>457</v>
      </c>
      <c r="F273" s="135" t="s">
        <v>2375</v>
      </c>
      <c r="G273" s="136" t="s">
        <v>1567</v>
      </c>
      <c r="H273" s="135" t="s">
        <v>383</v>
      </c>
      <c r="I273" s="135" t="s">
        <v>454</v>
      </c>
      <c r="J273" s="135" t="s">
        <v>454</v>
      </c>
      <c r="K273" s="135" t="s">
        <v>2380</v>
      </c>
      <c r="L273" s="136" t="s">
        <v>413</v>
      </c>
      <c r="N273" s="136"/>
      <c r="O273" s="136" t="s">
        <v>535</v>
      </c>
      <c r="P273" s="136" t="s">
        <v>561</v>
      </c>
      <c r="Q273" s="135" t="s">
        <v>536</v>
      </c>
      <c r="R273" s="135" t="s">
        <v>534</v>
      </c>
      <c r="S273" s="136"/>
      <c r="U273" s="135" t="s">
        <v>2380</v>
      </c>
      <c r="V273" s="135" t="s">
        <v>452</v>
      </c>
      <c r="X273" s="135" t="s">
        <v>1468</v>
      </c>
      <c r="Z273" s="135" t="s">
        <v>1572</v>
      </c>
      <c r="AA273" s="136"/>
      <c r="AB273" s="135" t="s">
        <v>2381</v>
      </c>
    </row>
    <row r="274" spans="1:28">
      <c r="A274" s="136" t="s">
        <v>2382</v>
      </c>
      <c r="B274" s="135" t="s">
        <v>2383</v>
      </c>
      <c r="C274" s="135" t="s">
        <v>386</v>
      </c>
      <c r="D274" s="136" t="s">
        <v>1339</v>
      </c>
      <c r="E274" s="136" t="s">
        <v>457</v>
      </c>
      <c r="F274" s="135" t="s">
        <v>2375</v>
      </c>
      <c r="G274" s="136" t="s">
        <v>1567</v>
      </c>
      <c r="H274" s="135" t="s">
        <v>383</v>
      </c>
      <c r="I274" s="135" t="s">
        <v>454</v>
      </c>
      <c r="J274" s="135" t="s">
        <v>454</v>
      </c>
      <c r="K274" s="135" t="s">
        <v>2384</v>
      </c>
      <c r="L274" s="136" t="s">
        <v>2385</v>
      </c>
      <c r="N274" s="136"/>
      <c r="O274" s="136" t="s">
        <v>535</v>
      </c>
      <c r="P274" s="136" t="s">
        <v>555</v>
      </c>
      <c r="Q274" s="135" t="s">
        <v>536</v>
      </c>
      <c r="R274" s="135" t="s">
        <v>534</v>
      </c>
      <c r="S274" s="136"/>
      <c r="U274" s="135" t="s">
        <v>2384</v>
      </c>
      <c r="V274" s="135" t="s">
        <v>452</v>
      </c>
      <c r="X274" s="135" t="s">
        <v>1468</v>
      </c>
      <c r="Z274" s="135" t="s">
        <v>1572</v>
      </c>
      <c r="AA274" s="136"/>
      <c r="AB274" s="135" t="s">
        <v>2386</v>
      </c>
    </row>
    <row r="275" spans="1:28">
      <c r="A275" s="136" t="s">
        <v>2387</v>
      </c>
      <c r="B275" s="135" t="s">
        <v>2388</v>
      </c>
      <c r="C275" s="135" t="s">
        <v>1486</v>
      </c>
      <c r="D275" s="136" t="s">
        <v>2389</v>
      </c>
      <c r="E275" s="136" t="s">
        <v>1396</v>
      </c>
      <c r="F275" s="135" t="s">
        <v>544</v>
      </c>
      <c r="G275" s="136" t="s">
        <v>1414</v>
      </c>
      <c r="H275" s="135" t="s">
        <v>383</v>
      </c>
      <c r="I275" s="135" t="s">
        <v>454</v>
      </c>
      <c r="J275" s="135" t="s">
        <v>454</v>
      </c>
      <c r="K275" s="135" t="s">
        <v>1164</v>
      </c>
      <c r="L275" s="136" t="s">
        <v>2390</v>
      </c>
      <c r="N275" s="136"/>
      <c r="O275" s="136" t="s">
        <v>727</v>
      </c>
      <c r="P275" s="136" t="s">
        <v>2391</v>
      </c>
      <c r="Q275" s="135" t="s">
        <v>1153</v>
      </c>
      <c r="R275" s="135" t="s">
        <v>1146</v>
      </c>
      <c r="S275" s="136"/>
      <c r="U275" s="135" t="s">
        <v>1164</v>
      </c>
      <c r="V275" s="135" t="s">
        <v>452</v>
      </c>
      <c r="X275" s="135" t="s">
        <v>529</v>
      </c>
      <c r="Z275" s="135" t="s">
        <v>788</v>
      </c>
      <c r="AA275" s="136"/>
      <c r="AB275" s="135" t="s">
        <v>2392</v>
      </c>
    </row>
    <row r="276" spans="1:28">
      <c r="A276" s="136" t="s">
        <v>2393</v>
      </c>
      <c r="B276" s="135" t="s">
        <v>2394</v>
      </c>
      <c r="C276" s="135" t="s">
        <v>1486</v>
      </c>
      <c r="D276" s="136" t="s">
        <v>2389</v>
      </c>
      <c r="E276" s="136" t="s">
        <v>1396</v>
      </c>
      <c r="F276" s="135" t="s">
        <v>544</v>
      </c>
      <c r="G276" s="136" t="s">
        <v>1414</v>
      </c>
      <c r="H276" s="135" t="s">
        <v>383</v>
      </c>
      <c r="I276" s="135" t="s">
        <v>494</v>
      </c>
      <c r="J276" s="135" t="s">
        <v>494</v>
      </c>
      <c r="K276" s="135" t="s">
        <v>1164</v>
      </c>
      <c r="L276" s="136" t="s">
        <v>2390</v>
      </c>
      <c r="N276" s="136"/>
      <c r="O276" s="136" t="s">
        <v>727</v>
      </c>
      <c r="P276" s="136" t="s">
        <v>2395</v>
      </c>
      <c r="Q276" s="135" t="s">
        <v>1153</v>
      </c>
      <c r="R276" s="135" t="s">
        <v>1146</v>
      </c>
      <c r="S276" s="136"/>
      <c r="U276" s="135" t="s">
        <v>1164</v>
      </c>
      <c r="V276" s="135" t="s">
        <v>452</v>
      </c>
      <c r="X276" s="135" t="s">
        <v>529</v>
      </c>
      <c r="Z276" s="135" t="s">
        <v>788</v>
      </c>
      <c r="AA276" s="136"/>
      <c r="AB276" s="135" t="s">
        <v>2396</v>
      </c>
    </row>
    <row r="277" spans="1:28">
      <c r="A277" s="136" t="s">
        <v>2397</v>
      </c>
      <c r="B277" s="135" t="s">
        <v>2398</v>
      </c>
      <c r="C277" s="135" t="s">
        <v>1486</v>
      </c>
      <c r="D277" s="136" t="s">
        <v>2389</v>
      </c>
      <c r="E277" s="136" t="s">
        <v>1396</v>
      </c>
      <c r="F277" s="135" t="s">
        <v>544</v>
      </c>
      <c r="G277" s="136" t="s">
        <v>1414</v>
      </c>
      <c r="H277" s="135" t="s">
        <v>383</v>
      </c>
      <c r="I277" s="135" t="s">
        <v>454</v>
      </c>
      <c r="J277" s="135" t="s">
        <v>454</v>
      </c>
      <c r="K277" s="135" t="s">
        <v>1163</v>
      </c>
      <c r="L277" s="136" t="s">
        <v>2399</v>
      </c>
      <c r="N277" s="136"/>
      <c r="O277" s="136" t="s">
        <v>727</v>
      </c>
      <c r="P277" s="136" t="s">
        <v>2400</v>
      </c>
      <c r="Q277" s="135" t="s">
        <v>1153</v>
      </c>
      <c r="R277" s="135" t="s">
        <v>1146</v>
      </c>
      <c r="S277" s="136"/>
      <c r="U277" s="135" t="s">
        <v>1163</v>
      </c>
      <c r="V277" s="135" t="s">
        <v>452</v>
      </c>
      <c r="X277" s="135" t="s">
        <v>529</v>
      </c>
      <c r="Z277" s="135" t="s">
        <v>788</v>
      </c>
      <c r="AA277" s="136"/>
      <c r="AB277" s="135" t="s">
        <v>2401</v>
      </c>
    </row>
    <row r="278" spans="1:28">
      <c r="A278" s="136" t="s">
        <v>2402</v>
      </c>
      <c r="B278" s="135" t="s">
        <v>2403</v>
      </c>
      <c r="C278" s="135" t="s">
        <v>1486</v>
      </c>
      <c r="D278" s="136" t="s">
        <v>2389</v>
      </c>
      <c r="E278" s="136" t="s">
        <v>1396</v>
      </c>
      <c r="F278" s="135" t="s">
        <v>1162</v>
      </c>
      <c r="G278" s="136" t="s">
        <v>2404</v>
      </c>
      <c r="I278" s="135" t="s">
        <v>494</v>
      </c>
      <c r="J278" s="135" t="s">
        <v>494</v>
      </c>
      <c r="K278" s="135" t="s">
        <v>1161</v>
      </c>
      <c r="L278" s="136" t="s">
        <v>2404</v>
      </c>
      <c r="N278" s="136"/>
      <c r="O278" s="136" t="s">
        <v>727</v>
      </c>
      <c r="P278" s="136" t="s">
        <v>2405</v>
      </c>
      <c r="Q278" s="135" t="s">
        <v>1153</v>
      </c>
      <c r="R278" s="135" t="s">
        <v>1146</v>
      </c>
      <c r="S278" s="136"/>
      <c r="U278" s="135" t="s">
        <v>1161</v>
      </c>
      <c r="V278" s="135" t="s">
        <v>452</v>
      </c>
      <c r="W278" s="135" t="s">
        <v>1162</v>
      </c>
      <c r="X278" s="135" t="s">
        <v>1154</v>
      </c>
      <c r="Z278" s="135" t="s">
        <v>788</v>
      </c>
      <c r="AA278" s="136"/>
      <c r="AB278" s="135" t="s">
        <v>2406</v>
      </c>
    </row>
    <row r="279" spans="1:28">
      <c r="A279" s="136" t="s">
        <v>2407</v>
      </c>
      <c r="B279" s="135" t="s">
        <v>2408</v>
      </c>
      <c r="C279" s="135" t="s">
        <v>1486</v>
      </c>
      <c r="D279" s="136" t="s">
        <v>2389</v>
      </c>
      <c r="E279" s="136" t="s">
        <v>1396</v>
      </c>
      <c r="F279" s="135" t="s">
        <v>544</v>
      </c>
      <c r="G279" s="136" t="s">
        <v>1414</v>
      </c>
      <c r="H279" s="135" t="s">
        <v>383</v>
      </c>
      <c r="I279" s="135" t="s">
        <v>454</v>
      </c>
      <c r="J279" s="135" t="s">
        <v>454</v>
      </c>
      <c r="K279" s="135" t="s">
        <v>1161</v>
      </c>
      <c r="L279" s="136" t="s">
        <v>2404</v>
      </c>
      <c r="N279" s="136"/>
      <c r="O279" s="136" t="s">
        <v>727</v>
      </c>
      <c r="P279" s="136" t="s">
        <v>2409</v>
      </c>
      <c r="Q279" s="135" t="s">
        <v>1153</v>
      </c>
      <c r="R279" s="135" t="s">
        <v>1146</v>
      </c>
      <c r="S279" s="136"/>
      <c r="U279" s="135" t="s">
        <v>1161</v>
      </c>
      <c r="V279" s="135" t="s">
        <v>452</v>
      </c>
      <c r="X279" s="135" t="s">
        <v>529</v>
      </c>
      <c r="Z279" s="135" t="s">
        <v>788</v>
      </c>
      <c r="AA279" s="136"/>
      <c r="AB279" s="135" t="s">
        <v>2410</v>
      </c>
    </row>
    <row r="280" spans="1:28">
      <c r="A280" s="136" t="s">
        <v>2411</v>
      </c>
      <c r="B280" s="135" t="s">
        <v>2412</v>
      </c>
      <c r="C280" s="135" t="s">
        <v>1486</v>
      </c>
      <c r="D280" s="136" t="s">
        <v>2389</v>
      </c>
      <c r="E280" s="136" t="s">
        <v>1396</v>
      </c>
      <c r="F280" s="135" t="s">
        <v>544</v>
      </c>
      <c r="G280" s="136" t="s">
        <v>1414</v>
      </c>
      <c r="H280" s="135" t="s">
        <v>383</v>
      </c>
      <c r="I280" s="135" t="s">
        <v>454</v>
      </c>
      <c r="J280" s="135" t="s">
        <v>454</v>
      </c>
      <c r="K280" s="135" t="s">
        <v>1160</v>
      </c>
      <c r="L280" s="136" t="s">
        <v>2413</v>
      </c>
      <c r="N280" s="136"/>
      <c r="O280" s="136" t="s">
        <v>727</v>
      </c>
      <c r="P280" s="136" t="s">
        <v>2405</v>
      </c>
      <c r="Q280" s="135" t="s">
        <v>1153</v>
      </c>
      <c r="R280" s="135" t="s">
        <v>1146</v>
      </c>
      <c r="S280" s="136"/>
      <c r="U280" s="135" t="s">
        <v>1160</v>
      </c>
      <c r="V280" s="135" t="s">
        <v>452</v>
      </c>
      <c r="X280" s="135" t="s">
        <v>529</v>
      </c>
      <c r="Z280" s="135" t="s">
        <v>788</v>
      </c>
      <c r="AA280" s="136"/>
      <c r="AB280" s="135" t="s">
        <v>2414</v>
      </c>
    </row>
    <row r="281" spans="1:28">
      <c r="A281" s="136" t="s">
        <v>2415</v>
      </c>
      <c r="B281" s="135" t="s">
        <v>2416</v>
      </c>
      <c r="C281" s="135" t="s">
        <v>1486</v>
      </c>
      <c r="D281" s="136" t="s">
        <v>2389</v>
      </c>
      <c r="E281" s="136" t="s">
        <v>1396</v>
      </c>
      <c r="F281" s="135" t="s">
        <v>544</v>
      </c>
      <c r="G281" s="136" t="s">
        <v>1414</v>
      </c>
      <c r="H281" s="135" t="s">
        <v>383</v>
      </c>
      <c r="I281" s="135" t="s">
        <v>494</v>
      </c>
      <c r="J281" s="135" t="s">
        <v>494</v>
      </c>
      <c r="K281" s="135" t="s">
        <v>1160</v>
      </c>
      <c r="L281" s="136" t="s">
        <v>2413</v>
      </c>
      <c r="N281" s="136"/>
      <c r="O281" s="136" t="s">
        <v>727</v>
      </c>
      <c r="P281" s="136" t="s">
        <v>2417</v>
      </c>
      <c r="Q281" s="135" t="s">
        <v>1153</v>
      </c>
      <c r="R281" s="135" t="s">
        <v>1146</v>
      </c>
      <c r="S281" s="136"/>
      <c r="U281" s="135" t="s">
        <v>1160</v>
      </c>
      <c r="V281" s="135" t="s">
        <v>452</v>
      </c>
      <c r="X281" s="135" t="s">
        <v>529</v>
      </c>
      <c r="Z281" s="135" t="s">
        <v>788</v>
      </c>
      <c r="AA281" s="136"/>
      <c r="AB281" s="135" t="s">
        <v>2418</v>
      </c>
    </row>
    <row r="282" spans="1:28">
      <c r="A282" s="136" t="s">
        <v>2419</v>
      </c>
      <c r="B282" s="135" t="s">
        <v>2420</v>
      </c>
      <c r="C282" s="135" t="s">
        <v>1486</v>
      </c>
      <c r="D282" s="136" t="s">
        <v>2389</v>
      </c>
      <c r="E282" s="136" t="s">
        <v>1396</v>
      </c>
      <c r="F282" s="135" t="s">
        <v>544</v>
      </c>
      <c r="G282" s="136" t="s">
        <v>1414</v>
      </c>
      <c r="H282" s="135" t="s">
        <v>383</v>
      </c>
      <c r="I282" s="135" t="s">
        <v>454</v>
      </c>
      <c r="J282" s="135" t="s">
        <v>454</v>
      </c>
      <c r="K282" s="135" t="s">
        <v>1159</v>
      </c>
      <c r="L282" s="136" t="s">
        <v>2421</v>
      </c>
      <c r="N282" s="136"/>
      <c r="O282" s="136" t="s">
        <v>727</v>
      </c>
      <c r="P282" s="136" t="s">
        <v>2422</v>
      </c>
      <c r="Q282" s="135" t="s">
        <v>1153</v>
      </c>
      <c r="R282" s="135" t="s">
        <v>1146</v>
      </c>
      <c r="S282" s="136"/>
      <c r="U282" s="135" t="s">
        <v>1159</v>
      </c>
      <c r="V282" s="135" t="s">
        <v>452</v>
      </c>
      <c r="X282" s="135" t="s">
        <v>529</v>
      </c>
      <c r="Z282" s="135" t="s">
        <v>788</v>
      </c>
      <c r="AA282" s="136"/>
      <c r="AB282" s="135" t="s">
        <v>2423</v>
      </c>
    </row>
    <row r="283" spans="1:28">
      <c r="A283" s="136" t="s">
        <v>2424</v>
      </c>
      <c r="B283" s="135" t="s">
        <v>2425</v>
      </c>
      <c r="C283" s="135" t="s">
        <v>1486</v>
      </c>
      <c r="D283" s="136" t="s">
        <v>2389</v>
      </c>
      <c r="E283" s="136" t="s">
        <v>1396</v>
      </c>
      <c r="F283" s="135" t="s">
        <v>544</v>
      </c>
      <c r="G283" s="136" t="s">
        <v>1414</v>
      </c>
      <c r="H283" s="135" t="s">
        <v>383</v>
      </c>
      <c r="I283" s="135" t="s">
        <v>454</v>
      </c>
      <c r="J283" s="135" t="s">
        <v>454</v>
      </c>
      <c r="K283" s="135" t="s">
        <v>1158</v>
      </c>
      <c r="L283" s="136" t="s">
        <v>2426</v>
      </c>
      <c r="N283" s="136"/>
      <c r="O283" s="136" t="s">
        <v>727</v>
      </c>
      <c r="P283" s="136" t="s">
        <v>2427</v>
      </c>
      <c r="Q283" s="135" t="s">
        <v>1153</v>
      </c>
      <c r="R283" s="135" t="s">
        <v>1146</v>
      </c>
      <c r="S283" s="136"/>
      <c r="U283" s="135" t="s">
        <v>1158</v>
      </c>
      <c r="V283" s="135" t="s">
        <v>452</v>
      </c>
      <c r="X283" s="135" t="s">
        <v>529</v>
      </c>
      <c r="Z283" s="135" t="s">
        <v>788</v>
      </c>
      <c r="AA283" s="136"/>
      <c r="AB283" s="135" t="s">
        <v>2428</v>
      </c>
    </row>
    <row r="284" spans="1:28">
      <c r="A284" s="136" t="s">
        <v>2429</v>
      </c>
      <c r="B284" s="135" t="s">
        <v>2430</v>
      </c>
      <c r="C284" s="135" t="s">
        <v>1486</v>
      </c>
      <c r="D284" s="136" t="s">
        <v>2389</v>
      </c>
      <c r="E284" s="136" t="s">
        <v>1396</v>
      </c>
      <c r="F284" s="135" t="s">
        <v>544</v>
      </c>
      <c r="G284" s="136" t="s">
        <v>1414</v>
      </c>
      <c r="H284" s="135" t="s">
        <v>383</v>
      </c>
      <c r="I284" s="135" t="s">
        <v>454</v>
      </c>
      <c r="J284" s="135" t="s">
        <v>454</v>
      </c>
      <c r="K284" s="135" t="s">
        <v>1157</v>
      </c>
      <c r="L284" s="136" t="s">
        <v>2431</v>
      </c>
      <c r="N284" s="136"/>
      <c r="O284" s="136" t="s">
        <v>727</v>
      </c>
      <c r="P284" s="136" t="s">
        <v>2432</v>
      </c>
      <c r="Q284" s="135" t="s">
        <v>1153</v>
      </c>
      <c r="R284" s="135" t="s">
        <v>1146</v>
      </c>
      <c r="S284" s="136"/>
      <c r="U284" s="135" t="s">
        <v>1157</v>
      </c>
      <c r="V284" s="135" t="s">
        <v>452</v>
      </c>
      <c r="X284" s="135" t="s">
        <v>529</v>
      </c>
      <c r="Z284" s="135" t="s">
        <v>788</v>
      </c>
      <c r="AA284" s="136"/>
      <c r="AB284" s="135" t="s">
        <v>2433</v>
      </c>
    </row>
    <row r="285" spans="1:28">
      <c r="A285" s="136" t="s">
        <v>2434</v>
      </c>
      <c r="B285" s="135" t="s">
        <v>2435</v>
      </c>
      <c r="C285" s="135" t="s">
        <v>1486</v>
      </c>
      <c r="D285" s="136" t="s">
        <v>2389</v>
      </c>
      <c r="E285" s="136" t="s">
        <v>1396</v>
      </c>
      <c r="F285" s="135" t="s">
        <v>544</v>
      </c>
      <c r="G285" s="136" t="s">
        <v>1414</v>
      </c>
      <c r="H285" s="135" t="s">
        <v>383</v>
      </c>
      <c r="I285" s="135" t="s">
        <v>494</v>
      </c>
      <c r="J285" s="135" t="s">
        <v>494</v>
      </c>
      <c r="K285" s="135" t="s">
        <v>1157</v>
      </c>
      <c r="L285" s="136" t="s">
        <v>2431</v>
      </c>
      <c r="N285" s="136"/>
      <c r="O285" s="136" t="s">
        <v>727</v>
      </c>
      <c r="P285" s="136" t="s">
        <v>2436</v>
      </c>
      <c r="Q285" s="135" t="s">
        <v>1153</v>
      </c>
      <c r="R285" s="135" t="s">
        <v>1146</v>
      </c>
      <c r="S285" s="136"/>
      <c r="U285" s="135" t="s">
        <v>1157</v>
      </c>
      <c r="V285" s="135" t="s">
        <v>452</v>
      </c>
      <c r="X285" s="135" t="s">
        <v>529</v>
      </c>
      <c r="Z285" s="135" t="s">
        <v>788</v>
      </c>
      <c r="AA285" s="136"/>
      <c r="AB285" s="135" t="s">
        <v>2437</v>
      </c>
    </row>
    <row r="286" spans="1:28">
      <c r="A286" s="136" t="s">
        <v>2438</v>
      </c>
      <c r="B286" s="135" t="s">
        <v>2439</v>
      </c>
      <c r="C286" s="135" t="s">
        <v>1486</v>
      </c>
      <c r="D286" s="136" t="s">
        <v>2389</v>
      </c>
      <c r="E286" s="136" t="s">
        <v>1396</v>
      </c>
      <c r="F286" s="135" t="s">
        <v>544</v>
      </c>
      <c r="G286" s="136" t="s">
        <v>1414</v>
      </c>
      <c r="H286" s="135" t="s">
        <v>383</v>
      </c>
      <c r="I286" s="135" t="s">
        <v>454</v>
      </c>
      <c r="J286" s="135" t="s">
        <v>454</v>
      </c>
      <c r="K286" s="135" t="s">
        <v>1156</v>
      </c>
      <c r="L286" s="136" t="s">
        <v>2440</v>
      </c>
      <c r="N286" s="136"/>
      <c r="O286" s="136" t="s">
        <v>727</v>
      </c>
      <c r="P286" s="136" t="s">
        <v>2441</v>
      </c>
      <c r="Q286" s="135" t="s">
        <v>1153</v>
      </c>
      <c r="R286" s="135" t="s">
        <v>1146</v>
      </c>
      <c r="S286" s="136"/>
      <c r="U286" s="135" t="s">
        <v>1156</v>
      </c>
      <c r="V286" s="135" t="s">
        <v>452</v>
      </c>
      <c r="X286" s="135" t="s">
        <v>529</v>
      </c>
      <c r="Z286" s="135" t="s">
        <v>788</v>
      </c>
      <c r="AA286" s="136"/>
      <c r="AB286" s="135" t="s">
        <v>2442</v>
      </c>
    </row>
    <row r="287" spans="1:28">
      <c r="A287" s="136" t="s">
        <v>2443</v>
      </c>
      <c r="B287" s="135" t="s">
        <v>2444</v>
      </c>
      <c r="C287" s="135" t="s">
        <v>1486</v>
      </c>
      <c r="D287" s="136" t="s">
        <v>2389</v>
      </c>
      <c r="E287" s="136" t="s">
        <v>1396</v>
      </c>
      <c r="F287" s="135" t="s">
        <v>1155</v>
      </c>
      <c r="G287" s="136" t="s">
        <v>2445</v>
      </c>
      <c r="I287" s="135" t="s">
        <v>494</v>
      </c>
      <c r="J287" s="135" t="s">
        <v>494</v>
      </c>
      <c r="K287" s="135" t="s">
        <v>1152</v>
      </c>
      <c r="L287" s="136" t="s">
        <v>2445</v>
      </c>
      <c r="N287" s="136"/>
      <c r="O287" s="136" t="s">
        <v>727</v>
      </c>
      <c r="P287" s="136" t="s">
        <v>2405</v>
      </c>
      <c r="Q287" s="135" t="s">
        <v>1153</v>
      </c>
      <c r="R287" s="135" t="s">
        <v>1146</v>
      </c>
      <c r="S287" s="136"/>
      <c r="U287" s="135" t="s">
        <v>1152</v>
      </c>
      <c r="V287" s="135" t="s">
        <v>452</v>
      </c>
      <c r="W287" s="135" t="s">
        <v>1155</v>
      </c>
      <c r="X287" s="135" t="s">
        <v>1154</v>
      </c>
      <c r="Z287" s="135" t="s">
        <v>788</v>
      </c>
      <c r="AA287" s="136"/>
      <c r="AB287" s="135" t="s">
        <v>2446</v>
      </c>
    </row>
    <row r="288" spans="1:28">
      <c r="A288" s="136" t="s">
        <v>2447</v>
      </c>
      <c r="B288" s="135" t="s">
        <v>2448</v>
      </c>
      <c r="C288" s="135" t="s">
        <v>1486</v>
      </c>
      <c r="D288" s="136" t="s">
        <v>2389</v>
      </c>
      <c r="E288" s="136" t="s">
        <v>1396</v>
      </c>
      <c r="F288" s="135" t="s">
        <v>544</v>
      </c>
      <c r="G288" s="136" t="s">
        <v>1414</v>
      </c>
      <c r="H288" s="135" t="s">
        <v>383</v>
      </c>
      <c r="I288" s="135" t="s">
        <v>454</v>
      </c>
      <c r="J288" s="135" t="s">
        <v>454</v>
      </c>
      <c r="K288" s="135" t="s">
        <v>1152</v>
      </c>
      <c r="L288" s="136" t="s">
        <v>2445</v>
      </c>
      <c r="N288" s="136"/>
      <c r="O288" s="136" t="s">
        <v>727</v>
      </c>
      <c r="P288" s="136" t="s">
        <v>2449</v>
      </c>
      <c r="Q288" s="135" t="s">
        <v>1153</v>
      </c>
      <c r="R288" s="135" t="s">
        <v>1146</v>
      </c>
      <c r="S288" s="136"/>
      <c r="U288" s="135" t="s">
        <v>1152</v>
      </c>
      <c r="V288" s="135" t="s">
        <v>452</v>
      </c>
      <c r="X288" s="135" t="s">
        <v>529</v>
      </c>
      <c r="Z288" s="135" t="s">
        <v>788</v>
      </c>
      <c r="AA288" s="136"/>
      <c r="AB288" s="135" t="s">
        <v>2450</v>
      </c>
    </row>
    <row r="289" spans="1:28">
      <c r="A289" s="136" t="s">
        <v>2451</v>
      </c>
      <c r="B289" s="135" t="s">
        <v>2452</v>
      </c>
      <c r="C289" s="135" t="s">
        <v>2453</v>
      </c>
      <c r="D289" s="136" t="s">
        <v>2454</v>
      </c>
      <c r="E289" s="136" t="s">
        <v>1396</v>
      </c>
      <c r="F289" s="135" t="s">
        <v>549</v>
      </c>
      <c r="G289" s="136" t="s">
        <v>1414</v>
      </c>
      <c r="H289" s="135" t="s">
        <v>383</v>
      </c>
      <c r="I289" s="135" t="s">
        <v>454</v>
      </c>
      <c r="J289" s="135" t="s">
        <v>454</v>
      </c>
      <c r="K289" s="135" t="s">
        <v>1151</v>
      </c>
      <c r="L289" s="136" t="s">
        <v>2455</v>
      </c>
      <c r="N289" s="136"/>
      <c r="O289" s="136" t="s">
        <v>727</v>
      </c>
      <c r="P289" s="136" t="s">
        <v>2456</v>
      </c>
      <c r="Q289" s="135" t="s">
        <v>1145</v>
      </c>
      <c r="R289" s="135" t="s">
        <v>842</v>
      </c>
      <c r="S289" s="136"/>
      <c r="U289" s="135" t="s">
        <v>1151</v>
      </c>
      <c r="V289" s="135" t="s">
        <v>452</v>
      </c>
      <c r="X289" s="135" t="s">
        <v>539</v>
      </c>
      <c r="Z289" s="135" t="s">
        <v>788</v>
      </c>
      <c r="AA289" s="136"/>
      <c r="AB289" s="135" t="s">
        <v>2457</v>
      </c>
    </row>
    <row r="290" spans="1:28">
      <c r="A290" s="136" t="s">
        <v>2458</v>
      </c>
      <c r="B290" s="135" t="s">
        <v>2459</v>
      </c>
      <c r="C290" s="135" t="s">
        <v>2453</v>
      </c>
      <c r="D290" s="136" t="s">
        <v>2454</v>
      </c>
      <c r="E290" s="136" t="s">
        <v>1396</v>
      </c>
      <c r="F290" s="135" t="s">
        <v>549</v>
      </c>
      <c r="G290" s="136" t="s">
        <v>1414</v>
      </c>
      <c r="H290" s="135" t="s">
        <v>383</v>
      </c>
      <c r="I290" s="135" t="s">
        <v>494</v>
      </c>
      <c r="J290" s="135" t="s">
        <v>494</v>
      </c>
      <c r="K290" s="135" t="s">
        <v>1150</v>
      </c>
      <c r="L290" s="136" t="s">
        <v>2460</v>
      </c>
      <c r="N290" s="136"/>
      <c r="O290" s="136" t="s">
        <v>727</v>
      </c>
      <c r="P290" s="136" t="s">
        <v>2461</v>
      </c>
      <c r="Q290" s="135" t="s">
        <v>1145</v>
      </c>
      <c r="R290" s="135" t="s">
        <v>842</v>
      </c>
      <c r="S290" s="136"/>
      <c r="U290" s="135" t="s">
        <v>1150</v>
      </c>
      <c r="V290" s="135" t="s">
        <v>452</v>
      </c>
      <c r="X290" s="135" t="s">
        <v>539</v>
      </c>
      <c r="Z290" s="135" t="s">
        <v>543</v>
      </c>
      <c r="AA290" s="136"/>
      <c r="AB290" s="135" t="s">
        <v>2462</v>
      </c>
    </row>
    <row r="291" spans="1:28">
      <c r="A291" s="136" t="s">
        <v>2463</v>
      </c>
      <c r="B291" s="135" t="s">
        <v>2464</v>
      </c>
      <c r="C291" s="135" t="s">
        <v>2453</v>
      </c>
      <c r="D291" s="136" t="s">
        <v>2454</v>
      </c>
      <c r="E291" s="136" t="s">
        <v>1396</v>
      </c>
      <c r="F291" s="135" t="s">
        <v>549</v>
      </c>
      <c r="G291" s="136" t="s">
        <v>1414</v>
      </c>
      <c r="H291" s="135" t="s">
        <v>383</v>
      </c>
      <c r="I291" s="135" t="s">
        <v>454</v>
      </c>
      <c r="J291" s="135" t="s">
        <v>454</v>
      </c>
      <c r="K291" s="135" t="s">
        <v>1149</v>
      </c>
      <c r="L291" s="136" t="s">
        <v>2465</v>
      </c>
      <c r="N291" s="136"/>
      <c r="O291" s="136" t="s">
        <v>727</v>
      </c>
      <c r="P291" s="136" t="s">
        <v>2466</v>
      </c>
      <c r="Q291" s="135" t="s">
        <v>1145</v>
      </c>
      <c r="R291" s="135" t="s">
        <v>842</v>
      </c>
      <c r="S291" s="136"/>
      <c r="U291" s="135" t="s">
        <v>1149</v>
      </c>
      <c r="V291" s="135" t="s">
        <v>452</v>
      </c>
      <c r="X291" s="135" t="s">
        <v>539</v>
      </c>
      <c r="Z291" s="135" t="s">
        <v>788</v>
      </c>
      <c r="AA291" s="136"/>
      <c r="AB291" s="135" t="s">
        <v>2467</v>
      </c>
    </row>
    <row r="292" spans="1:28">
      <c r="A292" s="136" t="s">
        <v>2468</v>
      </c>
      <c r="B292" s="135" t="s">
        <v>2469</v>
      </c>
      <c r="C292" s="135" t="s">
        <v>2453</v>
      </c>
      <c r="D292" s="136" t="s">
        <v>2454</v>
      </c>
      <c r="E292" s="136" t="s">
        <v>1396</v>
      </c>
      <c r="F292" s="135" t="s">
        <v>549</v>
      </c>
      <c r="G292" s="136" t="s">
        <v>1414</v>
      </c>
      <c r="H292" s="135" t="s">
        <v>383</v>
      </c>
      <c r="I292" s="135" t="s">
        <v>454</v>
      </c>
      <c r="J292" s="135" t="s">
        <v>454</v>
      </c>
      <c r="K292" s="135" t="s">
        <v>1148</v>
      </c>
      <c r="L292" s="136" t="s">
        <v>2470</v>
      </c>
      <c r="N292" s="136"/>
      <c r="O292" s="136" t="s">
        <v>727</v>
      </c>
      <c r="P292" s="136" t="s">
        <v>2471</v>
      </c>
      <c r="Q292" s="135" t="s">
        <v>1145</v>
      </c>
      <c r="R292" s="135" t="s">
        <v>842</v>
      </c>
      <c r="S292" s="136"/>
      <c r="U292" s="135" t="s">
        <v>1148</v>
      </c>
      <c r="V292" s="135" t="s">
        <v>452</v>
      </c>
      <c r="X292" s="135" t="s">
        <v>539</v>
      </c>
      <c r="Z292" s="135" t="s">
        <v>543</v>
      </c>
      <c r="AA292" s="136"/>
      <c r="AB292" s="135" t="s">
        <v>2472</v>
      </c>
    </row>
    <row r="293" spans="1:28">
      <c r="A293" s="136" t="s">
        <v>2473</v>
      </c>
      <c r="B293" s="135" t="s">
        <v>2474</v>
      </c>
      <c r="C293" s="135" t="s">
        <v>2453</v>
      </c>
      <c r="D293" s="136" t="s">
        <v>2454</v>
      </c>
      <c r="E293" s="136" t="s">
        <v>1396</v>
      </c>
      <c r="F293" s="135" t="s">
        <v>549</v>
      </c>
      <c r="G293" s="136" t="s">
        <v>1414</v>
      </c>
      <c r="H293" s="135" t="s">
        <v>383</v>
      </c>
      <c r="I293" s="135" t="s">
        <v>454</v>
      </c>
      <c r="J293" s="135" t="s">
        <v>454</v>
      </c>
      <c r="K293" s="135" t="s">
        <v>1147</v>
      </c>
      <c r="L293" s="136" t="s">
        <v>2475</v>
      </c>
      <c r="N293" s="136"/>
      <c r="O293" s="136" t="s">
        <v>727</v>
      </c>
      <c r="P293" s="136" t="s">
        <v>2476</v>
      </c>
      <c r="Q293" s="135" t="s">
        <v>1145</v>
      </c>
      <c r="R293" s="135" t="s">
        <v>842</v>
      </c>
      <c r="S293" s="136"/>
      <c r="U293" s="135" t="s">
        <v>1147</v>
      </c>
      <c r="V293" s="135" t="s">
        <v>452</v>
      </c>
      <c r="X293" s="135" t="s">
        <v>539</v>
      </c>
      <c r="Z293" s="135" t="s">
        <v>788</v>
      </c>
      <c r="AA293" s="136"/>
      <c r="AB293" s="135" t="s">
        <v>2477</v>
      </c>
    </row>
    <row r="294" spans="1:28">
      <c r="A294" s="136" t="s">
        <v>2478</v>
      </c>
      <c r="B294" s="135" t="s">
        <v>2479</v>
      </c>
      <c r="C294" s="135" t="s">
        <v>2453</v>
      </c>
      <c r="D294" s="136" t="s">
        <v>2454</v>
      </c>
      <c r="E294" s="136" t="s">
        <v>1396</v>
      </c>
      <c r="F294" s="135" t="s">
        <v>549</v>
      </c>
      <c r="G294" s="136" t="s">
        <v>1414</v>
      </c>
      <c r="H294" s="135" t="s">
        <v>383</v>
      </c>
      <c r="I294" s="135" t="s">
        <v>454</v>
      </c>
      <c r="J294" s="135" t="s">
        <v>454</v>
      </c>
      <c r="K294" s="135" t="s">
        <v>1144</v>
      </c>
      <c r="L294" s="136" t="s">
        <v>2480</v>
      </c>
      <c r="N294" s="136"/>
      <c r="O294" s="136" t="s">
        <v>727</v>
      </c>
      <c r="P294" s="136" t="s">
        <v>2481</v>
      </c>
      <c r="Q294" s="135" t="s">
        <v>1145</v>
      </c>
      <c r="R294" s="135" t="s">
        <v>842</v>
      </c>
      <c r="S294" s="136"/>
      <c r="U294" s="135" t="s">
        <v>1144</v>
      </c>
      <c r="V294" s="135" t="s">
        <v>452</v>
      </c>
      <c r="X294" s="135" t="s">
        <v>539</v>
      </c>
      <c r="Z294" s="135" t="s">
        <v>788</v>
      </c>
      <c r="AA294" s="136"/>
      <c r="AB294" s="135" t="s">
        <v>2482</v>
      </c>
    </row>
    <row r="295" spans="1:28">
      <c r="A295" s="136" t="s">
        <v>2483</v>
      </c>
      <c r="B295" s="135" t="s">
        <v>2484</v>
      </c>
      <c r="C295" s="135" t="s">
        <v>2485</v>
      </c>
      <c r="D295" s="136" t="s">
        <v>2486</v>
      </c>
      <c r="E295" s="136" t="s">
        <v>1396</v>
      </c>
      <c r="F295" s="135" t="s">
        <v>1044</v>
      </c>
      <c r="G295" s="136" t="s">
        <v>1414</v>
      </c>
      <c r="H295" s="135" t="s">
        <v>383</v>
      </c>
      <c r="I295" s="135" t="s">
        <v>454</v>
      </c>
      <c r="J295" s="135" t="s">
        <v>454</v>
      </c>
      <c r="K295" s="135" t="s">
        <v>1169</v>
      </c>
      <c r="L295" s="136" t="s">
        <v>2487</v>
      </c>
      <c r="N295" s="136"/>
      <c r="O295" s="136" t="s">
        <v>727</v>
      </c>
      <c r="P295" s="136" t="s">
        <v>2488</v>
      </c>
      <c r="Q295" s="135" t="s">
        <v>1168</v>
      </c>
      <c r="R295" s="135" t="s">
        <v>1166</v>
      </c>
      <c r="S295" s="136"/>
      <c r="U295" s="135" t="s">
        <v>1169</v>
      </c>
      <c r="V295" s="135" t="s">
        <v>452</v>
      </c>
      <c r="X295" s="135" t="s">
        <v>610</v>
      </c>
      <c r="Z295" s="135" t="s">
        <v>788</v>
      </c>
      <c r="AA295" s="136"/>
      <c r="AB295" s="135" t="s">
        <v>2489</v>
      </c>
    </row>
    <row r="296" spans="1:28">
      <c r="A296" s="136" t="s">
        <v>2490</v>
      </c>
      <c r="B296" s="135" t="s">
        <v>2491</v>
      </c>
      <c r="C296" s="135" t="s">
        <v>2485</v>
      </c>
      <c r="D296" s="136" t="s">
        <v>2486</v>
      </c>
      <c r="E296" s="136" t="s">
        <v>1396</v>
      </c>
      <c r="F296" s="135" t="s">
        <v>1044</v>
      </c>
      <c r="G296" s="136" t="s">
        <v>1414</v>
      </c>
      <c r="H296" s="135" t="s">
        <v>383</v>
      </c>
      <c r="I296" s="135" t="s">
        <v>731</v>
      </c>
      <c r="J296" s="135" t="s">
        <v>731</v>
      </c>
      <c r="K296" s="135" t="s">
        <v>1169</v>
      </c>
      <c r="L296" s="136" t="s">
        <v>2487</v>
      </c>
      <c r="N296" s="136"/>
      <c r="O296" s="136" t="s">
        <v>727</v>
      </c>
      <c r="P296" s="136" t="s">
        <v>2492</v>
      </c>
      <c r="Q296" s="135" t="s">
        <v>1168</v>
      </c>
      <c r="R296" s="135" t="s">
        <v>1166</v>
      </c>
      <c r="S296" s="136"/>
      <c r="U296" s="135" t="s">
        <v>1169</v>
      </c>
      <c r="V296" s="135" t="s">
        <v>452</v>
      </c>
      <c r="X296" s="135" t="s">
        <v>610</v>
      </c>
      <c r="Z296" s="135" t="s">
        <v>788</v>
      </c>
      <c r="AA296" s="136"/>
      <c r="AB296" s="135" t="s">
        <v>2493</v>
      </c>
    </row>
    <row r="297" spans="1:28">
      <c r="A297" s="136" t="s">
        <v>2494</v>
      </c>
      <c r="B297" s="135" t="s">
        <v>2495</v>
      </c>
      <c r="C297" s="135" t="s">
        <v>2485</v>
      </c>
      <c r="D297" s="136" t="s">
        <v>2486</v>
      </c>
      <c r="E297" s="136" t="s">
        <v>1396</v>
      </c>
      <c r="F297" s="135" t="s">
        <v>1044</v>
      </c>
      <c r="G297" s="136" t="s">
        <v>1414</v>
      </c>
      <c r="H297" s="135" t="s">
        <v>383</v>
      </c>
      <c r="I297" s="135" t="s">
        <v>454</v>
      </c>
      <c r="J297" s="135" t="s">
        <v>454</v>
      </c>
      <c r="K297" s="135" t="s">
        <v>1169</v>
      </c>
      <c r="L297" s="136" t="s">
        <v>2487</v>
      </c>
      <c r="N297" s="136"/>
      <c r="O297" s="136" t="s">
        <v>727</v>
      </c>
      <c r="P297" s="136" t="s">
        <v>2496</v>
      </c>
      <c r="Q297" s="135" t="s">
        <v>1167</v>
      </c>
      <c r="R297" s="135" t="s">
        <v>1166</v>
      </c>
      <c r="S297" s="136"/>
      <c r="U297" s="135" t="s">
        <v>1169</v>
      </c>
      <c r="V297" s="135" t="s">
        <v>452</v>
      </c>
      <c r="X297" s="135" t="s">
        <v>610</v>
      </c>
      <c r="Z297" s="135" t="s">
        <v>788</v>
      </c>
      <c r="AA297" s="136"/>
      <c r="AB297" s="135" t="s">
        <v>2497</v>
      </c>
    </row>
    <row r="298" spans="1:28">
      <c r="A298" s="136" t="s">
        <v>2498</v>
      </c>
      <c r="B298" s="135" t="s">
        <v>2499</v>
      </c>
      <c r="C298" s="135" t="s">
        <v>2485</v>
      </c>
      <c r="D298" s="136" t="s">
        <v>2486</v>
      </c>
      <c r="E298" s="136" t="s">
        <v>1396</v>
      </c>
      <c r="F298" s="135" t="s">
        <v>1044</v>
      </c>
      <c r="G298" s="136" t="s">
        <v>1414</v>
      </c>
      <c r="H298" s="135" t="s">
        <v>383</v>
      </c>
      <c r="I298" s="135" t="s">
        <v>454</v>
      </c>
      <c r="J298" s="135" t="s">
        <v>454</v>
      </c>
      <c r="K298" s="135" t="s">
        <v>1165</v>
      </c>
      <c r="L298" s="136" t="s">
        <v>2500</v>
      </c>
      <c r="N298" s="136"/>
      <c r="O298" s="136" t="s">
        <v>727</v>
      </c>
      <c r="P298" s="136" t="s">
        <v>2501</v>
      </c>
      <c r="Q298" s="135" t="s">
        <v>1168</v>
      </c>
      <c r="R298" s="135" t="s">
        <v>1166</v>
      </c>
      <c r="S298" s="136"/>
      <c r="U298" s="135" t="s">
        <v>1165</v>
      </c>
      <c r="V298" s="135" t="s">
        <v>452</v>
      </c>
      <c r="X298" s="135" t="s">
        <v>610</v>
      </c>
      <c r="Z298" s="135" t="s">
        <v>788</v>
      </c>
      <c r="AA298" s="136"/>
      <c r="AB298" s="135" t="s">
        <v>2502</v>
      </c>
    </row>
    <row r="299" spans="1:28">
      <c r="A299" s="136" t="s">
        <v>2503</v>
      </c>
      <c r="B299" s="135" t="s">
        <v>2504</v>
      </c>
      <c r="C299" s="135" t="s">
        <v>2485</v>
      </c>
      <c r="D299" s="136" t="s">
        <v>2486</v>
      </c>
      <c r="E299" s="136" t="s">
        <v>1396</v>
      </c>
      <c r="F299" s="135" t="s">
        <v>1044</v>
      </c>
      <c r="G299" s="136" t="s">
        <v>1414</v>
      </c>
      <c r="H299" s="135" t="s">
        <v>383</v>
      </c>
      <c r="I299" s="135" t="s">
        <v>731</v>
      </c>
      <c r="J299" s="135" t="s">
        <v>731</v>
      </c>
      <c r="K299" s="135" t="s">
        <v>1165</v>
      </c>
      <c r="L299" s="136" t="s">
        <v>2500</v>
      </c>
      <c r="N299" s="136"/>
      <c r="O299" s="136" t="s">
        <v>727</v>
      </c>
      <c r="P299" s="136" t="s">
        <v>2505</v>
      </c>
      <c r="Q299" s="135" t="s">
        <v>1168</v>
      </c>
      <c r="R299" s="135" t="s">
        <v>1166</v>
      </c>
      <c r="S299" s="136"/>
      <c r="U299" s="135" t="s">
        <v>1165</v>
      </c>
      <c r="V299" s="135" t="s">
        <v>452</v>
      </c>
      <c r="X299" s="135" t="s">
        <v>610</v>
      </c>
      <c r="Z299" s="135" t="s">
        <v>788</v>
      </c>
      <c r="AA299" s="136"/>
      <c r="AB299" s="135" t="s">
        <v>2506</v>
      </c>
    </row>
    <row r="300" spans="1:28">
      <c r="A300" s="136" t="s">
        <v>2507</v>
      </c>
      <c r="B300" s="135" t="s">
        <v>2508</v>
      </c>
      <c r="C300" s="135" t="s">
        <v>2485</v>
      </c>
      <c r="D300" s="136" t="s">
        <v>2486</v>
      </c>
      <c r="E300" s="136" t="s">
        <v>1396</v>
      </c>
      <c r="F300" s="135" t="s">
        <v>1044</v>
      </c>
      <c r="G300" s="136" t="s">
        <v>1414</v>
      </c>
      <c r="H300" s="135" t="s">
        <v>383</v>
      </c>
      <c r="I300" s="135" t="s">
        <v>454</v>
      </c>
      <c r="J300" s="135" t="s">
        <v>454</v>
      </c>
      <c r="K300" s="135" t="s">
        <v>1165</v>
      </c>
      <c r="L300" s="136" t="s">
        <v>2500</v>
      </c>
      <c r="N300" s="136"/>
      <c r="O300" s="136" t="s">
        <v>727</v>
      </c>
      <c r="P300" s="136" t="s">
        <v>2509</v>
      </c>
      <c r="Q300" s="135" t="s">
        <v>1167</v>
      </c>
      <c r="R300" s="135" t="s">
        <v>1166</v>
      </c>
      <c r="S300" s="136"/>
      <c r="U300" s="135" t="s">
        <v>1165</v>
      </c>
      <c r="V300" s="135" t="s">
        <v>452</v>
      </c>
      <c r="X300" s="135" t="s">
        <v>610</v>
      </c>
      <c r="Z300" s="135" t="s">
        <v>788</v>
      </c>
      <c r="AA300" s="136"/>
      <c r="AB300" s="135" t="s">
        <v>2510</v>
      </c>
    </row>
    <row r="301" spans="1:28">
      <c r="A301" s="136" t="s">
        <v>2511</v>
      </c>
      <c r="B301" s="135" t="s">
        <v>2512</v>
      </c>
      <c r="C301" s="135" t="s">
        <v>1394</v>
      </c>
      <c r="D301" s="136" t="s">
        <v>1741</v>
      </c>
      <c r="E301" s="136" t="s">
        <v>1396</v>
      </c>
      <c r="F301" s="135" t="s">
        <v>530</v>
      </c>
      <c r="G301" s="136" t="s">
        <v>1397</v>
      </c>
      <c r="H301" s="135" t="s">
        <v>383</v>
      </c>
      <c r="I301" s="135" t="s">
        <v>454</v>
      </c>
      <c r="J301" s="135" t="s">
        <v>454</v>
      </c>
      <c r="K301" s="135" t="s">
        <v>851</v>
      </c>
      <c r="L301" s="136" t="s">
        <v>2513</v>
      </c>
      <c r="N301" s="136"/>
      <c r="O301" s="136" t="s">
        <v>727</v>
      </c>
      <c r="P301" s="136" t="s">
        <v>1743</v>
      </c>
      <c r="Q301" s="135" t="s">
        <v>1744</v>
      </c>
      <c r="R301" s="135" t="s">
        <v>534</v>
      </c>
      <c r="S301" s="136"/>
      <c r="U301" s="135" t="s">
        <v>851</v>
      </c>
      <c r="V301" s="135" t="s">
        <v>452</v>
      </c>
      <c r="X301" s="135" t="s">
        <v>529</v>
      </c>
      <c r="Z301" s="135" t="s">
        <v>788</v>
      </c>
      <c r="AA301" s="136"/>
      <c r="AB301" s="135" t="s">
        <v>2514</v>
      </c>
    </row>
    <row r="302" spans="1:28">
      <c r="A302" s="136" t="s">
        <v>2515</v>
      </c>
      <c r="B302" s="135" t="s">
        <v>2516</v>
      </c>
      <c r="C302" s="135" t="s">
        <v>1394</v>
      </c>
      <c r="D302" s="136" t="s">
        <v>1741</v>
      </c>
      <c r="E302" s="136" t="s">
        <v>1396</v>
      </c>
      <c r="F302" s="135" t="s">
        <v>530</v>
      </c>
      <c r="G302" s="136" t="s">
        <v>1397</v>
      </c>
      <c r="H302" s="135" t="s">
        <v>383</v>
      </c>
      <c r="I302" s="135" t="s">
        <v>454</v>
      </c>
      <c r="J302" s="135" t="s">
        <v>454</v>
      </c>
      <c r="K302" s="135" t="s">
        <v>850</v>
      </c>
      <c r="L302" s="136" t="s">
        <v>2517</v>
      </c>
      <c r="N302" s="136"/>
      <c r="O302" s="136" t="s">
        <v>727</v>
      </c>
      <c r="P302" s="136" t="s">
        <v>1743</v>
      </c>
      <c r="Q302" s="135" t="s">
        <v>1744</v>
      </c>
      <c r="R302" s="135" t="s">
        <v>534</v>
      </c>
      <c r="S302" s="136"/>
      <c r="U302" s="135" t="s">
        <v>850</v>
      </c>
      <c r="V302" s="135" t="s">
        <v>452</v>
      </c>
      <c r="X302" s="135" t="s">
        <v>529</v>
      </c>
      <c r="Z302" s="135" t="s">
        <v>788</v>
      </c>
      <c r="AA302" s="136"/>
      <c r="AB302" s="135" t="s">
        <v>2518</v>
      </c>
    </row>
    <row r="303" spans="1:28">
      <c r="A303" s="136" t="s">
        <v>2519</v>
      </c>
      <c r="B303" s="135" t="s">
        <v>2520</v>
      </c>
      <c r="C303" s="135" t="s">
        <v>1394</v>
      </c>
      <c r="D303" s="136" t="s">
        <v>1741</v>
      </c>
      <c r="E303" s="136" t="s">
        <v>1396</v>
      </c>
      <c r="F303" s="135" t="s">
        <v>530</v>
      </c>
      <c r="G303" s="136" t="s">
        <v>1397</v>
      </c>
      <c r="H303" s="135" t="s">
        <v>383</v>
      </c>
      <c r="I303" s="135" t="s">
        <v>454</v>
      </c>
      <c r="J303" s="135" t="s">
        <v>454</v>
      </c>
      <c r="K303" s="135" t="s">
        <v>849</v>
      </c>
      <c r="L303" s="136" t="s">
        <v>2521</v>
      </c>
      <c r="N303" s="136"/>
      <c r="O303" s="136" t="s">
        <v>727</v>
      </c>
      <c r="P303" s="136" t="s">
        <v>1743</v>
      </c>
      <c r="Q303" s="135" t="s">
        <v>1744</v>
      </c>
      <c r="R303" s="135" t="s">
        <v>534</v>
      </c>
      <c r="S303" s="136"/>
      <c r="U303" s="135" t="s">
        <v>849</v>
      </c>
      <c r="V303" s="135" t="s">
        <v>452</v>
      </c>
      <c r="X303" s="135" t="s">
        <v>529</v>
      </c>
      <c r="Z303" s="135" t="s">
        <v>788</v>
      </c>
      <c r="AA303" s="136"/>
      <c r="AB303" s="135" t="s">
        <v>2522</v>
      </c>
    </row>
    <row r="304" spans="1:28">
      <c r="A304" s="136" t="s">
        <v>2523</v>
      </c>
      <c r="B304" s="135" t="s">
        <v>2524</v>
      </c>
      <c r="C304" s="135" t="s">
        <v>386</v>
      </c>
      <c r="D304" s="136" t="s">
        <v>1339</v>
      </c>
      <c r="E304" s="136" t="s">
        <v>457</v>
      </c>
      <c r="F304" s="135" t="s">
        <v>572</v>
      </c>
      <c r="G304" s="136" t="s">
        <v>1437</v>
      </c>
      <c r="H304" s="135" t="s">
        <v>383</v>
      </c>
      <c r="I304" s="135" t="s">
        <v>494</v>
      </c>
      <c r="J304" s="135" t="s">
        <v>494</v>
      </c>
      <c r="K304" s="135" t="s">
        <v>2525</v>
      </c>
      <c r="L304" s="136" t="s">
        <v>2526</v>
      </c>
      <c r="M304" s="135" t="s">
        <v>383</v>
      </c>
      <c r="N304" s="136"/>
      <c r="O304" s="136" t="s">
        <v>535</v>
      </c>
      <c r="P304" s="136" t="s">
        <v>504</v>
      </c>
      <c r="Q304" s="135" t="s">
        <v>536</v>
      </c>
      <c r="R304" s="135" t="s">
        <v>534</v>
      </c>
      <c r="S304" s="136"/>
      <c r="V304" s="135" t="s">
        <v>980</v>
      </c>
      <c r="X304" s="135" t="s">
        <v>571</v>
      </c>
      <c r="Z304" s="135" t="s">
        <v>1372</v>
      </c>
      <c r="AA304" s="136"/>
      <c r="AB304" s="135" t="s">
        <v>2527</v>
      </c>
    </row>
    <row r="305" spans="1:28">
      <c r="A305" s="136" t="s">
        <v>2528</v>
      </c>
      <c r="B305" s="135" t="s">
        <v>2529</v>
      </c>
      <c r="C305" s="135" t="s">
        <v>386</v>
      </c>
      <c r="D305" s="136" t="s">
        <v>1339</v>
      </c>
      <c r="E305" s="136" t="s">
        <v>457</v>
      </c>
      <c r="F305" s="135" t="s">
        <v>604</v>
      </c>
      <c r="G305" s="136" t="s">
        <v>1437</v>
      </c>
      <c r="H305" s="135" t="s">
        <v>383</v>
      </c>
      <c r="I305" s="135" t="s">
        <v>494</v>
      </c>
      <c r="J305" s="135" t="s">
        <v>494</v>
      </c>
      <c r="K305" s="135" t="s">
        <v>2530</v>
      </c>
      <c r="L305" s="136" t="s">
        <v>2526</v>
      </c>
      <c r="M305" s="135" t="s">
        <v>383</v>
      </c>
      <c r="N305" s="136"/>
      <c r="O305" s="136" t="s">
        <v>535</v>
      </c>
      <c r="P305" s="136" t="s">
        <v>499</v>
      </c>
      <c r="Q305" s="135" t="s">
        <v>536</v>
      </c>
      <c r="R305" s="135" t="s">
        <v>534</v>
      </c>
      <c r="S305" s="136"/>
      <c r="V305" s="135" t="s">
        <v>985</v>
      </c>
      <c r="X305" s="135" t="s">
        <v>603</v>
      </c>
      <c r="Z305" s="135" t="s">
        <v>1372</v>
      </c>
      <c r="AA305" s="136"/>
      <c r="AB305" s="135" t="s">
        <v>2531</v>
      </c>
    </row>
    <row r="306" spans="1:28">
      <c r="A306" s="136" t="s">
        <v>2532</v>
      </c>
      <c r="B306" s="135" t="s">
        <v>2533</v>
      </c>
      <c r="C306" s="135" t="s">
        <v>1394</v>
      </c>
      <c r="D306" s="136" t="s">
        <v>2454</v>
      </c>
      <c r="E306" s="136" t="s">
        <v>1396</v>
      </c>
      <c r="F306" s="135" t="s">
        <v>847</v>
      </c>
      <c r="G306" s="136" t="s">
        <v>390</v>
      </c>
      <c r="I306" s="135" t="s">
        <v>454</v>
      </c>
      <c r="J306" s="135" t="s">
        <v>454</v>
      </c>
      <c r="K306" s="135" t="s">
        <v>848</v>
      </c>
      <c r="L306" s="136" t="s">
        <v>390</v>
      </c>
      <c r="N306" s="136"/>
      <c r="O306" s="136" t="s">
        <v>727</v>
      </c>
      <c r="P306" s="136" t="s">
        <v>542</v>
      </c>
      <c r="Q306" s="135" t="s">
        <v>843</v>
      </c>
      <c r="R306" s="135" t="s">
        <v>842</v>
      </c>
      <c r="S306" s="136"/>
      <c r="U306" s="135" t="s">
        <v>848</v>
      </c>
      <c r="V306" s="135" t="s">
        <v>452</v>
      </c>
      <c r="W306" s="135" t="s">
        <v>847</v>
      </c>
      <c r="X306" s="135" t="s">
        <v>840</v>
      </c>
      <c r="Z306" s="135" t="s">
        <v>510</v>
      </c>
      <c r="AA306" s="136"/>
      <c r="AB306" s="135" t="s">
        <v>2534</v>
      </c>
    </row>
    <row r="307" spans="1:28">
      <c r="A307" s="136" t="s">
        <v>2535</v>
      </c>
      <c r="B307" s="135" t="s">
        <v>2536</v>
      </c>
      <c r="C307" s="135" t="s">
        <v>1394</v>
      </c>
      <c r="D307" s="136" t="s">
        <v>2454</v>
      </c>
      <c r="E307" s="136" t="s">
        <v>1396</v>
      </c>
      <c r="F307" s="135" t="s">
        <v>845</v>
      </c>
      <c r="G307" s="136" t="s">
        <v>393</v>
      </c>
      <c r="I307" s="135" t="s">
        <v>454</v>
      </c>
      <c r="J307" s="135" t="s">
        <v>454</v>
      </c>
      <c r="K307" s="135" t="s">
        <v>846</v>
      </c>
      <c r="L307" s="136" t="s">
        <v>393</v>
      </c>
      <c r="N307" s="136"/>
      <c r="O307" s="136" t="s">
        <v>727</v>
      </c>
      <c r="P307" s="136" t="s">
        <v>542</v>
      </c>
      <c r="Q307" s="135" t="s">
        <v>843</v>
      </c>
      <c r="R307" s="135" t="s">
        <v>842</v>
      </c>
      <c r="S307" s="136"/>
      <c r="U307" s="135" t="s">
        <v>846</v>
      </c>
      <c r="V307" s="135" t="s">
        <v>452</v>
      </c>
      <c r="W307" s="135" t="s">
        <v>845</v>
      </c>
      <c r="X307" s="135" t="s">
        <v>840</v>
      </c>
      <c r="Z307" s="135" t="s">
        <v>510</v>
      </c>
      <c r="AA307" s="136"/>
      <c r="AB307" s="135" t="s">
        <v>2537</v>
      </c>
    </row>
    <row r="308" spans="1:28">
      <c r="A308" s="136" t="s">
        <v>2538</v>
      </c>
      <c r="B308" s="135" t="s">
        <v>2539</v>
      </c>
      <c r="C308" s="135" t="s">
        <v>1394</v>
      </c>
      <c r="D308" s="136" t="s">
        <v>2454</v>
      </c>
      <c r="E308" s="136" t="s">
        <v>1396</v>
      </c>
      <c r="F308" s="135" t="s">
        <v>841</v>
      </c>
      <c r="G308" s="136" t="s">
        <v>396</v>
      </c>
      <c r="I308" s="135" t="s">
        <v>454</v>
      </c>
      <c r="J308" s="135" t="s">
        <v>454</v>
      </c>
      <c r="K308" s="135" t="s">
        <v>844</v>
      </c>
      <c r="L308" s="136" t="s">
        <v>396</v>
      </c>
      <c r="N308" s="136"/>
      <c r="O308" s="136" t="s">
        <v>727</v>
      </c>
      <c r="P308" s="136" t="s">
        <v>542</v>
      </c>
      <c r="Q308" s="135" t="s">
        <v>843</v>
      </c>
      <c r="R308" s="135" t="s">
        <v>842</v>
      </c>
      <c r="S308" s="136"/>
      <c r="U308" s="135" t="s">
        <v>844</v>
      </c>
      <c r="V308" s="135" t="s">
        <v>452</v>
      </c>
      <c r="W308" s="135" t="s">
        <v>841</v>
      </c>
      <c r="X308" s="135" t="s">
        <v>840</v>
      </c>
      <c r="Z308" s="135" t="s">
        <v>510</v>
      </c>
      <c r="AA308" s="136"/>
      <c r="AB308" s="135" t="s">
        <v>2540</v>
      </c>
    </row>
    <row r="309" spans="1:28">
      <c r="A309" s="136" t="s">
        <v>2541</v>
      </c>
      <c r="B309" s="135" t="s">
        <v>2542</v>
      </c>
      <c r="C309" s="135" t="s">
        <v>1394</v>
      </c>
      <c r="D309" s="136" t="s">
        <v>2454</v>
      </c>
      <c r="E309" s="136" t="s">
        <v>1396</v>
      </c>
      <c r="F309" s="135" t="s">
        <v>847</v>
      </c>
      <c r="G309" s="136" t="s">
        <v>390</v>
      </c>
      <c r="I309" s="135" t="s">
        <v>454</v>
      </c>
      <c r="J309" s="135" t="s">
        <v>454</v>
      </c>
      <c r="K309" s="135" t="s">
        <v>2543</v>
      </c>
      <c r="L309" s="136" t="s">
        <v>390</v>
      </c>
      <c r="N309" s="136"/>
      <c r="O309" s="136" t="s">
        <v>727</v>
      </c>
      <c r="P309" s="136" t="s">
        <v>542</v>
      </c>
      <c r="Q309" s="135" t="s">
        <v>843</v>
      </c>
      <c r="R309" s="135" t="s">
        <v>842</v>
      </c>
      <c r="S309" s="136"/>
      <c r="U309" s="135" t="s">
        <v>2543</v>
      </c>
      <c r="V309" s="135" t="s">
        <v>452</v>
      </c>
      <c r="W309" s="135" t="s">
        <v>847</v>
      </c>
      <c r="X309" s="135" t="s">
        <v>840</v>
      </c>
      <c r="Z309" s="135" t="s">
        <v>510</v>
      </c>
      <c r="AA309" s="136"/>
      <c r="AB309" s="135" t="s">
        <v>2544</v>
      </c>
    </row>
    <row r="310" spans="1:28">
      <c r="A310" s="136" t="s">
        <v>2545</v>
      </c>
      <c r="B310" s="135" t="s">
        <v>2546</v>
      </c>
      <c r="C310" s="135" t="s">
        <v>1394</v>
      </c>
      <c r="D310" s="136" t="s">
        <v>2454</v>
      </c>
      <c r="E310" s="136" t="s">
        <v>1396</v>
      </c>
      <c r="F310" s="135" t="s">
        <v>845</v>
      </c>
      <c r="G310" s="136" t="s">
        <v>393</v>
      </c>
      <c r="I310" s="135" t="s">
        <v>454</v>
      </c>
      <c r="J310" s="135" t="s">
        <v>454</v>
      </c>
      <c r="K310" s="135" t="s">
        <v>2547</v>
      </c>
      <c r="L310" s="136" t="s">
        <v>393</v>
      </c>
      <c r="N310" s="136"/>
      <c r="O310" s="136" t="s">
        <v>727</v>
      </c>
      <c r="P310" s="136" t="s">
        <v>542</v>
      </c>
      <c r="Q310" s="135" t="s">
        <v>843</v>
      </c>
      <c r="R310" s="135" t="s">
        <v>842</v>
      </c>
      <c r="S310" s="136"/>
      <c r="U310" s="135" t="s">
        <v>2547</v>
      </c>
      <c r="V310" s="135" t="s">
        <v>452</v>
      </c>
      <c r="W310" s="135" t="s">
        <v>845</v>
      </c>
      <c r="X310" s="135" t="s">
        <v>840</v>
      </c>
      <c r="Z310" s="135" t="s">
        <v>510</v>
      </c>
      <c r="AA310" s="136"/>
      <c r="AB310" s="135" t="s">
        <v>2548</v>
      </c>
    </row>
    <row r="311" spans="1:28">
      <c r="A311" s="136" t="s">
        <v>2549</v>
      </c>
      <c r="B311" s="135" t="s">
        <v>2550</v>
      </c>
      <c r="C311" s="135" t="s">
        <v>1394</v>
      </c>
      <c r="D311" s="136" t="s">
        <v>2454</v>
      </c>
      <c r="E311" s="136" t="s">
        <v>1396</v>
      </c>
      <c r="F311" s="135" t="s">
        <v>841</v>
      </c>
      <c r="G311" s="136" t="s">
        <v>396</v>
      </c>
      <c r="I311" s="135" t="s">
        <v>454</v>
      </c>
      <c r="J311" s="135" t="s">
        <v>454</v>
      </c>
      <c r="K311" s="135" t="s">
        <v>2551</v>
      </c>
      <c r="L311" s="136" t="s">
        <v>396</v>
      </c>
      <c r="N311" s="136"/>
      <c r="O311" s="136" t="s">
        <v>727</v>
      </c>
      <c r="P311" s="136" t="s">
        <v>542</v>
      </c>
      <c r="Q311" s="135" t="s">
        <v>843</v>
      </c>
      <c r="R311" s="135" t="s">
        <v>842</v>
      </c>
      <c r="S311" s="136"/>
      <c r="U311" s="135" t="s">
        <v>2551</v>
      </c>
      <c r="V311" s="135" t="s">
        <v>452</v>
      </c>
      <c r="W311" s="135" t="s">
        <v>841</v>
      </c>
      <c r="X311" s="135" t="s">
        <v>840</v>
      </c>
      <c r="Z311" s="135" t="s">
        <v>510</v>
      </c>
      <c r="AA311" s="136"/>
      <c r="AB311" s="135" t="s">
        <v>2552</v>
      </c>
    </row>
    <row r="312" spans="1:28">
      <c r="A312" s="136" t="s">
        <v>2553</v>
      </c>
      <c r="B312" s="135" t="s">
        <v>2554</v>
      </c>
      <c r="C312" s="135" t="s">
        <v>2555</v>
      </c>
      <c r="D312" s="136" t="s">
        <v>2556</v>
      </c>
      <c r="E312" s="136" t="s">
        <v>1396</v>
      </c>
      <c r="F312" s="135" t="s">
        <v>1142</v>
      </c>
      <c r="G312" s="136" t="s">
        <v>390</v>
      </c>
      <c r="I312" s="135" t="s">
        <v>454</v>
      </c>
      <c r="J312" s="135" t="s">
        <v>454</v>
      </c>
      <c r="K312" s="135" t="s">
        <v>1143</v>
      </c>
      <c r="L312" s="136" t="s">
        <v>390</v>
      </c>
      <c r="N312" s="136"/>
      <c r="O312" s="136" t="s">
        <v>727</v>
      </c>
      <c r="P312" s="136" t="s">
        <v>1743</v>
      </c>
      <c r="Q312" s="135" t="s">
        <v>1127</v>
      </c>
      <c r="R312" s="135" t="s">
        <v>1126</v>
      </c>
      <c r="S312" s="136"/>
      <c r="U312" s="135" t="s">
        <v>1143</v>
      </c>
      <c r="V312" s="135" t="s">
        <v>452</v>
      </c>
      <c r="W312" s="135" t="s">
        <v>1142</v>
      </c>
      <c r="X312" s="135" t="s">
        <v>513</v>
      </c>
      <c r="Z312" s="135" t="s">
        <v>510</v>
      </c>
      <c r="AA312" s="136"/>
      <c r="AB312" s="135" t="s">
        <v>2557</v>
      </c>
    </row>
    <row r="313" spans="1:28">
      <c r="A313" s="136" t="s">
        <v>2558</v>
      </c>
      <c r="B313" s="135" t="s">
        <v>2559</v>
      </c>
      <c r="C313" s="135" t="s">
        <v>2555</v>
      </c>
      <c r="D313" s="136" t="s">
        <v>2556</v>
      </c>
      <c r="E313" s="136" t="s">
        <v>1396</v>
      </c>
      <c r="F313" s="135" t="s">
        <v>1140</v>
      </c>
      <c r="G313" s="136" t="s">
        <v>391</v>
      </c>
      <c r="I313" s="135" t="s">
        <v>454</v>
      </c>
      <c r="J313" s="135" t="s">
        <v>454</v>
      </c>
      <c r="K313" s="135" t="s">
        <v>1141</v>
      </c>
      <c r="L313" s="136" t="s">
        <v>391</v>
      </c>
      <c r="N313" s="136"/>
      <c r="O313" s="136" t="s">
        <v>727</v>
      </c>
      <c r="P313" s="136" t="s">
        <v>1743</v>
      </c>
      <c r="Q313" s="135" t="s">
        <v>1127</v>
      </c>
      <c r="R313" s="135" t="s">
        <v>1126</v>
      </c>
      <c r="S313" s="136"/>
      <c r="U313" s="135" t="s">
        <v>1141</v>
      </c>
      <c r="V313" s="135" t="s">
        <v>452</v>
      </c>
      <c r="W313" s="135" t="s">
        <v>1140</v>
      </c>
      <c r="X313" s="135" t="s">
        <v>513</v>
      </c>
      <c r="Z313" s="135" t="s">
        <v>510</v>
      </c>
      <c r="AA313" s="136"/>
      <c r="AB313" s="135" t="s">
        <v>2560</v>
      </c>
    </row>
    <row r="314" spans="1:28">
      <c r="A314" s="136" t="s">
        <v>2561</v>
      </c>
      <c r="B314" s="135" t="s">
        <v>2562</v>
      </c>
      <c r="C314" s="135" t="s">
        <v>2555</v>
      </c>
      <c r="D314" s="136" t="s">
        <v>2556</v>
      </c>
      <c r="E314" s="136" t="s">
        <v>1396</v>
      </c>
      <c r="F314" s="135" t="s">
        <v>1138</v>
      </c>
      <c r="G314" s="136" t="s">
        <v>392</v>
      </c>
      <c r="I314" s="135" t="s">
        <v>454</v>
      </c>
      <c r="J314" s="135" t="s">
        <v>454</v>
      </c>
      <c r="K314" s="135" t="s">
        <v>1139</v>
      </c>
      <c r="L314" s="136" t="s">
        <v>392</v>
      </c>
      <c r="N314" s="136"/>
      <c r="O314" s="136" t="s">
        <v>727</v>
      </c>
      <c r="P314" s="136" t="s">
        <v>1743</v>
      </c>
      <c r="Q314" s="135" t="s">
        <v>1127</v>
      </c>
      <c r="R314" s="135" t="s">
        <v>1126</v>
      </c>
      <c r="S314" s="136"/>
      <c r="U314" s="135" t="s">
        <v>1139</v>
      </c>
      <c r="V314" s="135" t="s">
        <v>452</v>
      </c>
      <c r="W314" s="135" t="s">
        <v>1138</v>
      </c>
      <c r="X314" s="135" t="s">
        <v>513</v>
      </c>
      <c r="Z314" s="135" t="s">
        <v>510</v>
      </c>
      <c r="AA314" s="136"/>
      <c r="AB314" s="135" t="s">
        <v>2563</v>
      </c>
    </row>
    <row r="315" spans="1:28">
      <c r="A315" s="136" t="s">
        <v>2564</v>
      </c>
      <c r="B315" s="135" t="s">
        <v>2565</v>
      </c>
      <c r="C315" s="135" t="s">
        <v>2555</v>
      </c>
      <c r="D315" s="136" t="s">
        <v>2556</v>
      </c>
      <c r="E315" s="136" t="s">
        <v>1396</v>
      </c>
      <c r="F315" s="135" t="s">
        <v>1136</v>
      </c>
      <c r="G315" s="136" t="s">
        <v>393</v>
      </c>
      <c r="I315" s="135" t="s">
        <v>454</v>
      </c>
      <c r="J315" s="135" t="s">
        <v>454</v>
      </c>
      <c r="K315" s="135" t="s">
        <v>1137</v>
      </c>
      <c r="L315" s="136" t="s">
        <v>393</v>
      </c>
      <c r="N315" s="136"/>
      <c r="O315" s="136" t="s">
        <v>727</v>
      </c>
      <c r="P315" s="136" t="s">
        <v>1743</v>
      </c>
      <c r="Q315" s="135" t="s">
        <v>1127</v>
      </c>
      <c r="R315" s="135" t="s">
        <v>1126</v>
      </c>
      <c r="S315" s="136"/>
      <c r="U315" s="135" t="s">
        <v>1137</v>
      </c>
      <c r="V315" s="135" t="s">
        <v>452</v>
      </c>
      <c r="W315" s="135" t="s">
        <v>1136</v>
      </c>
      <c r="X315" s="135" t="s">
        <v>513</v>
      </c>
      <c r="Z315" s="135" t="s">
        <v>510</v>
      </c>
      <c r="AA315" s="136"/>
      <c r="AB315" s="135" t="s">
        <v>2566</v>
      </c>
    </row>
    <row r="316" spans="1:28">
      <c r="A316" s="136" t="s">
        <v>2567</v>
      </c>
      <c r="B316" s="135" t="s">
        <v>2568</v>
      </c>
      <c r="C316" s="135" t="s">
        <v>2555</v>
      </c>
      <c r="D316" s="136" t="s">
        <v>2556</v>
      </c>
      <c r="E316" s="136" t="s">
        <v>1396</v>
      </c>
      <c r="F316" s="135" t="s">
        <v>1134</v>
      </c>
      <c r="G316" s="136" t="s">
        <v>394</v>
      </c>
      <c r="I316" s="135" t="s">
        <v>454</v>
      </c>
      <c r="J316" s="135" t="s">
        <v>454</v>
      </c>
      <c r="K316" s="135" t="s">
        <v>1135</v>
      </c>
      <c r="L316" s="136" t="s">
        <v>394</v>
      </c>
      <c r="N316" s="136"/>
      <c r="O316" s="136" t="s">
        <v>727</v>
      </c>
      <c r="P316" s="136" t="s">
        <v>1743</v>
      </c>
      <c r="Q316" s="135" t="s">
        <v>1127</v>
      </c>
      <c r="R316" s="135" t="s">
        <v>1126</v>
      </c>
      <c r="S316" s="136"/>
      <c r="U316" s="135" t="s">
        <v>1135</v>
      </c>
      <c r="V316" s="135" t="s">
        <v>452</v>
      </c>
      <c r="W316" s="135" t="s">
        <v>1134</v>
      </c>
      <c r="X316" s="135" t="s">
        <v>513</v>
      </c>
      <c r="Z316" s="135" t="s">
        <v>510</v>
      </c>
      <c r="AA316" s="136"/>
      <c r="AB316" s="135" t="s">
        <v>2569</v>
      </c>
    </row>
    <row r="317" spans="1:28">
      <c r="A317" s="136" t="s">
        <v>2570</v>
      </c>
      <c r="B317" s="135" t="s">
        <v>2571</v>
      </c>
      <c r="C317" s="135" t="s">
        <v>2555</v>
      </c>
      <c r="D317" s="136" t="s">
        <v>2556</v>
      </c>
      <c r="E317" s="136" t="s">
        <v>1396</v>
      </c>
      <c r="F317" s="135" t="s">
        <v>1132</v>
      </c>
      <c r="G317" s="136" t="s">
        <v>395</v>
      </c>
      <c r="I317" s="135" t="s">
        <v>454</v>
      </c>
      <c r="J317" s="135" t="s">
        <v>454</v>
      </c>
      <c r="K317" s="135" t="s">
        <v>1133</v>
      </c>
      <c r="L317" s="136" t="s">
        <v>395</v>
      </c>
      <c r="N317" s="136"/>
      <c r="O317" s="136" t="s">
        <v>727</v>
      </c>
      <c r="P317" s="136" t="s">
        <v>1743</v>
      </c>
      <c r="Q317" s="135" t="s">
        <v>1127</v>
      </c>
      <c r="R317" s="135" t="s">
        <v>1126</v>
      </c>
      <c r="S317" s="136"/>
      <c r="U317" s="135" t="s">
        <v>1133</v>
      </c>
      <c r="V317" s="135" t="s">
        <v>452</v>
      </c>
      <c r="W317" s="135" t="s">
        <v>1132</v>
      </c>
      <c r="X317" s="135" t="s">
        <v>513</v>
      </c>
      <c r="Z317" s="135" t="s">
        <v>510</v>
      </c>
      <c r="AA317" s="136"/>
      <c r="AB317" s="135" t="s">
        <v>2572</v>
      </c>
    </row>
    <row r="318" spans="1:28">
      <c r="A318" s="136" t="s">
        <v>2573</v>
      </c>
      <c r="B318" s="135" t="s">
        <v>2574</v>
      </c>
      <c r="C318" s="135" t="s">
        <v>2555</v>
      </c>
      <c r="D318" s="136" t="s">
        <v>2556</v>
      </c>
      <c r="E318" s="136" t="s">
        <v>1396</v>
      </c>
      <c r="F318" s="135" t="s">
        <v>1130</v>
      </c>
      <c r="G318" s="136" t="s">
        <v>396</v>
      </c>
      <c r="I318" s="135" t="s">
        <v>454</v>
      </c>
      <c r="J318" s="135" t="s">
        <v>454</v>
      </c>
      <c r="K318" s="135" t="s">
        <v>1131</v>
      </c>
      <c r="L318" s="136" t="s">
        <v>396</v>
      </c>
      <c r="N318" s="136"/>
      <c r="O318" s="136" t="s">
        <v>727</v>
      </c>
      <c r="P318" s="136" t="s">
        <v>1743</v>
      </c>
      <c r="Q318" s="135" t="s">
        <v>1127</v>
      </c>
      <c r="R318" s="135" t="s">
        <v>1126</v>
      </c>
      <c r="S318" s="136"/>
      <c r="U318" s="135" t="s">
        <v>1131</v>
      </c>
      <c r="V318" s="135" t="s">
        <v>452</v>
      </c>
      <c r="W318" s="135" t="s">
        <v>1130</v>
      </c>
      <c r="X318" s="135" t="s">
        <v>513</v>
      </c>
      <c r="Z318" s="135" t="s">
        <v>510</v>
      </c>
      <c r="AA318" s="136"/>
      <c r="AB318" s="135" t="s">
        <v>2575</v>
      </c>
    </row>
    <row r="319" spans="1:28">
      <c r="A319" s="136" t="s">
        <v>2576</v>
      </c>
      <c r="B319" s="135" t="s">
        <v>2577</v>
      </c>
      <c r="C319" s="135" t="s">
        <v>2555</v>
      </c>
      <c r="D319" s="136" t="s">
        <v>2556</v>
      </c>
      <c r="E319" s="136" t="s">
        <v>1396</v>
      </c>
      <c r="F319" s="135" t="s">
        <v>1128</v>
      </c>
      <c r="G319" s="136" t="s">
        <v>397</v>
      </c>
      <c r="I319" s="135" t="s">
        <v>454</v>
      </c>
      <c r="J319" s="135" t="s">
        <v>454</v>
      </c>
      <c r="K319" s="135" t="s">
        <v>1129</v>
      </c>
      <c r="L319" s="136" t="s">
        <v>397</v>
      </c>
      <c r="N319" s="136"/>
      <c r="O319" s="136" t="s">
        <v>727</v>
      </c>
      <c r="P319" s="136" t="s">
        <v>1743</v>
      </c>
      <c r="Q319" s="135" t="s">
        <v>1127</v>
      </c>
      <c r="R319" s="135" t="s">
        <v>1126</v>
      </c>
      <c r="S319" s="136"/>
      <c r="U319" s="135" t="s">
        <v>1129</v>
      </c>
      <c r="V319" s="135" t="s">
        <v>452</v>
      </c>
      <c r="W319" s="135" t="s">
        <v>1128</v>
      </c>
      <c r="X319" s="135" t="s">
        <v>513</v>
      </c>
      <c r="Z319" s="135" t="s">
        <v>510</v>
      </c>
      <c r="AA319" s="136"/>
      <c r="AB319" s="135" t="s">
        <v>2578</v>
      </c>
    </row>
    <row r="320" spans="1:28">
      <c r="A320" s="136" t="s">
        <v>2579</v>
      </c>
      <c r="B320" s="135" t="s">
        <v>2580</v>
      </c>
      <c r="C320" s="135" t="s">
        <v>2555</v>
      </c>
      <c r="D320" s="136" t="s">
        <v>2556</v>
      </c>
      <c r="E320" s="136" t="s">
        <v>1396</v>
      </c>
      <c r="F320" s="135" t="s">
        <v>1124</v>
      </c>
      <c r="G320" s="136" t="s">
        <v>398</v>
      </c>
      <c r="I320" s="135" t="s">
        <v>454</v>
      </c>
      <c r="J320" s="135" t="s">
        <v>454</v>
      </c>
      <c r="K320" s="135" t="s">
        <v>1125</v>
      </c>
      <c r="L320" s="136" t="s">
        <v>398</v>
      </c>
      <c r="N320" s="136"/>
      <c r="O320" s="136" t="s">
        <v>727</v>
      </c>
      <c r="P320" s="136" t="s">
        <v>1743</v>
      </c>
      <c r="Q320" s="135" t="s">
        <v>1127</v>
      </c>
      <c r="R320" s="135" t="s">
        <v>1126</v>
      </c>
      <c r="S320" s="136"/>
      <c r="U320" s="135" t="s">
        <v>1125</v>
      </c>
      <c r="V320" s="135" t="s">
        <v>452</v>
      </c>
      <c r="W320" s="135" t="s">
        <v>1124</v>
      </c>
      <c r="X320" s="135" t="s">
        <v>513</v>
      </c>
      <c r="Z320" s="135" t="s">
        <v>510</v>
      </c>
      <c r="AA320" s="136"/>
      <c r="AB320" s="135" t="s">
        <v>2581</v>
      </c>
    </row>
    <row r="321" spans="1:28">
      <c r="A321" s="136" t="s">
        <v>2582</v>
      </c>
      <c r="B321" s="135" t="s">
        <v>1123</v>
      </c>
      <c r="C321" s="135" t="s">
        <v>2583</v>
      </c>
      <c r="D321" s="136" t="s">
        <v>2584</v>
      </c>
      <c r="E321" s="136" t="s">
        <v>1396</v>
      </c>
      <c r="F321" s="135" t="s">
        <v>1121</v>
      </c>
      <c r="G321" s="136" t="s">
        <v>1914</v>
      </c>
      <c r="H321" s="135" t="s">
        <v>383</v>
      </c>
      <c r="I321" s="135" t="s">
        <v>454</v>
      </c>
      <c r="J321" s="135" t="s">
        <v>454</v>
      </c>
      <c r="K321" s="135" t="s">
        <v>1122</v>
      </c>
      <c r="L321" s="136" t="s">
        <v>2585</v>
      </c>
      <c r="N321" s="136"/>
      <c r="O321" s="136" t="s">
        <v>535</v>
      </c>
      <c r="P321" s="136" t="s">
        <v>566</v>
      </c>
      <c r="Q321" s="135" t="s">
        <v>1001</v>
      </c>
      <c r="R321" s="135" t="s">
        <v>1000</v>
      </c>
      <c r="S321" s="136"/>
      <c r="U321" s="135" t="s">
        <v>1122</v>
      </c>
      <c r="V321" s="135" t="s">
        <v>452</v>
      </c>
      <c r="W321" s="135" t="s">
        <v>1120</v>
      </c>
      <c r="X321" s="135" t="s">
        <v>455</v>
      </c>
      <c r="Z321" s="135" t="s">
        <v>788</v>
      </c>
      <c r="AA321" s="136"/>
      <c r="AB321" s="135" t="s">
        <v>2586</v>
      </c>
    </row>
    <row r="322" spans="1:28">
      <c r="A322" s="136" t="s">
        <v>2587</v>
      </c>
      <c r="B322" s="135" t="s">
        <v>1119</v>
      </c>
      <c r="C322" s="135" t="s">
        <v>2583</v>
      </c>
      <c r="D322" s="136" t="s">
        <v>2584</v>
      </c>
      <c r="E322" s="136" t="s">
        <v>1396</v>
      </c>
      <c r="F322" s="135" t="s">
        <v>1117</v>
      </c>
      <c r="G322" s="136" t="s">
        <v>1914</v>
      </c>
      <c r="H322" s="135" t="s">
        <v>383</v>
      </c>
      <c r="I322" s="135" t="s">
        <v>454</v>
      </c>
      <c r="J322" s="135" t="s">
        <v>454</v>
      </c>
      <c r="K322" s="135" t="s">
        <v>1118</v>
      </c>
      <c r="L322" s="136" t="s">
        <v>2588</v>
      </c>
      <c r="N322" s="136"/>
      <c r="O322" s="136" t="s">
        <v>535</v>
      </c>
      <c r="P322" s="136" t="s">
        <v>561</v>
      </c>
      <c r="Q322" s="135" t="s">
        <v>1001</v>
      </c>
      <c r="R322" s="135" t="s">
        <v>1000</v>
      </c>
      <c r="S322" s="136"/>
      <c r="U322" s="135" t="s">
        <v>1118</v>
      </c>
      <c r="V322" s="135" t="s">
        <v>452</v>
      </c>
      <c r="W322" s="135" t="s">
        <v>1116</v>
      </c>
      <c r="X322" s="135" t="s">
        <v>1115</v>
      </c>
      <c r="Z322" s="135" t="s">
        <v>788</v>
      </c>
      <c r="AA322" s="136"/>
      <c r="AB322" s="135" t="s">
        <v>2589</v>
      </c>
    </row>
    <row r="323" spans="1:28">
      <c r="A323" s="136" t="s">
        <v>2590</v>
      </c>
      <c r="B323" s="135" t="s">
        <v>1114</v>
      </c>
      <c r="C323" s="135" t="s">
        <v>2583</v>
      </c>
      <c r="D323" s="136" t="s">
        <v>2584</v>
      </c>
      <c r="E323" s="136" t="s">
        <v>1396</v>
      </c>
      <c r="F323" s="135" t="s">
        <v>628</v>
      </c>
      <c r="G323" s="136" t="s">
        <v>1914</v>
      </c>
      <c r="H323" s="135" t="s">
        <v>383</v>
      </c>
      <c r="I323" s="135" t="s">
        <v>454</v>
      </c>
      <c r="J323" s="135" t="s">
        <v>454</v>
      </c>
      <c r="K323" s="135" t="s">
        <v>1113</v>
      </c>
      <c r="L323" s="136" t="s">
        <v>2591</v>
      </c>
      <c r="N323" s="136"/>
      <c r="O323" s="136" t="s">
        <v>535</v>
      </c>
      <c r="P323" s="136" t="s">
        <v>555</v>
      </c>
      <c r="Q323" s="135" t="s">
        <v>1001</v>
      </c>
      <c r="R323" s="135" t="s">
        <v>1000</v>
      </c>
      <c r="S323" s="136"/>
      <c r="U323" s="135" t="s">
        <v>1113</v>
      </c>
      <c r="V323" s="135" t="s">
        <v>452</v>
      </c>
      <c r="W323" s="135" t="s">
        <v>627</v>
      </c>
      <c r="X323" s="135" t="s">
        <v>626</v>
      </c>
      <c r="Z323" s="135" t="s">
        <v>788</v>
      </c>
      <c r="AA323" s="136"/>
      <c r="AB323" s="135" t="s">
        <v>2592</v>
      </c>
    </row>
    <row r="324" spans="1:28">
      <c r="A324" s="136" t="s">
        <v>2593</v>
      </c>
      <c r="B324" s="135" t="s">
        <v>1112</v>
      </c>
      <c r="C324" s="135" t="s">
        <v>2583</v>
      </c>
      <c r="D324" s="136" t="s">
        <v>2584</v>
      </c>
      <c r="E324" s="136" t="s">
        <v>1396</v>
      </c>
      <c r="F324" s="135" t="s">
        <v>1110</v>
      </c>
      <c r="G324" s="136" t="s">
        <v>1914</v>
      </c>
      <c r="H324" s="135" t="s">
        <v>383</v>
      </c>
      <c r="I324" s="135" t="s">
        <v>454</v>
      </c>
      <c r="J324" s="135" t="s">
        <v>454</v>
      </c>
      <c r="K324" s="135" t="s">
        <v>1111</v>
      </c>
      <c r="L324" s="136" t="s">
        <v>2594</v>
      </c>
      <c r="N324" s="136"/>
      <c r="O324" s="136" t="s">
        <v>535</v>
      </c>
      <c r="P324" s="136" t="s">
        <v>548</v>
      </c>
      <c r="Q324" s="135" t="s">
        <v>1001</v>
      </c>
      <c r="R324" s="135" t="s">
        <v>1000</v>
      </c>
      <c r="S324" s="136"/>
      <c r="U324" s="135" t="s">
        <v>1111</v>
      </c>
      <c r="V324" s="135" t="s">
        <v>452</v>
      </c>
      <c r="W324" s="135" t="s">
        <v>1109</v>
      </c>
      <c r="X324" s="135" t="s">
        <v>1108</v>
      </c>
      <c r="Z324" s="135" t="s">
        <v>788</v>
      </c>
      <c r="AA324" s="136"/>
      <c r="AB324" s="135" t="s">
        <v>2595</v>
      </c>
    </row>
    <row r="325" spans="1:28">
      <c r="A325" s="136" t="s">
        <v>2596</v>
      </c>
      <c r="B325" s="135" t="s">
        <v>1107</v>
      </c>
      <c r="C325" s="135" t="s">
        <v>2583</v>
      </c>
      <c r="D325" s="136" t="s">
        <v>2584</v>
      </c>
      <c r="E325" s="136" t="s">
        <v>1396</v>
      </c>
      <c r="F325" s="135" t="s">
        <v>1105</v>
      </c>
      <c r="G325" s="136" t="s">
        <v>1914</v>
      </c>
      <c r="H325" s="135" t="s">
        <v>383</v>
      </c>
      <c r="I325" s="135" t="s">
        <v>454</v>
      </c>
      <c r="J325" s="135" t="s">
        <v>454</v>
      </c>
      <c r="K325" s="135" t="s">
        <v>1106</v>
      </c>
      <c r="L325" s="136" t="s">
        <v>2597</v>
      </c>
      <c r="N325" s="136"/>
      <c r="O325" s="136" t="s">
        <v>535</v>
      </c>
      <c r="P325" s="136" t="s">
        <v>625</v>
      </c>
      <c r="Q325" s="135" t="s">
        <v>1001</v>
      </c>
      <c r="R325" s="135" t="s">
        <v>1000</v>
      </c>
      <c r="S325" s="136"/>
      <c r="U325" s="135" t="s">
        <v>1106</v>
      </c>
      <c r="V325" s="135" t="s">
        <v>452</v>
      </c>
      <c r="W325" s="135" t="s">
        <v>622</v>
      </c>
      <c r="X325" s="135" t="s">
        <v>568</v>
      </c>
      <c r="Z325" s="135" t="s">
        <v>788</v>
      </c>
      <c r="AA325" s="136"/>
      <c r="AB325" s="135" t="s">
        <v>2598</v>
      </c>
    </row>
    <row r="326" spans="1:28">
      <c r="A326" s="136" t="s">
        <v>2599</v>
      </c>
      <c r="B326" s="135" t="s">
        <v>1104</v>
      </c>
      <c r="C326" s="135" t="s">
        <v>2583</v>
      </c>
      <c r="D326" s="136" t="s">
        <v>2584</v>
      </c>
      <c r="E326" s="136" t="s">
        <v>1396</v>
      </c>
      <c r="F326" s="135" t="s">
        <v>1102</v>
      </c>
      <c r="G326" s="136" t="s">
        <v>1914</v>
      </c>
      <c r="H326" s="135" t="s">
        <v>383</v>
      </c>
      <c r="I326" s="135" t="s">
        <v>454</v>
      </c>
      <c r="J326" s="135" t="s">
        <v>454</v>
      </c>
      <c r="K326" s="135" t="s">
        <v>1103</v>
      </c>
      <c r="L326" s="136" t="s">
        <v>2600</v>
      </c>
      <c r="N326" s="136"/>
      <c r="O326" s="136" t="s">
        <v>535</v>
      </c>
      <c r="P326" s="136" t="s">
        <v>538</v>
      </c>
      <c r="Q326" s="135" t="s">
        <v>1001</v>
      </c>
      <c r="R326" s="135" t="s">
        <v>1000</v>
      </c>
      <c r="S326" s="136"/>
      <c r="U326" s="135" t="s">
        <v>1103</v>
      </c>
      <c r="V326" s="135" t="s">
        <v>452</v>
      </c>
      <c r="W326" s="135" t="s">
        <v>1101</v>
      </c>
      <c r="X326" s="135" t="s">
        <v>551</v>
      </c>
      <c r="Z326" s="135" t="s">
        <v>788</v>
      </c>
      <c r="AA326" s="136"/>
      <c r="AB326" s="135" t="s">
        <v>2601</v>
      </c>
    </row>
    <row r="327" spans="1:28">
      <c r="A327" s="136" t="s">
        <v>2602</v>
      </c>
      <c r="B327" s="135" t="s">
        <v>1100</v>
      </c>
      <c r="C327" s="135" t="s">
        <v>2583</v>
      </c>
      <c r="D327" s="136" t="s">
        <v>2584</v>
      </c>
      <c r="E327" s="136" t="s">
        <v>1396</v>
      </c>
      <c r="F327" s="135" t="s">
        <v>1098</v>
      </c>
      <c r="G327" s="136" t="s">
        <v>1914</v>
      </c>
      <c r="H327" s="135" t="s">
        <v>383</v>
      </c>
      <c r="I327" s="135" t="s">
        <v>454</v>
      </c>
      <c r="J327" s="135" t="s">
        <v>454</v>
      </c>
      <c r="K327" s="135" t="s">
        <v>1099</v>
      </c>
      <c r="L327" s="136" t="s">
        <v>2603</v>
      </c>
      <c r="N327" s="136"/>
      <c r="O327" s="136" t="s">
        <v>535</v>
      </c>
      <c r="P327" s="136" t="s">
        <v>616</v>
      </c>
      <c r="Q327" s="135" t="s">
        <v>1001</v>
      </c>
      <c r="R327" s="135" t="s">
        <v>1000</v>
      </c>
      <c r="S327" s="136"/>
      <c r="U327" s="135" t="s">
        <v>1099</v>
      </c>
      <c r="V327" s="135" t="s">
        <v>452</v>
      </c>
      <c r="W327" s="135" t="s">
        <v>1097</v>
      </c>
      <c r="X327" s="135" t="s">
        <v>1045</v>
      </c>
      <c r="Z327" s="135" t="s">
        <v>788</v>
      </c>
      <c r="AA327" s="136"/>
      <c r="AB327" s="135" t="s">
        <v>2604</v>
      </c>
    </row>
    <row r="328" spans="1:28">
      <c r="A328" s="136" t="s">
        <v>2605</v>
      </c>
      <c r="B328" s="135" t="s">
        <v>1096</v>
      </c>
      <c r="C328" s="135" t="s">
        <v>2583</v>
      </c>
      <c r="D328" s="136" t="s">
        <v>2584</v>
      </c>
      <c r="E328" s="136" t="s">
        <v>1396</v>
      </c>
      <c r="F328" s="135" t="s">
        <v>1094</v>
      </c>
      <c r="G328" s="136" t="s">
        <v>1914</v>
      </c>
      <c r="H328" s="135" t="s">
        <v>383</v>
      </c>
      <c r="I328" s="135" t="s">
        <v>454</v>
      </c>
      <c r="J328" s="135" t="s">
        <v>454</v>
      </c>
      <c r="K328" s="135" t="s">
        <v>1095</v>
      </c>
      <c r="L328" s="136" t="s">
        <v>2606</v>
      </c>
      <c r="N328" s="136"/>
      <c r="O328" s="136" t="s">
        <v>535</v>
      </c>
      <c r="P328" s="136" t="s">
        <v>613</v>
      </c>
      <c r="Q328" s="135" t="s">
        <v>1001</v>
      </c>
      <c r="R328" s="135" t="s">
        <v>1000</v>
      </c>
      <c r="S328" s="136"/>
      <c r="U328" s="135" t="s">
        <v>1095</v>
      </c>
      <c r="V328" s="135" t="s">
        <v>452</v>
      </c>
      <c r="W328" s="135" t="s">
        <v>1093</v>
      </c>
      <c r="X328" s="135" t="s">
        <v>1092</v>
      </c>
      <c r="Z328" s="135" t="s">
        <v>788</v>
      </c>
      <c r="AA328" s="136"/>
      <c r="AB328" s="135" t="s">
        <v>2607</v>
      </c>
    </row>
    <row r="329" spans="1:28">
      <c r="A329" s="136" t="s">
        <v>2608</v>
      </c>
      <c r="B329" s="135" t="s">
        <v>1091</v>
      </c>
      <c r="C329" s="135" t="s">
        <v>2583</v>
      </c>
      <c r="D329" s="136" t="s">
        <v>2584</v>
      </c>
      <c r="E329" s="136" t="s">
        <v>1396</v>
      </c>
      <c r="F329" s="135" t="s">
        <v>1084</v>
      </c>
      <c r="G329" s="136" t="s">
        <v>1914</v>
      </c>
      <c r="H329" s="135" t="s">
        <v>383</v>
      </c>
      <c r="I329" s="135" t="s">
        <v>731</v>
      </c>
      <c r="J329" s="135" t="s">
        <v>731</v>
      </c>
      <c r="K329" s="135" t="s">
        <v>1090</v>
      </c>
      <c r="L329" s="136" t="s">
        <v>2609</v>
      </c>
      <c r="N329" s="136"/>
      <c r="O329" s="136" t="s">
        <v>535</v>
      </c>
      <c r="P329" s="136" t="s">
        <v>609</v>
      </c>
      <c r="Q329" s="135" t="s">
        <v>1001</v>
      </c>
      <c r="R329" s="135" t="s">
        <v>1000</v>
      </c>
      <c r="S329" s="136"/>
      <c r="U329" s="135" t="s">
        <v>1090</v>
      </c>
      <c r="V329" s="135" t="s">
        <v>452</v>
      </c>
      <c r="X329" s="135" t="s">
        <v>610</v>
      </c>
      <c r="Z329" s="135" t="s">
        <v>788</v>
      </c>
      <c r="AA329" s="136"/>
      <c r="AB329" s="135" t="s">
        <v>2610</v>
      </c>
    </row>
    <row r="330" spans="1:28">
      <c r="A330" s="136" t="s">
        <v>2611</v>
      </c>
      <c r="B330" s="135" t="s">
        <v>1089</v>
      </c>
      <c r="C330" s="135" t="s">
        <v>2583</v>
      </c>
      <c r="D330" s="136" t="s">
        <v>2584</v>
      </c>
      <c r="E330" s="136" t="s">
        <v>1396</v>
      </c>
      <c r="F330" s="135" t="s">
        <v>1084</v>
      </c>
      <c r="G330" s="136" t="s">
        <v>1914</v>
      </c>
      <c r="H330" s="135" t="s">
        <v>383</v>
      </c>
      <c r="I330" s="135" t="s">
        <v>731</v>
      </c>
      <c r="J330" s="135" t="s">
        <v>731</v>
      </c>
      <c r="K330" s="135" t="s">
        <v>1088</v>
      </c>
      <c r="L330" s="136" t="s">
        <v>2612</v>
      </c>
      <c r="N330" s="136"/>
      <c r="O330" s="136" t="s">
        <v>535</v>
      </c>
      <c r="P330" s="136" t="s">
        <v>606</v>
      </c>
      <c r="Q330" s="135" t="s">
        <v>1001</v>
      </c>
      <c r="R330" s="135" t="s">
        <v>1000</v>
      </c>
      <c r="S330" s="136"/>
      <c r="U330" s="135" t="s">
        <v>1088</v>
      </c>
      <c r="V330" s="135" t="s">
        <v>452</v>
      </c>
      <c r="X330" s="135" t="s">
        <v>610</v>
      </c>
      <c r="Z330" s="135" t="s">
        <v>788</v>
      </c>
      <c r="AA330" s="136"/>
      <c r="AB330" s="135" t="s">
        <v>2613</v>
      </c>
    </row>
    <row r="331" spans="1:28">
      <c r="A331" s="136" t="s">
        <v>2614</v>
      </c>
      <c r="B331" s="135" t="s">
        <v>1087</v>
      </c>
      <c r="C331" s="135" t="s">
        <v>2583</v>
      </c>
      <c r="D331" s="136" t="s">
        <v>2584</v>
      </c>
      <c r="E331" s="136" t="s">
        <v>1396</v>
      </c>
      <c r="F331" s="135" t="s">
        <v>1084</v>
      </c>
      <c r="G331" s="136" t="s">
        <v>1914</v>
      </c>
      <c r="H331" s="135" t="s">
        <v>383</v>
      </c>
      <c r="I331" s="135" t="s">
        <v>765</v>
      </c>
      <c r="J331" s="135" t="s">
        <v>765</v>
      </c>
      <c r="K331" s="135" t="s">
        <v>1086</v>
      </c>
      <c r="L331" s="136" t="s">
        <v>2615</v>
      </c>
      <c r="N331" s="136"/>
      <c r="O331" s="136" t="s">
        <v>535</v>
      </c>
      <c r="P331" s="136" t="s">
        <v>600</v>
      </c>
      <c r="Q331" s="135" t="s">
        <v>1001</v>
      </c>
      <c r="R331" s="135" t="s">
        <v>1000</v>
      </c>
      <c r="S331" s="136"/>
      <c r="U331" s="135" t="s">
        <v>1086</v>
      </c>
      <c r="V331" s="135" t="s">
        <v>452</v>
      </c>
      <c r="X331" s="135" t="s">
        <v>610</v>
      </c>
      <c r="Z331" s="135" t="s">
        <v>788</v>
      </c>
      <c r="AA331" s="136"/>
      <c r="AB331" s="135" t="s">
        <v>2616</v>
      </c>
    </row>
    <row r="332" spans="1:28">
      <c r="A332" s="136" t="s">
        <v>2617</v>
      </c>
      <c r="B332" s="135" t="s">
        <v>1085</v>
      </c>
      <c r="C332" s="135" t="s">
        <v>2583</v>
      </c>
      <c r="D332" s="136" t="s">
        <v>2584</v>
      </c>
      <c r="E332" s="136" t="s">
        <v>1396</v>
      </c>
      <c r="F332" s="135" t="s">
        <v>1084</v>
      </c>
      <c r="G332" s="136" t="s">
        <v>1914</v>
      </c>
      <c r="H332" s="135" t="s">
        <v>383</v>
      </c>
      <c r="I332" s="135" t="s">
        <v>731</v>
      </c>
      <c r="J332" s="135" t="s">
        <v>731</v>
      </c>
      <c r="K332" s="135" t="s">
        <v>1083</v>
      </c>
      <c r="L332" s="136" t="s">
        <v>2618</v>
      </c>
      <c r="N332" s="136"/>
      <c r="O332" s="136" t="s">
        <v>535</v>
      </c>
      <c r="P332" s="136" t="s">
        <v>595</v>
      </c>
      <c r="Q332" s="135" t="s">
        <v>1001</v>
      </c>
      <c r="R332" s="135" t="s">
        <v>1000</v>
      </c>
      <c r="S332" s="136"/>
      <c r="U332" s="135" t="s">
        <v>1083</v>
      </c>
      <c r="V332" s="135" t="s">
        <v>452</v>
      </c>
      <c r="X332" s="135" t="s">
        <v>610</v>
      </c>
      <c r="Z332" s="135" t="s">
        <v>788</v>
      </c>
      <c r="AA332" s="136"/>
      <c r="AB332" s="135" t="s">
        <v>2619</v>
      </c>
    </row>
    <row r="333" spans="1:28">
      <c r="A333" s="136" t="s">
        <v>2620</v>
      </c>
      <c r="B333" s="135" t="s">
        <v>1082</v>
      </c>
      <c r="C333" s="135" t="s">
        <v>2583</v>
      </c>
      <c r="D333" s="136" t="s">
        <v>2584</v>
      </c>
      <c r="E333" s="136" t="s">
        <v>1396</v>
      </c>
      <c r="F333" s="135" t="s">
        <v>2621</v>
      </c>
      <c r="G333" s="136" t="s">
        <v>1914</v>
      </c>
      <c r="H333" s="135" t="s">
        <v>383</v>
      </c>
      <c r="I333" s="135" t="s">
        <v>494</v>
      </c>
      <c r="J333" s="135" t="s">
        <v>494</v>
      </c>
      <c r="K333" s="135" t="s">
        <v>2622</v>
      </c>
      <c r="L333" s="136" t="s">
        <v>2623</v>
      </c>
      <c r="N333" s="136"/>
      <c r="O333" s="136" t="s">
        <v>535</v>
      </c>
      <c r="P333" s="136" t="s">
        <v>590</v>
      </c>
      <c r="Q333" s="135" t="s">
        <v>1001</v>
      </c>
      <c r="R333" s="135" t="s">
        <v>1000</v>
      </c>
      <c r="S333" s="136"/>
      <c r="U333" s="135" t="s">
        <v>2622</v>
      </c>
      <c r="V333" s="135" t="s">
        <v>452</v>
      </c>
      <c r="W333" s="135" t="s">
        <v>2624</v>
      </c>
      <c r="X333" s="135" t="s">
        <v>2625</v>
      </c>
      <c r="Z333" s="135" t="s">
        <v>788</v>
      </c>
      <c r="AA333" s="136"/>
      <c r="AB333" s="135" t="s">
        <v>2626</v>
      </c>
    </row>
    <row r="334" spans="1:28">
      <c r="A334" s="136" t="s">
        <v>2627</v>
      </c>
      <c r="B334" s="135" t="s">
        <v>1081</v>
      </c>
      <c r="C334" s="135" t="s">
        <v>2583</v>
      </c>
      <c r="D334" s="136" t="s">
        <v>2584</v>
      </c>
      <c r="E334" s="136" t="s">
        <v>1396</v>
      </c>
      <c r="F334" s="135" t="s">
        <v>1080</v>
      </c>
      <c r="G334" s="136" t="s">
        <v>2628</v>
      </c>
      <c r="I334" s="135" t="s">
        <v>494</v>
      </c>
      <c r="J334" s="135" t="s">
        <v>494</v>
      </c>
      <c r="K334" s="135" t="s">
        <v>1079</v>
      </c>
      <c r="L334" s="136" t="s">
        <v>2628</v>
      </c>
      <c r="N334" s="136"/>
      <c r="O334" s="136" t="s">
        <v>535</v>
      </c>
      <c r="P334" s="136" t="s">
        <v>585</v>
      </c>
      <c r="Q334" s="135" t="s">
        <v>1001</v>
      </c>
      <c r="R334" s="135" t="s">
        <v>1000</v>
      </c>
      <c r="S334" s="136"/>
      <c r="U334" s="135" t="s">
        <v>1079</v>
      </c>
      <c r="V334" s="135" t="s">
        <v>452</v>
      </c>
      <c r="W334" s="135" t="s">
        <v>1080</v>
      </c>
      <c r="X334" s="135" t="s">
        <v>481</v>
      </c>
      <c r="Z334" s="135" t="s">
        <v>1074</v>
      </c>
      <c r="AA334" s="136"/>
      <c r="AB334" s="135" t="s">
        <v>2629</v>
      </c>
    </row>
    <row r="335" spans="1:28">
      <c r="A335" s="136" t="s">
        <v>2630</v>
      </c>
      <c r="B335" s="135" t="s">
        <v>1078</v>
      </c>
      <c r="C335" s="135" t="s">
        <v>2583</v>
      </c>
      <c r="D335" s="136" t="s">
        <v>2584</v>
      </c>
      <c r="E335" s="136" t="s">
        <v>1396</v>
      </c>
      <c r="F335" s="135" t="s">
        <v>1077</v>
      </c>
      <c r="G335" s="136" t="s">
        <v>1914</v>
      </c>
      <c r="H335" s="135" t="s">
        <v>383</v>
      </c>
      <c r="I335" s="135" t="s">
        <v>454</v>
      </c>
      <c r="J335" s="135" t="s">
        <v>454</v>
      </c>
      <c r="K335" s="135" t="s">
        <v>1075</v>
      </c>
      <c r="L335" s="136" t="s">
        <v>2631</v>
      </c>
      <c r="N335" s="136"/>
      <c r="O335" s="136" t="s">
        <v>535</v>
      </c>
      <c r="P335" s="136" t="s">
        <v>581</v>
      </c>
      <c r="Q335" s="135" t="s">
        <v>1001</v>
      </c>
      <c r="R335" s="135" t="s">
        <v>1000</v>
      </c>
      <c r="S335" s="136"/>
      <c r="U335" s="135" t="s">
        <v>1075</v>
      </c>
      <c r="V335" s="135" t="s">
        <v>452</v>
      </c>
      <c r="X335" s="135" t="s">
        <v>1076</v>
      </c>
      <c r="Z335" s="135" t="s">
        <v>1074</v>
      </c>
      <c r="AA335" s="136"/>
      <c r="AB335" s="135" t="s">
        <v>2632</v>
      </c>
    </row>
    <row r="336" spans="1:28">
      <c r="A336" s="136" t="s">
        <v>2633</v>
      </c>
      <c r="B336" s="135" t="s">
        <v>839</v>
      </c>
      <c r="C336" s="135" t="s">
        <v>386</v>
      </c>
      <c r="D336" s="136" t="s">
        <v>1339</v>
      </c>
      <c r="E336" s="136" t="s">
        <v>1396</v>
      </c>
      <c r="F336" s="135" t="s">
        <v>838</v>
      </c>
      <c r="G336" s="136" t="s">
        <v>406</v>
      </c>
      <c r="I336" s="135" t="s">
        <v>494</v>
      </c>
      <c r="J336" s="135" t="s">
        <v>494</v>
      </c>
      <c r="K336" s="135" t="s">
        <v>837</v>
      </c>
      <c r="L336" s="136" t="s">
        <v>406</v>
      </c>
      <c r="N336" s="136"/>
      <c r="O336" s="136" t="s">
        <v>535</v>
      </c>
      <c r="P336" s="136" t="s">
        <v>576</v>
      </c>
      <c r="Q336" s="135" t="s">
        <v>536</v>
      </c>
      <c r="R336" s="135" t="s">
        <v>534</v>
      </c>
      <c r="S336" s="136"/>
      <c r="U336" s="135" t="s">
        <v>837</v>
      </c>
      <c r="V336" s="135" t="s">
        <v>452</v>
      </c>
      <c r="W336" s="135" t="s">
        <v>838</v>
      </c>
      <c r="X336" s="135" t="s">
        <v>481</v>
      </c>
      <c r="Z336" s="135" t="s">
        <v>505</v>
      </c>
      <c r="AA336" s="136"/>
      <c r="AB336" s="135" t="s">
        <v>2634</v>
      </c>
    </row>
    <row r="337" spans="1:28">
      <c r="A337" s="136" t="s">
        <v>2635</v>
      </c>
      <c r="B337" s="135" t="s">
        <v>836</v>
      </c>
      <c r="C337" s="135" t="s">
        <v>386</v>
      </c>
      <c r="D337" s="136" t="s">
        <v>1339</v>
      </c>
      <c r="E337" s="136" t="s">
        <v>1396</v>
      </c>
      <c r="F337" s="135" t="s">
        <v>835</v>
      </c>
      <c r="G337" s="136" t="s">
        <v>1914</v>
      </c>
      <c r="H337" s="135" t="s">
        <v>383</v>
      </c>
      <c r="I337" s="135" t="s">
        <v>731</v>
      </c>
      <c r="J337" s="135" t="s">
        <v>731</v>
      </c>
      <c r="K337" s="135" t="s">
        <v>832</v>
      </c>
      <c r="L337" s="136" t="s">
        <v>2636</v>
      </c>
      <c r="N337" s="136"/>
      <c r="O337" s="136" t="s">
        <v>535</v>
      </c>
      <c r="P337" s="136" t="s">
        <v>566</v>
      </c>
      <c r="Q337" s="135" t="s">
        <v>536</v>
      </c>
      <c r="R337" s="135" t="s">
        <v>534</v>
      </c>
      <c r="S337" s="136"/>
      <c r="U337" s="135" t="s">
        <v>832</v>
      </c>
      <c r="V337" s="135" t="s">
        <v>452</v>
      </c>
      <c r="W337" s="135" t="s">
        <v>834</v>
      </c>
      <c r="X337" s="135" t="s">
        <v>455</v>
      </c>
      <c r="Z337" s="135" t="s">
        <v>788</v>
      </c>
      <c r="AA337" s="136"/>
      <c r="AB337" s="135" t="s">
        <v>2637</v>
      </c>
    </row>
    <row r="338" spans="1:28">
      <c r="A338" s="136" t="s">
        <v>2638</v>
      </c>
      <c r="B338" s="135" t="s">
        <v>833</v>
      </c>
      <c r="C338" s="135" t="s">
        <v>386</v>
      </c>
      <c r="D338" s="136" t="s">
        <v>1339</v>
      </c>
      <c r="E338" s="136" t="s">
        <v>1396</v>
      </c>
      <c r="F338" s="135" t="s">
        <v>831</v>
      </c>
      <c r="G338" s="136" t="s">
        <v>1914</v>
      </c>
      <c r="H338" s="135" t="s">
        <v>383</v>
      </c>
      <c r="I338" s="135" t="s">
        <v>480</v>
      </c>
      <c r="J338" s="135" t="s">
        <v>480</v>
      </c>
      <c r="K338" s="135" t="s">
        <v>832</v>
      </c>
      <c r="L338" s="136" t="s">
        <v>2636</v>
      </c>
      <c r="N338" s="136"/>
      <c r="O338" s="136" t="s">
        <v>535</v>
      </c>
      <c r="P338" s="136" t="s">
        <v>561</v>
      </c>
      <c r="Q338" s="135" t="s">
        <v>536</v>
      </c>
      <c r="R338" s="135" t="s">
        <v>534</v>
      </c>
      <c r="S338" s="136"/>
      <c r="U338" s="135" t="s">
        <v>832</v>
      </c>
      <c r="V338" s="135" t="s">
        <v>452</v>
      </c>
      <c r="W338" s="135" t="s">
        <v>830</v>
      </c>
      <c r="X338" s="135" t="s">
        <v>829</v>
      </c>
      <c r="Z338" s="135" t="s">
        <v>828</v>
      </c>
      <c r="AA338" s="136"/>
      <c r="AB338" s="135" t="s">
        <v>2639</v>
      </c>
    </row>
    <row r="339" spans="1:28">
      <c r="A339" s="136" t="s">
        <v>2640</v>
      </c>
      <c r="B339" s="135" t="s">
        <v>827</v>
      </c>
      <c r="C339" s="135" t="s">
        <v>386</v>
      </c>
      <c r="D339" s="136" t="s">
        <v>1339</v>
      </c>
      <c r="E339" s="136" t="s">
        <v>1396</v>
      </c>
      <c r="F339" s="135" t="s">
        <v>825</v>
      </c>
      <c r="G339" s="136" t="s">
        <v>1914</v>
      </c>
      <c r="H339" s="135" t="s">
        <v>383</v>
      </c>
      <c r="I339" s="135" t="s">
        <v>556</v>
      </c>
      <c r="J339" s="135" t="s">
        <v>556</v>
      </c>
      <c r="K339" s="135" t="s">
        <v>826</v>
      </c>
      <c r="L339" s="136" t="s">
        <v>2641</v>
      </c>
      <c r="N339" s="136"/>
      <c r="O339" s="136" t="s">
        <v>535</v>
      </c>
      <c r="P339" s="136" t="s">
        <v>555</v>
      </c>
      <c r="Q339" s="135" t="s">
        <v>536</v>
      </c>
      <c r="R339" s="135" t="s">
        <v>534</v>
      </c>
      <c r="S339" s="136"/>
      <c r="U339" s="135" t="s">
        <v>826</v>
      </c>
      <c r="V339" s="135" t="s">
        <v>452</v>
      </c>
      <c r="W339" s="135" t="s">
        <v>824</v>
      </c>
      <c r="X339" s="135" t="s">
        <v>823</v>
      </c>
      <c r="Z339" s="135" t="s">
        <v>788</v>
      </c>
      <c r="AA339" s="136"/>
      <c r="AB339" s="135" t="s">
        <v>2642</v>
      </c>
    </row>
    <row r="340" spans="1:28">
      <c r="A340" s="136" t="s">
        <v>2643</v>
      </c>
      <c r="B340" s="135" t="s">
        <v>1073</v>
      </c>
      <c r="C340" s="135" t="s">
        <v>2583</v>
      </c>
      <c r="D340" s="136" t="s">
        <v>2584</v>
      </c>
      <c r="E340" s="136" t="s">
        <v>1396</v>
      </c>
      <c r="F340" s="135" t="s">
        <v>1071</v>
      </c>
      <c r="G340" s="136" t="s">
        <v>1914</v>
      </c>
      <c r="H340" s="135" t="s">
        <v>383</v>
      </c>
      <c r="I340" s="135" t="s">
        <v>454</v>
      </c>
      <c r="J340" s="135" t="s">
        <v>454</v>
      </c>
      <c r="K340" s="135" t="s">
        <v>1072</v>
      </c>
      <c r="L340" s="136" t="s">
        <v>2644</v>
      </c>
      <c r="N340" s="136"/>
      <c r="O340" s="136" t="s">
        <v>535</v>
      </c>
      <c r="P340" s="136" t="s">
        <v>548</v>
      </c>
      <c r="Q340" s="135" t="s">
        <v>1001</v>
      </c>
      <c r="R340" s="135" t="s">
        <v>1000</v>
      </c>
      <c r="S340" s="136"/>
      <c r="U340" s="135" t="s">
        <v>1072</v>
      </c>
      <c r="V340" s="135" t="s">
        <v>452</v>
      </c>
      <c r="W340" s="135" t="s">
        <v>1070</v>
      </c>
      <c r="X340" s="135" t="s">
        <v>692</v>
      </c>
      <c r="Z340" s="135" t="s">
        <v>788</v>
      </c>
      <c r="AA340" s="136"/>
      <c r="AB340" s="135" t="s">
        <v>2645</v>
      </c>
    </row>
    <row r="341" spans="1:28">
      <c r="A341" s="136" t="s">
        <v>2646</v>
      </c>
      <c r="B341" s="135" t="s">
        <v>1069</v>
      </c>
      <c r="C341" s="135" t="s">
        <v>2583</v>
      </c>
      <c r="D341" s="136" t="s">
        <v>2584</v>
      </c>
      <c r="E341" s="136" t="s">
        <v>1396</v>
      </c>
      <c r="F341" s="135" t="s">
        <v>1067</v>
      </c>
      <c r="G341" s="136" t="s">
        <v>1914</v>
      </c>
      <c r="H341" s="135" t="s">
        <v>383</v>
      </c>
      <c r="I341" s="135" t="s">
        <v>454</v>
      </c>
      <c r="J341" s="135" t="s">
        <v>454</v>
      </c>
      <c r="K341" s="135" t="s">
        <v>1068</v>
      </c>
      <c r="L341" s="136" t="s">
        <v>2647</v>
      </c>
      <c r="N341" s="136"/>
      <c r="O341" s="136" t="s">
        <v>535</v>
      </c>
      <c r="P341" s="136" t="s">
        <v>625</v>
      </c>
      <c r="Q341" s="135" t="s">
        <v>1001</v>
      </c>
      <c r="R341" s="135" t="s">
        <v>1000</v>
      </c>
      <c r="S341" s="136"/>
      <c r="U341" s="135" t="s">
        <v>1068</v>
      </c>
      <c r="V341" s="135" t="s">
        <v>452</v>
      </c>
      <c r="W341" s="135" t="s">
        <v>1066</v>
      </c>
      <c r="X341" s="135" t="s">
        <v>577</v>
      </c>
      <c r="Z341" s="135" t="s">
        <v>788</v>
      </c>
      <c r="AA341" s="136"/>
      <c r="AB341" s="135" t="s">
        <v>2648</v>
      </c>
    </row>
    <row r="342" spans="1:28">
      <c r="A342" s="136" t="s">
        <v>2649</v>
      </c>
      <c r="B342" s="135" t="s">
        <v>1065</v>
      </c>
      <c r="C342" s="135" t="s">
        <v>2583</v>
      </c>
      <c r="D342" s="136" t="s">
        <v>2584</v>
      </c>
      <c r="E342" s="136" t="s">
        <v>1396</v>
      </c>
      <c r="F342" s="135" t="s">
        <v>1063</v>
      </c>
      <c r="G342" s="136" t="s">
        <v>1914</v>
      </c>
      <c r="H342" s="135" t="s">
        <v>383</v>
      </c>
      <c r="I342" s="135" t="s">
        <v>454</v>
      </c>
      <c r="J342" s="135" t="s">
        <v>454</v>
      </c>
      <c r="K342" s="135" t="s">
        <v>1064</v>
      </c>
      <c r="L342" s="136" t="s">
        <v>2650</v>
      </c>
      <c r="N342" s="136"/>
      <c r="O342" s="136" t="s">
        <v>535</v>
      </c>
      <c r="P342" s="136" t="s">
        <v>538</v>
      </c>
      <c r="Q342" s="135" t="s">
        <v>1001</v>
      </c>
      <c r="R342" s="135" t="s">
        <v>1000</v>
      </c>
      <c r="S342" s="136"/>
      <c r="U342" s="135" t="s">
        <v>1064</v>
      </c>
      <c r="V342" s="135" t="s">
        <v>452</v>
      </c>
      <c r="W342" s="135" t="s">
        <v>1062</v>
      </c>
      <c r="X342" s="135" t="s">
        <v>568</v>
      </c>
      <c r="Z342" s="135" t="s">
        <v>788</v>
      </c>
      <c r="AA342" s="136"/>
      <c r="AB342" s="135" t="s">
        <v>2651</v>
      </c>
    </row>
    <row r="343" spans="1:28">
      <c r="A343" s="136" t="s">
        <v>2652</v>
      </c>
      <c r="B343" s="135" t="s">
        <v>1061</v>
      </c>
      <c r="C343" s="135" t="s">
        <v>2583</v>
      </c>
      <c r="D343" s="136" t="s">
        <v>2584</v>
      </c>
      <c r="E343" s="136" t="s">
        <v>1396</v>
      </c>
      <c r="F343" s="135" t="s">
        <v>1059</v>
      </c>
      <c r="G343" s="136" t="s">
        <v>1914</v>
      </c>
      <c r="H343" s="135" t="s">
        <v>383</v>
      </c>
      <c r="I343" s="135" t="s">
        <v>454</v>
      </c>
      <c r="J343" s="135" t="s">
        <v>454</v>
      </c>
      <c r="K343" s="135" t="s">
        <v>1060</v>
      </c>
      <c r="L343" s="136" t="s">
        <v>2653</v>
      </c>
      <c r="N343" s="136"/>
      <c r="O343" s="136" t="s">
        <v>535</v>
      </c>
      <c r="P343" s="136" t="s">
        <v>616</v>
      </c>
      <c r="Q343" s="135" t="s">
        <v>1001</v>
      </c>
      <c r="R343" s="135" t="s">
        <v>1000</v>
      </c>
      <c r="S343" s="136"/>
      <c r="U343" s="135" t="s">
        <v>1060</v>
      </c>
      <c r="V343" s="135" t="s">
        <v>452</v>
      </c>
      <c r="W343" s="135" t="s">
        <v>1058</v>
      </c>
      <c r="X343" s="135" t="s">
        <v>551</v>
      </c>
      <c r="Z343" s="135" t="s">
        <v>788</v>
      </c>
      <c r="AA343" s="136"/>
      <c r="AB343" s="135" t="s">
        <v>2654</v>
      </c>
    </row>
    <row r="344" spans="1:28">
      <c r="A344" s="136" t="s">
        <v>2655</v>
      </c>
      <c r="B344" s="135" t="s">
        <v>822</v>
      </c>
      <c r="C344" s="135" t="s">
        <v>386</v>
      </c>
      <c r="D344" s="136" t="s">
        <v>1339</v>
      </c>
      <c r="E344" s="136" t="s">
        <v>1396</v>
      </c>
      <c r="F344" s="135" t="s">
        <v>821</v>
      </c>
      <c r="G344" s="136" t="s">
        <v>412</v>
      </c>
      <c r="I344" s="135" t="s">
        <v>494</v>
      </c>
      <c r="J344" s="135" t="s">
        <v>494</v>
      </c>
      <c r="K344" s="135" t="s">
        <v>820</v>
      </c>
      <c r="L344" s="136" t="s">
        <v>412</v>
      </c>
      <c r="N344" s="136"/>
      <c r="O344" s="136" t="s">
        <v>535</v>
      </c>
      <c r="P344" s="136" t="s">
        <v>613</v>
      </c>
      <c r="Q344" s="135" t="s">
        <v>536</v>
      </c>
      <c r="R344" s="135" t="s">
        <v>534</v>
      </c>
      <c r="S344" s="136"/>
      <c r="U344" s="135" t="s">
        <v>820</v>
      </c>
      <c r="V344" s="135" t="s">
        <v>452</v>
      </c>
      <c r="W344" s="135" t="s">
        <v>821</v>
      </c>
      <c r="X344" s="135" t="s">
        <v>481</v>
      </c>
      <c r="Z344" s="135" t="s">
        <v>505</v>
      </c>
      <c r="AA344" s="136"/>
      <c r="AB344" s="135" t="s">
        <v>2656</v>
      </c>
    </row>
    <row r="345" spans="1:28">
      <c r="A345" s="136" t="s">
        <v>2657</v>
      </c>
      <c r="B345" s="135" t="s">
        <v>819</v>
      </c>
      <c r="C345" s="135" t="s">
        <v>386</v>
      </c>
      <c r="D345" s="136" t="s">
        <v>1339</v>
      </c>
      <c r="E345" s="136" t="s">
        <v>1396</v>
      </c>
      <c r="F345" s="135" t="s">
        <v>611</v>
      </c>
      <c r="G345" s="136" t="s">
        <v>1914</v>
      </c>
      <c r="H345" s="135" t="s">
        <v>383</v>
      </c>
      <c r="I345" s="135" t="s">
        <v>731</v>
      </c>
      <c r="J345" s="135" t="s">
        <v>731</v>
      </c>
      <c r="K345" s="135" t="s">
        <v>818</v>
      </c>
      <c r="L345" s="136" t="s">
        <v>413</v>
      </c>
      <c r="N345" s="136"/>
      <c r="O345" s="136" t="s">
        <v>535</v>
      </c>
      <c r="P345" s="136" t="s">
        <v>609</v>
      </c>
      <c r="Q345" s="135" t="s">
        <v>536</v>
      </c>
      <c r="R345" s="135" t="s">
        <v>534</v>
      </c>
      <c r="S345" s="136"/>
      <c r="U345" s="135" t="s">
        <v>818</v>
      </c>
      <c r="V345" s="135" t="s">
        <v>452</v>
      </c>
      <c r="X345" s="135" t="s">
        <v>610</v>
      </c>
      <c r="Z345" s="135" t="s">
        <v>505</v>
      </c>
      <c r="AA345" s="136"/>
      <c r="AB345" s="135" t="s">
        <v>2658</v>
      </c>
    </row>
    <row r="346" spans="1:28">
      <c r="A346" s="136" t="s">
        <v>2659</v>
      </c>
      <c r="B346" s="135" t="s">
        <v>1057</v>
      </c>
      <c r="C346" s="135" t="s">
        <v>2583</v>
      </c>
      <c r="D346" s="136" t="s">
        <v>2584</v>
      </c>
      <c r="E346" s="136" t="s">
        <v>1396</v>
      </c>
      <c r="F346" s="135" t="s">
        <v>2660</v>
      </c>
      <c r="G346" s="136" t="s">
        <v>422</v>
      </c>
      <c r="I346" s="135" t="s">
        <v>494</v>
      </c>
      <c r="J346" s="135" t="s">
        <v>494</v>
      </c>
      <c r="K346" s="135" t="s">
        <v>2661</v>
      </c>
      <c r="L346" s="136" t="s">
        <v>422</v>
      </c>
      <c r="N346" s="136"/>
      <c r="O346" s="136" t="s">
        <v>535</v>
      </c>
      <c r="P346" s="136" t="s">
        <v>606</v>
      </c>
      <c r="Q346" s="135" t="s">
        <v>1001</v>
      </c>
      <c r="R346" s="135" t="s">
        <v>1000</v>
      </c>
      <c r="S346" s="136"/>
      <c r="U346" s="135" t="s">
        <v>2661</v>
      </c>
      <c r="V346" s="135" t="s">
        <v>452</v>
      </c>
      <c r="W346" s="135" t="s">
        <v>2660</v>
      </c>
      <c r="X346" s="135" t="s">
        <v>481</v>
      </c>
      <c r="Z346" s="135" t="s">
        <v>788</v>
      </c>
      <c r="AA346" s="136"/>
      <c r="AB346" s="135" t="s">
        <v>2662</v>
      </c>
    </row>
    <row r="347" spans="1:28">
      <c r="A347" s="136" t="s">
        <v>2663</v>
      </c>
      <c r="B347" s="135" t="s">
        <v>1056</v>
      </c>
      <c r="C347" s="135" t="s">
        <v>1394</v>
      </c>
      <c r="D347" s="136" t="s">
        <v>2664</v>
      </c>
      <c r="E347" s="136" t="s">
        <v>1396</v>
      </c>
      <c r="F347" s="135" t="s">
        <v>493</v>
      </c>
      <c r="G347" s="136" t="s">
        <v>1431</v>
      </c>
      <c r="H347" s="135" t="s">
        <v>383</v>
      </c>
      <c r="I347" s="135" t="s">
        <v>454</v>
      </c>
      <c r="J347" s="135" t="s">
        <v>454</v>
      </c>
      <c r="K347" s="135" t="s">
        <v>502</v>
      </c>
      <c r="L347" s="136" t="s">
        <v>2278</v>
      </c>
      <c r="N347" s="136"/>
      <c r="O347" s="136" t="s">
        <v>496</v>
      </c>
      <c r="P347" s="136" t="s">
        <v>542</v>
      </c>
      <c r="Q347" s="135" t="s">
        <v>1054</v>
      </c>
      <c r="R347" s="135" t="s">
        <v>1053</v>
      </c>
      <c r="S347" s="136"/>
      <c r="U347" s="135" t="s">
        <v>502</v>
      </c>
      <c r="V347" s="135" t="s">
        <v>501</v>
      </c>
      <c r="X347" s="135" t="s">
        <v>492</v>
      </c>
      <c r="Z347" s="135" t="s">
        <v>451</v>
      </c>
      <c r="AA347" s="136"/>
      <c r="AB347" s="135" t="s">
        <v>2665</v>
      </c>
    </row>
    <row r="348" spans="1:28">
      <c r="A348" s="136" t="s">
        <v>2666</v>
      </c>
      <c r="B348" s="135" t="s">
        <v>503</v>
      </c>
      <c r="C348" s="135" t="s">
        <v>1394</v>
      </c>
      <c r="D348" s="136" t="s">
        <v>2667</v>
      </c>
      <c r="E348" s="136" t="s">
        <v>1396</v>
      </c>
      <c r="F348" s="135" t="s">
        <v>493</v>
      </c>
      <c r="G348" s="136" t="s">
        <v>1431</v>
      </c>
      <c r="H348" s="135" t="s">
        <v>383</v>
      </c>
      <c r="I348" s="135" t="s">
        <v>454</v>
      </c>
      <c r="J348" s="135" t="s">
        <v>454</v>
      </c>
      <c r="K348" s="135" t="s">
        <v>502</v>
      </c>
      <c r="L348" s="136" t="s">
        <v>2278</v>
      </c>
      <c r="N348" s="136"/>
      <c r="O348" s="136" t="s">
        <v>496</v>
      </c>
      <c r="P348" s="136" t="s">
        <v>504</v>
      </c>
      <c r="Q348" s="135" t="s">
        <v>497</v>
      </c>
      <c r="R348" s="135" t="s">
        <v>495</v>
      </c>
      <c r="S348" s="136"/>
      <c r="U348" s="135" t="s">
        <v>502</v>
      </c>
      <c r="V348" s="135" t="s">
        <v>501</v>
      </c>
      <c r="X348" s="135" t="s">
        <v>492</v>
      </c>
      <c r="Z348" s="135" t="s">
        <v>500</v>
      </c>
      <c r="AA348" s="136"/>
      <c r="AB348" s="135" t="s">
        <v>2668</v>
      </c>
    </row>
    <row r="349" spans="1:28">
      <c r="A349" s="136" t="s">
        <v>2669</v>
      </c>
      <c r="B349" s="135" t="s">
        <v>1055</v>
      </c>
      <c r="C349" s="135" t="s">
        <v>1394</v>
      </c>
      <c r="D349" s="136" t="s">
        <v>2664</v>
      </c>
      <c r="E349" s="136" t="s">
        <v>1396</v>
      </c>
      <c r="F349" s="135" t="s">
        <v>493</v>
      </c>
      <c r="G349" s="136" t="s">
        <v>1431</v>
      </c>
      <c r="H349" s="135" t="s">
        <v>383</v>
      </c>
      <c r="I349" s="135" t="s">
        <v>454</v>
      </c>
      <c r="J349" s="135" t="s">
        <v>454</v>
      </c>
      <c r="K349" s="135" t="s">
        <v>1052</v>
      </c>
      <c r="L349" s="136" t="s">
        <v>2281</v>
      </c>
      <c r="N349" s="136"/>
      <c r="O349" s="136" t="s">
        <v>496</v>
      </c>
      <c r="P349" s="136" t="s">
        <v>682</v>
      </c>
      <c r="Q349" s="135" t="s">
        <v>1054</v>
      </c>
      <c r="R349" s="135" t="s">
        <v>1053</v>
      </c>
      <c r="S349" s="136"/>
      <c r="U349" s="135" t="s">
        <v>1052</v>
      </c>
      <c r="V349" s="135" t="s">
        <v>501</v>
      </c>
      <c r="X349" s="135" t="s">
        <v>492</v>
      </c>
      <c r="Z349" s="135" t="s">
        <v>451</v>
      </c>
      <c r="AA349" s="136"/>
      <c r="AB349" s="135" t="s">
        <v>2670</v>
      </c>
    </row>
    <row r="350" spans="1:28">
      <c r="A350" s="136" t="s">
        <v>2671</v>
      </c>
      <c r="B350" s="135" t="s">
        <v>498</v>
      </c>
      <c r="C350" s="135" t="s">
        <v>1394</v>
      </c>
      <c r="D350" s="136" t="s">
        <v>2667</v>
      </c>
      <c r="E350" s="136" t="s">
        <v>1396</v>
      </c>
      <c r="F350" s="135" t="s">
        <v>493</v>
      </c>
      <c r="G350" s="136" t="s">
        <v>1431</v>
      </c>
      <c r="H350" s="135" t="s">
        <v>383</v>
      </c>
      <c r="I350" s="135" t="s">
        <v>494</v>
      </c>
      <c r="J350" s="135" t="s">
        <v>494</v>
      </c>
      <c r="K350" s="135" t="s">
        <v>1052</v>
      </c>
      <c r="L350" s="136" t="s">
        <v>2281</v>
      </c>
      <c r="N350" s="136"/>
      <c r="O350" s="136" t="s">
        <v>496</v>
      </c>
      <c r="P350" s="136" t="s">
        <v>499</v>
      </c>
      <c r="Q350" s="135" t="s">
        <v>497</v>
      </c>
      <c r="R350" s="135" t="s">
        <v>495</v>
      </c>
      <c r="S350" s="136"/>
      <c r="U350" s="135" t="s">
        <v>1052</v>
      </c>
      <c r="V350" s="135" t="s">
        <v>501</v>
      </c>
      <c r="X350" s="135" t="s">
        <v>492</v>
      </c>
      <c r="Z350" s="135" t="s">
        <v>451</v>
      </c>
      <c r="AA350" s="136"/>
      <c r="AB350" s="135" t="s">
        <v>2672</v>
      </c>
    </row>
    <row r="351" spans="1:28">
      <c r="A351" s="136" t="s">
        <v>2673</v>
      </c>
      <c r="B351" s="135" t="s">
        <v>817</v>
      </c>
      <c r="C351" s="135" t="s">
        <v>1394</v>
      </c>
      <c r="D351" s="136" t="s">
        <v>2674</v>
      </c>
      <c r="E351" s="136" t="s">
        <v>1396</v>
      </c>
      <c r="F351" s="135" t="s">
        <v>816</v>
      </c>
      <c r="G351" s="136" t="s">
        <v>2675</v>
      </c>
      <c r="I351" s="135" t="s">
        <v>494</v>
      </c>
      <c r="J351" s="135" t="s">
        <v>494</v>
      </c>
      <c r="K351" s="135" t="s">
        <v>815</v>
      </c>
      <c r="L351" s="136" t="s">
        <v>2675</v>
      </c>
      <c r="N351" s="136"/>
      <c r="O351" s="136" t="s">
        <v>727</v>
      </c>
      <c r="P351" s="136" t="s">
        <v>566</v>
      </c>
      <c r="Q351" s="135" t="s">
        <v>777</v>
      </c>
      <c r="R351" s="135" t="s">
        <v>534</v>
      </c>
      <c r="S351" s="136"/>
      <c r="U351" s="135" t="s">
        <v>815</v>
      </c>
      <c r="V351" s="135" t="s">
        <v>452</v>
      </c>
      <c r="W351" s="135" t="s">
        <v>816</v>
      </c>
      <c r="X351" s="135" t="s">
        <v>481</v>
      </c>
      <c r="Z351" s="135" t="s">
        <v>505</v>
      </c>
      <c r="AA351" s="136"/>
      <c r="AB351" s="135" t="s">
        <v>2676</v>
      </c>
    </row>
    <row r="352" spans="1:28">
      <c r="A352" s="136" t="s">
        <v>2677</v>
      </c>
      <c r="B352" s="135" t="s">
        <v>814</v>
      </c>
      <c r="C352" s="135" t="s">
        <v>1394</v>
      </c>
      <c r="D352" s="136" t="s">
        <v>2674</v>
      </c>
      <c r="E352" s="136" t="s">
        <v>1396</v>
      </c>
      <c r="F352" s="135" t="s">
        <v>813</v>
      </c>
      <c r="G352" s="136" t="s">
        <v>2675</v>
      </c>
      <c r="I352" s="135" t="s">
        <v>494</v>
      </c>
      <c r="J352" s="135" t="s">
        <v>494</v>
      </c>
      <c r="K352" s="135" t="s">
        <v>812</v>
      </c>
      <c r="L352" s="136" t="s">
        <v>2675</v>
      </c>
      <c r="N352" s="136"/>
      <c r="O352" s="136" t="s">
        <v>727</v>
      </c>
      <c r="P352" s="136" t="s">
        <v>561</v>
      </c>
      <c r="Q352" s="135" t="s">
        <v>777</v>
      </c>
      <c r="R352" s="135" t="s">
        <v>534</v>
      </c>
      <c r="S352" s="136"/>
      <c r="U352" s="135" t="s">
        <v>812</v>
      </c>
      <c r="V352" s="135" t="s">
        <v>452</v>
      </c>
      <c r="W352" s="135" t="s">
        <v>813</v>
      </c>
      <c r="X352" s="135" t="s">
        <v>481</v>
      </c>
      <c r="Z352" s="135" t="s">
        <v>505</v>
      </c>
      <c r="AA352" s="136"/>
      <c r="AB352" s="135" t="s">
        <v>2678</v>
      </c>
    </row>
    <row r="353" spans="1:28">
      <c r="A353" s="136" t="s">
        <v>2679</v>
      </c>
      <c r="B353" s="135" t="s">
        <v>811</v>
      </c>
      <c r="C353" s="135" t="s">
        <v>1394</v>
      </c>
      <c r="D353" s="136" t="s">
        <v>2674</v>
      </c>
      <c r="E353" s="136" t="s">
        <v>1396</v>
      </c>
      <c r="F353" s="135" t="s">
        <v>632</v>
      </c>
      <c r="G353" s="136" t="s">
        <v>1431</v>
      </c>
      <c r="H353" s="135" t="s">
        <v>383</v>
      </c>
      <c r="I353" s="135" t="s">
        <v>731</v>
      </c>
      <c r="J353" s="135" t="s">
        <v>731</v>
      </c>
      <c r="K353" s="135" t="s">
        <v>810</v>
      </c>
      <c r="L353" s="136" t="s">
        <v>2680</v>
      </c>
      <c r="N353" s="136"/>
      <c r="O353" s="136" t="s">
        <v>727</v>
      </c>
      <c r="P353" s="136" t="s">
        <v>555</v>
      </c>
      <c r="Q353" s="135" t="s">
        <v>777</v>
      </c>
      <c r="R353" s="135" t="s">
        <v>534</v>
      </c>
      <c r="S353" s="136"/>
      <c r="U353" s="135" t="s">
        <v>810</v>
      </c>
      <c r="V353" s="135" t="s">
        <v>452</v>
      </c>
      <c r="X353" s="135" t="s">
        <v>631</v>
      </c>
      <c r="Z353" s="135" t="s">
        <v>505</v>
      </c>
      <c r="AA353" s="136"/>
      <c r="AB353" s="135" t="s">
        <v>2681</v>
      </c>
    </row>
    <row r="354" spans="1:28">
      <c r="A354" s="136" t="s">
        <v>2682</v>
      </c>
      <c r="B354" s="135" t="s">
        <v>809</v>
      </c>
      <c r="C354" s="135" t="s">
        <v>1394</v>
      </c>
      <c r="D354" s="136" t="s">
        <v>2674</v>
      </c>
      <c r="E354" s="136" t="s">
        <v>1396</v>
      </c>
      <c r="F354" s="135" t="s">
        <v>808</v>
      </c>
      <c r="G354" s="136" t="s">
        <v>2683</v>
      </c>
      <c r="I354" s="135" t="s">
        <v>494</v>
      </c>
      <c r="J354" s="135" t="s">
        <v>494</v>
      </c>
      <c r="K354" s="135" t="s">
        <v>807</v>
      </c>
      <c r="L354" s="136" t="s">
        <v>2683</v>
      </c>
      <c r="N354" s="136"/>
      <c r="O354" s="136" t="s">
        <v>727</v>
      </c>
      <c r="P354" s="136" t="s">
        <v>548</v>
      </c>
      <c r="Q354" s="135" t="s">
        <v>777</v>
      </c>
      <c r="R354" s="135" t="s">
        <v>534</v>
      </c>
      <c r="S354" s="136"/>
      <c r="U354" s="135" t="s">
        <v>807</v>
      </c>
      <c r="V354" s="135" t="s">
        <v>452</v>
      </c>
      <c r="W354" s="135" t="s">
        <v>808</v>
      </c>
      <c r="X354" s="135" t="s">
        <v>481</v>
      </c>
      <c r="Z354" s="135" t="s">
        <v>505</v>
      </c>
      <c r="AA354" s="136"/>
      <c r="AB354" s="135" t="s">
        <v>2684</v>
      </c>
    </row>
    <row r="355" spans="1:28">
      <c r="A355" s="136" t="s">
        <v>2685</v>
      </c>
      <c r="B355" s="135" t="s">
        <v>806</v>
      </c>
      <c r="C355" s="135" t="s">
        <v>1394</v>
      </c>
      <c r="D355" s="136" t="s">
        <v>2674</v>
      </c>
      <c r="E355" s="136" t="s">
        <v>1396</v>
      </c>
      <c r="F355" s="135" t="s">
        <v>805</v>
      </c>
      <c r="G355" s="136" t="s">
        <v>2686</v>
      </c>
      <c r="I355" s="135" t="s">
        <v>494</v>
      </c>
      <c r="J355" s="135" t="s">
        <v>494</v>
      </c>
      <c r="K355" s="135" t="s">
        <v>804</v>
      </c>
      <c r="L355" s="136" t="s">
        <v>2686</v>
      </c>
      <c r="N355" s="136"/>
      <c r="O355" s="136" t="s">
        <v>727</v>
      </c>
      <c r="P355" s="136" t="s">
        <v>625</v>
      </c>
      <c r="Q355" s="135" t="s">
        <v>777</v>
      </c>
      <c r="R355" s="135" t="s">
        <v>534</v>
      </c>
      <c r="S355" s="136"/>
      <c r="U355" s="135" t="s">
        <v>804</v>
      </c>
      <c r="V355" s="135" t="s">
        <v>452</v>
      </c>
      <c r="W355" s="135" t="s">
        <v>805</v>
      </c>
      <c r="X355" s="135" t="s">
        <v>481</v>
      </c>
      <c r="Z355" s="135" t="s">
        <v>505</v>
      </c>
      <c r="AA355" s="136"/>
      <c r="AB355" s="135" t="s">
        <v>2687</v>
      </c>
    </row>
    <row r="356" spans="1:28">
      <c r="A356" s="136" t="s">
        <v>2688</v>
      </c>
      <c r="B356" s="135" t="s">
        <v>803</v>
      </c>
      <c r="C356" s="135" t="s">
        <v>1394</v>
      </c>
      <c r="D356" s="136" t="s">
        <v>2674</v>
      </c>
      <c r="E356" s="136" t="s">
        <v>1396</v>
      </c>
      <c r="F356" s="135" t="s">
        <v>802</v>
      </c>
      <c r="G356" s="136" t="s">
        <v>2689</v>
      </c>
      <c r="I356" s="135" t="s">
        <v>454</v>
      </c>
      <c r="J356" s="135" t="s">
        <v>454</v>
      </c>
      <c r="K356" s="135" t="s">
        <v>801</v>
      </c>
      <c r="L356" s="136" t="s">
        <v>2689</v>
      </c>
      <c r="N356" s="136"/>
      <c r="O356" s="136" t="s">
        <v>727</v>
      </c>
      <c r="P356" s="136" t="s">
        <v>538</v>
      </c>
      <c r="Q356" s="135" t="s">
        <v>777</v>
      </c>
      <c r="R356" s="135" t="s">
        <v>534</v>
      </c>
      <c r="S356" s="136"/>
      <c r="U356" s="135" t="s">
        <v>801</v>
      </c>
      <c r="V356" s="135" t="s">
        <v>452</v>
      </c>
      <c r="W356" s="135" t="s">
        <v>802</v>
      </c>
      <c r="X356" s="135" t="s">
        <v>481</v>
      </c>
      <c r="Z356" s="135" t="s">
        <v>788</v>
      </c>
      <c r="AA356" s="136"/>
      <c r="AB356" s="135" t="s">
        <v>2690</v>
      </c>
    </row>
    <row r="357" spans="1:28">
      <c r="A357" s="136" t="s">
        <v>2691</v>
      </c>
      <c r="B357" s="135" t="s">
        <v>800</v>
      </c>
      <c r="C357" s="135" t="s">
        <v>1394</v>
      </c>
      <c r="D357" s="136" t="s">
        <v>2674</v>
      </c>
      <c r="E357" s="136" t="s">
        <v>1396</v>
      </c>
      <c r="F357" s="135" t="s">
        <v>799</v>
      </c>
      <c r="G357" s="136" t="s">
        <v>2692</v>
      </c>
      <c r="I357" s="135" t="s">
        <v>454</v>
      </c>
      <c r="J357" s="135" t="s">
        <v>454</v>
      </c>
      <c r="K357" s="135" t="s">
        <v>798</v>
      </c>
      <c r="L357" s="136" t="s">
        <v>2692</v>
      </c>
      <c r="N357" s="136"/>
      <c r="O357" s="136" t="s">
        <v>727</v>
      </c>
      <c r="P357" s="136" t="s">
        <v>616</v>
      </c>
      <c r="Q357" s="135" t="s">
        <v>777</v>
      </c>
      <c r="R357" s="135" t="s">
        <v>534</v>
      </c>
      <c r="S357" s="136"/>
      <c r="U357" s="135" t="s">
        <v>798</v>
      </c>
      <c r="V357" s="135" t="s">
        <v>452</v>
      </c>
      <c r="W357" s="135" t="s">
        <v>799</v>
      </c>
      <c r="X357" s="135" t="s">
        <v>481</v>
      </c>
      <c r="Z357" s="135" t="s">
        <v>788</v>
      </c>
      <c r="AA357" s="136"/>
      <c r="AB357" s="135" t="s">
        <v>2693</v>
      </c>
    </row>
    <row r="358" spans="1:28">
      <c r="A358" s="136" t="s">
        <v>2694</v>
      </c>
      <c r="B358" s="135" t="s">
        <v>797</v>
      </c>
      <c r="C358" s="135" t="s">
        <v>1394</v>
      </c>
      <c r="D358" s="136" t="s">
        <v>2674</v>
      </c>
      <c r="E358" s="136" t="s">
        <v>1396</v>
      </c>
      <c r="F358" s="135" t="s">
        <v>796</v>
      </c>
      <c r="G358" s="136" t="s">
        <v>2695</v>
      </c>
      <c r="I358" s="135" t="s">
        <v>454</v>
      </c>
      <c r="J358" s="135" t="s">
        <v>454</v>
      </c>
      <c r="K358" s="135" t="s">
        <v>795</v>
      </c>
      <c r="L358" s="136" t="s">
        <v>2695</v>
      </c>
      <c r="N358" s="136"/>
      <c r="O358" s="136" t="s">
        <v>727</v>
      </c>
      <c r="P358" s="136" t="s">
        <v>613</v>
      </c>
      <c r="Q358" s="135" t="s">
        <v>777</v>
      </c>
      <c r="R358" s="135" t="s">
        <v>534</v>
      </c>
      <c r="S358" s="136"/>
      <c r="U358" s="135" t="s">
        <v>795</v>
      </c>
      <c r="V358" s="135" t="s">
        <v>452</v>
      </c>
      <c r="W358" s="135" t="s">
        <v>796</v>
      </c>
      <c r="X358" s="135" t="s">
        <v>481</v>
      </c>
      <c r="Z358" s="135" t="s">
        <v>788</v>
      </c>
      <c r="AA358" s="136"/>
      <c r="AB358" s="135" t="s">
        <v>2696</v>
      </c>
    </row>
    <row r="359" spans="1:28">
      <c r="A359" s="136" t="s">
        <v>2697</v>
      </c>
      <c r="B359" s="135" t="s">
        <v>794</v>
      </c>
      <c r="C359" s="135" t="s">
        <v>1394</v>
      </c>
      <c r="D359" s="136" t="s">
        <v>2674</v>
      </c>
      <c r="E359" s="136" t="s">
        <v>1396</v>
      </c>
      <c r="F359" s="135" t="s">
        <v>793</v>
      </c>
      <c r="G359" s="136" t="s">
        <v>2698</v>
      </c>
      <c r="I359" s="135" t="s">
        <v>454</v>
      </c>
      <c r="J359" s="135" t="s">
        <v>454</v>
      </c>
      <c r="K359" s="135" t="s">
        <v>792</v>
      </c>
      <c r="L359" s="136" t="s">
        <v>2698</v>
      </c>
      <c r="N359" s="136"/>
      <c r="O359" s="136" t="s">
        <v>727</v>
      </c>
      <c r="P359" s="136" t="s">
        <v>609</v>
      </c>
      <c r="Q359" s="135" t="s">
        <v>777</v>
      </c>
      <c r="R359" s="135" t="s">
        <v>534</v>
      </c>
      <c r="S359" s="136"/>
      <c r="U359" s="135" t="s">
        <v>792</v>
      </c>
      <c r="V359" s="135" t="s">
        <v>452</v>
      </c>
      <c r="W359" s="135" t="s">
        <v>793</v>
      </c>
      <c r="X359" s="135" t="s">
        <v>481</v>
      </c>
      <c r="Z359" s="135" t="s">
        <v>788</v>
      </c>
      <c r="AA359" s="136"/>
      <c r="AB359" s="135" t="s">
        <v>2699</v>
      </c>
    </row>
    <row r="360" spans="1:28">
      <c r="A360" s="136" t="s">
        <v>2700</v>
      </c>
      <c r="B360" s="135" t="s">
        <v>791</v>
      </c>
      <c r="C360" s="135" t="s">
        <v>1394</v>
      </c>
      <c r="D360" s="136" t="s">
        <v>2674</v>
      </c>
      <c r="E360" s="136" t="s">
        <v>1396</v>
      </c>
      <c r="F360" s="135" t="s">
        <v>790</v>
      </c>
      <c r="G360" s="136" t="s">
        <v>2701</v>
      </c>
      <c r="I360" s="135" t="s">
        <v>454</v>
      </c>
      <c r="J360" s="135" t="s">
        <v>454</v>
      </c>
      <c r="K360" s="135" t="s">
        <v>789</v>
      </c>
      <c r="L360" s="136" t="s">
        <v>2701</v>
      </c>
      <c r="N360" s="136"/>
      <c r="O360" s="136" t="s">
        <v>727</v>
      </c>
      <c r="P360" s="136" t="s">
        <v>606</v>
      </c>
      <c r="Q360" s="135" t="s">
        <v>777</v>
      </c>
      <c r="R360" s="135" t="s">
        <v>534</v>
      </c>
      <c r="S360" s="136"/>
      <c r="U360" s="135" t="s">
        <v>789</v>
      </c>
      <c r="V360" s="135" t="s">
        <v>452</v>
      </c>
      <c r="W360" s="135" t="s">
        <v>790</v>
      </c>
      <c r="X360" s="135" t="s">
        <v>481</v>
      </c>
      <c r="Z360" s="135" t="s">
        <v>788</v>
      </c>
      <c r="AA360" s="136"/>
      <c r="AB360" s="135" t="s">
        <v>2702</v>
      </c>
    </row>
    <row r="361" spans="1:28">
      <c r="A361" s="136" t="s">
        <v>2703</v>
      </c>
      <c r="B361" s="135" t="s">
        <v>787</v>
      </c>
      <c r="C361" s="135" t="s">
        <v>1394</v>
      </c>
      <c r="D361" s="136" t="s">
        <v>2674</v>
      </c>
      <c r="E361" s="136" t="s">
        <v>1396</v>
      </c>
      <c r="F361" s="135" t="s">
        <v>786</v>
      </c>
      <c r="G361" s="136" t="s">
        <v>2704</v>
      </c>
      <c r="I361" s="135" t="s">
        <v>454</v>
      </c>
      <c r="J361" s="135" t="s">
        <v>454</v>
      </c>
      <c r="K361" s="135" t="s">
        <v>785</v>
      </c>
      <c r="L361" s="136" t="s">
        <v>2704</v>
      </c>
      <c r="N361" s="136"/>
      <c r="O361" s="136" t="s">
        <v>727</v>
      </c>
      <c r="P361" s="136" t="s">
        <v>600</v>
      </c>
      <c r="Q361" s="135" t="s">
        <v>777</v>
      </c>
      <c r="R361" s="135" t="s">
        <v>534</v>
      </c>
      <c r="S361" s="136"/>
      <c r="U361" s="135" t="s">
        <v>785</v>
      </c>
      <c r="V361" s="135" t="s">
        <v>452</v>
      </c>
      <c r="W361" s="135" t="s">
        <v>786</v>
      </c>
      <c r="X361" s="135" t="s">
        <v>481</v>
      </c>
      <c r="Z361" s="135" t="s">
        <v>505</v>
      </c>
      <c r="AA361" s="136"/>
      <c r="AB361" s="135" t="s">
        <v>2705</v>
      </c>
    </row>
    <row r="362" spans="1:28">
      <c r="A362" s="136" t="s">
        <v>2706</v>
      </c>
      <c r="B362" s="135" t="s">
        <v>784</v>
      </c>
      <c r="C362" s="135" t="s">
        <v>1394</v>
      </c>
      <c r="D362" s="136" t="s">
        <v>2674</v>
      </c>
      <c r="E362" s="136" t="s">
        <v>1396</v>
      </c>
      <c r="F362" s="135" t="s">
        <v>783</v>
      </c>
      <c r="G362" s="136" t="s">
        <v>2707</v>
      </c>
      <c r="I362" s="135" t="s">
        <v>454</v>
      </c>
      <c r="J362" s="135" t="s">
        <v>454</v>
      </c>
      <c r="K362" s="135" t="s">
        <v>782</v>
      </c>
      <c r="L362" s="136" t="s">
        <v>2707</v>
      </c>
      <c r="N362" s="136"/>
      <c r="O362" s="136" t="s">
        <v>727</v>
      </c>
      <c r="P362" s="136" t="s">
        <v>595</v>
      </c>
      <c r="Q362" s="135" t="s">
        <v>777</v>
      </c>
      <c r="R362" s="135" t="s">
        <v>534</v>
      </c>
      <c r="S362" s="136"/>
      <c r="U362" s="135" t="s">
        <v>782</v>
      </c>
      <c r="V362" s="135" t="s">
        <v>452</v>
      </c>
      <c r="W362" s="135" t="s">
        <v>783</v>
      </c>
      <c r="X362" s="135" t="s">
        <v>481</v>
      </c>
      <c r="Z362" s="135" t="s">
        <v>505</v>
      </c>
      <c r="AA362" s="136"/>
      <c r="AB362" s="135" t="s">
        <v>2708</v>
      </c>
    </row>
    <row r="363" spans="1:28">
      <c r="A363" s="136" t="s">
        <v>2709</v>
      </c>
      <c r="B363" s="135" t="s">
        <v>781</v>
      </c>
      <c r="C363" s="135" t="s">
        <v>1394</v>
      </c>
      <c r="D363" s="136" t="s">
        <v>2674</v>
      </c>
      <c r="E363" s="136" t="s">
        <v>1396</v>
      </c>
      <c r="F363" s="135" t="s">
        <v>780</v>
      </c>
      <c r="G363" s="136" t="s">
        <v>2710</v>
      </c>
      <c r="I363" s="135" t="s">
        <v>454</v>
      </c>
      <c r="J363" s="135" t="s">
        <v>454</v>
      </c>
      <c r="K363" s="135" t="s">
        <v>779</v>
      </c>
      <c r="L363" s="136" t="s">
        <v>2710</v>
      </c>
      <c r="N363" s="136"/>
      <c r="O363" s="136" t="s">
        <v>727</v>
      </c>
      <c r="P363" s="136" t="s">
        <v>590</v>
      </c>
      <c r="Q363" s="135" t="s">
        <v>777</v>
      </c>
      <c r="R363" s="135" t="s">
        <v>534</v>
      </c>
      <c r="S363" s="136"/>
      <c r="U363" s="135" t="s">
        <v>779</v>
      </c>
      <c r="V363" s="135" t="s">
        <v>452</v>
      </c>
      <c r="W363" s="135" t="s">
        <v>780</v>
      </c>
      <c r="X363" s="135" t="s">
        <v>481</v>
      </c>
      <c r="Z363" s="135" t="s">
        <v>505</v>
      </c>
      <c r="AA363" s="136"/>
      <c r="AB363" s="135" t="s">
        <v>2711</v>
      </c>
    </row>
    <row r="364" spans="1:28">
      <c r="A364" s="136" t="s">
        <v>2712</v>
      </c>
      <c r="B364" s="135" t="s">
        <v>778</v>
      </c>
      <c r="C364" s="135" t="s">
        <v>1394</v>
      </c>
      <c r="D364" s="136" t="s">
        <v>2674</v>
      </c>
      <c r="E364" s="136" t="s">
        <v>1396</v>
      </c>
      <c r="F364" s="135" t="s">
        <v>776</v>
      </c>
      <c r="G364" s="136" t="s">
        <v>2713</v>
      </c>
      <c r="I364" s="135" t="s">
        <v>454</v>
      </c>
      <c r="J364" s="135" t="s">
        <v>454</v>
      </c>
      <c r="K364" s="135" t="s">
        <v>775</v>
      </c>
      <c r="L364" s="136" t="s">
        <v>2713</v>
      </c>
      <c r="N364" s="136"/>
      <c r="O364" s="136" t="s">
        <v>727</v>
      </c>
      <c r="P364" s="136" t="s">
        <v>585</v>
      </c>
      <c r="Q364" s="135" t="s">
        <v>777</v>
      </c>
      <c r="R364" s="135" t="s">
        <v>534</v>
      </c>
      <c r="S364" s="136"/>
      <c r="U364" s="135" t="s">
        <v>775</v>
      </c>
      <c r="V364" s="135" t="s">
        <v>452</v>
      </c>
      <c r="W364" s="135" t="s">
        <v>776</v>
      </c>
      <c r="X364" s="135" t="s">
        <v>481</v>
      </c>
      <c r="Z364" s="135" t="s">
        <v>505</v>
      </c>
      <c r="AA364" s="136"/>
      <c r="AB364" s="135" t="s">
        <v>2714</v>
      </c>
    </row>
    <row r="365" spans="1:28">
      <c r="A365" s="136" t="s">
        <v>2715</v>
      </c>
      <c r="B365" s="135" t="s">
        <v>565</v>
      </c>
      <c r="C365" s="135" t="s">
        <v>386</v>
      </c>
      <c r="D365" s="136" t="s">
        <v>1353</v>
      </c>
      <c r="E365" s="136" t="s">
        <v>1396</v>
      </c>
      <c r="F365" s="135" t="s">
        <v>564</v>
      </c>
      <c r="G365" s="136" t="s">
        <v>1914</v>
      </c>
      <c r="H365" s="135" t="s">
        <v>383</v>
      </c>
      <c r="I365" s="135" t="s">
        <v>556</v>
      </c>
      <c r="J365" s="135" t="s">
        <v>556</v>
      </c>
      <c r="K365" s="135" t="s">
        <v>544</v>
      </c>
      <c r="L365" s="136" t="s">
        <v>1414</v>
      </c>
      <c r="M365" s="135" t="s">
        <v>383</v>
      </c>
      <c r="N365" s="136"/>
      <c r="O365" s="136" t="s">
        <v>535</v>
      </c>
      <c r="P365" s="136" t="s">
        <v>566</v>
      </c>
      <c r="Q365" s="135" t="s">
        <v>546</v>
      </c>
      <c r="R365" s="135" t="s">
        <v>545</v>
      </c>
      <c r="S365" s="136"/>
      <c r="V365" s="135" t="s">
        <v>529</v>
      </c>
      <c r="W365" s="135" t="s">
        <v>563</v>
      </c>
      <c r="X365" s="135" t="s">
        <v>562</v>
      </c>
      <c r="Z365" s="135" t="s">
        <v>543</v>
      </c>
      <c r="AA365" s="136"/>
      <c r="AB365" s="135" t="s">
        <v>2716</v>
      </c>
    </row>
    <row r="366" spans="1:28">
      <c r="A366" s="136" t="s">
        <v>2717</v>
      </c>
      <c r="B366" s="135" t="s">
        <v>560</v>
      </c>
      <c r="C366" s="135" t="s">
        <v>386</v>
      </c>
      <c r="D366" s="136" t="s">
        <v>1353</v>
      </c>
      <c r="E366" s="136" t="s">
        <v>1396</v>
      </c>
      <c r="F366" s="135" t="s">
        <v>559</v>
      </c>
      <c r="G366" s="136" t="s">
        <v>1914</v>
      </c>
      <c r="H366" s="135" t="s">
        <v>383</v>
      </c>
      <c r="I366" s="135" t="s">
        <v>556</v>
      </c>
      <c r="J366" s="135" t="s">
        <v>556</v>
      </c>
      <c r="K366" s="135" t="s">
        <v>544</v>
      </c>
      <c r="L366" s="136" t="s">
        <v>1414</v>
      </c>
      <c r="M366" s="135" t="s">
        <v>383</v>
      </c>
      <c r="N366" s="136"/>
      <c r="O366" s="136" t="s">
        <v>535</v>
      </c>
      <c r="P366" s="136" t="s">
        <v>561</v>
      </c>
      <c r="Q366" s="135" t="s">
        <v>546</v>
      </c>
      <c r="R366" s="135" t="s">
        <v>545</v>
      </c>
      <c r="S366" s="136"/>
      <c r="V366" s="135" t="s">
        <v>529</v>
      </c>
      <c r="W366" s="135" t="s">
        <v>558</v>
      </c>
      <c r="X366" s="135" t="s">
        <v>557</v>
      </c>
      <c r="Z366" s="135" t="s">
        <v>543</v>
      </c>
      <c r="AA366" s="136"/>
      <c r="AB366" s="135" t="s">
        <v>2718</v>
      </c>
    </row>
    <row r="367" spans="1:28">
      <c r="A367" s="136" t="s">
        <v>2719</v>
      </c>
      <c r="B367" s="135" t="s">
        <v>554</v>
      </c>
      <c r="C367" s="135" t="s">
        <v>386</v>
      </c>
      <c r="D367" s="136" t="s">
        <v>1353</v>
      </c>
      <c r="E367" s="136" t="s">
        <v>1396</v>
      </c>
      <c r="F367" s="135" t="s">
        <v>553</v>
      </c>
      <c r="G367" s="136" t="s">
        <v>1914</v>
      </c>
      <c r="H367" s="135" t="s">
        <v>383</v>
      </c>
      <c r="I367" s="135" t="s">
        <v>550</v>
      </c>
      <c r="J367" s="135" t="s">
        <v>550</v>
      </c>
      <c r="K367" s="135" t="s">
        <v>549</v>
      </c>
      <c r="L367" s="136" t="s">
        <v>1414</v>
      </c>
      <c r="M367" s="135" t="s">
        <v>383</v>
      </c>
      <c r="N367" s="136"/>
      <c r="O367" s="136" t="s">
        <v>535</v>
      </c>
      <c r="P367" s="136" t="s">
        <v>555</v>
      </c>
      <c r="Q367" s="135" t="s">
        <v>546</v>
      </c>
      <c r="R367" s="135" t="s">
        <v>545</v>
      </c>
      <c r="S367" s="136"/>
      <c r="V367" s="135" t="s">
        <v>539</v>
      </c>
      <c r="W367" s="135" t="s">
        <v>552</v>
      </c>
      <c r="X367" s="135" t="s">
        <v>551</v>
      </c>
      <c r="Z367" s="135" t="s">
        <v>543</v>
      </c>
      <c r="AA367" s="136"/>
      <c r="AB367" s="135" t="s">
        <v>2720</v>
      </c>
    </row>
    <row r="368" spans="1:28">
      <c r="A368" s="136" t="s">
        <v>2721</v>
      </c>
      <c r="B368" s="135" t="s">
        <v>547</v>
      </c>
      <c r="C368" s="135" t="s">
        <v>386</v>
      </c>
      <c r="D368" s="136" t="s">
        <v>1353</v>
      </c>
      <c r="E368" s="136" t="s">
        <v>1396</v>
      </c>
      <c r="F368" s="135" t="s">
        <v>2722</v>
      </c>
      <c r="G368" s="136" t="s">
        <v>1914</v>
      </c>
      <c r="H368" s="135" t="s">
        <v>383</v>
      </c>
      <c r="I368" s="135" t="s">
        <v>454</v>
      </c>
      <c r="J368" s="135" t="s">
        <v>454</v>
      </c>
      <c r="K368" s="135" t="s">
        <v>544</v>
      </c>
      <c r="L368" s="136" t="s">
        <v>1414</v>
      </c>
      <c r="M368" s="135" t="s">
        <v>383</v>
      </c>
      <c r="N368" s="136"/>
      <c r="O368" s="136" t="s">
        <v>535</v>
      </c>
      <c r="P368" s="136" t="s">
        <v>548</v>
      </c>
      <c r="Q368" s="135" t="s">
        <v>546</v>
      </c>
      <c r="R368" s="135" t="s">
        <v>545</v>
      </c>
      <c r="S368" s="136"/>
      <c r="V368" s="135" t="s">
        <v>529</v>
      </c>
      <c r="X368" s="135" t="s">
        <v>529</v>
      </c>
      <c r="Z368" s="135" t="s">
        <v>543</v>
      </c>
      <c r="AA368" s="136"/>
      <c r="AB368" s="135" t="s">
        <v>2723</v>
      </c>
    </row>
    <row r="369" spans="1:28">
      <c r="A369" s="136" t="s">
        <v>2724</v>
      </c>
      <c r="B369" s="135" t="s">
        <v>1051</v>
      </c>
      <c r="C369" s="135" t="s">
        <v>2583</v>
      </c>
      <c r="D369" s="136" t="s">
        <v>2584</v>
      </c>
      <c r="E369" s="136" t="s">
        <v>1396</v>
      </c>
      <c r="F369" s="135" t="s">
        <v>598</v>
      </c>
      <c r="G369" s="136" t="s">
        <v>1914</v>
      </c>
      <c r="H369" s="135" t="s">
        <v>383</v>
      </c>
      <c r="I369" s="135" t="s">
        <v>700</v>
      </c>
      <c r="J369" s="135" t="s">
        <v>700</v>
      </c>
      <c r="K369" s="135" t="s">
        <v>1044</v>
      </c>
      <c r="L369" s="136" t="s">
        <v>1414</v>
      </c>
      <c r="M369" s="135" t="s">
        <v>383</v>
      </c>
      <c r="N369" s="136"/>
      <c r="O369" s="136" t="s">
        <v>535</v>
      </c>
      <c r="P369" s="136" t="s">
        <v>625</v>
      </c>
      <c r="Q369" s="135" t="s">
        <v>1001</v>
      </c>
      <c r="R369" s="135" t="s">
        <v>1000</v>
      </c>
      <c r="S369" s="136"/>
      <c r="V369" s="135" t="s">
        <v>610</v>
      </c>
      <c r="W369" s="135" t="s">
        <v>597</v>
      </c>
      <c r="X369" s="135" t="s">
        <v>596</v>
      </c>
      <c r="Z369" s="135" t="s">
        <v>543</v>
      </c>
      <c r="AA369" s="136"/>
      <c r="AB369" s="135" t="s">
        <v>2725</v>
      </c>
    </row>
    <row r="370" spans="1:28">
      <c r="A370" s="136" t="s">
        <v>2726</v>
      </c>
      <c r="B370" s="135" t="s">
        <v>1050</v>
      </c>
      <c r="C370" s="135" t="s">
        <v>2583</v>
      </c>
      <c r="D370" s="136" t="s">
        <v>2584</v>
      </c>
      <c r="E370" s="136" t="s">
        <v>1396</v>
      </c>
      <c r="F370" s="135" t="s">
        <v>1049</v>
      </c>
      <c r="G370" s="136" t="s">
        <v>1914</v>
      </c>
      <c r="H370" s="135" t="s">
        <v>383</v>
      </c>
      <c r="I370" s="135" t="s">
        <v>731</v>
      </c>
      <c r="J370" s="135" t="s">
        <v>731</v>
      </c>
      <c r="K370" s="135" t="s">
        <v>1044</v>
      </c>
      <c r="L370" s="136" t="s">
        <v>1414</v>
      </c>
      <c r="M370" s="135" t="s">
        <v>383</v>
      </c>
      <c r="N370" s="136"/>
      <c r="O370" s="136" t="s">
        <v>535</v>
      </c>
      <c r="P370" s="136" t="s">
        <v>538</v>
      </c>
      <c r="Q370" s="135" t="s">
        <v>1001</v>
      </c>
      <c r="R370" s="135" t="s">
        <v>1000</v>
      </c>
      <c r="S370" s="136"/>
      <c r="V370" s="135" t="s">
        <v>610</v>
      </c>
      <c r="W370" s="135" t="s">
        <v>597</v>
      </c>
      <c r="X370" s="135" t="s">
        <v>1048</v>
      </c>
      <c r="Z370" s="135" t="s">
        <v>543</v>
      </c>
      <c r="AA370" s="136"/>
      <c r="AB370" s="135" t="s">
        <v>2727</v>
      </c>
    </row>
    <row r="371" spans="1:28">
      <c r="A371" s="136" t="s">
        <v>2728</v>
      </c>
      <c r="B371" s="135" t="s">
        <v>1047</v>
      </c>
      <c r="C371" s="135" t="s">
        <v>2583</v>
      </c>
      <c r="D371" s="136" t="s">
        <v>2584</v>
      </c>
      <c r="E371" s="136" t="s">
        <v>1396</v>
      </c>
      <c r="F371" s="135" t="s">
        <v>1046</v>
      </c>
      <c r="G371" s="136" t="s">
        <v>1914</v>
      </c>
      <c r="H371" s="135" t="s">
        <v>383</v>
      </c>
      <c r="I371" s="135" t="s">
        <v>700</v>
      </c>
      <c r="J371" s="135" t="s">
        <v>700</v>
      </c>
      <c r="K371" s="135" t="s">
        <v>1044</v>
      </c>
      <c r="L371" s="136" t="s">
        <v>1414</v>
      </c>
      <c r="M371" s="135" t="s">
        <v>383</v>
      </c>
      <c r="N371" s="136"/>
      <c r="O371" s="136" t="s">
        <v>535</v>
      </c>
      <c r="P371" s="136" t="s">
        <v>616</v>
      </c>
      <c r="Q371" s="135" t="s">
        <v>1001</v>
      </c>
      <c r="R371" s="135" t="s">
        <v>1000</v>
      </c>
      <c r="S371" s="136"/>
      <c r="V371" s="135" t="s">
        <v>610</v>
      </c>
      <c r="W371" s="135" t="s">
        <v>597</v>
      </c>
      <c r="X371" s="135" t="s">
        <v>1045</v>
      </c>
      <c r="Z371" s="135" t="s">
        <v>543</v>
      </c>
      <c r="AA371" s="136"/>
      <c r="AB371" s="135" t="s">
        <v>2729</v>
      </c>
    </row>
    <row r="372" spans="1:28">
      <c r="A372" s="136" t="s">
        <v>2730</v>
      </c>
      <c r="B372" s="135" t="s">
        <v>541</v>
      </c>
      <c r="C372" s="135" t="s">
        <v>386</v>
      </c>
      <c r="D372" s="136" t="s">
        <v>1339</v>
      </c>
      <c r="E372" s="136" t="s">
        <v>1396</v>
      </c>
      <c r="F372" s="135" t="s">
        <v>540</v>
      </c>
      <c r="G372" s="136" t="s">
        <v>1914</v>
      </c>
      <c r="H372" s="135" t="s">
        <v>383</v>
      </c>
      <c r="I372" s="135" t="s">
        <v>494</v>
      </c>
      <c r="J372" s="135" t="s">
        <v>494</v>
      </c>
      <c r="K372" s="135" t="s">
        <v>532</v>
      </c>
      <c r="L372" s="136" t="s">
        <v>2731</v>
      </c>
      <c r="N372" s="136"/>
      <c r="O372" s="136" t="s">
        <v>535</v>
      </c>
      <c r="P372" s="136" t="s">
        <v>542</v>
      </c>
      <c r="Q372" s="135" t="s">
        <v>536</v>
      </c>
      <c r="R372" s="135" t="s">
        <v>534</v>
      </c>
      <c r="S372" s="136"/>
      <c r="U372" s="135" t="s">
        <v>532</v>
      </c>
      <c r="V372" s="135" t="s">
        <v>511</v>
      </c>
      <c r="X372" s="135" t="s">
        <v>539</v>
      </c>
      <c r="Z372" s="135" t="s">
        <v>531</v>
      </c>
      <c r="AA372" s="136"/>
      <c r="AB372" s="135" t="s">
        <v>2732</v>
      </c>
    </row>
    <row r="373" spans="1:28">
      <c r="A373" s="136" t="s">
        <v>2733</v>
      </c>
      <c r="B373" s="135" t="s">
        <v>774</v>
      </c>
      <c r="C373" s="135" t="s">
        <v>386</v>
      </c>
      <c r="D373" s="136" t="s">
        <v>1339</v>
      </c>
      <c r="E373" s="136" t="s">
        <v>1396</v>
      </c>
      <c r="F373" s="135" t="s">
        <v>540</v>
      </c>
      <c r="G373" s="136" t="s">
        <v>1914</v>
      </c>
      <c r="H373" s="135" t="s">
        <v>383</v>
      </c>
      <c r="I373" s="135" t="s">
        <v>454</v>
      </c>
      <c r="J373" s="135" t="s">
        <v>454</v>
      </c>
      <c r="K373" s="135" t="s">
        <v>773</v>
      </c>
      <c r="L373" s="136" t="s">
        <v>2734</v>
      </c>
      <c r="N373" s="136"/>
      <c r="O373" s="136" t="s">
        <v>535</v>
      </c>
      <c r="P373" s="136" t="s">
        <v>504</v>
      </c>
      <c r="Q373" s="135" t="s">
        <v>536</v>
      </c>
      <c r="R373" s="135" t="s">
        <v>534</v>
      </c>
      <c r="S373" s="136"/>
      <c r="U373" s="135" t="s">
        <v>773</v>
      </c>
      <c r="V373" s="135" t="s">
        <v>452</v>
      </c>
      <c r="X373" s="135" t="s">
        <v>539</v>
      </c>
      <c r="Z373" s="135" t="s">
        <v>505</v>
      </c>
      <c r="AA373" s="136"/>
      <c r="AB373" s="135" t="s">
        <v>2735</v>
      </c>
    </row>
    <row r="374" spans="1:28">
      <c r="A374" s="136" t="s">
        <v>2736</v>
      </c>
      <c r="B374" s="135" t="s">
        <v>878</v>
      </c>
      <c r="C374" s="135" t="s">
        <v>386</v>
      </c>
      <c r="D374" s="136" t="s">
        <v>1350</v>
      </c>
      <c r="E374" s="136" t="s">
        <v>1396</v>
      </c>
      <c r="F374" s="135" t="s">
        <v>540</v>
      </c>
      <c r="G374" s="136" t="s">
        <v>1914</v>
      </c>
      <c r="H374" s="135" t="s">
        <v>383</v>
      </c>
      <c r="I374" s="135" t="s">
        <v>731</v>
      </c>
      <c r="J374" s="135" t="s">
        <v>731</v>
      </c>
      <c r="K374" s="135" t="s">
        <v>877</v>
      </c>
      <c r="L374" s="136" t="s">
        <v>1993</v>
      </c>
      <c r="N374" s="136"/>
      <c r="O374" s="136" t="s">
        <v>535</v>
      </c>
      <c r="P374" s="136" t="s">
        <v>682</v>
      </c>
      <c r="Q374" s="135" t="s">
        <v>574</v>
      </c>
      <c r="R374" s="135" t="s">
        <v>573</v>
      </c>
      <c r="S374" s="136"/>
      <c r="U374" s="135" t="s">
        <v>877</v>
      </c>
      <c r="V374" s="135" t="s">
        <v>867</v>
      </c>
      <c r="X374" s="135" t="s">
        <v>539</v>
      </c>
      <c r="Z374" s="135" t="s">
        <v>531</v>
      </c>
      <c r="AA374" s="136"/>
      <c r="AB374" s="135" t="s">
        <v>2737</v>
      </c>
    </row>
    <row r="375" spans="1:28">
      <c r="A375" s="136" t="s">
        <v>2738</v>
      </c>
      <c r="B375" s="135" t="s">
        <v>876</v>
      </c>
      <c r="C375" s="135" t="s">
        <v>386</v>
      </c>
      <c r="D375" s="136" t="s">
        <v>1350</v>
      </c>
      <c r="E375" s="136" t="s">
        <v>1396</v>
      </c>
      <c r="F375" s="135" t="s">
        <v>540</v>
      </c>
      <c r="G375" s="136" t="s">
        <v>1914</v>
      </c>
      <c r="H375" s="135" t="s">
        <v>383</v>
      </c>
      <c r="I375" s="135" t="s">
        <v>765</v>
      </c>
      <c r="J375" s="135" t="s">
        <v>765</v>
      </c>
      <c r="K375" s="135" t="s">
        <v>875</v>
      </c>
      <c r="L375" s="136" t="s">
        <v>1997</v>
      </c>
      <c r="N375" s="136"/>
      <c r="O375" s="136" t="s">
        <v>535</v>
      </c>
      <c r="P375" s="136" t="s">
        <v>499</v>
      </c>
      <c r="Q375" s="135" t="s">
        <v>574</v>
      </c>
      <c r="R375" s="135" t="s">
        <v>573</v>
      </c>
      <c r="S375" s="136"/>
      <c r="U375" s="135" t="s">
        <v>875</v>
      </c>
      <c r="V375" s="135" t="s">
        <v>867</v>
      </c>
      <c r="X375" s="135" t="s">
        <v>539</v>
      </c>
      <c r="Z375" s="135" t="s">
        <v>874</v>
      </c>
      <c r="AA375" s="136"/>
      <c r="AB375" s="135" t="s">
        <v>2739</v>
      </c>
    </row>
    <row r="376" spans="1:28">
      <c r="A376" s="136" t="s">
        <v>2740</v>
      </c>
      <c r="B376" s="135" t="s">
        <v>873</v>
      </c>
      <c r="C376" s="135" t="s">
        <v>386</v>
      </c>
      <c r="D376" s="136" t="s">
        <v>1350</v>
      </c>
      <c r="E376" s="136" t="s">
        <v>1396</v>
      </c>
      <c r="F376" s="135" t="s">
        <v>540</v>
      </c>
      <c r="G376" s="136" t="s">
        <v>1914</v>
      </c>
      <c r="H376" s="135" t="s">
        <v>383</v>
      </c>
      <c r="I376" s="135" t="s">
        <v>494</v>
      </c>
      <c r="J376" s="135" t="s">
        <v>494</v>
      </c>
      <c r="K376" s="135" t="s">
        <v>872</v>
      </c>
      <c r="L376" s="136" t="s">
        <v>2219</v>
      </c>
      <c r="N376" s="136"/>
      <c r="O376" s="136" t="s">
        <v>535</v>
      </c>
      <c r="P376" s="136" t="s">
        <v>679</v>
      </c>
      <c r="Q376" s="135" t="s">
        <v>574</v>
      </c>
      <c r="R376" s="135" t="s">
        <v>573</v>
      </c>
      <c r="S376" s="136"/>
      <c r="U376" s="135" t="s">
        <v>872</v>
      </c>
      <c r="V376" s="135" t="s">
        <v>867</v>
      </c>
      <c r="X376" s="135" t="s">
        <v>539</v>
      </c>
      <c r="Z376" s="135" t="s">
        <v>531</v>
      </c>
      <c r="AA376" s="136"/>
      <c r="AB376" s="135" t="s">
        <v>2741</v>
      </c>
    </row>
    <row r="377" spans="1:28">
      <c r="A377" s="136" t="s">
        <v>2742</v>
      </c>
      <c r="B377" s="135" t="s">
        <v>871</v>
      </c>
      <c r="C377" s="135" t="s">
        <v>386</v>
      </c>
      <c r="D377" s="136" t="s">
        <v>1350</v>
      </c>
      <c r="E377" s="136" t="s">
        <v>1396</v>
      </c>
      <c r="F377" s="135" t="s">
        <v>540</v>
      </c>
      <c r="G377" s="136" t="s">
        <v>1914</v>
      </c>
      <c r="H377" s="135" t="s">
        <v>383</v>
      </c>
      <c r="I377" s="135" t="s">
        <v>454</v>
      </c>
      <c r="J377" s="135" t="s">
        <v>454</v>
      </c>
      <c r="K377" s="135" t="s">
        <v>870</v>
      </c>
      <c r="L377" s="136" t="s">
        <v>2000</v>
      </c>
      <c r="N377" s="136"/>
      <c r="O377" s="136" t="s">
        <v>535</v>
      </c>
      <c r="P377" s="136" t="s">
        <v>677</v>
      </c>
      <c r="Q377" s="135" t="s">
        <v>574</v>
      </c>
      <c r="R377" s="135" t="s">
        <v>573</v>
      </c>
      <c r="S377" s="136"/>
      <c r="U377" s="135" t="s">
        <v>870</v>
      </c>
      <c r="V377" s="135" t="s">
        <v>867</v>
      </c>
      <c r="X377" s="135" t="s">
        <v>539</v>
      </c>
      <c r="Z377" s="135" t="s">
        <v>531</v>
      </c>
      <c r="AA377" s="136"/>
      <c r="AB377" s="135" t="s">
        <v>2743</v>
      </c>
    </row>
    <row r="378" spans="1:28">
      <c r="A378" s="136" t="s">
        <v>2744</v>
      </c>
      <c r="B378" s="135" t="s">
        <v>869</v>
      </c>
      <c r="C378" s="135" t="s">
        <v>386</v>
      </c>
      <c r="D378" s="136" t="s">
        <v>1350</v>
      </c>
      <c r="E378" s="136" t="s">
        <v>1396</v>
      </c>
      <c r="F378" s="135" t="s">
        <v>540</v>
      </c>
      <c r="G378" s="136" t="s">
        <v>1914</v>
      </c>
      <c r="H378" s="135" t="s">
        <v>383</v>
      </c>
      <c r="I378" s="135" t="s">
        <v>494</v>
      </c>
      <c r="J378" s="135" t="s">
        <v>494</v>
      </c>
      <c r="K378" s="135" t="s">
        <v>868</v>
      </c>
      <c r="L378" s="136" t="s">
        <v>2000</v>
      </c>
      <c r="N378" s="136"/>
      <c r="O378" s="136" t="s">
        <v>535</v>
      </c>
      <c r="P378" s="136" t="s">
        <v>675</v>
      </c>
      <c r="Q378" s="135" t="s">
        <v>574</v>
      </c>
      <c r="R378" s="135" t="s">
        <v>573</v>
      </c>
      <c r="S378" s="136"/>
      <c r="U378" s="135" t="s">
        <v>868</v>
      </c>
      <c r="V378" s="135" t="s">
        <v>867</v>
      </c>
      <c r="X378" s="135" t="s">
        <v>539</v>
      </c>
      <c r="Z378" s="135" t="s">
        <v>531</v>
      </c>
      <c r="AA378" s="136"/>
      <c r="AB378" s="135" t="s">
        <v>2745</v>
      </c>
    </row>
    <row r="379" spans="1:28">
      <c r="A379" s="136" t="s">
        <v>2746</v>
      </c>
      <c r="B379" s="135" t="s">
        <v>1043</v>
      </c>
      <c r="C379" s="135" t="s">
        <v>2583</v>
      </c>
      <c r="D379" s="136" t="s">
        <v>2584</v>
      </c>
      <c r="E379" s="136" t="s">
        <v>1396</v>
      </c>
      <c r="F379" s="135" t="s">
        <v>533</v>
      </c>
      <c r="G379" s="136" t="s">
        <v>1914</v>
      </c>
      <c r="H379" s="135" t="s">
        <v>383</v>
      </c>
      <c r="I379" s="135" t="s">
        <v>731</v>
      </c>
      <c r="J379" s="135" t="s">
        <v>731</v>
      </c>
      <c r="K379" s="135" t="s">
        <v>2747</v>
      </c>
      <c r="L379" s="136" t="s">
        <v>2748</v>
      </c>
      <c r="N379" s="136"/>
      <c r="O379" s="136" t="s">
        <v>535</v>
      </c>
      <c r="P379" s="136" t="s">
        <v>566</v>
      </c>
      <c r="Q379" s="135" t="s">
        <v>1001</v>
      </c>
      <c r="R379" s="135" t="s">
        <v>1000</v>
      </c>
      <c r="S379" s="136"/>
      <c r="U379" s="135" t="s">
        <v>2747</v>
      </c>
      <c r="V379" s="135" t="s">
        <v>452</v>
      </c>
      <c r="X379" s="135" t="s">
        <v>529</v>
      </c>
      <c r="Z379" s="135" t="s">
        <v>788</v>
      </c>
      <c r="AA379" s="136"/>
      <c r="AB379" s="135" t="s">
        <v>2749</v>
      </c>
    </row>
    <row r="380" spans="1:28">
      <c r="A380" s="136" t="s">
        <v>2750</v>
      </c>
      <c r="B380" s="135" t="s">
        <v>1042</v>
      </c>
      <c r="C380" s="135" t="s">
        <v>2583</v>
      </c>
      <c r="D380" s="136" t="s">
        <v>2584</v>
      </c>
      <c r="E380" s="136" t="s">
        <v>1396</v>
      </c>
      <c r="F380" s="135" t="s">
        <v>699</v>
      </c>
      <c r="G380" s="136" t="s">
        <v>1914</v>
      </c>
      <c r="H380" s="135" t="s">
        <v>383</v>
      </c>
      <c r="I380" s="135" t="s">
        <v>454</v>
      </c>
      <c r="J380" s="135" t="s">
        <v>454</v>
      </c>
      <c r="K380" s="135" t="s">
        <v>1041</v>
      </c>
      <c r="L380" s="136" t="s">
        <v>2751</v>
      </c>
      <c r="N380" s="136"/>
      <c r="O380" s="136" t="s">
        <v>535</v>
      </c>
      <c r="P380" s="136" t="s">
        <v>561</v>
      </c>
      <c r="Q380" s="135" t="s">
        <v>1001</v>
      </c>
      <c r="R380" s="135" t="s">
        <v>1000</v>
      </c>
      <c r="S380" s="136"/>
      <c r="U380" s="135" t="s">
        <v>1041</v>
      </c>
      <c r="V380" s="135" t="s">
        <v>452</v>
      </c>
      <c r="X380" s="135" t="s">
        <v>610</v>
      </c>
      <c r="Z380" s="135" t="s">
        <v>788</v>
      </c>
      <c r="AA380" s="136"/>
      <c r="AB380" s="135" t="s">
        <v>2752</v>
      </c>
    </row>
    <row r="381" spans="1:28">
      <c r="A381" s="136" t="s">
        <v>2753</v>
      </c>
      <c r="B381" s="135" t="s">
        <v>772</v>
      </c>
      <c r="C381" s="135" t="s">
        <v>386</v>
      </c>
      <c r="D381" s="136" t="s">
        <v>1339</v>
      </c>
      <c r="E381" s="136" t="s">
        <v>1396</v>
      </c>
      <c r="F381" s="135" t="s">
        <v>533</v>
      </c>
      <c r="G381" s="136" t="s">
        <v>1914</v>
      </c>
      <c r="H381" s="135" t="s">
        <v>383</v>
      </c>
      <c r="I381" s="135" t="s">
        <v>731</v>
      </c>
      <c r="J381" s="135" t="s">
        <v>731</v>
      </c>
      <c r="K381" s="135" t="s">
        <v>771</v>
      </c>
      <c r="L381" s="136" t="s">
        <v>418</v>
      </c>
      <c r="N381" s="136"/>
      <c r="O381" s="136" t="s">
        <v>535</v>
      </c>
      <c r="P381" s="136" t="s">
        <v>555</v>
      </c>
      <c r="Q381" s="135" t="s">
        <v>536</v>
      </c>
      <c r="R381" s="135" t="s">
        <v>534</v>
      </c>
      <c r="S381" s="136"/>
      <c r="U381" s="135" t="s">
        <v>771</v>
      </c>
      <c r="V381" s="135" t="s">
        <v>452</v>
      </c>
      <c r="X381" s="135" t="s">
        <v>529</v>
      </c>
      <c r="Z381" s="135" t="s">
        <v>505</v>
      </c>
      <c r="AA381" s="136"/>
      <c r="AB381" s="135" t="s">
        <v>2754</v>
      </c>
    </row>
    <row r="382" spans="1:28">
      <c r="A382" s="136" t="s">
        <v>2755</v>
      </c>
      <c r="B382" s="135" t="s">
        <v>770</v>
      </c>
      <c r="C382" s="135" t="s">
        <v>386</v>
      </c>
      <c r="D382" s="136" t="s">
        <v>1339</v>
      </c>
      <c r="E382" s="136" t="s">
        <v>1396</v>
      </c>
      <c r="F382" s="135" t="s">
        <v>699</v>
      </c>
      <c r="G382" s="136" t="s">
        <v>1914</v>
      </c>
      <c r="H382" s="135" t="s">
        <v>383</v>
      </c>
      <c r="I382" s="135" t="s">
        <v>765</v>
      </c>
      <c r="J382" s="135" t="s">
        <v>765</v>
      </c>
      <c r="K382" s="135" t="s">
        <v>769</v>
      </c>
      <c r="L382" s="136" t="s">
        <v>419</v>
      </c>
      <c r="N382" s="136"/>
      <c r="O382" s="136" t="s">
        <v>535</v>
      </c>
      <c r="P382" s="136" t="s">
        <v>548</v>
      </c>
      <c r="Q382" s="135" t="s">
        <v>536</v>
      </c>
      <c r="R382" s="135" t="s">
        <v>534</v>
      </c>
      <c r="S382" s="136"/>
      <c r="U382" s="135" t="s">
        <v>769</v>
      </c>
      <c r="V382" s="135" t="s">
        <v>452</v>
      </c>
      <c r="X382" s="135" t="s">
        <v>610</v>
      </c>
      <c r="Z382" s="135" t="s">
        <v>505</v>
      </c>
      <c r="AA382" s="136"/>
      <c r="AB382" s="135" t="s">
        <v>2756</v>
      </c>
    </row>
    <row r="383" spans="1:28">
      <c r="A383" s="136" t="s">
        <v>2757</v>
      </c>
      <c r="B383" s="135" t="s">
        <v>1040</v>
      </c>
      <c r="C383" s="135" t="s">
        <v>386</v>
      </c>
      <c r="D383" s="136" t="s">
        <v>1339</v>
      </c>
      <c r="E383" s="136" t="s">
        <v>1396</v>
      </c>
      <c r="F383" s="135" t="s">
        <v>533</v>
      </c>
      <c r="G383" s="136" t="s">
        <v>1914</v>
      </c>
      <c r="H383" s="135" t="s">
        <v>383</v>
      </c>
      <c r="I383" s="135" t="s">
        <v>494</v>
      </c>
      <c r="J383" s="135" t="s">
        <v>494</v>
      </c>
      <c r="K383" s="135" t="s">
        <v>1039</v>
      </c>
      <c r="L383" s="136" t="s">
        <v>1908</v>
      </c>
      <c r="N383" s="136"/>
      <c r="O383" s="136" t="s">
        <v>535</v>
      </c>
      <c r="P383" s="136" t="s">
        <v>625</v>
      </c>
      <c r="Q383" s="135" t="s">
        <v>536</v>
      </c>
      <c r="R383" s="135" t="s">
        <v>534</v>
      </c>
      <c r="S383" s="136"/>
      <c r="U383" s="135" t="s">
        <v>1039</v>
      </c>
      <c r="V383" s="135" t="s">
        <v>501</v>
      </c>
      <c r="X383" s="135" t="s">
        <v>529</v>
      </c>
      <c r="Z383" s="135" t="s">
        <v>451</v>
      </c>
      <c r="AA383" s="136"/>
      <c r="AB383" s="135" t="s">
        <v>2758</v>
      </c>
    </row>
    <row r="384" spans="1:28">
      <c r="A384" s="136" t="s">
        <v>2759</v>
      </c>
      <c r="B384" s="135" t="s">
        <v>537</v>
      </c>
      <c r="C384" s="135" t="s">
        <v>386</v>
      </c>
      <c r="D384" s="136" t="s">
        <v>1339</v>
      </c>
      <c r="E384" s="136" t="s">
        <v>1396</v>
      </c>
      <c r="F384" s="135" t="s">
        <v>533</v>
      </c>
      <c r="G384" s="136" t="s">
        <v>1914</v>
      </c>
      <c r="H384" s="135" t="s">
        <v>383</v>
      </c>
      <c r="I384" s="135" t="s">
        <v>494</v>
      </c>
      <c r="J384" s="135" t="s">
        <v>494</v>
      </c>
      <c r="K384" s="135" t="s">
        <v>532</v>
      </c>
      <c r="L384" s="136" t="s">
        <v>2731</v>
      </c>
      <c r="N384" s="136"/>
      <c r="O384" s="136" t="s">
        <v>535</v>
      </c>
      <c r="P384" s="136" t="s">
        <v>538</v>
      </c>
      <c r="Q384" s="135" t="s">
        <v>536</v>
      </c>
      <c r="R384" s="135" t="s">
        <v>534</v>
      </c>
      <c r="S384" s="136"/>
      <c r="U384" s="135" t="s">
        <v>532</v>
      </c>
      <c r="V384" s="135" t="s">
        <v>511</v>
      </c>
      <c r="X384" s="135" t="s">
        <v>529</v>
      </c>
      <c r="Z384" s="135" t="s">
        <v>531</v>
      </c>
      <c r="AA384" s="136"/>
      <c r="AB384" s="135" t="s">
        <v>2760</v>
      </c>
    </row>
    <row r="385" spans="1:28">
      <c r="A385" s="136" t="s">
        <v>2761</v>
      </c>
      <c r="B385" s="135" t="s">
        <v>1038</v>
      </c>
      <c r="C385" s="135" t="s">
        <v>386</v>
      </c>
      <c r="D385" s="136" t="s">
        <v>1339</v>
      </c>
      <c r="E385" s="136" t="s">
        <v>1396</v>
      </c>
      <c r="F385" s="135" t="s">
        <v>533</v>
      </c>
      <c r="G385" s="136" t="s">
        <v>1914</v>
      </c>
      <c r="H385" s="135" t="s">
        <v>383</v>
      </c>
      <c r="I385" s="135" t="s">
        <v>454</v>
      </c>
      <c r="J385" s="135" t="s">
        <v>454</v>
      </c>
      <c r="K385" s="135" t="s">
        <v>1037</v>
      </c>
      <c r="L385" s="136" t="s">
        <v>1911</v>
      </c>
      <c r="N385" s="136"/>
      <c r="O385" s="136" t="s">
        <v>535</v>
      </c>
      <c r="P385" s="136" t="s">
        <v>616</v>
      </c>
      <c r="Q385" s="135" t="s">
        <v>536</v>
      </c>
      <c r="R385" s="135" t="s">
        <v>534</v>
      </c>
      <c r="S385" s="136"/>
      <c r="U385" s="135" t="s">
        <v>1037</v>
      </c>
      <c r="V385" s="135" t="s">
        <v>501</v>
      </c>
      <c r="X385" s="135" t="s">
        <v>529</v>
      </c>
      <c r="Z385" s="135" t="s">
        <v>451</v>
      </c>
      <c r="AA385" s="136"/>
      <c r="AB385" s="135" t="s">
        <v>2762</v>
      </c>
    </row>
    <row r="386" spans="1:28">
      <c r="A386" s="136" t="s">
        <v>2763</v>
      </c>
      <c r="B386" s="135" t="s">
        <v>1036</v>
      </c>
      <c r="C386" s="135" t="s">
        <v>386</v>
      </c>
      <c r="D386" s="136" t="s">
        <v>1339</v>
      </c>
      <c r="E386" s="136" t="s">
        <v>1396</v>
      </c>
      <c r="F386" s="135" t="s">
        <v>699</v>
      </c>
      <c r="G386" s="136" t="s">
        <v>1914</v>
      </c>
      <c r="H386" s="135" t="s">
        <v>383</v>
      </c>
      <c r="I386" s="135" t="s">
        <v>454</v>
      </c>
      <c r="J386" s="135" t="s">
        <v>454</v>
      </c>
      <c r="K386" s="135" t="s">
        <v>717</v>
      </c>
      <c r="L386" s="136" t="s">
        <v>1905</v>
      </c>
      <c r="N386" s="136"/>
      <c r="O386" s="136" t="s">
        <v>535</v>
      </c>
      <c r="P386" s="136" t="s">
        <v>613</v>
      </c>
      <c r="Q386" s="135" t="s">
        <v>536</v>
      </c>
      <c r="R386" s="135" t="s">
        <v>534</v>
      </c>
      <c r="S386" s="136"/>
      <c r="U386" s="135" t="s">
        <v>717</v>
      </c>
      <c r="V386" s="135" t="s">
        <v>501</v>
      </c>
      <c r="X386" s="135" t="s">
        <v>610</v>
      </c>
      <c r="Z386" s="135" t="s">
        <v>451</v>
      </c>
      <c r="AA386" s="136"/>
      <c r="AB386" s="135" t="s">
        <v>2764</v>
      </c>
    </row>
    <row r="387" spans="1:28">
      <c r="A387" s="136" t="s">
        <v>2765</v>
      </c>
      <c r="B387" s="135" t="s">
        <v>768</v>
      </c>
      <c r="C387" s="135" t="s">
        <v>386</v>
      </c>
      <c r="D387" s="136" t="s">
        <v>1339</v>
      </c>
      <c r="E387" s="136" t="s">
        <v>1396</v>
      </c>
      <c r="F387" s="135" t="s">
        <v>699</v>
      </c>
      <c r="G387" s="136" t="s">
        <v>1914</v>
      </c>
      <c r="H387" s="135" t="s">
        <v>383</v>
      </c>
      <c r="I387" s="135" t="s">
        <v>494</v>
      </c>
      <c r="J387" s="135" t="s">
        <v>494</v>
      </c>
      <c r="K387" s="135" t="s">
        <v>767</v>
      </c>
      <c r="L387" s="136" t="s">
        <v>410</v>
      </c>
      <c r="N387" s="136"/>
      <c r="O387" s="136" t="s">
        <v>535</v>
      </c>
      <c r="P387" s="136" t="s">
        <v>609</v>
      </c>
      <c r="Q387" s="135" t="s">
        <v>536</v>
      </c>
      <c r="R387" s="135" t="s">
        <v>534</v>
      </c>
      <c r="S387" s="136"/>
      <c r="U387" s="135" t="s">
        <v>767</v>
      </c>
      <c r="V387" s="135" t="s">
        <v>452</v>
      </c>
      <c r="X387" s="135" t="s">
        <v>610</v>
      </c>
      <c r="Z387" s="135" t="s">
        <v>505</v>
      </c>
      <c r="AA387" s="136"/>
      <c r="AB387" s="135" t="s">
        <v>2766</v>
      </c>
    </row>
    <row r="388" spans="1:28">
      <c r="A388" s="136" t="s">
        <v>2767</v>
      </c>
      <c r="B388" s="135" t="s">
        <v>766</v>
      </c>
      <c r="C388" s="135" t="s">
        <v>386</v>
      </c>
      <c r="D388" s="136" t="s">
        <v>1339</v>
      </c>
      <c r="E388" s="136" t="s">
        <v>1396</v>
      </c>
      <c r="F388" s="135" t="s">
        <v>533</v>
      </c>
      <c r="G388" s="136" t="s">
        <v>1914</v>
      </c>
      <c r="H388" s="135" t="s">
        <v>383</v>
      </c>
      <c r="I388" s="135" t="s">
        <v>765</v>
      </c>
      <c r="J388" s="135" t="s">
        <v>765</v>
      </c>
      <c r="K388" s="135" t="s">
        <v>764</v>
      </c>
      <c r="L388" s="136" t="s">
        <v>411</v>
      </c>
      <c r="N388" s="136"/>
      <c r="O388" s="136" t="s">
        <v>535</v>
      </c>
      <c r="P388" s="136" t="s">
        <v>606</v>
      </c>
      <c r="Q388" s="135" t="s">
        <v>536</v>
      </c>
      <c r="R388" s="135" t="s">
        <v>534</v>
      </c>
      <c r="S388" s="136"/>
      <c r="U388" s="135" t="s">
        <v>764</v>
      </c>
      <c r="V388" s="135" t="s">
        <v>452</v>
      </c>
      <c r="X388" s="135" t="s">
        <v>529</v>
      </c>
      <c r="Z388" s="135" t="s">
        <v>505</v>
      </c>
      <c r="AA388" s="136"/>
      <c r="AB388" s="135" t="s">
        <v>2768</v>
      </c>
    </row>
    <row r="389" spans="1:28">
      <c r="A389" s="136" t="s">
        <v>2769</v>
      </c>
      <c r="B389" s="135" t="s">
        <v>763</v>
      </c>
      <c r="C389" s="135" t="s">
        <v>386</v>
      </c>
      <c r="D389" s="136" t="s">
        <v>1339</v>
      </c>
      <c r="E389" s="136" t="s">
        <v>1396</v>
      </c>
      <c r="F389" s="135" t="s">
        <v>699</v>
      </c>
      <c r="G389" s="136" t="s">
        <v>1914</v>
      </c>
      <c r="H389" s="135" t="s">
        <v>383</v>
      </c>
      <c r="I389" s="135" t="s">
        <v>731</v>
      </c>
      <c r="J389" s="135" t="s">
        <v>731</v>
      </c>
      <c r="K389" s="135" t="s">
        <v>762</v>
      </c>
      <c r="L389" s="136" t="s">
        <v>2770</v>
      </c>
      <c r="N389" s="136"/>
      <c r="O389" s="136" t="s">
        <v>535</v>
      </c>
      <c r="P389" s="136" t="s">
        <v>600</v>
      </c>
      <c r="Q389" s="135" t="s">
        <v>536</v>
      </c>
      <c r="R389" s="135" t="s">
        <v>534</v>
      </c>
      <c r="S389" s="136"/>
      <c r="U389" s="135" t="s">
        <v>762</v>
      </c>
      <c r="V389" s="135" t="s">
        <v>452</v>
      </c>
      <c r="X389" s="135" t="s">
        <v>610</v>
      </c>
      <c r="Z389" s="135" t="s">
        <v>505</v>
      </c>
      <c r="AA389" s="136"/>
      <c r="AB389" s="135" t="s">
        <v>2771</v>
      </c>
    </row>
    <row r="390" spans="1:28">
      <c r="A390" s="136" t="s">
        <v>2772</v>
      </c>
      <c r="B390" s="135" t="s">
        <v>761</v>
      </c>
      <c r="C390" s="135" t="s">
        <v>386</v>
      </c>
      <c r="D390" s="136" t="s">
        <v>1339</v>
      </c>
      <c r="E390" s="136" t="s">
        <v>1396</v>
      </c>
      <c r="F390" s="135" t="s">
        <v>699</v>
      </c>
      <c r="G390" s="136" t="s">
        <v>1914</v>
      </c>
      <c r="H390" s="135" t="s">
        <v>383</v>
      </c>
      <c r="I390" s="135" t="s">
        <v>494</v>
      </c>
      <c r="J390" s="135" t="s">
        <v>494</v>
      </c>
      <c r="K390" s="135" t="s">
        <v>760</v>
      </c>
      <c r="L390" s="136" t="s">
        <v>420</v>
      </c>
      <c r="N390" s="136"/>
      <c r="O390" s="136" t="s">
        <v>535</v>
      </c>
      <c r="P390" s="136" t="s">
        <v>595</v>
      </c>
      <c r="Q390" s="135" t="s">
        <v>536</v>
      </c>
      <c r="R390" s="135" t="s">
        <v>534</v>
      </c>
      <c r="S390" s="136"/>
      <c r="U390" s="135" t="s">
        <v>760</v>
      </c>
      <c r="V390" s="135" t="s">
        <v>452</v>
      </c>
      <c r="X390" s="135" t="s">
        <v>610</v>
      </c>
      <c r="Z390" s="135" t="s">
        <v>505</v>
      </c>
      <c r="AA390" s="136"/>
      <c r="AB390" s="135" t="s">
        <v>2773</v>
      </c>
    </row>
    <row r="391" spans="1:28">
      <c r="A391" s="136" t="s">
        <v>2774</v>
      </c>
      <c r="B391" s="135" t="s">
        <v>759</v>
      </c>
      <c r="C391" s="135" t="s">
        <v>386</v>
      </c>
      <c r="D391" s="136" t="s">
        <v>1339</v>
      </c>
      <c r="E391" s="136" t="s">
        <v>1396</v>
      </c>
      <c r="F391" s="135" t="s">
        <v>707</v>
      </c>
      <c r="G391" s="136" t="s">
        <v>1914</v>
      </c>
      <c r="H391" s="135" t="s">
        <v>383</v>
      </c>
      <c r="I391" s="135" t="s">
        <v>494</v>
      </c>
      <c r="J391" s="135" t="s">
        <v>494</v>
      </c>
      <c r="K391" s="135" t="s">
        <v>758</v>
      </c>
      <c r="L391" s="136" t="s">
        <v>400</v>
      </c>
      <c r="N391" s="136"/>
      <c r="O391" s="136" t="s">
        <v>535</v>
      </c>
      <c r="P391" s="136" t="s">
        <v>566</v>
      </c>
      <c r="Q391" s="135" t="s">
        <v>536</v>
      </c>
      <c r="R391" s="135" t="s">
        <v>534</v>
      </c>
      <c r="S391" s="136"/>
      <c r="U391" s="135" t="s">
        <v>758</v>
      </c>
      <c r="V391" s="135" t="s">
        <v>452</v>
      </c>
      <c r="X391" s="135" t="s">
        <v>529</v>
      </c>
      <c r="Z391" s="135" t="s">
        <v>505</v>
      </c>
      <c r="AA391" s="136"/>
      <c r="AB391" s="135" t="s">
        <v>2775</v>
      </c>
    </row>
    <row r="392" spans="1:28">
      <c r="A392" s="136" t="s">
        <v>2776</v>
      </c>
      <c r="B392" s="135" t="s">
        <v>757</v>
      </c>
      <c r="C392" s="135" t="s">
        <v>386</v>
      </c>
      <c r="D392" s="136" t="s">
        <v>1339</v>
      </c>
      <c r="E392" s="136" t="s">
        <v>1396</v>
      </c>
      <c r="F392" s="135" t="s">
        <v>756</v>
      </c>
      <c r="G392" s="136" t="s">
        <v>401</v>
      </c>
      <c r="I392" s="135" t="s">
        <v>454</v>
      </c>
      <c r="J392" s="135" t="s">
        <v>454</v>
      </c>
      <c r="K392" s="135" t="s">
        <v>755</v>
      </c>
      <c r="L392" s="136" t="s">
        <v>401</v>
      </c>
      <c r="N392" s="136"/>
      <c r="O392" s="136" t="s">
        <v>535</v>
      </c>
      <c r="P392" s="136" t="s">
        <v>561</v>
      </c>
      <c r="Q392" s="135" t="s">
        <v>536</v>
      </c>
      <c r="R392" s="135" t="s">
        <v>534</v>
      </c>
      <c r="S392" s="136"/>
      <c r="U392" s="135" t="s">
        <v>755</v>
      </c>
      <c r="V392" s="135" t="s">
        <v>452</v>
      </c>
      <c r="W392" s="135" t="s">
        <v>756</v>
      </c>
      <c r="X392" s="135" t="s">
        <v>481</v>
      </c>
      <c r="Z392" s="135" t="s">
        <v>505</v>
      </c>
      <c r="AA392" s="136"/>
      <c r="AB392" s="135" t="s">
        <v>2777</v>
      </c>
    </row>
    <row r="393" spans="1:28">
      <c r="A393" s="136" t="s">
        <v>2778</v>
      </c>
      <c r="B393" s="135" t="s">
        <v>754</v>
      </c>
      <c r="C393" s="135" t="s">
        <v>386</v>
      </c>
      <c r="D393" s="136" t="s">
        <v>1339</v>
      </c>
      <c r="E393" s="136" t="s">
        <v>1396</v>
      </c>
      <c r="F393" s="135" t="s">
        <v>753</v>
      </c>
      <c r="G393" s="136" t="s">
        <v>402</v>
      </c>
      <c r="I393" s="135" t="s">
        <v>454</v>
      </c>
      <c r="J393" s="135" t="s">
        <v>454</v>
      </c>
      <c r="K393" s="135" t="s">
        <v>752</v>
      </c>
      <c r="L393" s="136" t="s">
        <v>402</v>
      </c>
      <c r="N393" s="136"/>
      <c r="O393" s="136" t="s">
        <v>535</v>
      </c>
      <c r="P393" s="136" t="s">
        <v>555</v>
      </c>
      <c r="Q393" s="135" t="s">
        <v>536</v>
      </c>
      <c r="R393" s="135" t="s">
        <v>534</v>
      </c>
      <c r="S393" s="136"/>
      <c r="U393" s="135" t="s">
        <v>752</v>
      </c>
      <c r="V393" s="135" t="s">
        <v>452</v>
      </c>
      <c r="W393" s="135" t="s">
        <v>753</v>
      </c>
      <c r="X393" s="135" t="s">
        <v>481</v>
      </c>
      <c r="Z393" s="135" t="s">
        <v>505</v>
      </c>
      <c r="AA393" s="136"/>
      <c r="AB393" s="135" t="s">
        <v>2779</v>
      </c>
    </row>
    <row r="394" spans="1:28">
      <c r="A394" s="136" t="s">
        <v>2780</v>
      </c>
      <c r="B394" s="135" t="s">
        <v>751</v>
      </c>
      <c r="C394" s="135" t="s">
        <v>386</v>
      </c>
      <c r="D394" s="136" t="s">
        <v>1339</v>
      </c>
      <c r="E394" s="136" t="s">
        <v>1396</v>
      </c>
      <c r="F394" s="135" t="s">
        <v>707</v>
      </c>
      <c r="G394" s="136" t="s">
        <v>1914</v>
      </c>
      <c r="H394" s="135" t="s">
        <v>383</v>
      </c>
      <c r="I394" s="135" t="s">
        <v>454</v>
      </c>
      <c r="J394" s="135" t="s">
        <v>454</v>
      </c>
      <c r="K394" s="135" t="s">
        <v>2781</v>
      </c>
      <c r="L394" s="136" t="s">
        <v>407</v>
      </c>
      <c r="N394" s="136"/>
      <c r="O394" s="136" t="s">
        <v>535</v>
      </c>
      <c r="P394" s="136" t="s">
        <v>548</v>
      </c>
      <c r="Q394" s="135" t="s">
        <v>536</v>
      </c>
      <c r="R394" s="135" t="s">
        <v>534</v>
      </c>
      <c r="S394" s="136"/>
      <c r="U394" s="135" t="s">
        <v>2781</v>
      </c>
      <c r="V394" s="135" t="s">
        <v>452</v>
      </c>
      <c r="X394" s="135" t="s">
        <v>529</v>
      </c>
      <c r="Z394" s="135" t="s">
        <v>505</v>
      </c>
      <c r="AA394" s="136"/>
      <c r="AB394" s="135" t="s">
        <v>2782</v>
      </c>
    </row>
    <row r="395" spans="1:28">
      <c r="A395" s="136" t="s">
        <v>2783</v>
      </c>
      <c r="B395" s="135" t="s">
        <v>750</v>
      </c>
      <c r="C395" s="135" t="s">
        <v>386</v>
      </c>
      <c r="D395" s="136" t="s">
        <v>1339</v>
      </c>
      <c r="E395" s="136" t="s">
        <v>1396</v>
      </c>
      <c r="F395" s="135" t="s">
        <v>707</v>
      </c>
      <c r="G395" s="136" t="s">
        <v>1914</v>
      </c>
      <c r="H395" s="135" t="s">
        <v>383</v>
      </c>
      <c r="I395" s="135" t="s">
        <v>454</v>
      </c>
      <c r="J395" s="135" t="s">
        <v>454</v>
      </c>
      <c r="K395" s="135" t="s">
        <v>2784</v>
      </c>
      <c r="L395" s="136" t="s">
        <v>408</v>
      </c>
      <c r="N395" s="136"/>
      <c r="O395" s="136" t="s">
        <v>535</v>
      </c>
      <c r="P395" s="136" t="s">
        <v>625</v>
      </c>
      <c r="Q395" s="135" t="s">
        <v>536</v>
      </c>
      <c r="R395" s="135" t="s">
        <v>534</v>
      </c>
      <c r="S395" s="136"/>
      <c r="U395" s="135" t="s">
        <v>2784</v>
      </c>
      <c r="V395" s="135" t="s">
        <v>452</v>
      </c>
      <c r="X395" s="135" t="s">
        <v>529</v>
      </c>
      <c r="Z395" s="135" t="s">
        <v>505</v>
      </c>
      <c r="AA395" s="136"/>
      <c r="AB395" s="135" t="s">
        <v>2785</v>
      </c>
    </row>
    <row r="396" spans="1:28">
      <c r="A396" s="136" t="s">
        <v>2786</v>
      </c>
      <c r="B396" s="135" t="s">
        <v>749</v>
      </c>
      <c r="C396" s="135" t="s">
        <v>386</v>
      </c>
      <c r="D396" s="136" t="s">
        <v>1339</v>
      </c>
      <c r="E396" s="136" t="s">
        <v>1396</v>
      </c>
      <c r="F396" s="135" t="s">
        <v>748</v>
      </c>
      <c r="G396" s="136" t="s">
        <v>409</v>
      </c>
      <c r="I396" s="135" t="s">
        <v>494</v>
      </c>
      <c r="J396" s="135" t="s">
        <v>494</v>
      </c>
      <c r="K396" s="135" t="s">
        <v>747</v>
      </c>
      <c r="L396" s="136" t="s">
        <v>409</v>
      </c>
      <c r="N396" s="136"/>
      <c r="O396" s="136" t="s">
        <v>535</v>
      </c>
      <c r="P396" s="136" t="s">
        <v>538</v>
      </c>
      <c r="Q396" s="135" t="s">
        <v>536</v>
      </c>
      <c r="R396" s="135" t="s">
        <v>534</v>
      </c>
      <c r="S396" s="136"/>
      <c r="U396" s="135" t="s">
        <v>747</v>
      </c>
      <c r="V396" s="135" t="s">
        <v>452</v>
      </c>
      <c r="W396" s="135" t="s">
        <v>748</v>
      </c>
      <c r="X396" s="135" t="s">
        <v>481</v>
      </c>
      <c r="Z396" s="135" t="s">
        <v>505</v>
      </c>
      <c r="AA396" s="136"/>
      <c r="AB396" s="135" t="s">
        <v>2787</v>
      </c>
    </row>
    <row r="397" spans="1:28">
      <c r="A397" s="136" t="s">
        <v>2788</v>
      </c>
      <c r="B397" s="135" t="s">
        <v>746</v>
      </c>
      <c r="C397" s="135" t="s">
        <v>386</v>
      </c>
      <c r="D397" s="136" t="s">
        <v>1339</v>
      </c>
      <c r="E397" s="136" t="s">
        <v>1396</v>
      </c>
      <c r="F397" s="135" t="s">
        <v>745</v>
      </c>
      <c r="G397" s="136" t="s">
        <v>408</v>
      </c>
      <c r="I397" s="135" t="s">
        <v>494</v>
      </c>
      <c r="J397" s="135" t="s">
        <v>494</v>
      </c>
      <c r="K397" s="135" t="s">
        <v>744</v>
      </c>
      <c r="L397" s="136" t="s">
        <v>408</v>
      </c>
      <c r="N397" s="136"/>
      <c r="O397" s="136" t="s">
        <v>535</v>
      </c>
      <c r="P397" s="136" t="s">
        <v>616</v>
      </c>
      <c r="Q397" s="135" t="s">
        <v>536</v>
      </c>
      <c r="R397" s="135" t="s">
        <v>534</v>
      </c>
      <c r="S397" s="136"/>
      <c r="U397" s="135" t="s">
        <v>744</v>
      </c>
      <c r="V397" s="135" t="s">
        <v>452</v>
      </c>
      <c r="W397" s="135" t="s">
        <v>745</v>
      </c>
      <c r="X397" s="135" t="s">
        <v>481</v>
      </c>
      <c r="Z397" s="135" t="s">
        <v>505</v>
      </c>
      <c r="AA397" s="136"/>
      <c r="AB397" s="135" t="s">
        <v>2789</v>
      </c>
    </row>
    <row r="398" spans="1:28">
      <c r="A398" s="136" t="s">
        <v>2790</v>
      </c>
      <c r="B398" s="135" t="s">
        <v>1035</v>
      </c>
      <c r="C398" s="135" t="s">
        <v>386</v>
      </c>
      <c r="D398" s="136" t="s">
        <v>1339</v>
      </c>
      <c r="E398" s="136" t="s">
        <v>1396</v>
      </c>
      <c r="F398" s="135" t="s">
        <v>703</v>
      </c>
      <c r="G398" s="136" t="s">
        <v>1914</v>
      </c>
      <c r="H398" s="135" t="s">
        <v>383</v>
      </c>
      <c r="I398" s="135" t="s">
        <v>494</v>
      </c>
      <c r="J398" s="135" t="s">
        <v>494</v>
      </c>
      <c r="K398" s="135" t="s">
        <v>1034</v>
      </c>
      <c r="L398" s="136" t="s">
        <v>1892</v>
      </c>
      <c r="N398" s="136"/>
      <c r="O398" s="136" t="s">
        <v>535</v>
      </c>
      <c r="P398" s="136" t="s">
        <v>613</v>
      </c>
      <c r="Q398" s="135" t="s">
        <v>536</v>
      </c>
      <c r="R398" s="135" t="s">
        <v>534</v>
      </c>
      <c r="S398" s="136"/>
      <c r="U398" s="135" t="s">
        <v>1034</v>
      </c>
      <c r="V398" s="135" t="s">
        <v>501</v>
      </c>
      <c r="X398" s="135" t="s">
        <v>539</v>
      </c>
      <c r="Z398" s="135" t="s">
        <v>451</v>
      </c>
      <c r="AA398" s="136"/>
      <c r="AB398" s="135" t="s">
        <v>2791</v>
      </c>
    </row>
    <row r="399" spans="1:28">
      <c r="A399" s="136" t="s">
        <v>2792</v>
      </c>
      <c r="B399" s="135" t="s">
        <v>1033</v>
      </c>
      <c r="C399" s="135" t="s">
        <v>386</v>
      </c>
      <c r="D399" s="136" t="s">
        <v>1339</v>
      </c>
      <c r="E399" s="136" t="s">
        <v>1396</v>
      </c>
      <c r="F399" s="135" t="s">
        <v>703</v>
      </c>
      <c r="G399" s="136" t="s">
        <v>1914</v>
      </c>
      <c r="H399" s="135" t="s">
        <v>383</v>
      </c>
      <c r="I399" s="135" t="s">
        <v>731</v>
      </c>
      <c r="J399" s="135" t="s">
        <v>731</v>
      </c>
      <c r="K399" s="135" t="s">
        <v>1032</v>
      </c>
      <c r="L399" s="136" t="s">
        <v>1902</v>
      </c>
      <c r="N399" s="136"/>
      <c r="O399" s="136" t="s">
        <v>535</v>
      </c>
      <c r="P399" s="136" t="s">
        <v>609</v>
      </c>
      <c r="Q399" s="135" t="s">
        <v>536</v>
      </c>
      <c r="R399" s="135" t="s">
        <v>534</v>
      </c>
      <c r="S399" s="136"/>
      <c r="U399" s="135" t="s">
        <v>1032</v>
      </c>
      <c r="V399" s="135" t="s">
        <v>501</v>
      </c>
      <c r="X399" s="135" t="s">
        <v>539</v>
      </c>
      <c r="Z399" s="135" t="s">
        <v>451</v>
      </c>
      <c r="AA399" s="136"/>
      <c r="AB399" s="135" t="s">
        <v>2793</v>
      </c>
    </row>
    <row r="400" spans="1:28">
      <c r="A400" s="136" t="s">
        <v>2794</v>
      </c>
      <c r="B400" s="135" t="s">
        <v>1031</v>
      </c>
      <c r="C400" s="135" t="s">
        <v>2583</v>
      </c>
      <c r="D400" s="136" t="s">
        <v>2584</v>
      </c>
      <c r="E400" s="136" t="s">
        <v>1396</v>
      </c>
      <c r="F400" s="135" t="s">
        <v>1029</v>
      </c>
      <c r="G400" s="136" t="s">
        <v>1914</v>
      </c>
      <c r="H400" s="135" t="s">
        <v>383</v>
      </c>
      <c r="I400" s="135" t="s">
        <v>765</v>
      </c>
      <c r="J400" s="135" t="s">
        <v>765</v>
      </c>
      <c r="K400" s="135" t="s">
        <v>1030</v>
      </c>
      <c r="L400" s="136" t="s">
        <v>2795</v>
      </c>
      <c r="N400" s="136"/>
      <c r="O400" s="136" t="s">
        <v>535</v>
      </c>
      <c r="P400" s="136" t="s">
        <v>566</v>
      </c>
      <c r="Q400" s="135" t="s">
        <v>1001</v>
      </c>
      <c r="R400" s="135" t="s">
        <v>1000</v>
      </c>
      <c r="S400" s="136"/>
      <c r="U400" s="135" t="s">
        <v>1030</v>
      </c>
      <c r="V400" s="135" t="s">
        <v>452</v>
      </c>
      <c r="W400" s="135" t="s">
        <v>1028</v>
      </c>
      <c r="X400" s="135" t="s">
        <v>455</v>
      </c>
      <c r="Z400" s="135" t="s">
        <v>788</v>
      </c>
      <c r="AA400" s="136"/>
      <c r="AB400" s="135" t="s">
        <v>2796</v>
      </c>
    </row>
    <row r="401" spans="1:28">
      <c r="A401" s="136" t="s">
        <v>2797</v>
      </c>
      <c r="B401" s="135" t="s">
        <v>1027</v>
      </c>
      <c r="C401" s="135" t="s">
        <v>2583</v>
      </c>
      <c r="D401" s="136" t="s">
        <v>2584</v>
      </c>
      <c r="E401" s="136" t="s">
        <v>1396</v>
      </c>
      <c r="F401" s="135" t="s">
        <v>741</v>
      </c>
      <c r="G401" s="136" t="s">
        <v>1914</v>
      </c>
      <c r="H401" s="135" t="s">
        <v>383</v>
      </c>
      <c r="I401" s="135" t="s">
        <v>731</v>
      </c>
      <c r="J401" s="135" t="s">
        <v>731</v>
      </c>
      <c r="K401" s="135" t="s">
        <v>1026</v>
      </c>
      <c r="L401" s="136" t="s">
        <v>2798</v>
      </c>
      <c r="N401" s="136"/>
      <c r="O401" s="136" t="s">
        <v>535</v>
      </c>
      <c r="P401" s="136" t="s">
        <v>561</v>
      </c>
      <c r="Q401" s="135" t="s">
        <v>1001</v>
      </c>
      <c r="R401" s="135" t="s">
        <v>1000</v>
      </c>
      <c r="S401" s="136"/>
      <c r="U401" s="135" t="s">
        <v>1026</v>
      </c>
      <c r="V401" s="135" t="s">
        <v>452</v>
      </c>
      <c r="X401" s="135" t="s">
        <v>610</v>
      </c>
      <c r="Z401" s="135" t="s">
        <v>788</v>
      </c>
      <c r="AA401" s="136"/>
      <c r="AB401" s="135" t="s">
        <v>2799</v>
      </c>
    </row>
    <row r="402" spans="1:28">
      <c r="A402" s="136" t="s">
        <v>2800</v>
      </c>
      <c r="B402" s="135" t="s">
        <v>1025</v>
      </c>
      <c r="C402" s="135" t="s">
        <v>2583</v>
      </c>
      <c r="D402" s="136" t="s">
        <v>2584</v>
      </c>
      <c r="E402" s="136" t="s">
        <v>1396</v>
      </c>
      <c r="F402" s="135" t="s">
        <v>738</v>
      </c>
      <c r="G402" s="136" t="s">
        <v>1914</v>
      </c>
      <c r="H402" s="135" t="s">
        <v>383</v>
      </c>
      <c r="I402" s="135" t="s">
        <v>731</v>
      </c>
      <c r="J402" s="135" t="s">
        <v>731</v>
      </c>
      <c r="K402" s="135" t="s">
        <v>1024</v>
      </c>
      <c r="L402" s="136" t="s">
        <v>2801</v>
      </c>
      <c r="N402" s="136"/>
      <c r="O402" s="136" t="s">
        <v>535</v>
      </c>
      <c r="P402" s="136" t="s">
        <v>555</v>
      </c>
      <c r="Q402" s="135" t="s">
        <v>1001</v>
      </c>
      <c r="R402" s="135" t="s">
        <v>1000</v>
      </c>
      <c r="S402" s="136"/>
      <c r="U402" s="135" t="s">
        <v>1024</v>
      </c>
      <c r="V402" s="135" t="s">
        <v>452</v>
      </c>
      <c r="X402" s="135" t="s">
        <v>539</v>
      </c>
      <c r="Z402" s="135" t="s">
        <v>788</v>
      </c>
      <c r="AA402" s="136"/>
      <c r="AB402" s="135" t="s">
        <v>2802</v>
      </c>
    </row>
    <row r="403" spans="1:28">
      <c r="A403" s="136" t="s">
        <v>2803</v>
      </c>
      <c r="B403" s="135" t="s">
        <v>1023</v>
      </c>
      <c r="C403" s="135" t="s">
        <v>2583</v>
      </c>
      <c r="D403" s="136" t="s">
        <v>2584</v>
      </c>
      <c r="E403" s="136" t="s">
        <v>1396</v>
      </c>
      <c r="F403" s="135" t="s">
        <v>579</v>
      </c>
      <c r="G403" s="136" t="s">
        <v>1914</v>
      </c>
      <c r="H403" s="135" t="s">
        <v>383</v>
      </c>
      <c r="I403" s="135" t="s">
        <v>494</v>
      </c>
      <c r="J403" s="135" t="s">
        <v>494</v>
      </c>
      <c r="K403" s="135" t="s">
        <v>1022</v>
      </c>
      <c r="L403" s="136" t="s">
        <v>2804</v>
      </c>
      <c r="N403" s="136"/>
      <c r="O403" s="136" t="s">
        <v>535</v>
      </c>
      <c r="P403" s="136" t="s">
        <v>548</v>
      </c>
      <c r="Q403" s="135" t="s">
        <v>1001</v>
      </c>
      <c r="R403" s="135" t="s">
        <v>1000</v>
      </c>
      <c r="S403" s="136"/>
      <c r="U403" s="135" t="s">
        <v>1022</v>
      </c>
      <c r="V403" s="135" t="s">
        <v>452</v>
      </c>
      <c r="W403" s="135" t="s">
        <v>578</v>
      </c>
      <c r="X403" s="135" t="s">
        <v>577</v>
      </c>
      <c r="Z403" s="135" t="s">
        <v>788</v>
      </c>
      <c r="AA403" s="136"/>
      <c r="AB403" s="135" t="s">
        <v>2805</v>
      </c>
    </row>
    <row r="404" spans="1:28">
      <c r="A404" s="136" t="s">
        <v>2806</v>
      </c>
      <c r="B404" s="135" t="s">
        <v>1021</v>
      </c>
      <c r="C404" s="135" t="s">
        <v>2583</v>
      </c>
      <c r="D404" s="136" t="s">
        <v>2584</v>
      </c>
      <c r="E404" s="136" t="s">
        <v>1396</v>
      </c>
      <c r="F404" s="135" t="s">
        <v>583</v>
      </c>
      <c r="G404" s="136" t="s">
        <v>1914</v>
      </c>
      <c r="H404" s="135" t="s">
        <v>383</v>
      </c>
      <c r="I404" s="135" t="s">
        <v>494</v>
      </c>
      <c r="J404" s="135" t="s">
        <v>494</v>
      </c>
      <c r="K404" s="135" t="s">
        <v>1020</v>
      </c>
      <c r="L404" s="136" t="s">
        <v>2807</v>
      </c>
      <c r="N404" s="136"/>
      <c r="O404" s="136" t="s">
        <v>535</v>
      </c>
      <c r="P404" s="136" t="s">
        <v>625</v>
      </c>
      <c r="Q404" s="135" t="s">
        <v>1001</v>
      </c>
      <c r="R404" s="135" t="s">
        <v>1000</v>
      </c>
      <c r="S404" s="136"/>
      <c r="U404" s="135" t="s">
        <v>1020</v>
      </c>
      <c r="V404" s="135" t="s">
        <v>452</v>
      </c>
      <c r="W404" s="135" t="s">
        <v>582</v>
      </c>
      <c r="X404" s="135" t="s">
        <v>562</v>
      </c>
      <c r="Z404" s="135" t="s">
        <v>788</v>
      </c>
      <c r="AA404" s="136"/>
      <c r="AB404" s="135" t="s">
        <v>2808</v>
      </c>
    </row>
    <row r="405" spans="1:28">
      <c r="A405" s="136" t="s">
        <v>2809</v>
      </c>
      <c r="B405" s="135" t="s">
        <v>1019</v>
      </c>
      <c r="C405" s="135" t="s">
        <v>2583</v>
      </c>
      <c r="D405" s="136" t="s">
        <v>2584</v>
      </c>
      <c r="E405" s="136" t="s">
        <v>1396</v>
      </c>
      <c r="F405" s="135" t="s">
        <v>738</v>
      </c>
      <c r="G405" s="136" t="s">
        <v>1914</v>
      </c>
      <c r="H405" s="135" t="s">
        <v>383</v>
      </c>
      <c r="I405" s="135" t="s">
        <v>731</v>
      </c>
      <c r="J405" s="135" t="s">
        <v>731</v>
      </c>
      <c r="K405" s="135" t="s">
        <v>1018</v>
      </c>
      <c r="L405" s="136" t="s">
        <v>2810</v>
      </c>
      <c r="N405" s="136"/>
      <c r="O405" s="136" t="s">
        <v>535</v>
      </c>
      <c r="P405" s="136" t="s">
        <v>538</v>
      </c>
      <c r="Q405" s="135" t="s">
        <v>1001</v>
      </c>
      <c r="R405" s="135" t="s">
        <v>1000</v>
      </c>
      <c r="S405" s="136"/>
      <c r="U405" s="135" t="s">
        <v>1018</v>
      </c>
      <c r="V405" s="135" t="s">
        <v>452</v>
      </c>
      <c r="X405" s="135" t="s">
        <v>539</v>
      </c>
      <c r="Z405" s="135" t="s">
        <v>788</v>
      </c>
      <c r="AA405" s="136"/>
      <c r="AB405" s="135" t="s">
        <v>2811</v>
      </c>
    </row>
    <row r="406" spans="1:28">
      <c r="A406" s="136" t="s">
        <v>2812</v>
      </c>
      <c r="B406" s="135" t="s">
        <v>1017</v>
      </c>
      <c r="C406" s="135" t="s">
        <v>2583</v>
      </c>
      <c r="D406" s="136" t="s">
        <v>2584</v>
      </c>
      <c r="E406" s="136" t="s">
        <v>1396</v>
      </c>
      <c r="F406" s="135" t="s">
        <v>1015</v>
      </c>
      <c r="G406" s="136" t="s">
        <v>1914</v>
      </c>
      <c r="H406" s="135" t="s">
        <v>383</v>
      </c>
      <c r="I406" s="135" t="s">
        <v>765</v>
      </c>
      <c r="J406" s="135" t="s">
        <v>765</v>
      </c>
      <c r="K406" s="135" t="s">
        <v>1016</v>
      </c>
      <c r="L406" s="136" t="s">
        <v>2813</v>
      </c>
      <c r="N406" s="136"/>
      <c r="O406" s="136" t="s">
        <v>535</v>
      </c>
      <c r="P406" s="136" t="s">
        <v>616</v>
      </c>
      <c r="Q406" s="135" t="s">
        <v>1001</v>
      </c>
      <c r="R406" s="135" t="s">
        <v>1000</v>
      </c>
      <c r="S406" s="136"/>
      <c r="U406" s="135" t="s">
        <v>1016</v>
      </c>
      <c r="V406" s="135" t="s">
        <v>452</v>
      </c>
      <c r="W406" s="135" t="s">
        <v>1014</v>
      </c>
      <c r="X406" s="135" t="s">
        <v>557</v>
      </c>
      <c r="Z406" s="135" t="s">
        <v>788</v>
      </c>
      <c r="AA406" s="136"/>
      <c r="AB406" s="135" t="s">
        <v>2814</v>
      </c>
    </row>
    <row r="407" spans="1:28">
      <c r="A407" s="136" t="s">
        <v>2815</v>
      </c>
      <c r="B407" s="135" t="s">
        <v>1013</v>
      </c>
      <c r="C407" s="135" t="s">
        <v>2583</v>
      </c>
      <c r="D407" s="136" t="s">
        <v>2584</v>
      </c>
      <c r="E407" s="136" t="s">
        <v>1396</v>
      </c>
      <c r="F407" s="135" t="s">
        <v>1012</v>
      </c>
      <c r="G407" s="136" t="s">
        <v>1914</v>
      </c>
      <c r="H407" s="135" t="s">
        <v>383</v>
      </c>
      <c r="I407" s="135" t="s">
        <v>765</v>
      </c>
      <c r="J407" s="135" t="s">
        <v>765</v>
      </c>
      <c r="K407" s="135" t="s">
        <v>1011</v>
      </c>
      <c r="L407" s="136" t="s">
        <v>2816</v>
      </c>
      <c r="N407" s="136"/>
      <c r="O407" s="136" t="s">
        <v>535</v>
      </c>
      <c r="P407" s="136" t="s">
        <v>613</v>
      </c>
      <c r="Q407" s="135" t="s">
        <v>1001</v>
      </c>
      <c r="R407" s="135" t="s">
        <v>1000</v>
      </c>
      <c r="S407" s="136"/>
      <c r="U407" s="135" t="s">
        <v>1011</v>
      </c>
      <c r="V407" s="135" t="s">
        <v>452</v>
      </c>
      <c r="X407" s="135" t="s">
        <v>529</v>
      </c>
      <c r="Z407" s="135" t="s">
        <v>788</v>
      </c>
      <c r="AA407" s="136"/>
      <c r="AB407" s="135" t="s">
        <v>2817</v>
      </c>
    </row>
    <row r="408" spans="1:28">
      <c r="A408" s="136" t="s">
        <v>2818</v>
      </c>
      <c r="B408" s="135" t="s">
        <v>743</v>
      </c>
      <c r="C408" s="135" t="s">
        <v>386</v>
      </c>
      <c r="D408" s="136" t="s">
        <v>1339</v>
      </c>
      <c r="E408" s="136" t="s">
        <v>1396</v>
      </c>
      <c r="F408" s="135" t="s">
        <v>1012</v>
      </c>
      <c r="G408" s="136" t="s">
        <v>1914</v>
      </c>
      <c r="H408" s="135" t="s">
        <v>383</v>
      </c>
      <c r="I408" s="135" t="s">
        <v>731</v>
      </c>
      <c r="J408" s="135" t="s">
        <v>731</v>
      </c>
      <c r="K408" s="135" t="s">
        <v>2819</v>
      </c>
      <c r="L408" s="136" t="s">
        <v>403</v>
      </c>
      <c r="N408" s="136"/>
      <c r="O408" s="136" t="s">
        <v>535</v>
      </c>
      <c r="P408" s="136" t="s">
        <v>609</v>
      </c>
      <c r="Q408" s="135" t="s">
        <v>536</v>
      </c>
      <c r="R408" s="135" t="s">
        <v>534</v>
      </c>
      <c r="S408" s="136"/>
      <c r="U408" s="135" t="s">
        <v>2819</v>
      </c>
      <c r="V408" s="135" t="s">
        <v>452</v>
      </c>
      <c r="X408" s="135" t="s">
        <v>529</v>
      </c>
      <c r="Z408" s="135" t="s">
        <v>505</v>
      </c>
      <c r="AA408" s="136"/>
      <c r="AB408" s="135" t="s">
        <v>2820</v>
      </c>
    </row>
    <row r="409" spans="1:28">
      <c r="A409" s="136" t="s">
        <v>2821</v>
      </c>
      <c r="B409" s="135" t="s">
        <v>742</v>
      </c>
      <c r="C409" s="135" t="s">
        <v>386</v>
      </c>
      <c r="D409" s="136" t="s">
        <v>1339</v>
      </c>
      <c r="E409" s="136" t="s">
        <v>1396</v>
      </c>
      <c r="F409" s="135" t="s">
        <v>741</v>
      </c>
      <c r="G409" s="136" t="s">
        <v>1914</v>
      </c>
      <c r="H409" s="135" t="s">
        <v>383</v>
      </c>
      <c r="I409" s="135" t="s">
        <v>731</v>
      </c>
      <c r="J409" s="135" t="s">
        <v>731</v>
      </c>
      <c r="K409" s="135" t="s">
        <v>740</v>
      </c>
      <c r="L409" s="136" t="s">
        <v>404</v>
      </c>
      <c r="N409" s="136"/>
      <c r="O409" s="136" t="s">
        <v>535</v>
      </c>
      <c r="P409" s="136" t="s">
        <v>606</v>
      </c>
      <c r="Q409" s="135" t="s">
        <v>536</v>
      </c>
      <c r="R409" s="135" t="s">
        <v>534</v>
      </c>
      <c r="S409" s="136"/>
      <c r="U409" s="135" t="s">
        <v>740</v>
      </c>
      <c r="V409" s="135" t="s">
        <v>452</v>
      </c>
      <c r="X409" s="135" t="s">
        <v>610</v>
      </c>
      <c r="Z409" s="135" t="s">
        <v>505</v>
      </c>
      <c r="AA409" s="136"/>
      <c r="AB409" s="135" t="s">
        <v>2822</v>
      </c>
    </row>
    <row r="410" spans="1:28">
      <c r="A410" s="136" t="s">
        <v>2823</v>
      </c>
      <c r="B410" s="135" t="s">
        <v>739</v>
      </c>
      <c r="C410" s="135" t="s">
        <v>386</v>
      </c>
      <c r="D410" s="136" t="s">
        <v>1339</v>
      </c>
      <c r="E410" s="136" t="s">
        <v>1396</v>
      </c>
      <c r="F410" s="135" t="s">
        <v>738</v>
      </c>
      <c r="G410" s="136" t="s">
        <v>1914</v>
      </c>
      <c r="H410" s="135" t="s">
        <v>383</v>
      </c>
      <c r="I410" s="135" t="s">
        <v>731</v>
      </c>
      <c r="J410" s="135" t="s">
        <v>731</v>
      </c>
      <c r="K410" s="135" t="s">
        <v>737</v>
      </c>
      <c r="L410" s="136" t="s">
        <v>405</v>
      </c>
      <c r="N410" s="136"/>
      <c r="O410" s="136" t="s">
        <v>535</v>
      </c>
      <c r="P410" s="136" t="s">
        <v>600</v>
      </c>
      <c r="Q410" s="135" t="s">
        <v>536</v>
      </c>
      <c r="R410" s="135" t="s">
        <v>534</v>
      </c>
      <c r="S410" s="136"/>
      <c r="U410" s="135" t="s">
        <v>737</v>
      </c>
      <c r="V410" s="135" t="s">
        <v>452</v>
      </c>
      <c r="X410" s="135" t="s">
        <v>539</v>
      </c>
      <c r="Z410" s="135" t="s">
        <v>505</v>
      </c>
      <c r="AA410" s="136"/>
      <c r="AB410" s="135" t="s">
        <v>2824</v>
      </c>
    </row>
    <row r="411" spans="1:28">
      <c r="A411" s="136" t="s">
        <v>2825</v>
      </c>
      <c r="B411" s="135" t="s">
        <v>1010</v>
      </c>
      <c r="C411" s="135" t="s">
        <v>2583</v>
      </c>
      <c r="D411" s="136" t="s">
        <v>2584</v>
      </c>
      <c r="E411" s="136" t="s">
        <v>1396</v>
      </c>
      <c r="F411" s="135" t="s">
        <v>732</v>
      </c>
      <c r="G411" s="136" t="s">
        <v>1914</v>
      </c>
      <c r="H411" s="135" t="s">
        <v>383</v>
      </c>
      <c r="I411" s="135" t="s">
        <v>765</v>
      </c>
      <c r="J411" s="135" t="s">
        <v>765</v>
      </c>
      <c r="K411" s="135" t="s">
        <v>1009</v>
      </c>
      <c r="L411" s="136" t="s">
        <v>2826</v>
      </c>
      <c r="N411" s="136"/>
      <c r="O411" s="136" t="s">
        <v>535</v>
      </c>
      <c r="P411" s="136" t="s">
        <v>566</v>
      </c>
      <c r="Q411" s="135" t="s">
        <v>1001</v>
      </c>
      <c r="R411" s="135" t="s">
        <v>1000</v>
      </c>
      <c r="S411" s="136"/>
      <c r="U411" s="135" t="s">
        <v>1009</v>
      </c>
      <c r="V411" s="135" t="s">
        <v>452</v>
      </c>
      <c r="X411" s="135" t="s">
        <v>529</v>
      </c>
      <c r="Z411" s="135" t="s">
        <v>788</v>
      </c>
      <c r="AA411" s="136"/>
      <c r="AB411" s="135" t="s">
        <v>2827</v>
      </c>
    </row>
    <row r="412" spans="1:28">
      <c r="A412" s="136" t="s">
        <v>2828</v>
      </c>
      <c r="B412" s="135" t="s">
        <v>1008</v>
      </c>
      <c r="C412" s="135" t="s">
        <v>2583</v>
      </c>
      <c r="D412" s="136" t="s">
        <v>2584</v>
      </c>
      <c r="E412" s="136" t="s">
        <v>1396</v>
      </c>
      <c r="F412" s="135" t="s">
        <v>726</v>
      </c>
      <c r="G412" s="136" t="s">
        <v>1914</v>
      </c>
      <c r="H412" s="135" t="s">
        <v>383</v>
      </c>
      <c r="I412" s="135" t="s">
        <v>765</v>
      </c>
      <c r="J412" s="135" t="s">
        <v>765</v>
      </c>
      <c r="K412" s="135" t="s">
        <v>1007</v>
      </c>
      <c r="L412" s="136" t="s">
        <v>2829</v>
      </c>
      <c r="N412" s="136"/>
      <c r="O412" s="136" t="s">
        <v>535</v>
      </c>
      <c r="P412" s="136" t="s">
        <v>561</v>
      </c>
      <c r="Q412" s="135" t="s">
        <v>1001</v>
      </c>
      <c r="R412" s="135" t="s">
        <v>1000</v>
      </c>
      <c r="S412" s="136"/>
      <c r="U412" s="135" t="s">
        <v>1007</v>
      </c>
      <c r="V412" s="135" t="s">
        <v>452</v>
      </c>
      <c r="X412" s="135" t="s">
        <v>610</v>
      </c>
      <c r="Z412" s="135" t="s">
        <v>788</v>
      </c>
      <c r="AA412" s="136"/>
      <c r="AB412" s="135" t="s">
        <v>2830</v>
      </c>
    </row>
    <row r="413" spans="1:28">
      <c r="A413" s="136" t="s">
        <v>2831</v>
      </c>
      <c r="B413" s="135" t="s">
        <v>1006</v>
      </c>
      <c r="C413" s="135" t="s">
        <v>2583</v>
      </c>
      <c r="D413" s="136" t="s">
        <v>2584</v>
      </c>
      <c r="E413" s="136" t="s">
        <v>1396</v>
      </c>
      <c r="F413" s="135" t="s">
        <v>1003</v>
      </c>
      <c r="G413" s="136" t="s">
        <v>1914</v>
      </c>
      <c r="H413" s="135" t="s">
        <v>383</v>
      </c>
      <c r="I413" s="135" t="s">
        <v>494</v>
      </c>
      <c r="J413" s="135" t="s">
        <v>494</v>
      </c>
      <c r="K413" s="135" t="s">
        <v>1005</v>
      </c>
      <c r="L413" s="136" t="s">
        <v>2832</v>
      </c>
      <c r="N413" s="136"/>
      <c r="O413" s="136" t="s">
        <v>535</v>
      </c>
      <c r="P413" s="136" t="s">
        <v>555</v>
      </c>
      <c r="Q413" s="135" t="s">
        <v>1001</v>
      </c>
      <c r="R413" s="135" t="s">
        <v>1000</v>
      </c>
      <c r="S413" s="136"/>
      <c r="U413" s="135" t="s">
        <v>1005</v>
      </c>
      <c r="V413" s="135" t="s">
        <v>452</v>
      </c>
      <c r="X413" s="135" t="s">
        <v>539</v>
      </c>
      <c r="Z413" s="135" t="s">
        <v>788</v>
      </c>
      <c r="AA413" s="136"/>
      <c r="AB413" s="135" t="s">
        <v>2833</v>
      </c>
    </row>
    <row r="414" spans="1:28">
      <c r="A414" s="136" t="s">
        <v>2834</v>
      </c>
      <c r="B414" s="135" t="s">
        <v>1004</v>
      </c>
      <c r="C414" s="135" t="s">
        <v>2583</v>
      </c>
      <c r="D414" s="136" t="s">
        <v>2584</v>
      </c>
      <c r="E414" s="136" t="s">
        <v>1396</v>
      </c>
      <c r="F414" s="135" t="s">
        <v>1003</v>
      </c>
      <c r="G414" s="136" t="s">
        <v>1914</v>
      </c>
      <c r="H414" s="135" t="s">
        <v>383</v>
      </c>
      <c r="I414" s="135" t="s">
        <v>765</v>
      </c>
      <c r="J414" s="135" t="s">
        <v>765</v>
      </c>
      <c r="K414" s="135" t="s">
        <v>2835</v>
      </c>
      <c r="L414" s="136" t="s">
        <v>421</v>
      </c>
      <c r="N414" s="136"/>
      <c r="O414" s="136" t="s">
        <v>535</v>
      </c>
      <c r="P414" s="136" t="s">
        <v>548</v>
      </c>
      <c r="Q414" s="135" t="s">
        <v>1001</v>
      </c>
      <c r="R414" s="135" t="s">
        <v>1000</v>
      </c>
      <c r="S414" s="136"/>
      <c r="U414" s="135" t="s">
        <v>2835</v>
      </c>
      <c r="V414" s="135" t="s">
        <v>452</v>
      </c>
      <c r="X414" s="135" t="s">
        <v>539</v>
      </c>
      <c r="Z414" s="135" t="s">
        <v>788</v>
      </c>
      <c r="AA414" s="136"/>
      <c r="AB414" s="135" t="s">
        <v>2836</v>
      </c>
    </row>
    <row r="415" spans="1:28">
      <c r="A415" s="136" t="s">
        <v>2837</v>
      </c>
      <c r="B415" s="135" t="s">
        <v>1002</v>
      </c>
      <c r="C415" s="135" t="s">
        <v>2583</v>
      </c>
      <c r="D415" s="136" t="s">
        <v>2584</v>
      </c>
      <c r="E415" s="136" t="s">
        <v>1396</v>
      </c>
      <c r="F415" s="135" t="s">
        <v>998</v>
      </c>
      <c r="G415" s="136" t="s">
        <v>1914</v>
      </c>
      <c r="H415" s="135" t="s">
        <v>383</v>
      </c>
      <c r="I415" s="135" t="s">
        <v>765</v>
      </c>
      <c r="J415" s="135" t="s">
        <v>765</v>
      </c>
      <c r="K415" s="135" t="s">
        <v>999</v>
      </c>
      <c r="L415" s="136" t="s">
        <v>2838</v>
      </c>
      <c r="N415" s="136"/>
      <c r="O415" s="136" t="s">
        <v>535</v>
      </c>
      <c r="P415" s="136" t="s">
        <v>625</v>
      </c>
      <c r="Q415" s="135" t="s">
        <v>1001</v>
      </c>
      <c r="R415" s="135" t="s">
        <v>1000</v>
      </c>
      <c r="S415" s="136"/>
      <c r="U415" s="135" t="s">
        <v>999</v>
      </c>
      <c r="V415" s="135" t="s">
        <v>452</v>
      </c>
      <c r="W415" s="135" t="s">
        <v>997</v>
      </c>
      <c r="X415" s="135" t="s">
        <v>568</v>
      </c>
      <c r="Z415" s="135" t="s">
        <v>788</v>
      </c>
      <c r="AA415" s="136"/>
      <c r="AB415" s="135" t="s">
        <v>2839</v>
      </c>
    </row>
    <row r="416" spans="1:28">
      <c r="A416" s="136" t="s">
        <v>2840</v>
      </c>
      <c r="B416" s="135" t="s">
        <v>736</v>
      </c>
      <c r="C416" s="135" t="s">
        <v>386</v>
      </c>
      <c r="D416" s="136" t="s">
        <v>1339</v>
      </c>
      <c r="E416" s="136" t="s">
        <v>1396</v>
      </c>
      <c r="F416" s="135" t="s">
        <v>735</v>
      </c>
      <c r="G416" s="136" t="s">
        <v>414</v>
      </c>
      <c r="I416" s="135" t="s">
        <v>494</v>
      </c>
      <c r="J416" s="135" t="s">
        <v>494</v>
      </c>
      <c r="K416" s="135" t="s">
        <v>734</v>
      </c>
      <c r="L416" s="136" t="s">
        <v>414</v>
      </c>
      <c r="N416" s="136"/>
      <c r="O416" s="136" t="s">
        <v>535</v>
      </c>
      <c r="P416" s="136" t="s">
        <v>538</v>
      </c>
      <c r="Q416" s="135" t="s">
        <v>536</v>
      </c>
      <c r="R416" s="135" t="s">
        <v>534</v>
      </c>
      <c r="S416" s="136"/>
      <c r="U416" s="135" t="s">
        <v>734</v>
      </c>
      <c r="V416" s="135" t="s">
        <v>452</v>
      </c>
      <c r="W416" s="135" t="s">
        <v>735</v>
      </c>
      <c r="X416" s="135" t="s">
        <v>481</v>
      </c>
      <c r="Z416" s="135" t="s">
        <v>505</v>
      </c>
      <c r="AA416" s="136"/>
      <c r="AB416" s="135" t="s">
        <v>2841</v>
      </c>
    </row>
    <row r="417" spans="1:28">
      <c r="A417" s="136" t="s">
        <v>2842</v>
      </c>
      <c r="B417" s="135" t="s">
        <v>733</v>
      </c>
      <c r="C417" s="135" t="s">
        <v>386</v>
      </c>
      <c r="D417" s="136" t="s">
        <v>1339</v>
      </c>
      <c r="E417" s="136" t="s">
        <v>1396</v>
      </c>
      <c r="F417" s="135" t="s">
        <v>732</v>
      </c>
      <c r="G417" s="136" t="s">
        <v>1914</v>
      </c>
      <c r="H417" s="135" t="s">
        <v>383</v>
      </c>
      <c r="I417" s="135" t="s">
        <v>731</v>
      </c>
      <c r="J417" s="135" t="s">
        <v>731</v>
      </c>
      <c r="K417" s="135" t="s">
        <v>730</v>
      </c>
      <c r="L417" s="136" t="s">
        <v>416</v>
      </c>
      <c r="N417" s="136"/>
      <c r="O417" s="136" t="s">
        <v>535</v>
      </c>
      <c r="P417" s="136" t="s">
        <v>616</v>
      </c>
      <c r="Q417" s="135" t="s">
        <v>536</v>
      </c>
      <c r="R417" s="135" t="s">
        <v>534</v>
      </c>
      <c r="S417" s="136"/>
      <c r="U417" s="135" t="s">
        <v>730</v>
      </c>
      <c r="V417" s="135" t="s">
        <v>452</v>
      </c>
      <c r="X417" s="135" t="s">
        <v>529</v>
      </c>
      <c r="Z417" s="135" t="s">
        <v>505</v>
      </c>
      <c r="AA417" s="136"/>
      <c r="AB417" s="135" t="s">
        <v>2843</v>
      </c>
    </row>
    <row r="418" spans="1:28">
      <c r="A418" s="136" t="s">
        <v>2844</v>
      </c>
      <c r="B418" s="135" t="s">
        <v>729</v>
      </c>
      <c r="C418" s="135" t="s">
        <v>386</v>
      </c>
      <c r="D418" s="136" t="s">
        <v>1339</v>
      </c>
      <c r="E418" s="136" t="s">
        <v>1396</v>
      </c>
      <c r="F418" s="135" t="s">
        <v>726</v>
      </c>
      <c r="G418" s="136" t="s">
        <v>1914</v>
      </c>
      <c r="H418" s="135" t="s">
        <v>383</v>
      </c>
      <c r="I418" s="135" t="s">
        <v>494</v>
      </c>
      <c r="J418" s="135" t="s">
        <v>494</v>
      </c>
      <c r="K418" s="135" t="s">
        <v>2845</v>
      </c>
      <c r="L418" s="136" t="s">
        <v>415</v>
      </c>
      <c r="N418" s="136"/>
      <c r="O418" s="136" t="s">
        <v>535</v>
      </c>
      <c r="P418" s="136" t="s">
        <v>613</v>
      </c>
      <c r="Q418" s="135" t="s">
        <v>536</v>
      </c>
      <c r="R418" s="135" t="s">
        <v>534</v>
      </c>
      <c r="S418" s="136"/>
      <c r="U418" s="135" t="s">
        <v>2845</v>
      </c>
      <c r="V418" s="135" t="s">
        <v>452</v>
      </c>
      <c r="X418" s="135" t="s">
        <v>610</v>
      </c>
      <c r="Z418" s="135" t="s">
        <v>505</v>
      </c>
      <c r="AA418" s="136"/>
      <c r="AB418" s="135" t="s">
        <v>2846</v>
      </c>
    </row>
    <row r="419" spans="1:28">
      <c r="A419" s="136" t="s">
        <v>2847</v>
      </c>
      <c r="B419" s="135" t="s">
        <v>728</v>
      </c>
      <c r="C419" s="135" t="s">
        <v>386</v>
      </c>
      <c r="D419" s="136" t="s">
        <v>1339</v>
      </c>
      <c r="E419" s="136" t="s">
        <v>1396</v>
      </c>
      <c r="F419" s="135" t="s">
        <v>726</v>
      </c>
      <c r="G419" s="136" t="s">
        <v>1914</v>
      </c>
      <c r="H419" s="135" t="s">
        <v>383</v>
      </c>
      <c r="I419" s="135" t="s">
        <v>494</v>
      </c>
      <c r="J419" s="135" t="s">
        <v>494</v>
      </c>
      <c r="K419" s="135" t="s">
        <v>725</v>
      </c>
      <c r="L419" s="136" t="s">
        <v>417</v>
      </c>
      <c r="N419" s="136"/>
      <c r="O419" s="136" t="s">
        <v>535</v>
      </c>
      <c r="P419" s="136" t="s">
        <v>609</v>
      </c>
      <c r="Q419" s="135" t="s">
        <v>536</v>
      </c>
      <c r="R419" s="135" t="s">
        <v>534</v>
      </c>
      <c r="S419" s="136"/>
      <c r="U419" s="135" t="s">
        <v>725</v>
      </c>
      <c r="V419" s="135" t="s">
        <v>452</v>
      </c>
      <c r="X419" s="135" t="s">
        <v>610</v>
      </c>
      <c r="Z419" s="135" t="s">
        <v>505</v>
      </c>
      <c r="AA419" s="136"/>
      <c r="AB419" s="135" t="s">
        <v>2848</v>
      </c>
    </row>
  </sheetData>
  <phoneticPr fontId="1" type="noConversion"/>
  <pageMargins left="0.7" right="0.7" top="0.75" bottom="0.75" header="0.3" footer="0.3"/>
  <pageSetup paperSize="9" orientation="landscape" horizontalDpi="1200" verticalDpi="1200" r:id="rId1"/>
  <colBreaks count="2" manualBreakCount="2">
    <brk id="17" max="418" man="1"/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view="pageBreakPreview" zoomScale="60" zoomScaleNormal="100" workbookViewId="0">
      <selection sqref="A1:F3"/>
    </sheetView>
  </sheetViews>
  <sheetFormatPr defaultColWidth="9.09765625" defaultRowHeight="17.399999999999999"/>
  <cols>
    <col min="1" max="1" width="13.59765625" style="130" customWidth="1"/>
    <col min="2" max="6" width="11.3984375" style="130" customWidth="1"/>
    <col min="7" max="16384" width="9.09765625" style="130"/>
  </cols>
  <sheetData>
    <row r="1" spans="1:6">
      <c r="A1" s="194" t="s">
        <v>450</v>
      </c>
      <c r="B1" s="195"/>
      <c r="C1" s="195"/>
      <c r="D1" s="195"/>
      <c r="E1" s="195"/>
      <c r="F1" s="196"/>
    </row>
    <row r="2" spans="1:6">
      <c r="A2" s="197"/>
      <c r="B2" s="198"/>
      <c r="C2" s="198"/>
      <c r="D2" s="198"/>
      <c r="E2" s="198"/>
      <c r="F2" s="199"/>
    </row>
    <row r="3" spans="1:6" ht="18" thickBot="1">
      <c r="A3" s="197"/>
      <c r="B3" s="198"/>
      <c r="C3" s="198"/>
      <c r="D3" s="198"/>
      <c r="E3" s="198"/>
      <c r="F3" s="199"/>
    </row>
    <row r="4" spans="1:6" ht="18" thickBot="1">
      <c r="A4" s="188" t="s">
        <v>449</v>
      </c>
      <c r="B4" s="189"/>
      <c r="C4" s="189"/>
      <c r="D4" s="189"/>
      <c r="E4" s="189"/>
      <c r="F4" s="190"/>
    </row>
    <row r="5" spans="1:6">
      <c r="A5" s="200" t="s">
        <v>448</v>
      </c>
      <c r="B5" s="201"/>
      <c r="C5" s="201"/>
      <c r="D5" s="201"/>
      <c r="E5" s="201"/>
      <c r="F5" s="202"/>
    </row>
    <row r="6" spans="1:6">
      <c r="A6" s="203"/>
      <c r="B6" s="204"/>
      <c r="C6" s="204"/>
      <c r="D6" s="204"/>
      <c r="E6" s="204"/>
      <c r="F6" s="205"/>
    </row>
    <row r="7" spans="1:6">
      <c r="A7" s="203"/>
      <c r="B7" s="204"/>
      <c r="C7" s="204"/>
      <c r="D7" s="204"/>
      <c r="E7" s="204"/>
      <c r="F7" s="205"/>
    </row>
    <row r="8" spans="1:6">
      <c r="A8" s="203"/>
      <c r="B8" s="204"/>
      <c r="C8" s="204"/>
      <c r="D8" s="204"/>
      <c r="E8" s="204"/>
      <c r="F8" s="205"/>
    </row>
    <row r="9" spans="1:6">
      <c r="A9" s="203"/>
      <c r="B9" s="204"/>
      <c r="C9" s="204"/>
      <c r="D9" s="204"/>
      <c r="E9" s="204"/>
      <c r="F9" s="205"/>
    </row>
    <row r="10" spans="1:6">
      <c r="A10" s="203"/>
      <c r="B10" s="204"/>
      <c r="C10" s="204"/>
      <c r="D10" s="204"/>
      <c r="E10" s="204"/>
      <c r="F10" s="205"/>
    </row>
    <row r="11" spans="1:6">
      <c r="A11" s="203"/>
      <c r="B11" s="204"/>
      <c r="C11" s="204"/>
      <c r="D11" s="204"/>
      <c r="E11" s="204"/>
      <c r="F11" s="205"/>
    </row>
    <row r="12" spans="1:6">
      <c r="A12" s="203"/>
      <c r="B12" s="204"/>
      <c r="C12" s="204"/>
      <c r="D12" s="204"/>
      <c r="E12" s="204"/>
      <c r="F12" s="205"/>
    </row>
    <row r="13" spans="1:6">
      <c r="A13" s="203"/>
      <c r="B13" s="204"/>
      <c r="C13" s="204"/>
      <c r="D13" s="204"/>
      <c r="E13" s="204"/>
      <c r="F13" s="205"/>
    </row>
    <row r="14" spans="1:6">
      <c r="A14" s="203"/>
      <c r="B14" s="204"/>
      <c r="C14" s="204"/>
      <c r="D14" s="204"/>
      <c r="E14" s="204"/>
      <c r="F14" s="205"/>
    </row>
    <row r="15" spans="1:6">
      <c r="A15" s="203"/>
      <c r="B15" s="204"/>
      <c r="C15" s="204"/>
      <c r="D15" s="204"/>
      <c r="E15" s="204"/>
      <c r="F15" s="205"/>
    </row>
    <row r="16" spans="1:6">
      <c r="A16" s="203"/>
      <c r="B16" s="204"/>
      <c r="C16" s="204"/>
      <c r="D16" s="204"/>
      <c r="E16" s="204"/>
      <c r="F16" s="205"/>
    </row>
    <row r="17" spans="1:6">
      <c r="A17" s="203"/>
      <c r="B17" s="204"/>
      <c r="C17" s="204"/>
      <c r="D17" s="204"/>
      <c r="E17" s="204"/>
      <c r="F17" s="205"/>
    </row>
    <row r="18" spans="1:6">
      <c r="A18" s="203"/>
      <c r="B18" s="204"/>
      <c r="C18" s="204"/>
      <c r="D18" s="204"/>
      <c r="E18" s="204"/>
      <c r="F18" s="205"/>
    </row>
    <row r="19" spans="1:6">
      <c r="A19" s="203"/>
      <c r="B19" s="204"/>
      <c r="C19" s="204"/>
      <c r="D19" s="204"/>
      <c r="E19" s="204"/>
      <c r="F19" s="205"/>
    </row>
    <row r="20" spans="1:6" ht="18" thickBot="1">
      <c r="A20" s="203"/>
      <c r="B20" s="204"/>
      <c r="C20" s="204"/>
      <c r="D20" s="204"/>
      <c r="E20" s="204"/>
      <c r="F20" s="205"/>
    </row>
    <row r="21" spans="1:6" ht="18" thickBot="1">
      <c r="A21" s="188" t="s">
        <v>447</v>
      </c>
      <c r="B21" s="189"/>
      <c r="C21" s="189"/>
      <c r="D21" s="189"/>
      <c r="E21" s="189"/>
      <c r="F21" s="190"/>
    </row>
    <row r="22" spans="1:6">
      <c r="A22" s="134" t="s">
        <v>446</v>
      </c>
      <c r="B22" s="206" t="s">
        <v>445</v>
      </c>
      <c r="C22" s="206"/>
      <c r="D22" s="206"/>
      <c r="E22" s="206"/>
      <c r="F22" s="207"/>
    </row>
    <row r="23" spans="1:6">
      <c r="A23" s="133" t="s">
        <v>444</v>
      </c>
      <c r="B23" s="191" t="s">
        <v>443</v>
      </c>
      <c r="C23" s="191"/>
      <c r="D23" s="191"/>
      <c r="E23" s="191"/>
      <c r="F23" s="208"/>
    </row>
    <row r="24" spans="1:6">
      <c r="A24" s="133" t="s">
        <v>442</v>
      </c>
      <c r="B24" s="191" t="s">
        <v>441</v>
      </c>
      <c r="C24" s="191"/>
      <c r="D24" s="191"/>
      <c r="E24" s="191"/>
      <c r="F24" s="208"/>
    </row>
    <row r="25" spans="1:6">
      <c r="A25" s="133" t="s">
        <v>440</v>
      </c>
      <c r="B25" s="191" t="s">
        <v>428</v>
      </c>
      <c r="C25" s="191"/>
      <c r="D25" s="191"/>
      <c r="E25" s="191"/>
      <c r="F25" s="208"/>
    </row>
    <row r="26" spans="1:6">
      <c r="A26" s="133" t="s">
        <v>439</v>
      </c>
      <c r="B26" s="191" t="s">
        <v>1322</v>
      </c>
      <c r="C26" s="191"/>
      <c r="D26" s="191"/>
      <c r="E26" s="191"/>
      <c r="F26" s="208"/>
    </row>
    <row r="27" spans="1:6">
      <c r="A27" s="133" t="s">
        <v>438</v>
      </c>
      <c r="B27" s="191" t="s">
        <v>1323</v>
      </c>
      <c r="C27" s="191"/>
      <c r="D27" s="191"/>
      <c r="E27" s="191"/>
      <c r="F27" s="208"/>
    </row>
    <row r="28" spans="1:6">
      <c r="A28" s="133" t="s">
        <v>437</v>
      </c>
      <c r="B28" s="191" t="s">
        <v>436</v>
      </c>
      <c r="C28" s="191"/>
      <c r="D28" s="191"/>
      <c r="E28" s="191"/>
      <c r="F28" s="208"/>
    </row>
    <row r="29" spans="1:6" ht="18" thickBot="1">
      <c r="A29" s="132" t="s">
        <v>435</v>
      </c>
      <c r="B29" s="192" t="s">
        <v>434</v>
      </c>
      <c r="C29" s="192"/>
      <c r="D29" s="192"/>
      <c r="E29" s="192"/>
      <c r="F29" s="193"/>
    </row>
    <row r="30" spans="1:6">
      <c r="A30" s="188" t="s">
        <v>433</v>
      </c>
      <c r="B30" s="189"/>
      <c r="C30" s="189"/>
      <c r="D30" s="189"/>
      <c r="E30" s="189"/>
      <c r="F30" s="190"/>
    </row>
    <row r="31" spans="1:6">
      <c r="A31" s="131" t="s">
        <v>432</v>
      </c>
      <c r="B31" s="191" t="s">
        <v>1324</v>
      </c>
      <c r="C31" s="191"/>
      <c r="D31" s="191"/>
      <c r="E31" s="191"/>
      <c r="F31" s="191"/>
    </row>
    <row r="32" spans="1:6">
      <c r="A32" s="131" t="s">
        <v>431</v>
      </c>
      <c r="B32" s="191" t="s">
        <v>430</v>
      </c>
      <c r="C32" s="191"/>
      <c r="D32" s="191"/>
      <c r="E32" s="191"/>
      <c r="F32" s="191"/>
    </row>
    <row r="33" spans="1:6">
      <c r="A33" s="131" t="s">
        <v>429</v>
      </c>
      <c r="B33" s="191" t="s">
        <v>428</v>
      </c>
      <c r="C33" s="191"/>
      <c r="D33" s="191"/>
      <c r="E33" s="191"/>
      <c r="F33" s="191"/>
    </row>
    <row r="34" spans="1:6">
      <c r="A34" s="131" t="s">
        <v>427</v>
      </c>
      <c r="B34" s="191" t="s">
        <v>1325</v>
      </c>
      <c r="C34" s="191"/>
      <c r="D34" s="191"/>
      <c r="E34" s="191"/>
      <c r="F34" s="191"/>
    </row>
  </sheetData>
  <mergeCells count="17">
    <mergeCell ref="B29:F29"/>
    <mergeCell ref="A1:F3"/>
    <mergeCell ref="A4:F4"/>
    <mergeCell ref="A5:F20"/>
    <mergeCell ref="A21:F21"/>
    <mergeCell ref="B22:F22"/>
    <mergeCell ref="B23:F23"/>
    <mergeCell ref="B24:F24"/>
    <mergeCell ref="B25:F25"/>
    <mergeCell ref="B26:F26"/>
    <mergeCell ref="B27:F27"/>
    <mergeCell ref="B28:F28"/>
    <mergeCell ref="A30:F30"/>
    <mergeCell ref="B31:F31"/>
    <mergeCell ref="B32:F32"/>
    <mergeCell ref="B33:F33"/>
    <mergeCell ref="B34:F34"/>
  </mergeCells>
  <phoneticPr fontId="1" type="noConversion"/>
  <pageMargins left="0.7" right="0.7" top="0.75" bottom="0.75" header="0.3" footer="0.3"/>
  <pageSetup paperSize="9" orientation="landscape" horizontalDpi="3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d7a9f8-5bdc-4ecc-b6c5-ee996fc143da" xsi:nil="true"/>
    <lcf76f155ced4ddcb4097134ff3c332f xmlns="ee7b94eb-79e7-4e26-b750-3a2122b4902c">
      <Terms xmlns="http://schemas.microsoft.com/office/infopath/2007/PartnerControls"/>
    </lcf76f155ced4ddcb4097134ff3c332f>
    <_xd558__xc774__xd37c__xb9c1__xd06c_ xmlns="ee7b94eb-79e7-4e26-b750-3a2122b4902c">
      <Url xsi:nil="true"/>
      <Description xsi:nil="true"/>
    </_xd558__xc774__xd37c__xb9c1__xd06c_>
    <_xcf54__xb514_ xmlns="ee7b94eb-79e7-4e26-b750-3a2122b4902c" xsi:nil="true"/>
    <_Flow_SignoffStatus xmlns="ee7b94eb-79e7-4e26-b750-3a2122b4902c" xsi:nil="true"/>
    <PublishingExpirationDate xmlns="http://schemas.microsoft.com/sharepoint/v3" xsi:nil="true"/>
    <PublishingStartDate xmlns="http://schemas.microsoft.com/sharepoint/v3" xsi:nil="true"/>
    <_dlc_DocId xmlns="8bd7a9f8-5bdc-4ecc-b6c5-ee996fc143da">KHR63S3F2KT6-1918440425-1445200</_dlc_DocId>
    <_dlc_DocIdUrl xmlns="8bd7a9f8-5bdc-4ecc-b6c5-ee996fc143da">
      <Url>https://doosankor.sharepoint.com/sites/0900.REQTEAMS.1708/_layouts/15/DocIdRedir.aspx?ID=KHR63S3F2KT6-1918440425-1445200</Url>
      <Description>KHR63S3F2KT6-1918440425-1445200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B5A3D8AB3DA541A64AAE8320C2D76C" ma:contentTypeVersion="23" ma:contentTypeDescription="Create a new document." ma:contentTypeScope="" ma:versionID="54dd2e84d2fe1bb7fb7755a27c8c5d89">
  <xsd:schema xmlns:xsd="http://www.w3.org/2001/XMLSchema" xmlns:xs="http://www.w3.org/2001/XMLSchema" xmlns:p="http://schemas.microsoft.com/office/2006/metadata/properties" xmlns:ns1="http://schemas.microsoft.com/sharepoint/v3" xmlns:ns2="ee7b94eb-79e7-4e26-b750-3a2122b4902c" xmlns:ns3="8bd7a9f8-5bdc-4ecc-b6c5-ee996fc143da" targetNamespace="http://schemas.microsoft.com/office/2006/metadata/properties" ma:root="true" ma:fieldsID="6169e458dd4d392cb1369469cb6fd4b3" ns1:_="" ns2:_="" ns3:_="">
    <xsd:import namespace="http://schemas.microsoft.com/sharepoint/v3"/>
    <xsd:import namespace="ee7b94eb-79e7-4e26-b750-3a2122b4902c"/>
    <xsd:import namespace="8bd7a9f8-5bdc-4ecc-b6c5-ee996fc143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_xcf54__xb514_" minOccurs="0"/>
                <xsd:element ref="ns3:SharedWithUsers" minOccurs="0"/>
                <xsd:element ref="ns3:SharedWithDetails" minOccurs="0"/>
                <xsd:element ref="ns2:_xd558__xc774__xd37c__xb9c1__xd06c_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3:_dlc_DocId" minOccurs="0"/>
                <xsd:element ref="ns3:_dlc_DocIdUrl" minOccurs="0"/>
                <xsd:element ref="ns3:_dlc_DocIdPersistId" minOccurs="0"/>
                <xsd:element ref="ns2:MediaLengthInSeconds" minOccurs="0"/>
                <xsd:element ref="ns1:PublishingStartDate" minOccurs="0"/>
                <xsd:element ref="ns1:PublishingExpirationDat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27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28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b94eb-79e7-4e26-b750-3a2122b49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cf54__xb514_" ma:index="16" nillable="true" ma:displayName="코디" ma:description="코디이름" ma:format="Dropdown" ma:internalName="_xcf54__xb514_">
      <xsd:simpleType>
        <xsd:restriction base="dms:Text">
          <xsd:maxLength value="255"/>
        </xsd:restriction>
      </xsd:simpleType>
    </xsd:element>
    <xsd:element name="_xd558__xc774__xd37c__xb9c1__xd06c_" ma:index="19" nillable="true" ma:displayName="하이퍼링크" ma:format="Hyperlink" ma:internalName="_xd558__xc774__xd37c__xb9c1__xd06c_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2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7a9f8-5bdc-4ecc-b6c5-ee996fc143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영구 ID" ma:description="추가 시 ID를 유지합니다." ma:hidden="true" ma:internalName="_dlc_DocIdPersistId" ma:readOnly="true">
      <xsd:simpleType>
        <xsd:restriction base="dms:Boolean"/>
      </xsd:simpleType>
    </xsd:element>
    <xsd:element name="TaxCatchAll" ma:index="31" nillable="true" ma:displayName="Taxonomy Catch All Column" ma:hidden="true" ma:list="{5513ab8a-562e-4bb4-abd6-268ffd8d8cba}" ma:internalName="TaxCatchAll" ma:showField="CatchAllData" ma:web="8bd7a9f8-5bdc-4ecc-b6c5-ee996fc143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5D2CFF-CECD-4016-8191-0B3DCC3F6D1E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597d5f0-15a8-4df2-8f1b-9cceb722a399"/>
    <ds:schemaRef ds:uri="http://purl.org/dc/elements/1.1/"/>
    <ds:schemaRef ds:uri="http://schemas.microsoft.com/office/2006/metadata/properties"/>
    <ds:schemaRef ds:uri="8b4059ae-3ca1-4ed0-be23-b44257878d86"/>
    <ds:schemaRef ds:uri="http://www.w3.org/XML/1998/namespace"/>
    <ds:schemaRef ds:uri="http://purl.org/dc/terms/"/>
    <ds:schemaRef ds:uri="8bd7a9f8-5bdc-4ecc-b6c5-ee996fc143da"/>
    <ds:schemaRef ds:uri="ee7b94eb-79e7-4e26-b750-3a2122b4902c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4B100F3-BFB1-4E04-A888-3BD80D2C3FA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DE53E12-8086-411E-BC16-59C03C720AA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F2F4ED8-6D77-4342-838B-2E53590FB2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e7b94eb-79e7-4e26-b750-3a2122b4902c"/>
    <ds:schemaRef ds:uri="8bd7a9f8-5bdc-4ecc-b6c5-ee996fc143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1. IO Database (HW) Legend</vt:lpstr>
      <vt:lpstr>FI_CS_Cable_list</vt:lpstr>
      <vt:lpstr>Query</vt:lpstr>
      <vt:lpstr>Query_CSI</vt:lpstr>
      <vt:lpstr>'1. IO Database (HW) Legend'!Print_Area</vt:lpstr>
      <vt:lpstr>FI_CS_Cable_list!Print_Area</vt:lpstr>
      <vt:lpstr>FI_CS_Cable_list!Print_Titles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강명철(Myeongcheol Kang) 차장 두산중공업</dc:creator>
  <cp:keywords/>
  <dc:description/>
  <cp:lastModifiedBy>우재상(Jaesang Woo) 수석 두산에너빌리티</cp:lastModifiedBy>
  <cp:revision/>
  <cp:lastPrinted>2024-07-26T07:03:27Z</cp:lastPrinted>
  <dcterms:created xsi:type="dcterms:W3CDTF">2021-02-09T07:24:10Z</dcterms:created>
  <dcterms:modified xsi:type="dcterms:W3CDTF">2026-06-11T13:42:46Z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0x010100D3B5A3D8AB3DA541A64AAE8320C2D76C</vt:lpwstr>
  </property>
  <property fmtid="{D5CDD505-2E9C-101B-9397-08002B2CF9AE}" pid="3" name="MediaServiceImageTags">
    <vt:lpwstr/>
  </property>
  <property fmtid="{D5CDD505-2E9C-101B-9397-08002B2CF9AE}" pid="4" name="MSIP_Label_36791f77-3d39-4d72-9277-ac879ec799ed_Enabled">
    <vt:lpwstr>true</vt:lpwstr>
  </property>
  <property fmtid="{D5CDD505-2E9C-101B-9397-08002B2CF9AE}" pid="5" name="MSIP_Label_36791f77-3d39-4d72-9277-ac879ec799ed_SetDate">
    <vt:lpwstr>2024-06-04T17:46:02Z</vt:lpwstr>
  </property>
  <property fmtid="{D5CDD505-2E9C-101B-9397-08002B2CF9AE}" pid="6" name="MSIP_Label_36791f77-3d39-4d72-9277-ac879ec799ed_Method">
    <vt:lpwstr>Standard</vt:lpwstr>
  </property>
  <property fmtid="{D5CDD505-2E9C-101B-9397-08002B2CF9AE}" pid="7" name="MSIP_Label_36791f77-3d39-4d72-9277-ac879ec799ed_Name">
    <vt:lpwstr>restricted-default</vt:lpwstr>
  </property>
  <property fmtid="{D5CDD505-2E9C-101B-9397-08002B2CF9AE}" pid="8" name="MSIP_Label_36791f77-3d39-4d72-9277-ac879ec799ed_SiteId">
    <vt:lpwstr>254ba93e-1f6f-48f3-90e6-e2766664b477</vt:lpwstr>
  </property>
  <property fmtid="{D5CDD505-2E9C-101B-9397-08002B2CF9AE}" pid="9" name="MSIP_Label_36791f77-3d39-4d72-9277-ac879ec799ed_ActionId">
    <vt:lpwstr>43dd3aac-80b3-4c72-8278-eb02594a13c9</vt:lpwstr>
  </property>
  <property fmtid="{D5CDD505-2E9C-101B-9397-08002B2CF9AE}" pid="10" name="MSIP_Label_36791f77-3d39-4d72-9277-ac879ec799ed_ContentBits">
    <vt:lpwstr>0</vt:lpwstr>
  </property>
  <property fmtid="{D5CDD505-2E9C-101B-9397-08002B2CF9AE}" pid="11" name="_dlc_DocIdItemGuid">
    <vt:lpwstr>5e4f6e6a-47d9-4aca-8cc1-9a8ac496f026</vt:lpwstr>
  </property>
</Properties>
</file>