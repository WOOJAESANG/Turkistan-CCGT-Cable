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ment List" sheetId="1" state="visible" r:id="rId3"/>
    <sheet name="Electrical List" sheetId="2" state="visible" r:id="rId4"/>
    <sheet name="WBH" sheetId="3" state="visible" r:id="rId5"/>
  </sheets>
  <externalReferences>
    <externalReference r:id="rId6"/>
  </externalReferences>
  <definedNames>
    <definedName function="false" hidden="false" name="cal" vbProcedure="false">NA()</definedName>
    <definedName function="false" hidden="false" name="calculation" vbProcedure="false">NA()</definedName>
    <definedName function="false" hidden="false" name="CRITICAL" vbProcedure="false">NA()</definedName>
    <definedName function="false" hidden="false" name="dcooler_pdrop" vbProcedure="false">NA()</definedName>
    <definedName function="false" hidden="false" name="design" vbProcedure="false">NA()</definedName>
    <definedName function="false" hidden="false" name="dgn" vbProcedure="false">NA()</definedName>
    <definedName function="false" hidden="false" name="dtnps" vbProcedure="false">NA()</definedName>
    <definedName function="false" hidden="false" name="d_cooler_flow" vbProcedure="false">NA()</definedName>
    <definedName function="false" hidden="false" name="FINC2" vbProcedure="false">NA()</definedName>
    <definedName function="false" hidden="false" name="flow" vbProcedure="false">NA()</definedName>
    <definedName function="false" hidden="false" name="FORM1" vbProcedure="false">NA()</definedName>
    <definedName function="false" hidden="false" name="FORM2" vbProcedure="false">NA()</definedName>
    <definedName function="false" hidden="false" name="FORM3" vbProcedure="false">NA()</definedName>
    <definedName function="false" hidden="false" name="FORM4" vbProcedure="false">NA()</definedName>
    <definedName function="false" hidden="false" name="FR" vbProcedure="false">NA()</definedName>
    <definedName function="false" hidden="false" name="FT" vbProcedure="false">NA()</definedName>
    <definedName function="false" hidden="false" name="f_a" vbProcedure="false">NA()</definedName>
    <definedName function="false" hidden="false" name="heater1_flow" vbProcedure="false">NA()</definedName>
    <definedName function="false" hidden="false" name="heater1_pdrop" vbProcedure="false">NA()</definedName>
    <definedName function="false" hidden="false" name="heater2_flow" vbProcedure="false">NA()</definedName>
    <definedName function="false" hidden="false" name="heater2_pdrop" vbProcedure="false">NA()</definedName>
    <definedName function="false" hidden="false" name="heater3_flow" vbProcedure="false">NA()</definedName>
    <definedName function="false" hidden="false" name="heater3_pdrop" vbProcedure="false">NA()</definedName>
    <definedName function="false" hidden="false" name="heater4_flow" vbProcedure="false">NA()</definedName>
    <definedName function="false" hidden="false" name="heater4_pdrop" vbProcedure="false">NA()</definedName>
    <definedName function="false" hidden="false" name="ID" vbProcedure="false">NA()</definedName>
    <definedName function="false" hidden="false" name="ie" vbProcedure="false">NA()</definedName>
    <definedName function="false" hidden="false" name="ITP" vbProcedure="false">NA()</definedName>
    <definedName function="false" hidden="false" name="kib" vbProcedure="false">NA()</definedName>
    <definedName function="false" hidden="false" name="KT" vbProcedure="false">NA()</definedName>
    <definedName function="false" hidden="false" name="K_REDUCER" vbProcedure="false">NA()</definedName>
    <definedName function="false" hidden="false" name="K_RED_VV" vbProcedure="false">NA()</definedName>
    <definedName function="false" hidden="false" name="latent" vbProcedure="false">NA()</definedName>
    <definedName function="false" hidden="false" name="material_list" vbProcedure="false">NA()</definedName>
    <definedName function="false" hidden="false" name="MCALL_a" vbProcedure="false">NA()</definedName>
    <definedName function="false" hidden="false" name="NHP" vbProcedure="false">NA()</definedName>
    <definedName function="false" hidden="false" name="NPS" vbProcedure="false">NA()</definedName>
    <definedName function="false" hidden="false" name="PIPELENGTH" vbProcedure="false">NA()</definedName>
    <definedName function="false" hidden="false" name="PIPE_TABLE" vbProcedure="false">NA()</definedName>
    <definedName function="false" hidden="false" name="PREHE" vbProcedure="false">NA()</definedName>
    <definedName function="false" hidden="false" name="PREHP" vbProcedure="false">NA()</definedName>
    <definedName function="false" hidden="false" name="PREHS" vbProcedure="false">NA()</definedName>
    <definedName function="false" hidden="false" name="PREHT" vbProcedure="false">NA()</definedName>
    <definedName function="false" hidden="false" name="PRESS" vbProcedure="false">NA()</definedName>
    <definedName function="false" hidden="false" name="Query9" vbProcedure="false">NA()</definedName>
    <definedName function="false" hidden="false" name="RATING계산" vbProcedure="false">NA()</definedName>
    <definedName function="false" hidden="false" name="ratio" vbProcedure="false">NA()</definedName>
    <definedName function="false" hidden="false" name="RE" vbProcedure="false">NA()</definedName>
    <definedName function="false" hidden="false" name="R_V_DL" vbProcedure="false">NA()</definedName>
    <definedName function="false" hidden="false" name="R_V_NPS" vbProcedure="false">NA()</definedName>
    <definedName function="false" hidden="false" name="s" vbProcedure="false">NA()</definedName>
    <definedName function="false" hidden="false" name="SCH" vbProcedure="false">NA()</definedName>
    <definedName function="false" hidden="false" name="sch_40" vbProcedure="false">NA()</definedName>
    <definedName function="false" hidden="false" name="SINC2" vbProcedure="false">NA()</definedName>
    <definedName function="false" hidden="false" name="spe_pdrop" vbProcedure="false">NA()</definedName>
    <definedName function="false" hidden="false" name="svalve_pdrop" vbProcedure="false">NA()</definedName>
    <definedName function="false" hidden="false" name="THK" vbProcedure="false">NA()</definedName>
    <definedName function="false" hidden="false" name="_THK1" vbProcedure="false">NA()</definedName>
    <definedName function="false" hidden="false" name="tube_test_press1_12" vbProcedure="false">NA()</definedName>
    <definedName function="false" hidden="false" name="vwo" vbProcedure="false">NA()</definedName>
    <definedName function="false" hidden="false" name="_Y200008" vbProcedure="false">#REF!</definedName>
    <definedName function="false" hidden="false" name="Y_FACTOR" vbProcedure="false">NA()</definedName>
    <definedName function="false" hidden="false" name="_xleta_CONCATENATE" vbProcedure="false">#REF!</definedName>
    <definedName function="false" hidden="false" name="_xlfn_CONCAT" vbProcedure="false">#REF!</definedName>
    <definedName function="false" hidden="false" name="_xlfn__ONEDARRAY" vbProcedure="false">#REF!</definedName>
    <definedName function="false" hidden="false" name="_xlfn__SORT" vbProcedure="false">#REF!</definedName>
    <definedName function="false" hidden="false" localSheetId="0" name="Excel_BuiltIn_Print_Titles" vbProcedure="false">#NAME?</definedName>
    <definedName function="false" hidden="false" localSheetId="0" name="Excel_BuiltIn__FilterDatabase" vbProcedure="false">#NAME?</definedName>
    <definedName function="false" hidden="false" localSheetId="1" name="Excel_BuiltIn_Print_Titles" vbProcedure="false">#NAME?</definedName>
    <definedName function="false" hidden="false" localSheetId="1" name="Excel_BuiltIn__FilterDatabase" vbProcedure="false">NA()</definedName>
    <definedName function="false" hidden="false" localSheetId="2" name="Excel_BuiltIn_Print_Titles" vbProcedure="false">#NAME?</definedName>
    <definedName function="false" hidden="false" localSheetId="2" name="Excel_BuiltIn__FilterDatabase" vbProcedure="false">NA()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<sst xmlns="http://schemas.openxmlformats.org/spreadsheetml/2006/main" count="5550" uniqueCount="1010">
  <si>
    <t xml:space="preserve">CABLE SCHEDULE AND CABLE LIST (INSTRUMENT)
ВЕДОМОСТЬ КАБЕЛЕЙ И КАБЕЛЬНЫЙ ЖУРНАЛ</t>
  </si>
  <si>
    <t xml:space="preserve">DOC. NO    :</t>
  </si>
  <si>
    <t xml:space="preserve">CCP-W-B044-25-ME-K07-0001</t>
  </si>
  <si>
    <t xml:space="preserve">REVISION  :</t>
  </si>
  <si>
    <t xml:space="preserve">C01A</t>
  </si>
  <si>
    <t xml:space="preserve">DATE        :</t>
  </si>
  <si>
    <t xml:space="preserve">SL. NO.</t>
  </si>
  <si>
    <t xml:space="preserve">Cable Number
Номер кабеля</t>
  </si>
  <si>
    <t xml:space="preserve">Cable Specification
Спецификация кабеля</t>
  </si>
  <si>
    <t xml:space="preserve">From Device/От устройства</t>
  </si>
  <si>
    <t xml:space="preserve">To Device/До устройства</t>
  </si>
  <si>
    <t xml:space="preserve">Voltage Rating (V)
Номинал напряжения (В)
</t>
  </si>
  <si>
    <t xml:space="preserve">Service Type
Тип назначения
</t>
  </si>
  <si>
    <t xml:space="preserve">Cable OD(mm)
НД кабеля (мм)</t>
  </si>
  <si>
    <t xml:space="preserve">Outer Sheath
Наружная оплетка </t>
  </si>
  <si>
    <t xml:space="preserve">Core Insulation
Изоляция жилы</t>
  </si>
  <si>
    <t xml:space="preserve">Cable Length (m)</t>
  </si>
  <si>
    <t xml:space="preserve">SKID INSIDE
(O,X)
ВНУТРИ БЛОКА</t>
  </si>
  <si>
    <t xml:space="preserve">Manufacturer
Изготовитель</t>
  </si>
  <si>
    <t xml:space="preserve">Reference Drawing Number
Номер ссылочного чертежа</t>
  </si>
  <si>
    <t xml:space="preserve">Scope
Объем работ</t>
  </si>
  <si>
    <t xml:space="preserve">Remarks
Примечания</t>
  </si>
  <si>
    <t xml:space="preserve">Tag number
Идентиф. Номер</t>
  </si>
  <si>
    <t xml:space="preserve">Description
Описание</t>
  </si>
  <si>
    <t xml:space="preserve">Location
Расположение</t>
  </si>
  <si>
    <t xml:space="preserve">-I6001</t>
  </si>
  <si>
    <t xml:space="preserve">0.6/1kV CU.XLPE.OS.LSZH 2.5mm2 - 2C</t>
  </si>
  <si>
    <t xml:space="preserve">B0-XY-44051A</t>
  </si>
  <si>
    <t xml:space="preserve">MAIN INLET ESDV CMD A
КОМАНДА А ГЛАВНОГО ВХОДА АВАРИЙНОЙ ЗАДВИЖКИ</t>
  </si>
  <si>
    <t xml:space="preserve">ESDV SKID    
БЛОК АВАРИЙНОЙ ЗАДВИЖКИ</t>
  </si>
  <si>
    <t xml:space="preserve">B0-JB-4417</t>
  </si>
  <si>
    <t xml:space="preserve">LOCAL CONTROL STATION
МЕСТНЫЙ ПУЛЬТ УПРАВЛЕНИЯ</t>
  </si>
  <si>
    <t xml:space="preserve">ESDV SKID
АВАРИЙНАЯ ЗАДВИЖКА</t>
  </si>
  <si>
    <t xml:space="preserve">24VDC</t>
  </si>
  <si>
    <t xml:space="preserve">INSTRUMENT
КИПиА</t>
  </si>
  <si>
    <t xml:space="preserve">BLACK
ЧЕРНЫЙ</t>
  </si>
  <si>
    <t xml:space="preserve">WHITE / WHITE
БЕЛЫЙ/БЕЛЫЙ</t>
  </si>
  <si>
    <t xml:space="preserve">o</t>
  </si>
  <si>
    <t xml:space="preserve">ILJIN</t>
  </si>
  <si>
    <t xml:space="preserve">CCP-W-B044-25-ME-E03-0001_FGSS INTERCONNECTION WIRING DIAGRAM
Sheet 1 of 25</t>
  </si>
  <si>
    <t xml:space="preserve">VENDOR/ПОСТАВЩИК</t>
  </si>
  <si>
    <t xml:space="preserve">-I6002</t>
  </si>
  <si>
    <t xml:space="preserve">B0-XY-44051B</t>
  </si>
  <si>
    <t xml:space="preserve">MAIN INLET ESDV CMD B
КОМАНДА В ГЛАВНОГО ВХОДА АВАРИЙНОЙ ЗАДВИЖКИ</t>
  </si>
  <si>
    <t xml:space="preserve">-I6003</t>
  </si>
  <si>
    <t xml:space="preserve">0.6/1kV CU.XLPE.IS.OS.LSZH 1.5mm2 - 1T</t>
  </si>
  <si>
    <t xml:space="preserve">PST</t>
  </si>
  <si>
    <t xml:space="preserve">ESDV PATIAL STROKE TEST POSITIONER FEEDBACK
ОБРАТНАЯ СВЯЗЬ ПОЗИЦИОНЕРА ПРИ ИСПЫТАНИИ АВАРИЙНОЙ ЗАДВИЖКИ ПРИ НЕПОЛНОМ ХОДЕ</t>
  </si>
  <si>
    <t xml:space="preserve">LCP100</t>
  </si>
  <si>
    <t xml:space="preserve">LCP100
МПУ100</t>
  </si>
  <si>
    <t xml:space="preserve">BLACK / WHITE / RED
ЧЕРНЫЙ/БЕЛЫЙ/КРАСНЫЙ</t>
  </si>
  <si>
    <t xml:space="preserve">-I6004</t>
  </si>
  <si>
    <t xml:space="preserve">0.6/1kV CU.XLPE.IS.OS.LSZH 1.5mm2 - 1P</t>
  </si>
  <si>
    <t xml:space="preserve">BLACK (+) / WHITE (-)
ЧЕРНЫЙ (+) / БЕЛЫЙ(-)</t>
  </si>
  <si>
    <t xml:space="preserve">-I6005</t>
  </si>
  <si>
    <t xml:space="preserve">0.6/1kV CU.XLPE.OS.LSZH 1.5mm2 - 4C</t>
  </si>
  <si>
    <t xml:space="preserve">B0-ZS-44051</t>
  </si>
  <si>
    <t xml:space="preserve">ESDV LIMIT SWITCH
КОНЕЧНЫЙ ВЫКЛЮЧАТЕЛЬ АВАРИЙНОЙ ЗАДВИЖКИ</t>
  </si>
  <si>
    <t xml:space="preserve">-I6006</t>
  </si>
  <si>
    <t xml:space="preserve">0.6/1kV CU.XLPE.OS.LSZH 1.5mm2 - 2C</t>
  </si>
  <si>
    <t xml:space="preserve">B0-P-4401</t>
  </si>
  <si>
    <t xml:space="preserve">PLC PANEL
ПАНЕЛЬ ПЛК</t>
  </si>
  <si>
    <t xml:space="preserve">CONTROL ROOM
ОПЕРАТОРНАЯ</t>
  </si>
  <si>
    <t xml:space="preserve">x</t>
  </si>
  <si>
    <t xml:space="preserve">B0-EPB-44001-C6002</t>
  </si>
  <si>
    <t xml:space="preserve">CCR</t>
  </si>
  <si>
    <t xml:space="preserve">CCR
ЦПУ</t>
  </si>
  <si>
    <t xml:space="preserve">BY CLIENT</t>
  </si>
  <si>
    <t xml:space="preserve">BY CLIENT
ЗАКАЗЧИКОМ</t>
  </si>
  <si>
    <t xml:space="preserve">CCP-W-B044-25-ME-E03-0001_FGSS INTERCONNECTION WIRING DIAGRAM
Sheet 2 of 25</t>
  </si>
  <si>
    <t xml:space="preserve">CLIENT/ЗАКАЗЧИК</t>
  </si>
  <si>
    <t xml:space="preserve">B0-EPB-44001-C6003</t>
  </si>
  <si>
    <t xml:space="preserve">B0-EPB-44001-C6004</t>
  </si>
  <si>
    <t xml:space="preserve">-I6007</t>
  </si>
  <si>
    <t xml:space="preserve">0.6/1kV CU.XLPE.OS.LSZH 1.5mm2 - 12C</t>
  </si>
  <si>
    <t xml:space="preserve">-I6008</t>
  </si>
  <si>
    <t xml:space="preserve">B0-PIT-44001A</t>
  </si>
  <si>
    <t xml:space="preserve">ESDV INL PR A
ДАВЛЕНИЕ А НА ВПУСКЕ АВАРИЙНОЙ ЗАДВИЖКИ</t>
  </si>
  <si>
    <t xml:space="preserve">B0-JB-4401</t>
  </si>
  <si>
    <t xml:space="preserve">ESDV SIGNAL JUNCTION BOX
СИГНАЛЬНАЯ СОЕД. КОРОБКА АВАРИЙНОЙ ЗАДВИЖКИ</t>
  </si>
  <si>
    <t xml:space="preserve">-I6009</t>
  </si>
  <si>
    <t xml:space="preserve">B0-PIT-44001B</t>
  </si>
  <si>
    <t xml:space="preserve">ESDV INL PR B
ДАВЛЕНИЕ В НА ВПУСКЕ АВАРИЙНОЙ ЗАДВИЖКИ</t>
  </si>
  <si>
    <t xml:space="preserve">ESDV SKID
БЛОК АВАРИЙНОЙ ЗАДВИЖКИ</t>
  </si>
  <si>
    <t xml:space="preserve">-I6010</t>
  </si>
  <si>
    <t xml:space="preserve">B0-PIT-44001C</t>
  </si>
  <si>
    <t xml:space="preserve">ESDV INL PR C
ДАВЛЕНИЕ С НА ВПУСКЕ АВАРИЙНОЙ ЗАДВИЖКИ</t>
  </si>
  <si>
    <t xml:space="preserve">-I6011</t>
  </si>
  <si>
    <t xml:space="preserve">B0-PIT-44004</t>
  </si>
  <si>
    <t xml:space="preserve">ESDV OUTL PR
ДАВЛЕНИЕ  НА ВЫПУСКЕ АВАРИЙНОЙ ЗАДВИЖКИ</t>
  </si>
  <si>
    <t xml:space="preserve">-I6012</t>
  </si>
  <si>
    <t xml:space="preserve">B0-TT-44001</t>
  </si>
  <si>
    <t xml:space="preserve">ESDV INL TEMP
ТЕМПЕРАТУРА НА ВПУСКЕ АВАРИЙНОЙ ЗАДВИЖКИ</t>
  </si>
  <si>
    <t xml:space="preserve">-I6013</t>
  </si>
  <si>
    <t xml:space="preserve">0.6/1kV CU.XLPE.IS.OS.LSZH 1.5mm2 - 5P</t>
  </si>
  <si>
    <t xml:space="preserve">-I6014</t>
  </si>
  <si>
    <t xml:space="preserve">-I6015</t>
  </si>
  <si>
    <t xml:space="preserve">B0-GD-44001</t>
  </si>
  <si>
    <t xml:space="preserve">ESDV SKID GAS LEAKAGE DETECTION
ОПРЕДЕЛЕНИЕ УТЕЧКИ ГАЗА АВАРИЙНОЙ ЗАДВИЖКИ</t>
  </si>
  <si>
    <t xml:space="preserve">B0-FG-4401</t>
  </si>
  <si>
    <t xml:space="preserve">GAS DETECTOR PANEL
ПАНЕЛЬ ДАТЧИКА ГАЗА</t>
  </si>
  <si>
    <t xml:space="preserve">-I6016</t>
  </si>
  <si>
    <t xml:space="preserve">0.6/1kV CU.XLPE.IS.OS.LSZH 0.14mm2 - 1P</t>
  </si>
  <si>
    <t xml:space="preserve">B0-AZ-44001B</t>
  </si>
  <si>
    <t xml:space="preserve">O2 ANALYZER
АНАЛИЗАТОР О2</t>
  </si>
  <si>
    <t xml:space="preserve">GC ANALYZER SYSTEM
СИСТЕМА АНАЛИЗАТОРА ГХ</t>
  </si>
  <si>
    <t xml:space="preserve">B0-JB-4402</t>
  </si>
  <si>
    <t xml:space="preserve">ANALYZER SIGNAL JUNCTION BOX
СИГНАЛЬНАЯ СОЕД. КОРОБКА АНАЛИЗАТОРА</t>
  </si>
  <si>
    <t xml:space="preserve">-</t>
  </si>
  <si>
    <t xml:space="preserve">LATER
ПОЗЖЕ</t>
  </si>
  <si>
    <t xml:space="preserve">CCP-W-B044-25-ME-E03-0001_FGSS INTERCONNECTION WIRING DIAGRAM
Sheet 3 of 25</t>
  </si>
  <si>
    <t xml:space="preserve">-I6017</t>
  </si>
  <si>
    <t xml:space="preserve">B0-AZ-44001C</t>
  </si>
  <si>
    <t xml:space="preserve">H2S ANALYZER
АНАЛДИЗАТОР H2S</t>
  </si>
  <si>
    <t xml:space="preserve">-I6018</t>
  </si>
  <si>
    <t xml:space="preserve"> (2P x 24AWG) x 2 (RS485)</t>
  </si>
  <si>
    <t xml:space="preserve">B0-AZ-44001A</t>
  </si>
  <si>
    <t xml:space="preserve">GC ANALYZER
АНАЛИЗАТОР ГХ</t>
  </si>
  <si>
    <t xml:space="preserve">COMMUNICATION
СВЯЗЬ</t>
  </si>
  <si>
    <t xml:space="preserve">-I6019</t>
  </si>
  <si>
    <t xml:space="preserve">ETHERNET CABLE</t>
  </si>
  <si>
    <t xml:space="preserve">B0-JB-4402-C6001</t>
  </si>
  <si>
    <t xml:space="preserve">B0-FM-4401</t>
  </si>
  <si>
    <t xml:space="preserve">GAS METERING PANEL
ПАНЕЛЬ УЗЛА УЧЕТА ГАЗА</t>
  </si>
  <si>
    <t xml:space="preserve">B0-JB-4402-C6002</t>
  </si>
  <si>
    <t xml:space="preserve">B0-JB-4402-C6003</t>
  </si>
  <si>
    <t xml:space="preserve">FOC CABLE</t>
  </si>
  <si>
    <t xml:space="preserve">-I6020</t>
  </si>
  <si>
    <t xml:space="preserve">B0-JBP-4402</t>
  </si>
  <si>
    <t xml:space="preserve">ANALYZER UPS JUNCTION BOX
СОЕД. КОРОБКА ИБП АНАЛИЗАТОРА ГХ</t>
  </si>
  <si>
    <t xml:space="preserve">ANALYZER SYSTEM
СИСТЕМА АНАЛИЗАТОРА ГХ</t>
  </si>
  <si>
    <t xml:space="preserve">POWER
СИЛОВОЙ</t>
  </si>
  <si>
    <t xml:space="preserve">RED / BLUE
КРАСНЫЙ/СИНИЙ</t>
  </si>
  <si>
    <t xml:space="preserve">CCP-W-B044-25-ME-E03-0001_FGSS INTERCONNECTION WIRING DIAGRAM
Sheet 4 of 25</t>
  </si>
  <si>
    <t xml:space="preserve">-I6021</t>
  </si>
  <si>
    <t xml:space="preserve">-I6022</t>
  </si>
  <si>
    <t xml:space="preserve">H2S ANALYZER
АНАЛИЗАТОР H2S</t>
  </si>
  <si>
    <t xml:space="preserve">-I6023</t>
  </si>
  <si>
    <t xml:space="preserve">-I6024</t>
  </si>
  <si>
    <t xml:space="preserve">B0-PDIT-44001</t>
  </si>
  <si>
    <t xml:space="preserve">FLR A DIFF PR
ПЕРЕПАД ДАВЛЕНИЯ ВИЛЬТРА А</t>
  </si>
  <si>
    <t xml:space="preserve">FILTER SEPARATOR A SKID
БЛОК ФИЛЬТРА-
СЕПАРАТОРА А</t>
  </si>
  <si>
    <t xml:space="preserve">B0-JB-4403</t>
  </si>
  <si>
    <t xml:space="preserve">FILTER SEPARATOR A SIGNAL JUNCTION BOX
СИГНАЛЬНАЯ СОЕД. КОРОБКА ФИЛЬТРА-СЕПАРАТОРА А</t>
  </si>
  <si>
    <t xml:space="preserve">FILTER SEPARATOR A SKID
БЛОК ФИЛЬТРА-СЕПАРАТОРА А</t>
  </si>
  <si>
    <t xml:space="preserve">CCP-W-B044-25-ME-E03-0001_FGSS INTERCONNECTION WIRING DIAGRAM
Sheet 5 of 25</t>
  </si>
  <si>
    <t xml:space="preserve">-I6025</t>
  </si>
  <si>
    <t xml:space="preserve">B0-LS-44001</t>
  </si>
  <si>
    <t xml:space="preserve">FLR A 2-STG-LVL
УРОВЕНЬ 2 СТУПЕНИ ФИЛЬТРА А</t>
  </si>
  <si>
    <t xml:space="preserve">-I6026</t>
  </si>
  <si>
    <t xml:space="preserve">B0-LS-44002</t>
  </si>
  <si>
    <t xml:space="preserve">FLR A 1-STG-LVL
УРОВЕНЬ 1 СТУПЕНИ ФИЛЬТРА А</t>
  </si>
  <si>
    <t xml:space="preserve">-I6027</t>
  </si>
  <si>
    <t xml:space="preserve">B0-XV-44052</t>
  </si>
  <si>
    <t xml:space="preserve">FLR A INL VLV
ВПУСКНОЙ КЛАПАН ФИЛЬТРА А</t>
  </si>
  <si>
    <t xml:space="preserve">-I6028</t>
  </si>
  <si>
    <t xml:space="preserve">-I6029</t>
  </si>
  <si>
    <t xml:space="preserve">B0-XV-44053</t>
  </si>
  <si>
    <t xml:space="preserve">FLR A OUTL VLV
ВЫПУСКНОЙ КЛАПАН ФИЛЬТРА А</t>
  </si>
  <si>
    <t xml:space="preserve">-I6030</t>
  </si>
  <si>
    <t xml:space="preserve">-I6031</t>
  </si>
  <si>
    <t xml:space="preserve">B0-XV-44054</t>
  </si>
  <si>
    <t xml:space="preserve">FLR A 2-STG DRN VLV
ДРЕНАЖНЫЙ КЛАПАН 2 СТУПЕНИ ФИЛЬТРА А</t>
  </si>
  <si>
    <t xml:space="preserve">-I6032</t>
  </si>
  <si>
    <t xml:space="preserve">-I6033</t>
  </si>
  <si>
    <t xml:space="preserve">B0-XV-44055</t>
  </si>
  <si>
    <t xml:space="preserve">FLR A 1-STG DRN VLV
ДРЕНАЖНЫЙ КЛАПАН 1 СТУПЕНИ ФИЛЬТРА А</t>
  </si>
  <si>
    <t xml:space="preserve">-I6034</t>
  </si>
  <si>
    <t xml:space="preserve">-I6035</t>
  </si>
  <si>
    <t xml:space="preserve">0.6/1kV CU.XLPE.IS.OS.LSZH 1.5mm2 - 2P</t>
  </si>
  <si>
    <t xml:space="preserve">-I6036</t>
  </si>
  <si>
    <t xml:space="preserve">-I6037</t>
  </si>
  <si>
    <t xml:space="preserve">0.6/1kV CU.XLPE.OS.LSZH 1.5mm2 - 20C</t>
  </si>
  <si>
    <t xml:space="preserve">-I6038</t>
  </si>
  <si>
    <t xml:space="preserve">0.6/1kV CU.XLPE.OS.LSZH 2.5mm2 - 12C</t>
  </si>
  <si>
    <t xml:space="preserve">-I6039</t>
  </si>
  <si>
    <t xml:space="preserve">B0-PDIT-44002</t>
  </si>
  <si>
    <t xml:space="preserve">FLR B DIFF PR 
ПЕЕРПАД ДАВЛЕНИЯ ФИЛЬТРА В</t>
  </si>
  <si>
    <t xml:space="preserve">FILTER SEPARATOR B SKID
БЛОК ФИЛЬТРА-
СЕПАРАТОРА В</t>
  </si>
  <si>
    <t xml:space="preserve">B0-JB-4404</t>
  </si>
  <si>
    <t xml:space="preserve">FILTER SEPARATOR B SIGNAL JUNCTION BOX
СИГНАЛЬНАЯ СОЕД. КОРОБКА ФИЛЬТРА-СЕПАРАТОРА В</t>
  </si>
  <si>
    <t xml:space="preserve">FILTER SEPARATOR B SKID
БЛОК ФИЛЬТРА-СЕПАРАТОРА В</t>
  </si>
  <si>
    <t xml:space="preserve">CCP-W-B044-25-ME-E03-0001_FGSS INTERCONNECTION WIRING DIAGRAM
Sheet 7 of 25</t>
  </si>
  <si>
    <t xml:space="preserve">-I6040</t>
  </si>
  <si>
    <t xml:space="preserve">B0-LS-44003</t>
  </si>
  <si>
    <t xml:space="preserve">FLR B 2-STG-LVL 
УРОВЕНЬ 2 СТУПЕНИ ФИЛЬТРА В</t>
  </si>
  <si>
    <t xml:space="preserve">-I6041</t>
  </si>
  <si>
    <t xml:space="preserve">B0-LS-44004</t>
  </si>
  <si>
    <t xml:space="preserve">FLR B 1-STG-LVL 
УРОВЕНЬ 1 СТУПЕНИ ФИЛЬТРА В</t>
  </si>
  <si>
    <t xml:space="preserve">-I6042</t>
  </si>
  <si>
    <t xml:space="preserve">B0-XV-44056</t>
  </si>
  <si>
    <t xml:space="preserve">FLR B INL VLV
ВПУСКНОЙ КЛАПАН ФИЛЬТРА В</t>
  </si>
  <si>
    <t xml:space="preserve">-I6043</t>
  </si>
  <si>
    <t xml:space="preserve">-I6044</t>
  </si>
  <si>
    <t xml:space="preserve">B0-XV-44057</t>
  </si>
  <si>
    <t xml:space="preserve">FLR B OUTL VLV
ВЫПУСКНОЙ КЛАПАН ФИЛЬТРА В</t>
  </si>
  <si>
    <t xml:space="preserve">-I6045</t>
  </si>
  <si>
    <t xml:space="preserve">-I6046</t>
  </si>
  <si>
    <t xml:space="preserve">B0-XV-44058</t>
  </si>
  <si>
    <t xml:space="preserve">FLR B 2-STG DRN VLV
ДРЕНАЖНЫЙ КЛАПАН 2 СТУПЕНИ ФИЛЬТРА В</t>
  </si>
  <si>
    <t xml:space="preserve">-I6047</t>
  </si>
  <si>
    <t xml:space="preserve">-I6048</t>
  </si>
  <si>
    <t xml:space="preserve">B0-XV-44059</t>
  </si>
  <si>
    <t xml:space="preserve">FLR B 1-STG DRN VLV
ДРЕНАЖНЫЙ КЛАПАН 1 СТУПЕНИ ФИЛЬТРА В</t>
  </si>
  <si>
    <t xml:space="preserve">-I6049</t>
  </si>
  <si>
    <t xml:space="preserve">-I6050</t>
  </si>
  <si>
    <t xml:space="preserve">-I6051</t>
  </si>
  <si>
    <t xml:space="preserve">-I6052</t>
  </si>
  <si>
    <t xml:space="preserve">-I6053</t>
  </si>
  <si>
    <t xml:space="preserve">-I6054</t>
  </si>
  <si>
    <t xml:space="preserve">B0-GD-44003</t>
  </si>
  <si>
    <t xml:space="preserve">FILTER SEPARATOR B SKID GAS LEAKAGE DETECTION</t>
  </si>
  <si>
    <t xml:space="preserve">CCP-W-B044-25-ME-E03-0001_FGSS INTERCONNECTION WIRING DIAGRAM
Sheet 8 of 25</t>
  </si>
  <si>
    <t xml:space="preserve">-I6055</t>
  </si>
  <si>
    <t xml:space="preserve">B0-GD-44002</t>
  </si>
  <si>
    <t xml:space="preserve">METERING SYSTEM SKID GAS LEAKAGE DETECTION</t>
  </si>
  <si>
    <t xml:space="preserve">METERING SYSTEM SKID
БЛОК СИСТЕМЫ ИЗМЕРЕНИЯ</t>
  </si>
  <si>
    <t xml:space="preserve">CCP-W-B044-25-ME-E03-0001_FGSS INTERCONNECTION WIRING DIAGRAM
Sheet 6 of 25</t>
  </si>
  <si>
    <t xml:space="preserve">-I6056</t>
  </si>
  <si>
    <t xml:space="preserve">B0-XV-44060</t>
  </si>
  <si>
    <t xml:space="preserve">PRE HTR 1 INL VLV
ВПУСКНОЙ КЛАПАН ПОДОГРЕВАТЕЛЯ 1</t>
  </si>
  <si>
    <t xml:space="preserve">GAS PRE HEATER 1 &amp; 2 SKID
БЛОК ПОДОГРЕВАТЕЛЯ ГАЗА 1 и 2</t>
  </si>
  <si>
    <t xml:space="preserve">B0-JB-4405</t>
  </si>
  <si>
    <t xml:space="preserve">GAS PRE HEATER 1 &amp; 2 SIGNAL JB
СИГНАЛЬНАЯ СОЕД. КОРОБКА ПОДОГРЕВАТЕЛЯ ГАЗА 1 и 2</t>
  </si>
  <si>
    <t xml:space="preserve">CCP-W-B044-25-ME-E03-0001_FGSS INTERCONNECTION WIRING DIAGRAM
Sheet 9 of 25</t>
  </si>
  <si>
    <t xml:space="preserve">-I6057</t>
  </si>
  <si>
    <t xml:space="preserve">-I6058</t>
  </si>
  <si>
    <t xml:space="preserve">B0-XV-44061</t>
  </si>
  <si>
    <t xml:space="preserve">PRE HTR 1 OUTL VLV
ВЫПУСКНОЙ КЛАПАН ПОДОГРЕВАТЕЛЯ 1</t>
  </si>
  <si>
    <t xml:space="preserve">-I6059</t>
  </si>
  <si>
    <t xml:space="preserve">-I6060</t>
  </si>
  <si>
    <t xml:space="preserve">B0-XV-44062</t>
  </si>
  <si>
    <t xml:space="preserve">PRE HTR 2 INL VLV
ВПУСКНОЙ КЛАПАН ПОДОГРЕВАТЕЛЯ 2</t>
  </si>
  <si>
    <t xml:space="preserve">-I6061</t>
  </si>
  <si>
    <t xml:space="preserve">-I6062</t>
  </si>
  <si>
    <t xml:space="preserve">B0-XV-44063</t>
  </si>
  <si>
    <t xml:space="preserve">PRE HTR 2 OUTL VLV
ВЫПУСКНОЙ КЛАПАН ПОДОГРЕВАТЕЛЯ 2</t>
  </si>
  <si>
    <t xml:space="preserve">-I6063</t>
  </si>
  <si>
    <t xml:space="preserve">-I6064</t>
  </si>
  <si>
    <t xml:space="preserve">-I6065</t>
  </si>
  <si>
    <t xml:space="preserve">Deleted</t>
  </si>
  <si>
    <t xml:space="preserve">-I6068</t>
  </si>
  <si>
    <t xml:space="preserve">B0-XV-44064</t>
  </si>
  <si>
    <t xml:space="preserve">PRE HTR BYP VLV
ПЕЕРПУСКНОЙ КЛАПАН ПОДОГРЕВАТЕЛЯ</t>
  </si>
  <si>
    <t xml:space="preserve">GAS PRE HEATER BYPASS SKID
БЛОК БАЙПАСА ПОДОГРЕВАТЕЛЯ ГАЗА</t>
  </si>
  <si>
    <t xml:space="preserve">B0-JB-4406</t>
  </si>
  <si>
    <t xml:space="preserve">GAS PRE HEATER BYPASS SIGNAL JB
СИГНАЛЬНАЯ СОЕД. КОРОБКА БАЙПАСА ПОДОГРЕВАТЕЛЯ ГАЗА</t>
  </si>
  <si>
    <t xml:space="preserve">CCP-W-B044-25-ME-E03-0001_FGSS INTERCONNECTION WIRING DIAGRAM
Sheet 10 of 25</t>
  </si>
  <si>
    <t xml:space="preserve">-I6069</t>
  </si>
  <si>
    <t xml:space="preserve">-I6070</t>
  </si>
  <si>
    <t xml:space="preserve">B0-PIT-44005</t>
  </si>
  <si>
    <t xml:space="preserve">PRE HTR OUTL PR 
ДАВЛЕНИЕ НА ВЫХОДЕ ПОДОГРЕВАТЕЛЯ</t>
  </si>
  <si>
    <t xml:space="preserve">-I6071</t>
  </si>
  <si>
    <t xml:space="preserve">B0-TT-44002</t>
  </si>
  <si>
    <t xml:space="preserve">PRE HTR OUTL TEMP 
ТЕМПЕРАТУРА НА ВЫХОДЕ ПОДОГРЕВАТЕЛЯ</t>
  </si>
  <si>
    <t xml:space="preserve">-I6072</t>
  </si>
  <si>
    <t xml:space="preserve">B0-PIT-44006</t>
  </si>
  <si>
    <t xml:space="preserve">PRS INL PR 
ДАВЛЕНИЕ НА ВХОДЕ В СИСТЕМУ РЕГУЛИРОВАНИЯ ДАВЛЕНИЯ</t>
  </si>
  <si>
    <t xml:space="preserve">-I6073</t>
  </si>
  <si>
    <t xml:space="preserve">GAS PRE HEATER BYPASS SIGNAL JB
СИГНАЛЬНАЯ СОЕД. КОРОБКА БЛОКА БАЙПАСА ПОДОГРЕВАТЕЛЯ ГАЗА</t>
  </si>
  <si>
    <t xml:space="preserve">-I6074</t>
  </si>
  <si>
    <t xml:space="preserve">0.6/1kV CU.XLPE.OS.LSZH 2.5mm2 - 4C</t>
  </si>
  <si>
    <t xml:space="preserve">-I6075</t>
  </si>
  <si>
    <t xml:space="preserve">-I6076</t>
  </si>
  <si>
    <t xml:space="preserve">B0-SDV-44065</t>
  </si>
  <si>
    <t xml:space="preserve">PRS A INL VLV
ВПУСКНОЙ КЛАПАН СИСТЕМЫ РЕГУЛИРОВАНИЯ ДАВЛЕНИЯ А</t>
  </si>
  <si>
    <t xml:space="preserve">PRESSURE REGULATING SYSTEM SKID
БЛОК СИСТЕМЫ РЕГУЛИРОВАНИЯ ДАВЛЕНИЯ</t>
  </si>
  <si>
    <t xml:space="preserve">B0-JB-4407</t>
  </si>
  <si>
    <t xml:space="preserve">PRESSURE REGULATING SYSTEM SIGNAL JB
СИГНАЛЬНАЯ СОЕД. КОРОБКА СИСТЕМЫ РЕГУЛИРОВАНИЯ ДАВЛЕНИЯ</t>
  </si>
  <si>
    <t xml:space="preserve">CCP-W-B044-25-ME-E03-0001_FGSS INTERCONNECTION WIRING DIAGRAM
Sheet 11 of 25</t>
  </si>
  <si>
    <t xml:space="preserve">-I6077</t>
  </si>
  <si>
    <t xml:space="preserve">B0-SDV-44066</t>
  </si>
  <si>
    <t xml:space="preserve">PRS B INL VLV
ВПУСКНОЙ КЛАПАН СИСТЕМЫ РЕГУЛИРОВАНИЯ ДАВЛЕНИЯ В</t>
  </si>
  <si>
    <t xml:space="preserve">-I6078</t>
  </si>
  <si>
    <t xml:space="preserve">B0-PRV-44081</t>
  </si>
  <si>
    <t xml:space="preserve">PRS A PRV MON POSN
КОНТРОЛЬНЫЙ ПОЗИЦИОНЕР РАЗГРУЗОЧНОГО КЛАПАНА СИСТЕМЫ РЕГУЛИРОВАНИЯ ДАВЛЕНИЯ А</t>
  </si>
  <si>
    <t xml:space="preserve">-I6079</t>
  </si>
  <si>
    <t xml:space="preserve">B0-PRV-44082</t>
  </si>
  <si>
    <t xml:space="preserve">PRS A PRV WORKER POSN
РАБОЧИЙ ПОЗИЦИОНЕР РАЗГРУЗОЧНОГО КЛАПАНА СИСТЕМЫ РЕГУЛИРОВАНИЯ ДАВЛЕНИЯ А</t>
  </si>
  <si>
    <t xml:space="preserve">-I6080</t>
  </si>
  <si>
    <t xml:space="preserve">B0-PRV-44083</t>
  </si>
  <si>
    <t xml:space="preserve">PRS B PRV MON POSN
КОНТРОЛЬНЫЙ ПОЗИЦИОНЕР РАЗГРУЗОЧНОГО КЛАПАНА СИСТЕМЫ РЕГУЛИРОВАНИЯ ДАВЛЕНИЯ В</t>
  </si>
  <si>
    <t xml:space="preserve">-I6081</t>
  </si>
  <si>
    <t xml:space="preserve">B0-PRV-44084</t>
  </si>
  <si>
    <t xml:space="preserve">PRS B PRV WORKER POSN
РАБОЧИЙ ПОЗИЦИОНЕР РАЗГРУЗОЧНОГО КЛАПАНА СИСТЕМЫ РЕГУЛИРОВАНИЯ ДАВЛЕНИЯ В</t>
  </si>
  <si>
    <t xml:space="preserve">-I6082</t>
  </si>
  <si>
    <t xml:space="preserve">-I6083</t>
  </si>
  <si>
    <t xml:space="preserve">-I6084</t>
  </si>
  <si>
    <t xml:space="preserve">B0-PIT-44007</t>
  </si>
  <si>
    <t xml:space="preserve">PRS OUTL PR 
ДАВЛЕНИЕ НА ВЫХОДЕ СИСТЕМЫ РЕГУЛИРОВАНИЯ ДАВЛЕНИЯ</t>
  </si>
  <si>
    <t xml:space="preserve">B0-JB-4408</t>
  </si>
  <si>
    <t xml:space="preserve">-I6085</t>
  </si>
  <si>
    <t xml:space="preserve">B0-TT-44003</t>
  </si>
  <si>
    <t xml:space="preserve">PRS OUTL TEMP 
ТЕМПЕРАТУРА НА ВЫХОДЕ СИСТЕМЫ РЕГУЛИРОВАНИЯ ДАВЛЕНИЯ</t>
  </si>
  <si>
    <t xml:space="preserve">-I6086</t>
  </si>
  <si>
    <t xml:space="preserve">-I6087</t>
  </si>
  <si>
    <t xml:space="preserve">B0-GD-44006</t>
  </si>
  <si>
    <t xml:space="preserve">PRESSRUE REGULATING SKID GAS LEAKAGE DETECTION
ОПРЕДЕЛЕНИЕ УТЕЧКИ ГАЗА СИСТЕМЫ РЕГУЛИРОВАНИЯ ДАВЛЕНИЯ</t>
  </si>
  <si>
    <t xml:space="preserve">CCP-W-B044-25-ME-E03-0001_FGSS INTERCONNECTION WIRING DIAGRAM
Sheet 12 of 25</t>
  </si>
  <si>
    <t xml:space="preserve">-I6088</t>
  </si>
  <si>
    <t xml:space="preserve">B0-LCP-4403</t>
  </si>
  <si>
    <t xml:space="preserve">FUEL GAS CONDENSATE PUMP PNL
FOR FINAL FILTER #11
ПАНЕЬ НАСОСА КОНДЕНСАТА ТОПЛИВНОГО ГАЗА ДЛЯ КОНЕЧНОГО ФИЛЬТРА  #11</t>
  </si>
  <si>
    <t xml:space="preserve">FUEL GAS VENT &amp; DRAIN SYSTEM SKID
БЛОК СИСТЕМЫ СБРОСА  ДРЕНАЖА ТОПЛИВНОГО ГАЗА</t>
  </si>
  <si>
    <t xml:space="preserve">CCP-W-B044-25-ME-E03-0001_FGSS INTERCONNECTION WIRING DIAGRAM
Sheet 24 of 25</t>
  </si>
  <si>
    <t xml:space="preserve">-I6089</t>
  </si>
  <si>
    <t xml:space="preserve">B0-LS-44005</t>
  </si>
  <si>
    <t xml:space="preserve">FLR DRN TANK LVL 
УРОВЕНЬ ДРЕНАЖНОЙ ЕМКОСТИ ФИЛЬТРА</t>
  </si>
  <si>
    <t xml:space="preserve">CCP-W-B044-25-ME-E03-0001_FGSS INTERCONNECTION WIRING DIAGRAM
Sheet 13 of 25</t>
  </si>
  <si>
    <t xml:space="preserve">-I6090</t>
  </si>
  <si>
    <t xml:space="preserve">B1-PIT-44009</t>
  </si>
  <si>
    <t xml:space="preserve">PF HTR #11 INL PR
ДАВЛЕНИЕ НА ВХОДЕ РАБОЧЕГО 
НАГРЕВАТЕЛЯ #11 </t>
  </si>
  <si>
    <t xml:space="preserve">GAS PERFORMANCE HEATER #11 SKID
БЛОК РАБОЧЕГО НАГРЕВАТЕЛЯ ГАЗА #11</t>
  </si>
  <si>
    <t xml:space="preserve">B1-JB-4409</t>
  </si>
  <si>
    <t xml:space="preserve">GAS PERFORMANCE HEATER #11 SIGNAL JB
СИГНАЛЬНАЯ СОЕД. КОРОБКА РАБОЧЕГО НАГРЕВАТЕЛЯ ГАЗА #11</t>
  </si>
  <si>
    <t xml:space="preserve">GAS PERFORMANCE HEATER #12 SKID
БЛОК РАБОЧЕГО НАГРЕВАТЕЛЯ ГАЗА #12</t>
  </si>
  <si>
    <t xml:space="preserve">CCP-W-B044-25-ME-E03-0001_FGSS INTERCONNECTION WIRING DIAGRAM
Sheet 14 of 25</t>
  </si>
  <si>
    <t xml:space="preserve">-I6091</t>
  </si>
  <si>
    <t xml:space="preserve">B1-TT-44004</t>
  </si>
  <si>
    <t xml:space="preserve">PF HTR #11 INL TEMP 
ТЕМПЕРАТУРА НА ВХОДЕ РАБОЧЕГО НАГРЕВАТЕЛЯ  #11</t>
  </si>
  <si>
    <t xml:space="preserve">-I6092</t>
  </si>
  <si>
    <t xml:space="preserve">B1-PIT-44010</t>
  </si>
  <si>
    <t xml:space="preserve">PF HTR #11 OUTL PR 
ДАВЛЕНИЕ НА ВЫХОДЕ РАБОЧЕГО 
НАГРЕВАТЕЛЯ #11 </t>
  </si>
  <si>
    <t xml:space="preserve">-I6093</t>
  </si>
  <si>
    <t xml:space="preserve">B1-TT-44005</t>
  </si>
  <si>
    <t xml:space="preserve">PF HTR #11 OUTL TMEP
ТЕМПЕРАТУРА НА ВЫХОДЕ РАБОЧЕГО НАГРЕВАТЕЛЯ  #11</t>
  </si>
  <si>
    <t xml:space="preserve">-I6094</t>
  </si>
  <si>
    <t xml:space="preserve">B1-TT-44006</t>
  </si>
  <si>
    <t xml:space="preserve">FC FLR #11 INL TEMP 
ТЕМПЕРАТУРА НА ВХОДЕ КОНЕЧНОГО ФИЛЬТРА  #11</t>
  </si>
  <si>
    <t xml:space="preserve">-I6095</t>
  </si>
  <si>
    <t xml:space="preserve">B1-LS-44006A</t>
  </si>
  <si>
    <t xml:space="preserve">PF HTR #11 LVL A
УРОВЕНЬ А РАБОЧЕГО НАГРЕВАТЕЛЯ  #11</t>
  </si>
  <si>
    <t xml:space="preserve">-I6096</t>
  </si>
  <si>
    <t xml:space="preserve">B1-LS-44006B</t>
  </si>
  <si>
    <t xml:space="preserve">PF HTR #11 LVL B
УРОВЕНЬ В РАБОЧЕГО НАГРЕВАТЕЛЯ  #11</t>
  </si>
  <si>
    <t xml:space="preserve">-I6097</t>
  </si>
  <si>
    <t xml:space="preserve">B1-LS-44006C</t>
  </si>
  <si>
    <t xml:space="preserve">PF HTR #11 LVL C
УРОВЕНЬ С РАБОЧЕГО НАГРЕВАТЕЛЯ  #11</t>
  </si>
  <si>
    <t xml:space="preserve">-I6098</t>
  </si>
  <si>
    <t xml:space="preserve">B1-XV-44067</t>
  </si>
  <si>
    <t xml:space="preserve">PF HTR #11 VLV
КЛАПАН РАБОЧЕГО НАГРЕВАТЕЛЯ  #11</t>
  </si>
  <si>
    <t xml:space="preserve">-I6099</t>
  </si>
  <si>
    <t xml:space="preserve">B0-FM-4402</t>
  </si>
  <si>
    <t xml:space="preserve">METERING PANEL
ПАНЕЛЬ ИЗМЕРЕНИЯ</t>
  </si>
  <si>
    <t xml:space="preserve">-I6100</t>
  </si>
  <si>
    <t xml:space="preserve">-I6101</t>
  </si>
  <si>
    <t xml:space="preserve">-I6102</t>
  </si>
  <si>
    <t xml:space="preserve">B1-PIDT-44003</t>
  </si>
  <si>
    <t xml:space="preserve">FC FLR #11 DIFF PR
ПЕРЕПАД ДАВЛЕНИЯ КОНЕЧНОГО ФИЛЬТРА #11 </t>
  </si>
  <si>
    <t xml:space="preserve">FINAL FILTER #11 SKID
БЛОК КОНЕЧНОГО 
ФИЛЬТРА #11</t>
  </si>
  <si>
    <t xml:space="preserve">B1-JB-4410</t>
  </si>
  <si>
    <t xml:space="preserve">FINAL FILTER #11 SIGNAL JB
СИГНАЛЬНАЯ СОЕД. КОРОБКА КОНЕЧНОГО ФИЛЬТРА #11</t>
  </si>
  <si>
    <t xml:space="preserve">FINAL FILTER #11 SKID
БЛОК КОНЕЧНОГО ФИЛЬТРА #11</t>
  </si>
  <si>
    <t xml:space="preserve">CCP-W-B044-25-ME-E03-0001_FGSS INTERCONNECTION WIRING DIAGRAM
Sheet 15 of 25</t>
  </si>
  <si>
    <t xml:space="preserve">-I6103</t>
  </si>
  <si>
    <t xml:space="preserve">B1-LS-44009A</t>
  </si>
  <si>
    <t xml:space="preserve">FC FLR #11 1-STG-LVL A 
УРОВЕНЬ А 1 СТУПЕНИ КОНЕЧНОГО 
ФИЛЬТРА   #11</t>
  </si>
  <si>
    <t xml:space="preserve">-I6104</t>
  </si>
  <si>
    <t xml:space="preserve">B1-LS-44009B</t>
  </si>
  <si>
    <t xml:space="preserve">FC FLR #11 1-STG-LVL B
УРОВЕНЬ В 1 СТУПЕНИ КОНЕЧНОГО 
ФИЛЬТРА   #11</t>
  </si>
  <si>
    <t xml:space="preserve">-I6105</t>
  </si>
  <si>
    <t xml:space="preserve">B1-LS-44009C</t>
  </si>
  <si>
    <t xml:space="preserve">FC FLR #11 1-STG-LVL C 
УРОВЕНЬ С 1 СТУПЕНИ КОНЕЧНОГО 
ФИЛЬТРА   #11</t>
  </si>
  <si>
    <t xml:space="preserve">-I6106</t>
  </si>
  <si>
    <t xml:space="preserve">B1-LS-44012</t>
  </si>
  <si>
    <t xml:space="preserve">FC FLR #11 DRN TANK LVL
УРОВЕНЬ ДРЕНАЖНОЙ ЕМКОСТИ КОНЕЧНОГО ФИЛЬТРА  #11</t>
  </si>
  <si>
    <t xml:space="preserve">-I6107</t>
  </si>
  <si>
    <t xml:space="preserve">B1-XV-44068</t>
  </si>
  <si>
    <t xml:space="preserve">FCFLR #11 1 STG DRN VLV
ДРЕНАЖНЫЙ КЛАПАН 1 СТУПЕНИ КОНЕЧНОГО ФИЛЬТРА  #11</t>
  </si>
  <si>
    <t xml:space="preserve">-I6108</t>
  </si>
  <si>
    <t xml:space="preserve">-I6109</t>
  </si>
  <si>
    <t xml:space="preserve">-I6110</t>
  </si>
  <si>
    <t xml:space="preserve">-I6111</t>
  </si>
  <si>
    <t xml:space="preserve">-I6112</t>
  </si>
  <si>
    <t xml:space="preserve">-I6113</t>
  </si>
  <si>
    <t xml:space="preserve">B1-GD-44007</t>
  </si>
  <si>
    <t xml:space="preserve">PERFORMANCE HEATER &amp; FINAL FILTER #11 SKID GAS LEAKAGE DETECTION
ОПРЕДЕЛЕНИЕ УТЕЧКИ ГАЗА БЛОКА РАБОЧЕГО НАГРЕВАТЕЛЯ И КОНЕЧНОГО ФИЛЬТРА #11</t>
  </si>
  <si>
    <t xml:space="preserve">GAS PERFORMANCE HEATER &amp; FINAL FILTER SKID # 11
РАБОЧИЙ НАГРЕВАТЕЛЬ ГАЗА И КОНЕЧНЫЙ ФИЛЬТР # 11</t>
  </si>
  <si>
    <t xml:space="preserve">CCP-W-B044-25-ME-E03-0001_FGSS INTERCONNECTION WIRING DIAGRAM
Sheet 16 of 25</t>
  </si>
  <si>
    <t xml:space="preserve">-I6114</t>
  </si>
  <si>
    <t xml:space="preserve">B1-LCP-4404</t>
  </si>
  <si>
    <t xml:space="preserve">FUEL GAS CONDENSATE PUMP PNL
FOR FINAL FILTER #11
ПАНЕЛЬ НАСОСА КОНДЕНСАТА ТОПЛИВНОГО ГАЗА ДЛЯ КОНЕЧНОГО ФИЛЬТРА #11 </t>
  </si>
  <si>
    <t xml:space="preserve">GT AREA # A
ПЛОЩАДКА ГТ # A</t>
  </si>
  <si>
    <t xml:space="preserve">-I6115</t>
  </si>
  <si>
    <t xml:space="preserve">B1-PIT-44011</t>
  </si>
  <si>
    <t xml:space="preserve">PF HTR #12 INL PR 
ДАВЛЕНИЕ НА ВХОДЕ РАБОЧЕГО НАГРЕВАТЕЛЯ  #12</t>
  </si>
  <si>
    <t xml:space="preserve">B1-JB-4411</t>
  </si>
  <si>
    <t xml:space="preserve">GAS PERFORMANCE HEATER #12 SIGNAL JB
СИГНАЛЬНАЯ СОЕД. КОРОБКА РАБОЧЕГО НАГРЕВАТЕЛЯ ГАЗА #12</t>
  </si>
  <si>
    <t xml:space="preserve">CCP-W-B044-25-ME-E03-0001_FGSS INTERCONNECTION WIRING DIAGRAM
Sheet 17 of 25</t>
  </si>
  <si>
    <t xml:space="preserve">-I6116</t>
  </si>
  <si>
    <t xml:space="preserve">B1-TT-44007</t>
  </si>
  <si>
    <t xml:space="preserve">PF HTR #12 INL TEMP 
ТЕМПЕРАТУРА НА ВХОДЕ РАБОЧЕГО НАГРЕВАТЕЛЯ  #12</t>
  </si>
  <si>
    <t xml:space="preserve">-I6117</t>
  </si>
  <si>
    <t xml:space="preserve">B1-PIT-44012</t>
  </si>
  <si>
    <t xml:space="preserve">PF HTR #12 OUTL PR 
ДАВЛЕНИЕ НА ВЫХОДЕ РАБОЧЕГО НАГРЕВАТЕЛЯ  #12</t>
  </si>
  <si>
    <t xml:space="preserve">-I6118</t>
  </si>
  <si>
    <t xml:space="preserve">B1-TT-44008</t>
  </si>
  <si>
    <t xml:space="preserve">PF HTR #12 OUTL TMEP 
ТЕМПЕРАТУРА НА ВЫХОДЕ РАБОЧЕГО НАГРЕВАТЕЛЯ  #12</t>
  </si>
  <si>
    <t xml:space="preserve">-I6119</t>
  </si>
  <si>
    <t xml:space="preserve">B1-TT-44009</t>
  </si>
  <si>
    <t xml:space="preserve">FC FLR #12 INL TEMP
ТЕМПЕРАТУРА НА ВХОДЕ КОНЕЧНОГО ФИЛЬТРА  #12</t>
  </si>
  <si>
    <t xml:space="preserve">-I6120</t>
  </si>
  <si>
    <t xml:space="preserve">B1-LS-44013A</t>
  </si>
  <si>
    <t xml:space="preserve">PF HTR #12 LVL A
УРОВЕНЬ А РАБОЧЕГО НАГРЕВАТЕЛЯ #12</t>
  </si>
  <si>
    <t xml:space="preserve">-I6121</t>
  </si>
  <si>
    <t xml:space="preserve">B1-LS-44013B</t>
  </si>
  <si>
    <t xml:space="preserve">PF HTR #12 LVL B
УРОВЕНЬ В РАБОЧЕГО НАГРЕВАТЕЛЯ #12
</t>
  </si>
  <si>
    <t xml:space="preserve">-I6122</t>
  </si>
  <si>
    <t xml:space="preserve">B1-LS-44013C</t>
  </si>
  <si>
    <t xml:space="preserve">PF HTR #12 LVL C
УРОВЕНЬ С РАБОЧЕГО НАГРЕВАТЕЛЯ #12</t>
  </si>
  <si>
    <t xml:space="preserve">-I6123</t>
  </si>
  <si>
    <t xml:space="preserve">B1-XV-44069</t>
  </si>
  <si>
    <t xml:space="preserve">PF HTR #12 VLV
КЛАПАН РАБОЧЕГО НАГРЕВАТЕЛЯ #12</t>
  </si>
  <si>
    <t xml:space="preserve">-I6124</t>
  </si>
  <si>
    <t xml:space="preserve">B0-JB-4411</t>
  </si>
  <si>
    <t xml:space="preserve">-I6125</t>
  </si>
  <si>
    <t xml:space="preserve">-I6126</t>
  </si>
  <si>
    <t xml:space="preserve">-I6127</t>
  </si>
  <si>
    <t xml:space="preserve">B1-PDIT-44004</t>
  </si>
  <si>
    <t xml:space="preserve">FC FLR #12 DIFF PR
ПЕРЕПАД ДАВЛЕНИЯ КОНЕЧНОГО 
ФИЛЬТРА #12 </t>
  </si>
  <si>
    <t xml:space="preserve"> FINAL FILTER #12 SKID
БЛОК КОНЕЧНОГО 
ФИЛЬТРА #12 </t>
  </si>
  <si>
    <t xml:space="preserve">B1-JB-4412</t>
  </si>
  <si>
    <t xml:space="preserve">FINAL FILTER #12 SIGNAL JB
СИГНАЛЬНАЯ СОЕД. КОРОБКА КОНЕЧНОГО ФИЛЬТРА #12</t>
  </si>
  <si>
    <t xml:space="preserve">CCP-W-B044-25-ME-E03-0001_FGSS INTERCONNECTION WIRING DIAGRAM
Sheet 18 of 25</t>
  </si>
  <si>
    <t xml:space="preserve">-I6128</t>
  </si>
  <si>
    <t xml:space="preserve">B1-LS-44016A</t>
  </si>
  <si>
    <t xml:space="preserve">FC FLR #12 1 STG LVL A 
УРОВЕНЬ А 1 СТУПЕНИ КОНЕЧНОГО 
ФИЛЬТРА #12</t>
  </si>
  <si>
    <t xml:space="preserve">-I6129</t>
  </si>
  <si>
    <t xml:space="preserve">B1-LS-44016B</t>
  </si>
  <si>
    <t xml:space="preserve">FC FLR #12 1-STG-LVL B 
УРОВЕНЬ В 1 СТУПЕНИ КОНЕЧНОГО 
ФИЛЬТРА #12</t>
  </si>
  <si>
    <t xml:space="preserve">-I6130</t>
  </si>
  <si>
    <t xml:space="preserve">B1-LS-44016C</t>
  </si>
  <si>
    <t xml:space="preserve">FC FLR #12 1-STG-LVL C 
УРОВЕНЬ С 1 СТУПЕНИ КОНЕЧНОГО 
ФИЛЬТРА #12</t>
  </si>
  <si>
    <t xml:space="preserve">-I6131</t>
  </si>
  <si>
    <t xml:space="preserve">B1-LS-44019</t>
  </si>
  <si>
    <t xml:space="preserve">FC FLR #12 DRN TANK LVL 
УРОВЕНЬ ДРЕНАЖНОЙ ЕМКОСТИ КОНЕЧНОГО 
ФИЛЬТРА #12</t>
  </si>
  <si>
    <t xml:space="preserve">-I6132</t>
  </si>
  <si>
    <t xml:space="preserve">B1-XV-44070</t>
  </si>
  <si>
    <t xml:space="preserve">FCFLR #12 1 STG DRN VLV
ДРЕНАЖДНЫЙ КЛАПАН 1 СТУПЕНИ КОНЕЧНОГО 
ФИЛЬТРА #12</t>
  </si>
  <si>
    <t xml:space="preserve">-I6133</t>
  </si>
  <si>
    <t xml:space="preserve">-I6134</t>
  </si>
  <si>
    <t xml:space="preserve">FINAL FILTER #12 SIGNAL JB
СИГНАЛЬНАЯ СОЕД. КОРОБКА БЛОКА КОНЕЧНОГО ФИЛЬТРА #12</t>
  </si>
  <si>
    <t xml:space="preserve">-I6135</t>
  </si>
  <si>
    <t xml:space="preserve">-I6136</t>
  </si>
  <si>
    <t xml:space="preserve">-I6137</t>
  </si>
  <si>
    <t xml:space="preserve">-I6138</t>
  </si>
  <si>
    <t xml:space="preserve">B1-GD-44008</t>
  </si>
  <si>
    <t xml:space="preserve">PERFORMANCE HEATER &amp; FINAL FILTER #12
SKID GAS LEAKAGE DETECTION
ОПРЕДЛЕНИЕ УТЕЧКИ ГАЗА БЛОКА РАБОЧЕГО НАГРЕВАТЕЛЯ И КОНЕЧНОГО ФИЛЬТРА #12</t>
  </si>
  <si>
    <t xml:space="preserve">GAS PERFORMANCE HEATER &amp; FINAL FILTER SKID #12
РАБОЧИЙ НАГРЕВАТЕЛЬ ГАЗА И КОНЕЧНЫЙ ФИЛЬТР #12</t>
  </si>
  <si>
    <t xml:space="preserve">CCP-W-B044-25-ME-E03-0001_FGSS INTERCONNECTION WIRING DIAGRAM
Sheet 19 of 25</t>
  </si>
  <si>
    <t xml:space="preserve">-I6139</t>
  </si>
  <si>
    <t xml:space="preserve">B1-LCP-4405</t>
  </si>
  <si>
    <t xml:space="preserve">FUEL GAS CONDENSATE PUMP PNL
FOR FINAL FILTER #12
ПАНЕЛЬ НАСОСА КОНДЕНСАТА ТОПЛИВНОГО ГАЗА ДЛЯ КОНЕЧНОГО ФИЛЬТРА #12</t>
  </si>
  <si>
    <t xml:space="preserve">GT AREA #12
ПЛОЩАДКА ГТ #12</t>
  </si>
  <si>
    <t xml:space="preserve">-I6140</t>
  </si>
  <si>
    <t xml:space="preserve">B2-PIT-44013</t>
  </si>
  <si>
    <t xml:space="preserve">PF HTR #21 INL PR 
ДАВЛЕНИЕ НА ВХОДЕ РАБОЧЕГО НАГРЕВАТЕЛЯ #21</t>
  </si>
  <si>
    <t xml:space="preserve">GAS PERFORMANCE HEATER #21 SKID
БЛОК РАБОЧЕГО НАГРЕВАТЕЛЬ ГАЗА  #21</t>
  </si>
  <si>
    <t xml:space="preserve">B2-JB-4413</t>
  </si>
  <si>
    <t xml:space="preserve">GAS PERFORMANCE HEATER #21 SIGNAL JB
СИГНАЛЬНАЯ СОЕД. КОРОБКА РАБОЧЕГО НАГРЕВАТЕЛЬ ГАЗА #21</t>
  </si>
  <si>
    <t xml:space="preserve">CCP-W-B044-25-ME-E03-0001_FGSS INTERCONNECTION WIRING DIAGRAM
Sheet 20 of 25</t>
  </si>
  <si>
    <t xml:space="preserve">-I6141</t>
  </si>
  <si>
    <t xml:space="preserve">B2-TT-44010</t>
  </si>
  <si>
    <t xml:space="preserve">PF HTR #21 INL TEMP 
ТЕМПЕРАТУРА НА ВХОДЕ РАБОЧЕГО НАГРЕВАТЕЛЯ #21</t>
  </si>
  <si>
    <t xml:space="preserve">-I6142</t>
  </si>
  <si>
    <t xml:space="preserve">B2-PIT-44014</t>
  </si>
  <si>
    <t xml:space="preserve">PF HTR #21 OUTL PR 
ДАВЛЕНИЕ НА ВЫХОДЕ РАБОЧЕГО НАГРЕВАТЕЛЯ #21</t>
  </si>
  <si>
    <t xml:space="preserve">-I6143</t>
  </si>
  <si>
    <t xml:space="preserve">B2-TT-44011</t>
  </si>
  <si>
    <t xml:space="preserve">PF HTR #21 OUTL TMEP 
ТЕМПЕРАТУРА НА ВЫХОДЕ РАБОЧЕГО НАГРЕВАТЕЛЯ #21</t>
  </si>
  <si>
    <t xml:space="preserve">-I6144</t>
  </si>
  <si>
    <t xml:space="preserve">B2-TT-44012</t>
  </si>
  <si>
    <t xml:space="preserve">FC FLR #21 INL TEMP 
ТЕМПЕРАТУРА НА ВХОДЕ КОНЕЧНОГО ФИЛЬТРА #21</t>
  </si>
  <si>
    <t xml:space="preserve">-I6145</t>
  </si>
  <si>
    <t xml:space="preserve">B2-LS-44020A</t>
  </si>
  <si>
    <t xml:space="preserve">PF HTR #21 LVL A
УРОВЕНЬ А РАБОЧЕГО НАГРЕВАТЕЛЯ #21</t>
  </si>
  <si>
    <t xml:space="preserve">-I6146</t>
  </si>
  <si>
    <t xml:space="preserve">B2-LS-44020B</t>
  </si>
  <si>
    <t xml:space="preserve">PF HTR #21 LVL B
УРОВЕНЬ В РАБОЧЕГО НАГРЕВАТЕЛЯ #21</t>
  </si>
  <si>
    <t xml:space="preserve">-I6147</t>
  </si>
  <si>
    <t xml:space="preserve">B2-LS-44020C</t>
  </si>
  <si>
    <t xml:space="preserve">PF HTR #21 LVL C
УРОВЕНЬ С РАБОЧЕГО НАГРЕВАТЕЛЯ #21</t>
  </si>
  <si>
    <t xml:space="preserve">-I6148</t>
  </si>
  <si>
    <t xml:space="preserve">B2-XV-44071</t>
  </si>
  <si>
    <t xml:space="preserve">PF HTR #21 VLV
КЛАПАН РАБОЧЕГО НАГРЕВАТЕЛЯ #21</t>
  </si>
  <si>
    <t xml:space="preserve">-I6149</t>
  </si>
  <si>
    <t xml:space="preserve">B0-JB-4413</t>
  </si>
  <si>
    <t xml:space="preserve">GAS PERFORMANCE HEATER #21 SKID
БЛОК РАБОЧЕГО НАГРЕВАТЕЛЬ ГАЗА  # С</t>
  </si>
  <si>
    <t xml:space="preserve">-I6150</t>
  </si>
  <si>
    <t xml:space="preserve">-I6151</t>
  </si>
  <si>
    <t xml:space="preserve">-I6152</t>
  </si>
  <si>
    <t xml:space="preserve">-I6153</t>
  </si>
  <si>
    <t xml:space="preserve">B2-PDIT-44005</t>
  </si>
  <si>
    <t xml:space="preserve">FC FLR #21 DIFF PR
ПЕРЕПАД ДАВЛЕНИЯ КОНЕЧНОГО 
ФИЛЬТРА #21 </t>
  </si>
  <si>
    <t xml:space="preserve">FINAL FILTER #21 SKID
БЛОК КОНЕЧНОГО 
ФИЛЬТРА  #21 </t>
  </si>
  <si>
    <t xml:space="preserve">B2-JB-4414</t>
  </si>
  <si>
    <t xml:space="preserve">FINAL FILTER #21 SIGNAL JB
СИГНАЛЬНАЯ СОЕД. КОРОБКА КОНЕЧНОГО ФИЛЬТРА  #21 </t>
  </si>
  <si>
    <t xml:space="preserve">CCP-W-B044-25-ME-E03-0001_FGSS INTERCONNECTION WIRING DIAGRAM
Sheet 21 of 25</t>
  </si>
  <si>
    <t xml:space="preserve">-I6154</t>
  </si>
  <si>
    <t xml:space="preserve">B2-LS-44023A</t>
  </si>
  <si>
    <t xml:space="preserve">FC FLR #21 1 STG LVL A 
УРОВЕНЬ А 1 СТУПЕНИ КОНЕЧНОГО 
ФИЛЬТРА #21 </t>
  </si>
  <si>
    <t xml:space="preserve">-I6155</t>
  </si>
  <si>
    <t xml:space="preserve">B2-LS-44023B</t>
  </si>
  <si>
    <t xml:space="preserve">FC FLR #21 1-STG-LVL B
УРОВЕНЬ В 1 СТУПЕНИ  КОНЕЧНОГО 
ФИЛЬТРА #21 </t>
  </si>
  <si>
    <t xml:space="preserve">-I6156</t>
  </si>
  <si>
    <t xml:space="preserve">B2-LS-44023C</t>
  </si>
  <si>
    <t xml:space="preserve">FC FLR #21 1-STG-LVL C 
УРОВЕНЬ С 1 СТУПЕНИ КОНЕЧНОГО 
ФИЛЬТРА #21 </t>
  </si>
  <si>
    <t xml:space="preserve">-I6157</t>
  </si>
  <si>
    <t xml:space="preserve">B2-LS-44026</t>
  </si>
  <si>
    <t xml:space="preserve">FC FLR #21 DRN TANK LVL 
УРОВЕНЬ ДРЕНАЖНОЙ ЕМКОСТИ КОНЕЧНОГО ФИЛЬТРА  #21</t>
  </si>
  <si>
    <t xml:space="preserve">-I6158</t>
  </si>
  <si>
    <t xml:space="preserve">B2-XV-44072</t>
  </si>
  <si>
    <t xml:space="preserve">FCFLR #21 1 STG DRN VLV
ДРЕНАЖНЫЙ КЛАПАН 1 СТУПЕНИ КОНЕЧНОГО 
ФИЛЬТРА  #21</t>
  </si>
  <si>
    <t xml:space="preserve">-I6159</t>
  </si>
  <si>
    <t xml:space="preserve">-I6160</t>
  </si>
  <si>
    <t xml:space="preserve">-I6161</t>
  </si>
  <si>
    <t xml:space="preserve">-I6162</t>
  </si>
  <si>
    <t xml:space="preserve">-I6163</t>
  </si>
  <si>
    <t xml:space="preserve">-I6164</t>
  </si>
  <si>
    <t xml:space="preserve">B2-GD-44009</t>
  </si>
  <si>
    <t xml:space="preserve">PERFORMANCE HEATER &amp; FINAL FILTER #21
SKID GAS LEAKAGE DETECTION
ОПРЕДЛЕНИЕ УТЕЧКИ ГАЗА БЛОКА РАБОЧЕГО НАГРЕВАТЕЛЯ И КОНЕЧНОГО ФИЛЬТРА #21</t>
  </si>
  <si>
    <t xml:space="preserve">GAS PERFORMANCE HEATER &amp; FINAL FILTER SKID #21
БЛОК РАБОЧЕГО НАГРЕВАТЕЛЯ ГАЗА И КОНЕЧНОГО 
ФИЛЬТРА  #21 </t>
  </si>
  <si>
    <t xml:space="preserve">CCP-W-B044-25-ME-E03-0001_FGSS INTERCONNECTION WIRING DIAGRAM
Sheet 22 of 25</t>
  </si>
  <si>
    <t xml:space="preserve">-I6165</t>
  </si>
  <si>
    <t xml:space="preserve">B2-LCP-4406</t>
  </si>
  <si>
    <t xml:space="preserve">FUEL GAS CONDENSATE PUMP PNL
FOR FINAL FILTER #21
ПАНЕЛЬ НАСОСА КОНДЕНСАТА ТОПЛИВНОГО ГАЗА ДЛЯ КОНЕЧНОГО ФИЛЬТРА #21</t>
  </si>
  <si>
    <t xml:space="preserve">GT AREA #21
ПЛОЩАДКА ГТ #21</t>
  </si>
  <si>
    <t xml:space="preserve">-I6166</t>
  </si>
  <si>
    <t xml:space="preserve">B2-PIT-44015</t>
  </si>
  <si>
    <t xml:space="preserve">PF HTR #22 INL PR 
ДАВЛЕНИЕ НА ВХОДЕ РАБОЧЕГО НАГРЕВАТЕЛЯ #22</t>
  </si>
  <si>
    <t xml:space="preserve">GAS PERFORMANCE HEATER #22 SKID
БЛОК РАБОЧЕГО НАГРЕВАТЕЛЬ ГАЗА  #22</t>
  </si>
  <si>
    <t xml:space="preserve">B2-JB-4415</t>
  </si>
  <si>
    <t xml:space="preserve">GAS PERFORMANCE HEATER #22 SIGNAL JB
СИГНАЛЬНАЯ СОЕД. КОРОБКА РАБОЧЕГО НАГРЕВАТЕЛЬ ГАЗА  #22</t>
  </si>
  <si>
    <t xml:space="preserve">CCP-W-B044-25-ME-E03-0001_FGSS INTERCONNECTION WIRING DIAGRAM
Sheet 23 of 25</t>
  </si>
  <si>
    <t xml:space="preserve">-I6167</t>
  </si>
  <si>
    <t xml:space="preserve">B2-TT-44013</t>
  </si>
  <si>
    <t xml:space="preserve">PF HTR #22 INL TEMP
ТЕМПЕРАТУРА НА ВХОДЕ РАБОЧЕГО НАГРЕВАТЕЛЯ #22 </t>
  </si>
  <si>
    <t xml:space="preserve">-I6168</t>
  </si>
  <si>
    <t xml:space="preserve">B2-PIT-44016</t>
  </si>
  <si>
    <t xml:space="preserve">PF HTR #22 OUTL PR 
ДАВЛЕНИЕ НА ВЫХОДЕ РАБОЧЕГО НАГРЕВАТЕЛЯ #22</t>
  </si>
  <si>
    <t xml:space="preserve">-I6169</t>
  </si>
  <si>
    <t xml:space="preserve">B2-TT-44014</t>
  </si>
  <si>
    <t xml:space="preserve">PF HTR #22 OUTL TMEP
ТЕМПЕРАТУРА НА ВЫХОДЕ РАБОЧЕГО НАГРЕВАТЕЛЯ #22  </t>
  </si>
  <si>
    <t xml:space="preserve">-I6170</t>
  </si>
  <si>
    <t xml:space="preserve">B2-TT-44015</t>
  </si>
  <si>
    <t xml:space="preserve">FC FLR #22 INL TEMP 
ТЕМПЕРАТУРА НА ВХОДЕ КОНЕЧНОГО ФИЛЬТРА #22 </t>
  </si>
  <si>
    <t xml:space="preserve">-I6171</t>
  </si>
  <si>
    <t xml:space="preserve">B2-LS-44027A</t>
  </si>
  <si>
    <t xml:space="preserve">PF HTR #22 LVL A
УРОВЕНЬ А РАБОЧЕГО НАГРЕВАТЕЛЯ #22</t>
  </si>
  <si>
    <t xml:space="preserve">-I6172</t>
  </si>
  <si>
    <t xml:space="preserve">B2-LS-44027B</t>
  </si>
  <si>
    <t xml:space="preserve">PF HTR #22 LVL B
УРОВЕНЬ В РАБОЧЕГО НАГРЕВАТЕЛЯ #22</t>
  </si>
  <si>
    <t xml:space="preserve">-I6173</t>
  </si>
  <si>
    <t xml:space="preserve">B2-LS-44027C</t>
  </si>
  <si>
    <t xml:space="preserve">PF HTR #22 LVL C
УРОВЕНЬ С РАБОЧЕГО НАГРЕВАТЕЛЯ #22</t>
  </si>
  <si>
    <t xml:space="preserve">-I6174</t>
  </si>
  <si>
    <t xml:space="preserve">B2-XV-44073</t>
  </si>
  <si>
    <t xml:space="preserve">PF HTR #22 VLV
КЛАПАН РАБОЧЕГО НАГРЕВАТЕЛЯ #22</t>
  </si>
  <si>
    <t xml:space="preserve">-I6175</t>
  </si>
  <si>
    <t xml:space="preserve">B0-JB-4415</t>
  </si>
  <si>
    <t xml:space="preserve">-I6176</t>
  </si>
  <si>
    <t xml:space="preserve">-I6177</t>
  </si>
  <si>
    <t xml:space="preserve">-I6178</t>
  </si>
  <si>
    <t xml:space="preserve">-I6179</t>
  </si>
  <si>
    <t xml:space="preserve">B2-PDIT-44006</t>
  </si>
  <si>
    <t xml:space="preserve">FC FLR #22 DIFF PR
ПЕРЕПАД ДАВЛЕНИЯ КОНЕЧНОГО 
ФИЛЬТРА #22 </t>
  </si>
  <si>
    <t xml:space="preserve">FINAL FILTER #22 SKID
БЛОК КОНЕЧНОГО 
ФИЛЬТРА #22 </t>
  </si>
  <si>
    <t xml:space="preserve">B2-JB-4416</t>
  </si>
  <si>
    <t xml:space="preserve">FINAL FILTER #22 SIGNAL JB
СИГНАЛЬНАЯ СОЕД. КОРОБКА КОНЕЧНОГО ФИЛЬТРА #22 </t>
  </si>
  <si>
    <t xml:space="preserve">-I6180</t>
  </si>
  <si>
    <t xml:space="preserve">B2-LS-44030A</t>
  </si>
  <si>
    <t xml:space="preserve">FC FLR #22 1 STG LVL A 
УРОВЕНЬ А КОНЕЧНОГО ФИЛЬТРА #22</t>
  </si>
  <si>
    <t xml:space="preserve">-I6181</t>
  </si>
  <si>
    <t xml:space="preserve">B2-LS-44030B</t>
  </si>
  <si>
    <t xml:space="preserve">FC FLR #22 1-STG-LVL B 
УРОВЕНЬ В КОНЕЧНОГО ФИЛЬТРА #22</t>
  </si>
  <si>
    <t xml:space="preserve">-I6182</t>
  </si>
  <si>
    <t xml:space="preserve">B2-LS-44030C</t>
  </si>
  <si>
    <t xml:space="preserve">FC FLR #22 1-STG-LVL C 
УРОВЕНЬ С КОНЕЧНОГО ФИЛЬТРА #22</t>
  </si>
  <si>
    <t xml:space="preserve">-I6183</t>
  </si>
  <si>
    <t xml:space="preserve">B2-LS-44033</t>
  </si>
  <si>
    <t xml:space="preserve">FC FLR #22 DRN TANK LVL 
УРОВЕНЬ ДРЕНАЖНОЙ ЕМКОСТИ КОНЕЧНОГО ФИЛЬТРА #22</t>
  </si>
  <si>
    <t xml:space="preserve">-I6184</t>
  </si>
  <si>
    <t xml:space="preserve">B2-XV-44074</t>
  </si>
  <si>
    <t xml:space="preserve">FCFLR #22 1 STG DRN VLV
ДРЕНАЖНЫЙ КЛАПАН 1 СТУПЕНИ КОНЕЧНОГО ФИЛЬТРА #22</t>
  </si>
  <si>
    <t xml:space="preserve">-I6185</t>
  </si>
  <si>
    <t xml:space="preserve">-I6186</t>
  </si>
  <si>
    <t xml:space="preserve">-I6187</t>
  </si>
  <si>
    <t xml:space="preserve">-I6188</t>
  </si>
  <si>
    <t xml:space="preserve">-I6189</t>
  </si>
  <si>
    <t xml:space="preserve">-I6190</t>
  </si>
  <si>
    <t xml:space="preserve">B2-GD-44010</t>
  </si>
  <si>
    <t xml:space="preserve">PERFORMANCE HEATER &amp; FINAL FILTER #22
SKID GAS LEAKAGE DETECTION
ОПРЕДЛЕНИЕ УТЕЧКИ ГАЗА БЛОКА РАБОЧЕГО НАГРЕВАТЕЛЯ И КОНЕЧНОГО ФИЛЬТРА #22</t>
  </si>
  <si>
    <t xml:space="preserve">GAS PERFORMANCE HEATER &amp; FINAL FILTER SKID #22
БЛОК РАБОЧЕГО НАГРЕВАТЕЛЯ ГАЗА И КОНЕЧНОГО 
ФИЛЬТРА  #22</t>
  </si>
  <si>
    <t xml:space="preserve">CCP-W-B044-25-ME-E03-0001_FGSS INTERCONNECTION WIRING DIAGRAM
Sheet 25 of 25</t>
  </si>
  <si>
    <t xml:space="preserve">-I6191</t>
  </si>
  <si>
    <t xml:space="preserve">B2-LCP-4407</t>
  </si>
  <si>
    <t xml:space="preserve">FUEL GAS CONDENSATE PUMP PNL
FOR FINAL FILTER #22
ПАНЕЛЬ НАСОСА КОНДЕНСАТА ТОПЛИВНОГО ГАЗА ДЛЯ КОНЕЧНОГО ФИЛЬТРА #22</t>
  </si>
  <si>
    <t xml:space="preserve">GT AREA #22
ПЛОЩАДКА ГТ #22</t>
  </si>
  <si>
    <t xml:space="preserve">-I6290</t>
  </si>
  <si>
    <t xml:space="preserve">0.6/1kV CU.XLPE.IS.OS.LSZH 1.5mm2 - 10P</t>
  </si>
  <si>
    <t xml:space="preserve">B0-LCP-4401</t>
  </si>
  <si>
    <t xml:space="preserve">GAS PRE-HEATER #1 LCP
ПРЕДВАРИТЕЛЬНЫЙ ПОДОГРЕВАТЕЛЬ ГАЗА #1</t>
  </si>
  <si>
    <t xml:space="preserve">GAS PRE-HEATER #1
ПОДОГРЕВАТЕЛЬ ГАЗА #1</t>
  </si>
  <si>
    <t xml:space="preserve">CCP-W-B044-25-ME-H99-0011_FGSS_INSTRUMENT LOCATION DRAWING FOR PRE- HEATER Sheet 1of 2</t>
  </si>
  <si>
    <t xml:space="preserve">-I6291</t>
  </si>
  <si>
    <t xml:space="preserve">-I6292</t>
  </si>
  <si>
    <t xml:space="preserve">-I6293</t>
  </si>
  <si>
    <t xml:space="preserve">-I6294</t>
  </si>
  <si>
    <t xml:space="preserve">B0-LCP-4402</t>
  </si>
  <si>
    <t xml:space="preserve">GAS PRE-HEATER #2 LCP
ПРЕДВАРИТЕЛЬНЫЙ ПОДОГРЕВАТЕЛЬ ГАЗА #2</t>
  </si>
  <si>
    <t xml:space="preserve">GAS PRE-HEATER #2
ПОДОГРЕВАТЕЛЬ ГАЗА #2</t>
  </si>
  <si>
    <t xml:space="preserve">CCP-W-B044-25-ME-H99-0011_FGSS_INSTRUMENT LOCATION DRAWING FOR PRE- HEATER Sheet 2of 2</t>
  </si>
  <si>
    <t xml:space="preserve">-I6295</t>
  </si>
  <si>
    <t xml:space="preserve">-I6296</t>
  </si>
  <si>
    <t xml:space="preserve">-I6297</t>
  </si>
  <si>
    <t xml:space="preserve">-I6298</t>
  </si>
  <si>
    <t xml:space="preserve">Added</t>
  </si>
  <si>
    <t xml:space="preserve">-I6299</t>
  </si>
  <si>
    <t xml:space="preserve">
 Note/Примечания:</t>
  </si>
  <si>
    <t xml:space="preserve">CABLE SCHEDULE AND CABLE LIST (ELETRICAL)
ВЕДОМОСТЬ КАБЕЛЕЙ И КАБЕЛЬНЫЙ ЖУРНАЛ</t>
  </si>
  <si>
    <t xml:space="preserve">NORMAL POWER</t>
  </si>
  <si>
    <t xml:space="preserve">-P2001</t>
  </si>
  <si>
    <t xml:space="preserve">0.6/1kV CU.XLPE.LSZH 3C-35mm², 1C-16mm2 (PE)</t>
  </si>
  <si>
    <t xml:space="preserve">B0-PP-44601</t>
  </si>
  <si>
    <t xml:space="preserve">400-230V MCC PANEL
ПАНЕЛЬ ЩУЭ 400-230В</t>
  </si>
  <si>
    <t xml:space="preserve">LOCAL ELECTRICAL ROOM
МЕСТНАЯ ЩИТОВАЯ</t>
  </si>
  <si>
    <t xml:space="preserve">GAS PRE-HEATER LCP #1
МПУ ПОДОГРЕВАТЕЛЯ ГАЗА #1</t>
  </si>
  <si>
    <t xml:space="preserve">GAS PRE-HEATER  #1
ПОДОГРЕВАТЕЛЬ ГАЗА #1</t>
  </si>
  <si>
    <t xml:space="preserve">380 VAC</t>
  </si>
  <si>
    <t xml:space="preserve">YL / GN / RD / YL&amp;GN(PE)
ЖЕЛТ./ЗЕЛ./КРАСН./
ЖЕЛТ.-ЗЕЛ.(ЗАЗЕМЛ.)</t>
  </si>
  <si>
    <t xml:space="preserve">146</t>
  </si>
  <si>
    <t xml:space="preserve">CCP-W-B044-25-ME-E13-0001_FGSS_POWER SUPPLY DISTRIBUTION DRAWING INCLUDING SINGLE LINE DIAGRAM</t>
  </si>
  <si>
    <t xml:space="preserve">-P2002</t>
  </si>
  <si>
    <t xml:space="preserve">GAS PRE-HEATER LCP #2
МПУ ПОДОГРЕВАТЕЛЯ ГАЗА #2</t>
  </si>
  <si>
    <t xml:space="preserve">GAS PRE-HEATER  #2
ПОДОГРЕВАТЕЛЬ ГАЗА #2</t>
  </si>
  <si>
    <t xml:space="preserve">136</t>
  </si>
  <si>
    <t xml:space="preserve">-P2003</t>
  </si>
  <si>
    <t xml:space="preserve">0.6/1kV CU.XLPE.LSZH 4C-25mm², 1C-16mm2(PE)</t>
  </si>
  <si>
    <t xml:space="preserve">B0-EHT-4401</t>
  </si>
  <si>
    <t xml:space="preserve">ELETRIC HEAT TRACING PANEL
ПАНЕЛЬ ЭЛЕКТРИЧЕСКОГО ТЕПЛОСПУТНИКА</t>
  </si>
  <si>
    <t xml:space="preserve">FGSS
СПТГ</t>
  </si>
  <si>
    <t xml:space="preserve">230 VAC</t>
  </si>
  <si>
    <t xml:space="preserve">YL / GN / RD / BL YL&amp;GN(PE)
ЖЕЛТ./ЗЕЛ./КРАСН./
СИНИЙ/ЖЕЛТ- ЗЕЛ.(ЗАЗЕМЛ.)</t>
  </si>
  <si>
    <t xml:space="preserve">141</t>
  </si>
  <si>
    <t xml:space="preserve">-P2004</t>
  </si>
  <si>
    <t xml:space="preserve">0.6/1kV CU.XLPE.LSZH 4C+PE-6mm²</t>
  </si>
  <si>
    <t xml:space="preserve">DRAIN PUMP 3-PH POWER VENT &amp; DRAIN SYSTEM (LOCAL CONTROL PANEL)
СИЕТМА СПУСКА И ДРЕНАЖА 3-ФАЗНОГО НАСОСА ДРЕНАЖА (МЕСТНАЯ ПАНЕЛЬ УПРАВЛЕНИЯ)</t>
  </si>
  <si>
    <t xml:space="preserve">187</t>
  </si>
  <si>
    <t xml:space="preserve">-P2005</t>
  </si>
  <si>
    <t xml:space="preserve">0.6/1kV CU.XLPE.LSZH 2C+PE-6mm²</t>
  </si>
  <si>
    <t xml:space="preserve">B0-JBP-4401</t>
  </si>
  <si>
    <t xml:space="preserve">GC ANALYZER POWER JUNCTION BOX
СИЛОВАЯ СОЕДИНИТЕЛЬНАЯ КОРОБКА АНАЛИЗАТОРА ГХ</t>
  </si>
  <si>
    <t xml:space="preserve">GC ANALYZER SYSTEM 
СИСТЕМА АНАЛИЗАТОРА ГХ</t>
  </si>
  <si>
    <t xml:space="preserve">YL / BL / YL&amp;GN(PE)
ЖЕЛТЫЙ/
СИНИЙ/ЖЕЛТО- ЗЕЛ.(ЗАЗЕМЛ.)</t>
  </si>
  <si>
    <t xml:space="preserve">173</t>
  </si>
  <si>
    <t xml:space="preserve">-P2006</t>
  </si>
  <si>
    <t xml:space="preserve">AUX BOILER BUILDING
LOCAL ELECTRICAL ROOM
МЕСТНАЯ ЩИТОВАЯ ЗДАНИЯ КОТЕЛЬНОЙ СОБСТВЕННЫХ НУЖД</t>
  </si>
  <si>
    <t xml:space="preserve">8</t>
  </si>
  <si>
    <t xml:space="preserve">-P2007</t>
  </si>
  <si>
    <t xml:space="preserve">B0-JBP-4403</t>
  </si>
  <si>
    <t xml:space="preserve">PRS WORK/POSN PILOT HEATER POWER
ПИТАНИЕ ОБОГРЕВАТЕЛЯ УПРАВЛЕНИЯ РАБОЧЕГО КЛАПАНА/ПОЗИЦИОНЕРА СИСТЕМЫ РЕГУЛИРОВАНИЯ ДАВЛЕНИЯ</t>
  </si>
  <si>
    <t xml:space="preserve">147</t>
  </si>
  <si>
    <t xml:space="preserve"> UPS PANEL</t>
  </si>
  <si>
    <t xml:space="preserve">-P2021</t>
  </si>
  <si>
    <t xml:space="preserve">B0-UPSP-44701</t>
  </si>
  <si>
    <t xml:space="preserve">230V UPS DIST PANEL
ДИСТ. ПАНЕЛЬ ИБП 230В</t>
  </si>
  <si>
    <t xml:space="preserve">-P2022</t>
  </si>
  <si>
    <t xml:space="preserve">-P2023</t>
  </si>
  <si>
    <t xml:space="preserve">GC ANALYZER UPS POWER JUNCTION BOX
СИЛОВАЯ СОЕД. КОРОБКА ИБП 
АНАЛИЗАТОРА ГХ</t>
  </si>
  <si>
    <t xml:space="preserve">-P2024</t>
  </si>
  <si>
    <t xml:space="preserve">ESDV LCS
МЕСТНЫЙ ПУЛЬТ УПРАВЛЕНИЯ 
АВАРИЙНОЙ ЗАДВИЖКИ
</t>
  </si>
  <si>
    <t xml:space="preserve">179</t>
  </si>
  <si>
    <t xml:space="preserve">-P2025</t>
  </si>
  <si>
    <t xml:space="preserve">GAS DETECTION SYSTEM
СИСТЕМА ОПРЕДЕЛЕНИЯ ГАЗА</t>
  </si>
  <si>
    <t xml:space="preserve">HEAT TRACING POWER(Feeder from EHT PNL)</t>
  </si>
  <si>
    <t xml:space="preserve">-P2101</t>
  </si>
  <si>
    <t xml:space="preserve">0.6/1kV CU.XLPE.LSZH 2C+PE-4mm²</t>
  </si>
  <si>
    <t xml:space="preserve">NEAR GAS PRE HEATER SKID
(NON HAZARDOUS AREA)
БЛИЖАЙШИЙ БЛОК 
ПОДОГРЕВАТЕЛЯ ГАЗА 
(БЕЗОПАСНАЯ ПЛОЩАДКА)</t>
  </si>
  <si>
    <t xml:space="preserve">B0-JBP-4411</t>
  </si>
  <si>
    <t xml:space="preserve">POWER KIT#1
КОМПЛЕКТ ЭНЕРГОСНАБЖЕНИЯ #1</t>
  </si>
  <si>
    <t xml:space="preserve">GAS PRE-HEATER#1-1 OUTLET
ВЫХОД 1 ПОДОГРЕВАТЕЛЯ ГАЗА #1 </t>
  </si>
  <si>
    <t xml:space="preserve">MFR.STD
СТАНД. ИЗГОТОВ.</t>
  </si>
  <si>
    <t xml:space="preserve">EHT PKG DRAWING (LATER)</t>
  </si>
  <si>
    <t xml:space="preserve">-P2102</t>
  </si>
  <si>
    <t xml:space="preserve">B0-JBP-4412</t>
  </si>
  <si>
    <t xml:space="preserve">POWER KIT#2
КОМПЛЕКТ ЭНЕРГОСНАБЖЕНИЯ #2</t>
  </si>
  <si>
    <t xml:space="preserve">GAS PRE-HEATER#1-2 OUTLET
ВЫХОД 2 ПОДОГРЕВАТЕЛЯ ГАЗА #1</t>
  </si>
  <si>
    <t xml:space="preserve">-P2103</t>
  </si>
  <si>
    <t xml:space="preserve">B0-JBP-4413</t>
  </si>
  <si>
    <t xml:space="preserve">POWER KIT#3
КОМПЛЕКТ ЭНЕРГОСНАБЖЕНИЯ #3</t>
  </si>
  <si>
    <t xml:space="preserve">GAS PRE-HEATER#2 OUTLET
ВЫХОД ПОДОГРЕВАТЕЛЯ ГАЗА #2</t>
  </si>
  <si>
    <t xml:space="preserve">-P2104</t>
  </si>
  <si>
    <t xml:space="preserve">B0-JBP-4414</t>
  </si>
  <si>
    <t xml:space="preserve">POWER KIT#4
КОМПЛЕКТ ЭНЕРГОСНАБЖЕНИЯ #4</t>
  </si>
  <si>
    <t xml:space="preserve">GAS PRE-HEATER#1&amp;#2 OUTLET
ВЫХОД ПОДОГРЕВАТЕЛЯ ГАЗА #1 и 2</t>
  </si>
  <si>
    <t xml:space="preserve">-P2105</t>
  </si>
  <si>
    <t xml:space="preserve">B0-JBP-4415</t>
  </si>
  <si>
    <t xml:space="preserve">POWER KIT#5
КОМПЛЕКТ ЭНЕРГОСНАБЖЕНИЯ #5</t>
  </si>
  <si>
    <t xml:space="preserve">PRV INLET
ВПУСК РАЗГРУЗОЧНОГО КЛАПАНА</t>
  </si>
  <si>
    <t xml:space="preserve">-P2106</t>
  </si>
  <si>
    <t xml:space="preserve">B0-JBP-4416</t>
  </si>
  <si>
    <t xml:space="preserve">POWER KIT#6
КОМПЛЕКТ ЭНЕРГОСНАБЖЕНИЯ #6</t>
  </si>
  <si>
    <t xml:space="preserve">PRV OUTLET
ВЫПУСК РАЗГРУЗОЧНОГО КЛАПАНА</t>
  </si>
  <si>
    <t xml:space="preserve">-P2107</t>
  </si>
  <si>
    <t xml:space="preserve">B0-JBP-4417</t>
  </si>
  <si>
    <t xml:space="preserve">POWER KIT#7
КОМПЛЕКТ ЭНЕРГОСНАБЖЕНИЯ #7</t>
  </si>
  <si>
    <t xml:space="preserve">-P2108</t>
  </si>
  <si>
    <t xml:space="preserve">B0-JBP-4418</t>
  </si>
  <si>
    <t xml:space="preserve">POWER KIT#8
КОМПЛЕКТ ЭНЕРГОСНАБЖЕНИЯ #8</t>
  </si>
  <si>
    <t xml:space="preserve">FGSS OUTLET
ВЫПУСК СПТГ</t>
  </si>
  <si>
    <t xml:space="preserve">-P2109</t>
  </si>
  <si>
    <t xml:space="preserve">B0-JBP-4419</t>
  </si>
  <si>
    <t xml:space="preserve">POWER KIT#9
КОМПЛЕКТ ЭНЕРГОСНАБЖЕНИЯ #9</t>
  </si>
  <si>
    <t xml:space="preserve">-P2110</t>
  </si>
  <si>
    <t xml:space="preserve">B0-JBP-4420</t>
  </si>
  <si>
    <t xml:space="preserve">POWER KIT#10
КОМПЛЕКТ ЭНЕРГОСНАБЖЕНИЯ #10</t>
  </si>
  <si>
    <t xml:space="preserve">CONDENSATE TANK
(FLTER TO DRAIN)
ЕМКОСТЬ КОНДЕНСАТА 
(ФИЛЬТР В ДРЕНАЖ)</t>
  </si>
  <si>
    <t xml:space="preserve">-P2111</t>
  </si>
  <si>
    <t xml:space="preserve">B0-JBP-4421</t>
  </si>
  <si>
    <t xml:space="preserve">POWER KIT#11
КОМПЛЕКТ ЭНЕРГОСНАБЖЕНИЯ #11</t>
  </si>
  <si>
    <t xml:space="preserve">FILTER SEP #11
(FLTER TO DRAIN)
ФИЛЬТР-СЕПАРАТОР #А
(ФИЛЬТР В ДРЕНАЖ)</t>
  </si>
  <si>
    <t xml:space="preserve">-P2112</t>
  </si>
  <si>
    <t xml:space="preserve">B0-JBP-4422</t>
  </si>
  <si>
    <t xml:space="preserve">POWER KIT#12
КОМПЛЕКТ ЭНЕРГОСНАБЖЕНИЯ #12</t>
  </si>
  <si>
    <t xml:space="preserve">FILTER SEP #11
ФИЛЬТР-СЕПАРАТОР #А
(LS-44001/2)</t>
  </si>
  <si>
    <t xml:space="preserve">-P2113</t>
  </si>
  <si>
    <t xml:space="preserve">B0-JBP-4423</t>
  </si>
  <si>
    <t xml:space="preserve">POWER KIT#13
КОМПЛЕКТ ЭНЕРГОСНАБЖЕНИЯ #13</t>
  </si>
  <si>
    <t xml:space="preserve">FILTER SEP #11
ФИЛЬТР-СЕПАРАТОР #А
(LG-44001/2)</t>
  </si>
  <si>
    <t xml:space="preserve">-P2114</t>
  </si>
  <si>
    <t xml:space="preserve">B0-JBP-4424</t>
  </si>
  <si>
    <t xml:space="preserve">POWER KIT#14
КОМПЛЕКТ ЭНЕРГОСНАБЖЕНИЯ #14</t>
  </si>
  <si>
    <t xml:space="preserve">FILTER SEP #B
ФИЛЬТР-СЕПАРАТОР #В
(LS-44003/4)</t>
  </si>
  <si>
    <t xml:space="preserve">-P2115</t>
  </si>
  <si>
    <t xml:space="preserve">B0-JBP-4425</t>
  </si>
  <si>
    <t xml:space="preserve">POWER KIT#15
КОМПЛЕКТ ЭНЕРГОСНАБЖЕНИЯ #15</t>
  </si>
  <si>
    <t xml:space="preserve">FILTER SEP #B
ФИЛЬТР-СЕПАРАТОР #В
(LG-44003/4)</t>
  </si>
  <si>
    <t xml:space="preserve">-P2116</t>
  </si>
  <si>
    <t xml:space="preserve">B0-JBP-4426</t>
  </si>
  <si>
    <t xml:space="preserve">POWER KIT#16
КОМПЛЕКТ ЭНЕРГОСНАБЖЕНИЯ #16</t>
  </si>
  <si>
    <t xml:space="preserve">CONDENSATE TANK
(CONDENSATE TO DRAIN PUMP)
ЕМКОСТЬ КОНДЕНСАТА 
(КОНДЕНСАТ НА ДРЕНАЖНЫЙ НАСОС)</t>
  </si>
  <si>
    <t xml:space="preserve">-P2117</t>
  </si>
  <si>
    <t xml:space="preserve">B0-JBP-4427</t>
  </si>
  <si>
    <t xml:space="preserve">POWER KIT#17
КОМПЛЕКТ ЭНЕРГОСНАБЖЕНИЯ #17</t>
  </si>
  <si>
    <t xml:space="preserve">CONDENSATE TANK
ЕМКОСТЬ КОНДЕНСАТА 
(LG-44005,LS-44005)</t>
  </si>
  <si>
    <t xml:space="preserve">-P2118</t>
  </si>
  <si>
    <t xml:space="preserve">B0-JBP-4428</t>
  </si>
  <si>
    <t xml:space="preserve">POWER KIT#18
КОМПЛЕКТ ЭНЕРГОСНАБЖЕНИЯ #18</t>
  </si>
  <si>
    <t xml:space="preserve">FILTER SEP #11
ФИЛЬТР-СЕПАРАТОР #А
(FT-44001)</t>
  </si>
  <si>
    <t xml:space="preserve">-P2119</t>
  </si>
  <si>
    <t xml:space="preserve">B0-JBP-4429</t>
  </si>
  <si>
    <t xml:space="preserve">POWER KIT#19
КОМПЛЕКТ ЭНЕРГОСНАБЖЕНИЯ #19</t>
  </si>
  <si>
    <t xml:space="preserve">FILTER SEP #B
ФИЛЬТР-СЕПАРАТОР #В
(FT-44002)</t>
  </si>
  <si>
    <t xml:space="preserve">-P2120</t>
  </si>
  <si>
    <t xml:space="preserve">B0-JBP-4430</t>
  </si>
  <si>
    <t xml:space="preserve">POWER KIT#20
КОМПЛЕКТ ЭНЕРГОСНАБЖЕНИЯ #20</t>
  </si>
  <si>
    <t xml:space="preserve">CONDENSATE TANK
ЕМКОСТЬ КОНДЕНСАТА
(TK-44001)</t>
  </si>
  <si>
    <t xml:space="preserve">INSIDE SKID CABLE</t>
  </si>
  <si>
    <t xml:space="preserve">-P2121</t>
  </si>
  <si>
    <t xml:space="preserve">GC ANALYZER POWER JUNCTION BOX
СИЛОВАЯ СОЕД. КОРОБКА АНАЛИЗАТОРА ГХ</t>
  </si>
  <si>
    <t xml:space="preserve">THERMOSTAT #1
ТЕРМОСТАТ  #1</t>
  </si>
  <si>
    <t xml:space="preserve">ANALYZER CABINET
ШКАФ АНАЛИЗАТОРА</t>
  </si>
  <si>
    <t xml:space="preserve">5</t>
  </si>
  <si>
    <t xml:space="preserve">-P2122</t>
  </si>
  <si>
    <t xml:space="preserve">THERMOSTAT #2
ТЕРМОСТАТ  #2</t>
  </si>
  <si>
    <t xml:space="preserve">-P2123</t>
  </si>
  <si>
    <t xml:space="preserve">LIGHT
ОСВЕЩЕНИЕ</t>
  </si>
  <si>
    <t xml:space="preserve">-P2124</t>
  </si>
  <si>
    <t xml:space="preserve">HEATER #1
НАГРЕВАТЕЛЬ  #1</t>
  </si>
  <si>
    <t xml:space="preserve">-P2125</t>
  </si>
  <si>
    <t xml:space="preserve">HEATER #2
НАГРЕВАТЕЛЬ  #2</t>
  </si>
  <si>
    <t xml:space="preserve">-P2126</t>
  </si>
  <si>
    <t xml:space="preserve">HEATER #3
НАГРЕВАТЕЛЬ  #3</t>
  </si>
  <si>
    <t xml:space="preserve">-P2127</t>
  </si>
  <si>
    <t xml:space="preserve">HEATER #4
НАГРЕВАТЕЛЬ  #4</t>
  </si>
  <si>
    <t xml:space="preserve">-P2132</t>
  </si>
  <si>
    <t xml:space="preserve">PRESSURE RESULATING SYSTEM
СИСТЕМА РЕГУЛИРОВАНИЯ ДАВЛЕНИЯ</t>
  </si>
  <si>
    <t xml:space="preserve">ELETRIC PILOT HEATER PRS A WORKER
'ЭЛЕКТРИЧЕСКИЙ ОБОГРЕВАТЕЛЬ УПРАВЛЕНИЯ РАБОЧЕГО КЛАПАНА СИСТЕМЫ РЕГУЛИРОВАНИЯ ДАВЛЕНИЯ А</t>
  </si>
  <si>
    <t xml:space="preserve">10</t>
  </si>
  <si>
    <t xml:space="preserve">SPECIAL CABLE BY MANUFACTURER
СПЕЦИАЛЬНЫЙ КАБЕЛЬ 
В ОБЪЕМЕ ИЗГОТОВИТЕЛЯ</t>
  </si>
  <si>
    <t xml:space="preserve">-P2133</t>
  </si>
  <si>
    <t xml:space="preserve">ELETRIC PILOT HEATER PRS A MONITOR
ЭЛЕКТРИЧЕСКИЙ ОБОГРЕВАТЕЛЬ УПРАВЛЕНИЯ КОНТРОЛЬНОГО КЛАПАНА СИСТЕМЫ РЕГУЛИРОВАНИЯ ДАВЛЕНИЯ А</t>
  </si>
  <si>
    <t xml:space="preserve">-P2134</t>
  </si>
  <si>
    <t xml:space="preserve">ELETRIC PILOT HEATER PRS B WORKER
ЭЛЕКТРИЧЕСКИЙ ОБОГРЕВАТЕЛЬ УПРАВЛЕНИЯ РАБОЧЕГО КЛАПАНА СИСТЕМЫ РЕГУЛИРОВАНИЯ ДАВЛЕНИЯ В</t>
  </si>
  <si>
    <t xml:space="preserve">-P2135</t>
  </si>
  <si>
    <t xml:space="preserve">ELETRIC PILOT HEATER PRS B MONITOR
ЭЛЕКТРИЧЕСКИЙ ОБОГРЕВАТЕЛЬ УПРАВЛЕНИЯ КОНТРОЛЬНОГО КЛАПАНА СИСТЕМЫ РЕГУЛИРОВАНИЯ ДАВЛЕНИЯ В</t>
  </si>
  <si>
    <t xml:space="preserve">-P2136</t>
  </si>
  <si>
    <t xml:space="preserve">0.6/1kV CU.XLPE.LSZH 3C+PE-4mm²</t>
  </si>
  <si>
    <t xml:space="preserve">DRAIN PUMP 3-PH POWER VENT &amp; DRAIN SYSTEM PNL
ПИТАНИЕ 3-ФАЗНОГО ДРЕНАЖНОГО НАСОСА СИСТЕМЫ СПУСКА И ДРЕНАЖА
(МЕСТНАЯ ПАНЕЛЬ УПРАВЛЕНИЯ)</t>
  </si>
  <si>
    <t xml:space="preserve">FUEL GAS VENT &amp; DRAIN SYSTEM
СИСТЕМА СПУСКА И ДРЕНАЖА ТОПЛИВНОГО ГАЗА</t>
  </si>
  <si>
    <t xml:space="preserve">B0-P-44001</t>
  </si>
  <si>
    <t xml:space="preserve">PUMP FOR FGSS DRAIN TANK
НАСОС ДЛЯ ДРЕНАЖНОЙ ЕМКОСТИ СПТГ</t>
  </si>
  <si>
    <t xml:space="preserve">-P2137</t>
  </si>
  <si>
    <t xml:space="preserve">FUEL GAS CONDENSATE PUMP PNL
FOR FINAL FILTER #11
ПАНЕЛЬ НАСОСА КОНДЕНСАТА ТОПЛИВНОГО ГАЗА ДЛЯ КОНЕЧНОГО ФИЛЬТРА #11</t>
  </si>
  <si>
    <t xml:space="preserve">GT AREA #11
ПЛОЩАДКА ГТ #11</t>
  </si>
  <si>
    <t xml:space="preserve">B0-P-44002</t>
  </si>
  <si>
    <t xml:space="preserve">FUEL GAS CONDENSATE PUMP
FOR FINAL FILTER #11
ПАНЕЛЬ НАСОСА КОНДЕНСАТА ТОПЛИВНОГО ДЛЯ КОНЕЧНОГО ФИЛЬТРА #11</t>
  </si>
  <si>
    <t xml:space="preserve">-P2138</t>
  </si>
  <si>
    <t xml:space="preserve">B0-P-44003</t>
  </si>
  <si>
    <t xml:space="preserve">FUEL GAS CONDENSATE PUMP
FOR FINAL FILTER #12
ПАНЕЛЬ НАСОСА КОНДЕНСАТА ТОПЛИВНОГО ДЛЯ КОНЕЧНОГО ФИЛЬТРА #12</t>
  </si>
  <si>
    <t xml:space="preserve">-P2139</t>
  </si>
  <si>
    <t xml:space="preserve">B0-P-44004</t>
  </si>
  <si>
    <t xml:space="preserve">FUEL GAS CONDENSATE PUMP
FOR FINAL FILTER #21
ПАНЕЛЬ НАСОСА КОНДЕНСАТА ТОПЛИВНОГО  ДЛЯ КОНЕЧНОГО ФИЛЬТРА #21</t>
  </si>
  <si>
    <t xml:space="preserve">-P2140</t>
  </si>
  <si>
    <t xml:space="preserve">B0-P-44005</t>
  </si>
  <si>
    <r>
      <rPr>
        <sz val="18"/>
        <color rgb="FFFF0000"/>
        <rFont val="Arial"/>
        <family val="2"/>
      </rPr>
      <t xml:space="preserve">FUEL GAS CONDENSATE PUMP
FOR FINAL FILTER #22
ПАНЕЛЬ НАСОСА КОНДЕНСАТА ТОПЛИВНОГО  ДЛЯ КОНЕЧНОГО ФИЛЬТРА #</t>
    </r>
    <r>
      <rPr>
        <sz val="18"/>
        <color rgb="FFFF0000"/>
        <rFont val="맑은 고딕"/>
        <family val="3"/>
        <charset val="129"/>
      </rPr>
      <t xml:space="preserve">2</t>
    </r>
    <r>
      <rPr>
        <sz val="18"/>
        <color rgb="FFFF0000"/>
        <rFont val="Arial"/>
        <family val="2"/>
      </rPr>
      <t xml:space="preserve">2</t>
    </r>
  </si>
  <si>
    <t xml:space="preserve">NORMAL POWER (FROM CLIENT MCC PANEL, B0-MCC-64602) / CLIENT/ЗАКАЗЧИК SCOPE</t>
  </si>
  <si>
    <t xml:space="preserve">1</t>
  </si>
  <si>
    <t xml:space="preserve">BY CLIENT/ЗАКАЗЧИКОМ</t>
  </si>
  <si>
    <t xml:space="preserve">0.6/1kV CU.XLPE.LSZH 5C-150mm²(3Ph+N) / 95mm2(PE)</t>
  </si>
  <si>
    <t xml:space="preserve">B0-MCC-64602</t>
  </si>
  <si>
    <t xml:space="preserve">LV SWGR
РУНН</t>
  </si>
  <si>
    <t xml:space="preserve">400-230V MCC PANEL
ПАНЕЛЬ ЩУЭ 400-230В </t>
  </si>
  <si>
    <t xml:space="preserve">400 VAC</t>
  </si>
  <si>
    <t xml:space="preserve">BY CLIENT/
ЗАКАЗЧИКОМ</t>
  </si>
  <si>
    <t xml:space="preserve">UPS POWER ( FROM CLIENT UPS PANEL, B0-UPSP-64702) / CLIENT/ЗАКАЗЧИК  SCOPE</t>
  </si>
  <si>
    <t xml:space="preserve">0.6/1kV CU.XLPE.LSZH 3C-10mm²(1Ph+N)</t>
  </si>
  <si>
    <t xml:space="preserve">B0-UPSP-64701</t>
  </si>
  <si>
    <t xml:space="preserve">UPS PANEL(BY CLINET)
ПАНЕЛЬ ИБП (В ОБЪЕМЕ ЗАКАЗЧИКА)</t>
  </si>
  <si>
    <t xml:space="preserve">2</t>
  </si>
  <si>
    <t xml:space="preserve">B0-UPSP-64702</t>
  </si>
  <si>
    <t xml:space="preserve">PLC PANEL(Redundant)
ПАНЕЛЬ ПЛК (Резервная)</t>
  </si>
  <si>
    <t xml:space="preserve">3</t>
  </si>
  <si>
    <t xml:space="preserve">0.6/1kV CU.XLPE.LSZH 3C-50mm²(1Ph+N) / 25mm2(PE)</t>
  </si>
  <si>
    <t xml:space="preserve">NORMAL POWER (FROM EACH GT AREA CLIENT/ЗАКАЗЧИК MCC PANEL) / CLIENT/ЗАКАЗЧИК  SCOPE</t>
  </si>
  <si>
    <t xml:space="preserve">GT#11 MCC PNL</t>
  </si>
  <si>
    <t xml:space="preserve">GT#11 MCC PANEL(BY CLIENT)
ПАНЕЛЬ ЩУЭ ГТ #11 (В ОБЪЕМЕ ЗАКАЗЧИКА)</t>
  </si>
  <si>
    <t xml:space="preserve">GT #11 AREA
ПЛОЩАДКА ГТ #11</t>
  </si>
  <si>
    <t xml:space="preserve">GT#12 MCC PNL</t>
  </si>
  <si>
    <t xml:space="preserve">GT#B MCC PANEL(BY CLIENT/ЗАКАЗЧИКОМ)
ПАНЕЛЬ ЩУЭ ГТ #В (В ОБЪЕМЕ ЗАКАЗЧИКА)</t>
  </si>
  <si>
    <t xml:space="preserve">GT #12 AREA
ПЛОЩАДКА ГТ #12</t>
  </si>
  <si>
    <t xml:space="preserve">GT#21 MCC PNL</t>
  </si>
  <si>
    <t xml:space="preserve">GT#C MCC PANEL(BY CLIENT/ЗАКАЗЧИКОМ)
ПАНЕЛЬ ЩУЭ ГТ #С (В ОБЪЕМЕ ЗАКАЗЧИКА)</t>
  </si>
  <si>
    <t xml:space="preserve">GT #21 AREA
ПЛОЩАДКА ГТ #21</t>
  </si>
  <si>
    <t xml:space="preserve">4</t>
  </si>
  <si>
    <t xml:space="preserve">GT#22 MCC PNL</t>
  </si>
  <si>
    <t xml:space="preserve">GT#22 MCC PANEL(BY CLIENT/ЗАКАЗЧИКОМ)
ПАНЕЛЬ ЩУЭ ГТ #22 (В ОБЪЕМЕ ЗАКАЗЧИКА)</t>
  </si>
  <si>
    <t xml:space="preserve">GT #22 AREA
ПЛОЩАДКА ГТ #22</t>
  </si>
  <si>
    <t xml:space="preserve">CABLE SCHEDULE AND CABLE LIST (GAS PRE-HEATER)
ВЕДОМОСТЬ КАБЕЛЕЙ И КАБЕЛЬНЫЙ ЖУРНАЛ</t>
  </si>
  <si>
    <t xml:space="preserve">-I6201</t>
  </si>
  <si>
    <t xml:space="preserve">B0-BZ-44101</t>
  </si>
  <si>
    <t xml:space="preserve">ACTUATOR CONTROL
УПРАВЛЕНИЕ ПРИВОДОМ</t>
  </si>
  <si>
    <t xml:space="preserve">FIELD A
ПЛОЩАДКА</t>
  </si>
  <si>
    <t xml:space="preserve">B0-JB-4418</t>
  </si>
  <si>
    <t xml:space="preserve">BURNER BOX J/B-01
РАСПРЕДЕЛИТЕЛЬНАЯ
КОРОБКА ГОРЕЛКИ - 01</t>
  </si>
  <si>
    <t xml:space="preserve">CCP-W-B044-25-ME-E03-0003_FGSS INTERCONNECTION WIRING DIAGRAM FOR PRE-HEATER
Sheet 1 of 4</t>
  </si>
  <si>
    <t xml:space="preserve">-I6202</t>
  </si>
  <si>
    <t xml:space="preserve">B0-BE-44101</t>
  </si>
  <si>
    <t xml:space="preserve">FLAME DETECTOR
ДАТЧИК ПЛАМЕНИ</t>
  </si>
  <si>
    <t xml:space="preserve">-I6203</t>
  </si>
  <si>
    <t xml:space="preserve">B0-GD-44004</t>
  </si>
  <si>
    <t xml:space="preserve">BURNER BOX GAS DETECTOR
ДАТЧИК ГАЗА БЛОКА ГОРЕЛКИ</t>
  </si>
  <si>
    <t xml:space="preserve">-I6204</t>
  </si>
  <si>
    <t xml:space="preserve">B0-PSH-44105</t>
  </si>
  <si>
    <t xml:space="preserve">BURNER INLET GAS PRESS HIGH
ВЫСОКОЕ ДАВЛ. НА ВПУСКЕ ГОРЕЛКИ</t>
  </si>
  <si>
    <t xml:space="preserve">-I6205</t>
  </si>
  <si>
    <t xml:space="preserve">B0-PSL-44103</t>
  </si>
  <si>
    <t xml:space="preserve">BURNER INLET GAS PRESS LOW
НИЗКОЕ ДАВЛ. НА ВПУСКЕ ГОРЕЛКИ</t>
  </si>
  <si>
    <t xml:space="preserve">-I6206</t>
  </si>
  <si>
    <t xml:space="preserve">B0-PSLH-44104</t>
  </si>
  <si>
    <t xml:space="preserve">LEAK TEST FUEL GAS
ТОПЛ. ГАЗ ИСПЫТАНИЯ НА УТЕЧКУ</t>
  </si>
  <si>
    <t xml:space="preserve">-I6207</t>
  </si>
  <si>
    <t xml:space="preserve">B0-PSL-44106</t>
  </si>
  <si>
    <t xml:space="preserve">AIR PRESS LOW
НИЗКОЕ ДАВЛЕНИЕ ВОЗДУХА</t>
  </si>
  <si>
    <t xml:space="preserve">-I6208</t>
  </si>
  <si>
    <t xml:space="preserve">B0-JB-4418-I6201</t>
  </si>
  <si>
    <t xml:space="preserve">-I6209</t>
  </si>
  <si>
    <t xml:space="preserve">GAS PRE-HEATER #1 SKID
ГАЗОВЫЙ ПОДОГРЕВАТЕЛЬ УЗЛ #1</t>
  </si>
  <si>
    <t xml:space="preserve">B0-JB-4418-I6202</t>
  </si>
  <si>
    <t xml:space="preserve">-I6210</t>
  </si>
  <si>
    <t xml:space="preserve">-I6211</t>
  </si>
  <si>
    <t xml:space="preserve">B0-IG-44101</t>
  </si>
  <si>
    <t xml:space="preserve">IGNITION TRANS
ДАТЧИК ЗАЖИГАНИЯ</t>
  </si>
  <si>
    <t xml:space="preserve">B0-JB-4419</t>
  </si>
  <si>
    <t xml:space="preserve">BURNER BOX J/B-02
РАСПРЕДЕЛИТЕЛЬНАЯ
КОРОБКА ГОРЕЛКИ - 02</t>
  </si>
  <si>
    <t xml:space="preserve">-I6212</t>
  </si>
  <si>
    <t xml:space="preserve">B0-PYV-44106</t>
  </si>
  <si>
    <t xml:space="preserve">PILOT S/V
УПРАВЛЯЮЩИЙ СОЛЕНОИДНЫЙ КЛАПАН</t>
  </si>
  <si>
    <t xml:space="preserve">-I6213</t>
  </si>
  <si>
    <t xml:space="preserve">B0-PYV-44107</t>
  </si>
  <si>
    <t xml:space="preserve">-I6214</t>
  </si>
  <si>
    <t xml:space="preserve">B0-PYV-44101</t>
  </si>
  <si>
    <t xml:space="preserve">FUEL GAS S/V
СОЛЕНОИДНЫЙ КЛАПАН ТОПЛИВН. ГАЗА</t>
  </si>
  <si>
    <t xml:space="preserve">-I6215</t>
  </si>
  <si>
    <t xml:space="preserve">B0-PYV-44102</t>
  </si>
  <si>
    <t xml:space="preserve">-I6216</t>
  </si>
  <si>
    <t xml:space="preserve">B0-PYV-44103</t>
  </si>
  <si>
    <t xml:space="preserve">-I6217</t>
  </si>
  <si>
    <t xml:space="preserve">B0-PYV-44104</t>
  </si>
  <si>
    <t xml:space="preserve">-I6218</t>
  </si>
  <si>
    <t xml:space="preserve">B0-PYV-44105</t>
  </si>
  <si>
    <t xml:space="preserve">FUEL GAS VENT S/V
СОЛЕНОИД. КЛАПАН СДУВКИ ТОПЛИВН. ГАЗА</t>
  </si>
  <si>
    <t xml:space="preserve">B0-JB-4419-I6203</t>
  </si>
  <si>
    <t xml:space="preserve">-I6219</t>
  </si>
  <si>
    <t xml:space="preserve">-I6220</t>
  </si>
  <si>
    <t xml:space="preserve">-I6221</t>
  </si>
  <si>
    <t xml:space="preserve">B0-TE-44101</t>
  </si>
  <si>
    <t xml:space="preserve">BATH WATER TEMP SENSOR
ДАТЧИК ТЕМПЕР. 
ВОДЫ В ВАННЕ</t>
  </si>
  <si>
    <t xml:space="preserve">B0-JB-4420</t>
  </si>
  <si>
    <t xml:space="preserve">FIELD J/B
РАСПРЕДЕЛИТЕЛЬНАЯ КОРОБКА
ПОЛЕВОГО НАЗНАЧЕНИЯ</t>
  </si>
  <si>
    <t xml:space="preserve">CCP-W-B044-25-ME-E03-0003_FGSS INTERCONNECTION WIRING DIAGRAM FOR PRE-HEATER
Sheet 2 of 4</t>
  </si>
  <si>
    <t xml:space="preserve">-I6222</t>
  </si>
  <si>
    <t xml:space="preserve">B0-TE-44102</t>
  </si>
  <si>
    <t xml:space="preserve">-I6223</t>
  </si>
  <si>
    <t xml:space="preserve">B0-TE-44103</t>
  </si>
  <si>
    <t xml:space="preserve">-I6224</t>
  </si>
  <si>
    <t xml:space="preserve">B0-TE-44104</t>
  </si>
  <si>
    <t xml:space="preserve">STACK TEMP SENSOR
ДАТЧИК ТЕМПЕР. ДЫМОВОЙ ТРУБЫ</t>
  </si>
  <si>
    <t xml:space="preserve">-I6225</t>
  </si>
  <si>
    <t xml:space="preserve">B0-LT-44101</t>
  </si>
  <si>
    <t xml:space="preserve">BATH WATER LEVEL TRANSMITTER
ДАТЧИК УРОВНЯ ВОДЫ В ВАННЕ</t>
  </si>
  <si>
    <t xml:space="preserve">-I6226</t>
  </si>
  <si>
    <t xml:space="preserve">B0-LSLL-44101</t>
  </si>
  <si>
    <t xml:space="preserve">BATH WATER LEVEL LL
АВАР. НИЗКИЙ УРОВЕНЬ ВОДЫ В ВАННЕ</t>
  </si>
  <si>
    <t xml:space="preserve">B0-JB-4420-I6204</t>
  </si>
  <si>
    <t xml:space="preserve">-I6227</t>
  </si>
  <si>
    <t xml:space="preserve">B0-JB-4420-I6205</t>
  </si>
  <si>
    <t xml:space="preserve">-I6228</t>
  </si>
  <si>
    <t xml:space="preserve">-I6229</t>
  </si>
  <si>
    <t xml:space="preserve">B0-PSHH-44101</t>
  </si>
  <si>
    <t xml:space="preserve">FUEL GAS PRESS HH
АВАР. ВЫСОКОЕ ДАВЛ. ТОПЛИВН. ГАЗА</t>
  </si>
  <si>
    <t xml:space="preserve">B0-JB-4421</t>
  </si>
  <si>
    <t xml:space="preserve">VALVE BOX J/B
КЛАПАННАЯ
РАСПРЕДЕЛИТЕЛЬНАЯ
КОРОБКА</t>
  </si>
  <si>
    <t xml:space="preserve">-I6230</t>
  </si>
  <si>
    <t xml:space="preserve">B0-PSH-44102</t>
  </si>
  <si>
    <t xml:space="preserve">FUEL GAS PRESS HIGH
ВЫСОКОЕ ДАВЛ. ТОПЛИВН. ГАЗА</t>
  </si>
  <si>
    <t xml:space="preserve">-I6231</t>
  </si>
  <si>
    <t xml:space="preserve">B0-FQIT-44101</t>
  </si>
  <si>
    <t xml:space="preserve">FUEL GAS FLOW
РАСХОД ТОПЛИВН. ГАЗА</t>
  </si>
  <si>
    <t xml:space="preserve">B0-JB-4421-IB6206</t>
  </si>
  <si>
    <t xml:space="preserve">-I6232</t>
  </si>
  <si>
    <t xml:space="preserve">-I6233</t>
  </si>
  <si>
    <t xml:space="preserve">B0-BZ-44201</t>
  </si>
  <si>
    <t xml:space="preserve">FIELD B
ПЛОЩАДКА</t>
  </si>
  <si>
    <t xml:space="preserve">B0-JB-4422</t>
  </si>
  <si>
    <t xml:space="preserve">CCP-W-B044-25-ME-E03-0003_FGSS INTERCONNECTION WIRING DIAGRAM FOR PRE-HEATER
Sheet 3 of 4</t>
  </si>
  <si>
    <t xml:space="preserve">-I6234</t>
  </si>
  <si>
    <t xml:space="preserve">B0-BE-44201</t>
  </si>
  <si>
    <t xml:space="preserve">-I6235</t>
  </si>
  <si>
    <t xml:space="preserve">B0-GD-44005</t>
  </si>
  <si>
    <t xml:space="preserve">-I6236</t>
  </si>
  <si>
    <t xml:space="preserve">B0-PSH-44205</t>
  </si>
  <si>
    <t xml:space="preserve">-I6237</t>
  </si>
  <si>
    <t xml:space="preserve">B0-PSL-44203</t>
  </si>
  <si>
    <t xml:space="preserve">-I6238</t>
  </si>
  <si>
    <t xml:space="preserve">B0-PSLH-44204</t>
  </si>
  <si>
    <t xml:space="preserve">-I6239</t>
  </si>
  <si>
    <t xml:space="preserve">B0-PSL-44206</t>
  </si>
  <si>
    <t xml:space="preserve">-I6240</t>
  </si>
  <si>
    <t xml:space="preserve">B0-JB-4422-I6207</t>
  </si>
  <si>
    <t xml:space="preserve">-I6241</t>
  </si>
  <si>
    <t xml:space="preserve">GAS PRE-HEATER #2 SKID
ГАЗОВЫЙ ПОДОГРЕВАТЕЛЬ УЗЛ #2</t>
  </si>
  <si>
    <t xml:space="preserve">B0-JB-4422-I6208</t>
  </si>
  <si>
    <t xml:space="preserve">-I6242</t>
  </si>
  <si>
    <t xml:space="preserve">-I6243</t>
  </si>
  <si>
    <t xml:space="preserve">B0-IG-44201</t>
  </si>
  <si>
    <t xml:space="preserve">B0-JB-4423</t>
  </si>
  <si>
    <t xml:space="preserve">-I6244</t>
  </si>
  <si>
    <t xml:space="preserve">B0-PYV-44206</t>
  </si>
  <si>
    <t xml:space="preserve">-I6245</t>
  </si>
  <si>
    <t xml:space="preserve">B0-PYV-44207</t>
  </si>
  <si>
    <t xml:space="preserve">-I6246</t>
  </si>
  <si>
    <t xml:space="preserve">B0-PYV-44201</t>
  </si>
  <si>
    <t xml:space="preserve">-I6247</t>
  </si>
  <si>
    <t xml:space="preserve">B0-PYV-44202</t>
  </si>
  <si>
    <t xml:space="preserve">-I6248</t>
  </si>
  <si>
    <t xml:space="preserve">B0-PYV-44203</t>
  </si>
  <si>
    <t xml:space="preserve">-I6249</t>
  </si>
  <si>
    <t xml:space="preserve">B0-PYV-44204</t>
  </si>
  <si>
    <t xml:space="preserve">-I6250</t>
  </si>
  <si>
    <t xml:space="preserve">B0-PYV-44205</t>
  </si>
  <si>
    <t xml:space="preserve">B0-JB-4423-I6209</t>
  </si>
  <si>
    <t xml:space="preserve">-I6251</t>
  </si>
  <si>
    <t xml:space="preserve">-I6252</t>
  </si>
  <si>
    <t xml:space="preserve">-I6253</t>
  </si>
  <si>
    <t xml:space="preserve">B0-TE-44201</t>
  </si>
  <si>
    <t xml:space="preserve">B0-JB-4424</t>
  </si>
  <si>
    <t xml:space="preserve">CCP-W-B044-25-ME-E03-0003_FGSS INTERCONNECTION WIRING DIAGRAM FOR PRE-HEATER
Sheet 4 of 4</t>
  </si>
  <si>
    <t xml:space="preserve">-I6254</t>
  </si>
  <si>
    <t xml:space="preserve">B0-TE-44202</t>
  </si>
  <si>
    <t xml:space="preserve">-I6255</t>
  </si>
  <si>
    <t xml:space="preserve">B0-TE-44203</t>
  </si>
  <si>
    <t xml:space="preserve">-I6256</t>
  </si>
  <si>
    <t xml:space="preserve">B0-TE-44204</t>
  </si>
  <si>
    <t xml:space="preserve">-I6257</t>
  </si>
  <si>
    <t xml:space="preserve">B0-LT-44201</t>
  </si>
  <si>
    <t xml:space="preserve">-I6258</t>
  </si>
  <si>
    <t xml:space="preserve">B0-LSLL-44201</t>
  </si>
  <si>
    <t xml:space="preserve">B0-JB-4424-I6210</t>
  </si>
  <si>
    <t xml:space="preserve">-I6259</t>
  </si>
  <si>
    <t xml:space="preserve">B0-JB-4424-I6211</t>
  </si>
  <si>
    <t xml:space="preserve">-I6260</t>
  </si>
  <si>
    <t xml:space="preserve">-I6261</t>
  </si>
  <si>
    <t xml:space="preserve">B0-PSHH-44201</t>
  </si>
  <si>
    <t xml:space="preserve">B0-JB-4425</t>
  </si>
  <si>
    <t xml:space="preserve">-I6262</t>
  </si>
  <si>
    <t xml:space="preserve">B0-PSH-44202</t>
  </si>
  <si>
    <t xml:space="preserve">-I6263</t>
  </si>
  <si>
    <t xml:space="preserve">B0-FQIT-44201</t>
  </si>
  <si>
    <t xml:space="preserve">-I6264</t>
  </si>
  <si>
    <t xml:space="preserve">EHT POWER CABLE</t>
  </si>
  <si>
    <t xml:space="preserve">-P6201</t>
  </si>
  <si>
    <t xml:space="preserve">0.6/1kV CU.XLPE.OS.LSZH 25mm2 - 3C+1PE</t>
  </si>
  <si>
    <t xml:space="preserve">B0-C-44201</t>
  </si>
  <si>
    <t xml:space="preserve">BLOWER MOTOR-A
МОТОР ВОЗДУХОДУВКИ-А</t>
  </si>
  <si>
    <t xml:space="preserve">400V</t>
  </si>
  <si>
    <t xml:space="preserve">CCP-W-B044-25-ME-H99-0011_FGSS INSTRUMENT LOCATION DRAWING 
FOR PRE-HEATER
Sheet 3 of 5</t>
  </si>
  <si>
    <t xml:space="preserve">-P6202</t>
  </si>
  <si>
    <t xml:space="preserve">B0-C-44202</t>
  </si>
  <si>
    <t xml:space="preserve">BLOWER MOTOR-B
МОТОР ВОЗДУХОДУВКИ-B</t>
  </si>
  <si>
    <t xml:space="preserve"> Note/Примечания: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</si>
</sst>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#,##0"/>
    <numFmt numFmtId="166" formatCode="\$#,##0_);[RED]&quot;($&quot;#,##0\)"/>
    <numFmt numFmtId="167" formatCode="0%"/>
    <numFmt numFmtId="168" formatCode="mm&quot;월 &quot;dd\일"/>
    <numFmt numFmtId="169" formatCode="_(\$* #,##0_);_(\$* \(#,##0\);_(\$* \-_);_(@_)"/>
    <numFmt numFmtId="170" formatCode="\$#,##0_);[RED]&quot;($&quot;#,##0\)"/>
    <numFmt numFmtId="171" formatCode="\₩#,##0.00;[RED]&quot;₩-&quot;#,##0.00"/>
    <numFmt numFmtId="172" formatCode="_(\$* #,##0.00_);_(\$* \(#,##0.00\);_(\$* \-??_);_(@_)"/>
    <numFmt numFmtId="173" formatCode="\$#,##0.00_);[RED]&quot;($&quot;#,##0.00\)"/>
    <numFmt numFmtId="174" formatCode="_ * #,##0_ ;_ * \-#,##0_ ;_ * \-_ ;_ @_ "/>
    <numFmt numFmtId="175" formatCode="#,##0;[RED]\-#,##0"/>
    <numFmt numFmtId="176" formatCode="#,##0;[RED]\-#,##0"/>
    <numFmt numFmtId="177" formatCode="_ * #,##0.00_ ;_ * \-#,##0.00_ ;_ * \-??_ ;_ @_ "/>
    <numFmt numFmtId="178" formatCode="#,##0.00;[RED]\-#,##0.00"/>
    <numFmt numFmtId="179" formatCode="#,##0.00;[RED]\-#,##0.00"/>
    <numFmt numFmtId="180" formatCode="&quot;S &quot;#,##0;[RED]&quot;-S &quot;#,##0"/>
    <numFmt numFmtId="181" formatCode="0.0%"/>
    <numFmt numFmtId="182" formatCode="\$#,##0.00"/>
    <numFmt numFmtId="183" formatCode="#,##0\ "/>
    <numFmt numFmtId="184" formatCode="\₩#,##0;&quot;₩₩₩₩₩₩₩₩₩₩-₩&quot;#,##0"/>
    <numFmt numFmtId="185" formatCode="#."/>
    <numFmt numFmtId="186" formatCode="_-* #,##0_-;\-* #,##0_-;_-* \-_-;_-@_-"/>
    <numFmt numFmtId="187" formatCode="_-* #,##0.00_-;\-* #,##0.00_-;_-* \-??_-;_-@_-"/>
    <numFmt numFmtId="188" formatCode="#,##0.00&quot;?_);\(#,##0.00?)&quot;"/>
    <numFmt numFmtId="189" formatCode="_-* #,##0\ _F_-;\-* #,##0\ _F_-;_-* &quot;- &quot;_F_-;_-@_-"/>
    <numFmt numFmtId="190" formatCode="_-* #,##0.00\ _F_-;\-* #,##0.00\ _F_-;_-* \-??\ _F_-;_-@_-"/>
    <numFmt numFmtId="191" formatCode="#,##0;\-#,##0"/>
    <numFmt numFmtId="192" formatCode="0.00%"/>
    <numFmt numFmtId="193" formatCode="_-&quot;öS &quot;* #,##0_-;&quot;-öS &quot;* #,##0_-;_-&quot;öS &quot;* \-_-;_-@_-"/>
    <numFmt numFmtId="194" formatCode="_-&quot;öS &quot;* #,##0.00_-;&quot;-öS &quot;* #,##0.00_-;_-&quot;öS &quot;* \-??_-;_-@_-"/>
    <numFmt numFmtId="195" formatCode="\₩#,##0;&quot;₩₩₩₩-&quot;#,##0"/>
    <numFmt numFmtId="196" formatCode="&quot;실적율:&quot;#,#00"/>
    <numFmt numFmtId="197" formatCode="&quot;실적율:&quot;0%"/>
    <numFmt numFmtId="198" formatCode="&quot;계획누계:&quot;#,#00"/>
    <numFmt numFmtId="199" formatCode="_ * #,##0.00_ ;_ * \-#,##0.00_ ;_ * \-_ ;_ @_ "/>
    <numFmt numFmtId="200" formatCode="_ \₩* #,##0.0_ ;_ \₩* \-#,##0.0_ ;_ \₩* \-_ ;_ @_ "/>
    <numFmt numFmtId="201" formatCode="#,##0;\-#,##0"/>
    <numFmt numFmtId="202" formatCode="#,##0.00"/>
    <numFmt numFmtId="203" formatCode="\₩#,##0;[RED]&quot;₩₩₩₩-&quot;#,##0"/>
    <numFmt numFmtId="204" formatCode="#,##0&quot;   &quot;"/>
    <numFmt numFmtId="205" formatCode="#,##0&quot;       &quot;"/>
    <numFmt numFmtId="206" formatCode="&quot;총 &quot;#,##0&quot; 개&quot;"/>
    <numFmt numFmtId="207" formatCode="#,###"/>
    <numFmt numFmtId="208" formatCode="0.0000"/>
    <numFmt numFmtId="209" formatCode="#,###,###.0"/>
    <numFmt numFmtId="210" formatCode="m/dd"/>
    <numFmt numFmtId="211" formatCode="m\/dd&quot;      &quot;"/>
    <numFmt numFmtId="212" formatCode="m\/dd"/>
    <numFmt numFmtId="213" formatCode="&quot;~ &quot;mm&quot;月 &quot;dd\日"/>
    <numFmt numFmtId="214" formatCode="0_);[RED]\(0\)"/>
    <numFmt numFmtId="215" formatCode="_-* #,##0.00_-;&quot;₩₩-&quot;* #,##0.00_-;_-* \-??_-;_-@_-"/>
    <numFmt numFmtId="216" formatCode="_-\₩* #,##0.00_-;&quot;₩₩-₩&quot;* #,##0.00_-;_-\₩* \-??_-;_-@_-"/>
    <numFmt numFmtId="217" formatCode="\₩#,##0.00;&quot;₩₩₩₩-&quot;#,##0.00"/>
    <numFmt numFmtId="218" formatCode="[$-412]yyyy\-mm\-dd"/>
    <numFmt numFmtId="219" formatCode="@"/>
  </numFmts>
  <fonts count="80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 val="true"/>
      <sz val="10"/>
      <name val="Arial"/>
      <family val="2"/>
    </font>
    <font>
      <sz val="9"/>
      <name val="Arial"/>
      <family val="2"/>
    </font>
    <font>
      <sz val="11"/>
      <name val="돋움"/>
      <family val="3"/>
      <charset val="129"/>
    </font>
    <font>
      <sz val="11"/>
      <name val="Times New Roman"/>
      <family val="1"/>
    </font>
    <font>
      <sz val="10"/>
      <name val="MS Serif"/>
      <family val="1"/>
    </font>
    <font>
      <b val="true"/>
      <sz val="9"/>
      <name val="Arial"/>
      <family val="2"/>
    </font>
    <font>
      <sz val="8"/>
      <name val="¹UAAA¼"/>
      <family val="1"/>
      <charset val="129"/>
    </font>
    <font>
      <sz val="12"/>
      <name val="¹UAAA¼"/>
      <family val="1"/>
      <charset val="129"/>
    </font>
    <font>
      <sz val="10"/>
      <name val="Geneva"/>
      <family val="2"/>
    </font>
    <font>
      <sz val="12"/>
      <name val="System"/>
      <family val="2"/>
      <charset val="129"/>
    </font>
    <font>
      <sz val="1"/>
      <color rgb="FF800000"/>
      <name val="Courier New"/>
      <family val="3"/>
    </font>
    <font>
      <sz val="10"/>
      <color rgb="FF800000"/>
      <name val="MS Serif"/>
      <family val="1"/>
    </font>
    <font>
      <sz val="1"/>
      <color rgb="FF000000"/>
      <name val="Courier New"/>
      <family val="3"/>
    </font>
    <font>
      <i val="true"/>
      <sz val="1"/>
      <color rgb="FF000000"/>
      <name val="Courier New"/>
      <family val="3"/>
    </font>
    <font>
      <sz val="10"/>
      <name val="Times New Roman"/>
      <family val="1"/>
    </font>
    <font>
      <sz val="8"/>
      <name val="Arial"/>
      <family val="2"/>
    </font>
    <font>
      <b val="true"/>
      <i val="true"/>
      <sz val="11"/>
      <name val="Times New Roman"/>
      <family val="1"/>
    </font>
    <font>
      <b val="true"/>
      <i val="true"/>
      <sz val="10"/>
      <name val="Times New Roman"/>
      <family val="1"/>
    </font>
    <font>
      <b val="true"/>
      <sz val="12"/>
      <name val="Arial"/>
      <family val="2"/>
    </font>
    <font>
      <b val="true"/>
      <sz val="1"/>
      <color rgb="FF800000"/>
      <name val="Courier New"/>
      <family val="3"/>
    </font>
    <font>
      <sz val="10"/>
      <name val="Univers (WN)"/>
      <family val="2"/>
    </font>
    <font>
      <b val="true"/>
      <sz val="11"/>
      <name val="Arial"/>
      <family val="2"/>
    </font>
    <font>
      <sz val="7"/>
      <name val="Small Fonts"/>
      <family val="2"/>
    </font>
    <font>
      <b val="true"/>
      <i val="true"/>
      <sz val="16"/>
      <name val="Arial"/>
      <family val="2"/>
    </font>
    <font>
      <sz val="12"/>
      <name val="Arial"/>
      <family val="2"/>
    </font>
    <font>
      <sz val="11"/>
      <color rgb="FF000000"/>
      <name val="Calibri"/>
      <family val="3"/>
      <charset val="129"/>
    </font>
    <font>
      <b val="true"/>
      <sz val="12"/>
      <name val="Book Antiqua"/>
      <family val="1"/>
    </font>
    <font>
      <b val="true"/>
      <sz val="8"/>
      <color rgb="FF000000"/>
      <name val="Arial"/>
      <family val="2"/>
    </font>
    <font>
      <b val="true"/>
      <u val="single"/>
      <sz val="13"/>
      <name val="굴림체"/>
      <family val="3"/>
      <charset val="129"/>
    </font>
    <font>
      <sz val="12"/>
      <name val="굴림체"/>
      <family val="3"/>
      <charset val="129"/>
    </font>
    <font>
      <sz val="12"/>
      <name val="Times New Roman"/>
      <family val="1"/>
    </font>
    <font>
      <sz val="12"/>
      <name val="¹ÙÅÁÃ¼"/>
      <family val="3"/>
      <charset val="129"/>
    </font>
    <font>
      <u val="single"/>
      <sz val="9"/>
      <color rgb="FF0000FF"/>
      <name val="Arial"/>
      <family val="2"/>
    </font>
    <font>
      <sz val="12"/>
      <name val="宋体"/>
      <family val="0"/>
    </font>
    <font>
      <u val="single"/>
      <sz val="9"/>
      <color rgb="FF800080"/>
      <name val="Arial"/>
      <family val="2"/>
    </font>
    <font>
      <b val="true"/>
      <sz val="1"/>
      <color rgb="FF000000"/>
      <name val="Courier New"/>
      <family val="3"/>
    </font>
    <font>
      <u val="single"/>
      <sz val="12"/>
      <color rgb="FF800080"/>
      <name val="바탕체"/>
      <family val="1"/>
      <charset val="129"/>
    </font>
    <font>
      <sz val="11"/>
      <name val="굴림체"/>
      <family val="3"/>
      <charset val="129"/>
    </font>
    <font>
      <sz val="11"/>
      <name val="뼻뮝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0"/>
      <name val="명조"/>
      <family val="3"/>
      <charset val="129"/>
    </font>
    <font>
      <sz val="12"/>
      <name val="견고딕"/>
      <family val="1"/>
      <charset val="129"/>
    </font>
    <font>
      <b val="true"/>
      <sz val="16"/>
      <name val="돋움체"/>
      <family val="3"/>
      <charset val="129"/>
    </font>
    <font>
      <sz val="10"/>
      <color rgb="FFFF0000"/>
      <name val="맑은 고딕"/>
      <family val="2"/>
      <charset val="129"/>
    </font>
    <font>
      <b val="true"/>
      <sz val="18"/>
      <name val="맑은 고딕"/>
      <family val="2"/>
      <charset val="129"/>
    </font>
    <font>
      <b val="true"/>
      <sz val="48"/>
      <name val="Arial"/>
      <family val="2"/>
    </font>
    <font>
      <b val="true"/>
      <sz val="48"/>
      <name val="맑은 고딕"/>
      <family val="2"/>
      <charset val="129"/>
    </font>
    <font>
      <b val="true"/>
      <sz val="20"/>
      <name val="Tahoma"/>
      <family val="2"/>
    </font>
    <font>
      <b val="true"/>
      <sz val="20"/>
      <name val="Arial"/>
      <family val="2"/>
    </font>
    <font>
      <b val="true"/>
      <sz val="14"/>
      <name val="맑은 고딕"/>
      <family val="2"/>
      <charset val="129"/>
    </font>
    <font>
      <sz val="20"/>
      <name val="맑은 고딕"/>
      <family val="2"/>
      <charset val="129"/>
    </font>
    <font>
      <sz val="18"/>
      <name val="Arial"/>
      <family val="2"/>
    </font>
    <font>
      <b val="true"/>
      <sz val="18"/>
      <name val="Arial"/>
      <family val="2"/>
    </font>
    <font>
      <sz val="18"/>
      <name val="맑은 고딕"/>
      <family val="2"/>
      <charset val="129"/>
    </font>
    <font>
      <sz val="18"/>
      <color rgb="FFFF0000"/>
      <name val="Arial"/>
      <family val="2"/>
    </font>
    <font>
      <sz val="16"/>
      <name val="Arial"/>
      <family val="2"/>
    </font>
    <font>
      <b val="true"/>
      <sz val="18"/>
      <color rgb="FFFF0000"/>
      <name val="맑은 고딕"/>
      <family val="2"/>
      <charset val="129"/>
    </font>
    <font>
      <b val="true"/>
      <sz val="18"/>
      <color rgb="FFFF0000"/>
      <name val="Arial"/>
      <family val="2"/>
    </font>
    <font>
      <sz val="28"/>
      <name val="Arial"/>
      <family val="2"/>
    </font>
    <font>
      <b val="true"/>
      <sz val="20"/>
      <name val="맑은 고딕"/>
      <family val="2"/>
      <charset val="129"/>
    </font>
    <font>
      <sz val="22"/>
      <name val="돋움"/>
      <family val="3"/>
      <charset val="129"/>
    </font>
    <font>
      <sz val="22"/>
      <name val="Arial"/>
      <family val="2"/>
    </font>
    <font>
      <sz val="18"/>
      <color rgb="FFFF0000"/>
      <name val="맑은 고딕"/>
      <family val="3"/>
      <charset val="129"/>
    </font>
    <font>
      <sz val="22"/>
      <color rgb="FFFF0000"/>
      <name val="돋움"/>
      <family val="3"/>
      <charset val="129"/>
    </font>
    <font>
      <b val="true"/>
      <sz val="48"/>
      <color rgb="FFFF0000"/>
      <name val="Arial"/>
      <family val="2"/>
    </font>
    <font>
      <b val="true"/>
      <sz val="48"/>
      <color rgb="FFFF0000"/>
      <name val="맑은 고딕"/>
      <family val="2"/>
      <charset val="129"/>
    </font>
    <font>
      <b val="true"/>
      <sz val="20"/>
      <color rgb="FFFF0000"/>
      <name val="Tahoma"/>
      <family val="2"/>
    </font>
    <font>
      <b val="true"/>
      <sz val="20"/>
      <color rgb="FFFF0000"/>
      <name val="Arial"/>
      <family val="2"/>
    </font>
    <font>
      <sz val="18"/>
      <color rgb="FFFF0000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  <fill>
      <patternFill patternType="solid">
        <fgColor rgb="FFFFCC00"/>
        <bgColor rgb="FFFFFF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</borders>
  <cellStyleXfs count="2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5" fontId="5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9" fontId="6" fillId="0" borderId="0" applyFont="true" applyBorder="false" applyAlignment="false" applyProtection="false"/>
    <xf numFmtId="170" fontId="6" fillId="0" borderId="0" applyFont="true" applyBorder="false" applyAlignment="false" applyProtection="false"/>
    <xf numFmtId="171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72" fontId="6" fillId="0" borderId="0" applyFont="true" applyBorder="false" applyAlignment="false" applyProtection="false"/>
    <xf numFmtId="173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74" fontId="6" fillId="0" borderId="0" applyFont="true" applyBorder="false" applyAlignment="false" applyProtection="false"/>
    <xf numFmtId="175" fontId="6" fillId="0" borderId="0" applyFont="true" applyBorder="false" applyAlignment="false" applyProtection="false"/>
    <xf numFmtId="176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77" fontId="6" fillId="0" borderId="0" applyFont="true" applyBorder="false" applyAlignment="false" applyProtection="false"/>
    <xf numFmtId="178" fontId="6" fillId="0" borderId="0" applyFont="true" applyBorder="false" applyAlignment="false" applyProtection="false"/>
    <xf numFmtId="179" fontId="6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false" applyAlignment="false" applyProtection="true"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false" applyProtection="true">
      <protection locked="true" hidden="false"/>
    </xf>
    <xf numFmtId="164" fontId="6" fillId="0" borderId="0" applyFont="true" applyBorder="false" applyAlignment="false" applyProtection="false"/>
    <xf numFmtId="182" fontId="13" fillId="0" borderId="0" applyFont="true" applyBorder="false" applyAlignment="false" applyProtection="true">
      <protection locked="true" hidden="false"/>
    </xf>
    <xf numFmtId="183" fontId="1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false" applyAlignment="false" applyProtection="false"/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6" fontId="6" fillId="0" borderId="0" applyFont="true" applyBorder="false" applyAlignment="false" applyProtection="false"/>
    <xf numFmtId="187" fontId="6" fillId="0" borderId="0" applyFont="true" applyBorder="false" applyAlignment="false" applyProtection="false"/>
    <xf numFmtId="188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false" applyProtection="true"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5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0" borderId="0" applyFont="true" applyBorder="false" applyAlignment="false" applyProtection="false"/>
    <xf numFmtId="164" fontId="23" fillId="2" borderId="0" applyFont="true" applyBorder="false" applyAlignment="false" applyProtection="false"/>
    <xf numFmtId="164" fontId="24" fillId="0" borderId="0" applyFont="true" applyBorder="true" applyAlignment="false" applyProtection="true"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3" applyFont="true" applyBorder="true" applyAlignment="false" applyProtection="false"/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5" fontId="2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5" fontId="2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false" applyAlignment="false" applyProtection="false"/>
    <xf numFmtId="164" fontId="23" fillId="3" borderId="0" applyFont="true" applyBorder="false" applyAlignment="false" applyProtection="false"/>
    <xf numFmtId="189" fontId="6" fillId="0" borderId="0" applyFont="true" applyBorder="false" applyAlignment="false" applyProtection="false"/>
    <xf numFmtId="190" fontId="6" fillId="0" borderId="0" applyFont="true" applyBorder="false" applyAlignment="false" applyProtection="false"/>
    <xf numFmtId="164" fontId="29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false" applyAlignment="false" applyProtection="false"/>
    <xf numFmtId="172" fontId="6" fillId="0" borderId="0" applyFont="true" applyBorder="false" applyAlignment="false" applyProtection="false"/>
    <xf numFmtId="191" fontId="3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false" applyAlignment="false" applyProtection="false"/>
    <xf numFmtId="164" fontId="34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1" fontId="6" fillId="0" borderId="0" applyFont="true" applyBorder="false" applyAlignment="false" applyProtection="false"/>
    <xf numFmtId="192" fontId="6" fillId="0" borderId="0" applyFont="true" applyBorder="false" applyAlignment="false" applyProtection="false"/>
    <xf numFmtId="164" fontId="23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5" fillId="0" border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6" fillId="0" borderId="0" applyFont="true" applyBorder="false" applyAlignment="true" applyProtection="false">
      <alignment horizontal="center" vertical="center" textRotation="0" wrapText="false" indent="0" shrinkToFit="false"/>
    </xf>
    <xf numFmtId="164" fontId="37" fillId="0" borderId="0" applyFont="true" applyBorder="false" applyAlignment="true" applyProtection="false">
      <alignment horizontal="center" vertical="center" textRotation="0" wrapText="false" indent="0" shrinkToFit="false"/>
    </xf>
    <xf numFmtId="193" fontId="6" fillId="0" borderId="0" applyFont="true" applyBorder="false" applyAlignment="false" applyProtection="false"/>
    <xf numFmtId="194" fontId="6" fillId="0" borderId="0" applyFont="true" applyBorder="false" applyAlignment="false" applyProtection="false"/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175" fontId="6" fillId="0" borderId="0" applyFont="true" applyBorder="false" applyAlignment="false" applyProtection="false"/>
    <xf numFmtId="174" fontId="6" fillId="0" borderId="0" applyFont="true" applyBorder="false" applyAlignment="false" applyProtection="false"/>
    <xf numFmtId="175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78" fontId="6" fillId="0" borderId="0" applyFont="true" applyBorder="false" applyAlignment="false" applyProtection="false"/>
    <xf numFmtId="177" fontId="6" fillId="0" borderId="0" applyFont="true" applyBorder="false" applyAlignment="false" applyProtection="false"/>
    <xf numFmtId="178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70" fontId="6" fillId="0" borderId="0" applyFont="true" applyBorder="false" applyAlignment="false" applyProtection="false"/>
    <xf numFmtId="169" fontId="6" fillId="0" borderId="0" applyFont="true" applyBorder="false" applyAlignment="false" applyProtection="false"/>
    <xf numFmtId="170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73" fontId="6" fillId="0" borderId="0" applyFont="true" applyBorder="false" applyAlignment="false" applyProtection="false"/>
    <xf numFmtId="172" fontId="6" fillId="0" borderId="0" applyFont="true" applyBorder="false" applyAlignment="false" applyProtection="false"/>
    <xf numFmtId="173" fontId="6" fillId="0" borderId="0" applyFont="true" applyBorder="false" applyAlignment="false" applyProtection="false"/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false" applyAlignment="false" applyProtection="false"/>
    <xf numFmtId="195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4" fillId="0" borderId="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4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0" borderId="0" applyFont="true" applyBorder="false" applyAlignment="false" applyProtection="false"/>
    <xf numFmtId="167" fontId="45" fillId="0" borderId="0" applyFont="true" applyBorder="false" applyAlignment="true" applyProtection="false">
      <alignment horizontal="right" vertical="bottom" textRotation="0" wrapText="false" indent="0" shrinkToFit="false"/>
    </xf>
    <xf numFmtId="192" fontId="45" fillId="0" borderId="0" applyFont="true" applyBorder="false" applyAlignment="true" applyProtection="false">
      <alignment horizontal="right" vertical="bottom" textRotation="0" wrapText="false" indent="0" shrinkToFit="false"/>
    </xf>
    <xf numFmtId="196" fontId="6" fillId="0" borderId="0" applyFont="true" applyBorder="false" applyAlignment="false" applyProtection="false"/>
    <xf numFmtId="197" fontId="6" fillId="0" borderId="0" applyFont="true" applyBorder="false" applyAlignment="false" applyProtection="false"/>
    <xf numFmtId="198" fontId="6" fillId="0" borderId="0" applyFont="true" applyBorder="false" applyAlignment="false" applyProtection="false"/>
    <xf numFmtId="199" fontId="10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10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7" fillId="0" border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8" fillId="0" border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1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6" fillId="0" borderId="0" applyFont="true" applyBorder="false" applyAlignment="false" applyProtection="false"/>
    <xf numFmtId="164" fontId="52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2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3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5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distributed" vertical="center" textRotation="0" wrapText="false" indent="0" shrinkToFit="false"/>
      <protection locked="true" hidden="false"/>
    </xf>
    <xf numFmtId="164" fontId="7" fillId="0" borderId="9" applyFont="true" applyBorder="true" applyAlignment="true" applyProtection="true">
      <alignment horizontal="distributed" vertical="top" textRotation="0" wrapText="false" indent="0" shrinkToFit="false"/>
      <protection locked="true" hidden="false"/>
    </xf>
    <xf numFmtId="164" fontId="7" fillId="0" borderId="10" applyFont="true" applyBorder="true" applyAlignment="true" applyProtection="true">
      <alignment horizontal="distributed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4" fontId="6" fillId="0" borderId="0" applyFont="true" applyBorder="false" applyAlignment="false" applyProtection="false"/>
    <xf numFmtId="186" fontId="6" fillId="0" borderId="0" applyFont="true" applyBorder="false" applyAlignment="false" applyProtection="false"/>
    <xf numFmtId="205" fontId="6" fillId="0" borderId="0" applyFont="true" applyBorder="false" applyAlignment="false" applyProtection="false"/>
    <xf numFmtId="206" fontId="6" fillId="0" borderId="0" applyFont="true" applyBorder="false" applyAlignment="false" applyProtection="false"/>
    <xf numFmtId="207" fontId="6" fillId="0" borderId="0" applyFont="true" applyBorder="false" applyAlignment="false" applyProtection="false"/>
    <xf numFmtId="208" fontId="6" fillId="0" borderId="0" applyFont="true" applyBorder="false" applyAlignment="false" applyProtection="true">
      <protection locked="true" hidden="false"/>
    </xf>
    <xf numFmtId="209" fontId="49" fillId="0" borderId="0" applyFont="true" applyBorder="false" applyAlignment="true" applyProtection="false">
      <alignment horizontal="right" vertical="bottom" textRotation="0" wrapText="false" indent="0" shrinkToFit="false"/>
    </xf>
    <xf numFmtId="210" fontId="6" fillId="0" borderId="0" applyFont="true" applyBorder="false" applyAlignment="false" applyProtection="false"/>
    <xf numFmtId="211" fontId="6" fillId="0" borderId="0" applyFont="true" applyBorder="false" applyAlignment="false" applyProtection="false"/>
    <xf numFmtId="212" fontId="6" fillId="0" borderId="0" applyFont="true" applyBorder="false" applyAlignment="false" applyProtection="false"/>
    <xf numFmtId="213" fontId="6" fillId="0" borderId="0" applyFont="true" applyBorder="false" applyAlignment="false" applyProtection="false"/>
    <xf numFmtId="214" fontId="10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false" applyProtection="false"/>
    <xf numFmtId="215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1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16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17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5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2" fillId="0" borderId="2" xfId="2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9" fontId="6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2" fillId="0" borderId="2" xfId="2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0" borderId="2" xfId="2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0" borderId="2" xfId="2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71" fillId="7" borderId="15" xfId="23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9" fontId="72" fillId="7" borderId="15" xfId="23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71" fillId="7" borderId="0" xfId="23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9" fontId="71" fillId="7" borderId="16" xfId="23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9" fontId="71" fillId="7" borderId="2" xfId="23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9" fontId="6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71" fillId="7" borderId="0" xfId="23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71" fillId="7" borderId="16" xfId="23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71" fillId="7" borderId="2" xfId="23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6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9" fontId="6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74" fillId="7" borderId="2" xfId="23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219" fontId="62" fillId="0" borderId="10" xfId="2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0" borderId="10" xfId="2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7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9" fontId="6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2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quot;" xfId="20"/>
    <cellStyle name="#,##0" xfId="21"/>
    <cellStyle name="$" xfId="22"/>
    <cellStyle name="$_db진흥" xfId="23"/>
    <cellStyle name="$_SE40" xfId="24"/>
    <cellStyle name="$_견적2" xfId="25"/>
    <cellStyle name="$_기아" xfId="26"/>
    <cellStyle name="0.0" xfId="27"/>
    <cellStyle name="0.00" xfId="28"/>
    <cellStyle name="60" xfId="29"/>
    <cellStyle name="??&amp;O?&amp;H?_x0008__x000f__x0007_?_x0007__x0001__x0001_" xfId="30"/>
    <cellStyle name="??&amp;O?&amp;H?_x0008_??_x0007__x0001__x0001_" xfId="31"/>
    <cellStyle name="^3-1" xfId="32"/>
    <cellStyle name="_Cisco_spec(To_LGCNS) 견적" xfId="33"/>
    <cellStyle name="_LAN설비계산서_1223_발송" xfId="34"/>
    <cellStyle name="_LGCNS IT Center 통합SI 견적 (Ver.1.7-2005.05.02)" xfId="35"/>
    <cellStyle name="_견적_요청서" xfId="36"/>
    <cellStyle name="_견적서 Cable(울산대병원_한국네트워크)" xfId="37"/>
    <cellStyle name="_견적서 Cable(울산대병원_한국네트워크)2" xfId="38"/>
    <cellStyle name="_견적서 IPS(AS iii_한국네트웍)" xfId="39"/>
    <cellStyle name="_견적서 유지보수(고대병원_한국네트워크)" xfId="40"/>
    <cellStyle name="_견적서 유해차단(McAfee_코코넛)" xfId="41"/>
    <cellStyle name="_견적서 전산실공사(DLP,UPS외_한국네트웍)" xfId="42"/>
    <cellStyle name="_견적서 케이블공사(서울대병원2_포어링크_517Node)" xfId="43"/>
    <cellStyle name="_견적서 케이블공사(서울대병원_포어링크)" xfId="44"/>
    <cellStyle name="_견적서(상암동 IT 센터)배관배선" xfId="45"/>
    <cellStyle name="_견적서내역서(상암동 IT 센타0906)" xfId="46"/>
    <cellStyle name="_공사비산출" xfId="47"/>
    <cellStyle name="_대구경북 디자인센터 내역" xfId="48"/>
    <cellStyle name="_삼산아파트(현대)-특등급3" xfId="49"/>
    <cellStyle name="_서울보훈병원견적_Alcatel" xfId="50"/>
    <cellStyle name="_설비  (사우타)" xfId="51"/>
    <cellStyle name="_숙소동설계변경 최종" xfId="52"/>
    <cellStyle name="_숙소동설변" xfId="53"/>
    <cellStyle name="_예상공사비(LAN설비)" xfId="54"/>
    <cellStyle name="_원주시청(원가분석)" xfId="55"/>
    <cellStyle name="_일위대가3" xfId="56"/>
    <cellStyle name="_전관방송물량내역서(상암동 IT 센터)검토" xfId="57"/>
    <cellStyle name="_준공내역서RE" xfId="58"/>
    <cellStyle name="_통합방범" xfId="59"/>
    <cellStyle name="_통합시스템 견적서(0502)" xfId="60"/>
    <cellStyle name="_하이마트_최종네고_0707" xfId="61"/>
    <cellStyle name="_한화아파트(남양주호평)" xfId="62"/>
    <cellStyle name="AeE­ [0]_INQUIRY ¿μ¾÷AßAø " xfId="63"/>
    <cellStyle name="AeE­ [0]_laroux_1" xfId="64"/>
    <cellStyle name="AeE­ [0]_laroux_2" xfId="65"/>
    <cellStyle name="AeE­ [0]_¿i≫eE­·A ±a±¸A¶A÷C￥" xfId="66"/>
    <cellStyle name="AeE­_INQUIRY ¿μ¾÷AßAø " xfId="67"/>
    <cellStyle name="AeE­_laroux_1" xfId="68"/>
    <cellStyle name="AeE­_laroux_2" xfId="69"/>
    <cellStyle name="AeE­_¿i≫eE­·A ±a±¸A¶A÷C￥" xfId="70"/>
    <cellStyle name="AÞ¸¶ [0]_INQUIRY ¿μ¾÷AßAø " xfId="71"/>
    <cellStyle name="AÞ¸¶ [0]_laroux_1" xfId="72"/>
    <cellStyle name="AÞ¸¶ [0]_laroux_2" xfId="73"/>
    <cellStyle name="AÞ¸¶ [0]_¿i≫eE­·A ±a±¸A¶A÷C￥" xfId="74"/>
    <cellStyle name="AÞ¸¶_INQUIRY ¿μ¾÷AßAø " xfId="75"/>
    <cellStyle name="AÞ¸¶_laroux_1" xfId="76"/>
    <cellStyle name="AÞ¸¶_laroux_2" xfId="77"/>
    <cellStyle name="AÞ¸¶_¿i≫eE­·A ±a±¸A¶A÷C￥" xfId="78"/>
    <cellStyle name="body" xfId="79"/>
    <cellStyle name="Calc Currency (0)" xfId="80"/>
    <cellStyle name="category" xfId="81"/>
    <cellStyle name="Comma  - Style1" xfId="82"/>
    <cellStyle name="Comma  - Style2" xfId="83"/>
    <cellStyle name="Comma  - Style3" xfId="84"/>
    <cellStyle name="Comma  - Style4" xfId="85"/>
    <cellStyle name="Comma  - Style5" xfId="86"/>
    <cellStyle name="Comma  - Style6" xfId="87"/>
    <cellStyle name="Comma  - Style7" xfId="88"/>
    <cellStyle name="Comma  - Style8" xfId="89"/>
    <cellStyle name="comma zerodec" xfId="90"/>
    <cellStyle name="Comma0" xfId="91"/>
    <cellStyle name="Copied" xfId="92"/>
    <cellStyle name="Curren?_x0012_퐀_x0017_?" xfId="93"/>
    <cellStyle name="currency-$" xfId="94"/>
    <cellStyle name="Currency0" xfId="95"/>
    <cellStyle name="Currency1" xfId="96"/>
    <cellStyle name="Cmma_을지 (2)_갑지 (2)_집계표 (2)_집계표 (3)_견적서 (2)" xfId="97"/>
    <cellStyle name="C￥AØ_  FAB AIA¤  " xfId="98"/>
    <cellStyle name="C￥AØ_ALT2-euip" xfId="99"/>
    <cellStyle name="C￥AØ_laroux_1" xfId="100"/>
    <cellStyle name="C￥AØ_SOON1 " xfId="101"/>
    <cellStyle name="C￥AØ_¾c½A " xfId="102"/>
    <cellStyle name="C￥AØ_¿μ¾÷CoE² " xfId="103"/>
    <cellStyle name="Date" xfId="104"/>
    <cellStyle name="Dezimal [0]_Blech 1.4462" xfId="105"/>
    <cellStyle name="Dezimal_Blech 1.4462" xfId="106"/>
    <cellStyle name="Dollar (zero dec)" xfId="107"/>
    <cellStyle name="Entered" xfId="108"/>
    <cellStyle name="F2" xfId="109"/>
    <cellStyle name="F3" xfId="110"/>
    <cellStyle name="F4" xfId="111"/>
    <cellStyle name="F5" xfId="112"/>
    <cellStyle name="F6" xfId="113"/>
    <cellStyle name="F7" xfId="114"/>
    <cellStyle name="F8" xfId="115"/>
    <cellStyle name="Fixed" xfId="116"/>
    <cellStyle name="FORM" xfId="117"/>
    <cellStyle name="Grey" xfId="118"/>
    <cellStyle name="head" xfId="119"/>
    <cellStyle name="head 1" xfId="120"/>
    <cellStyle name="head 1-1" xfId="121"/>
    <cellStyle name="HEADER" xfId="122"/>
    <cellStyle name="Header1" xfId="123"/>
    <cellStyle name="Header2" xfId="124"/>
    <cellStyle name="제목 1" xfId="125"/>
    <cellStyle name="Heading2" xfId="126"/>
    <cellStyle name="Helv8_PFD4.XLS" xfId="127"/>
    <cellStyle name="Input [yellow]" xfId="128"/>
    <cellStyle name="Milliers [0]_laroux" xfId="129"/>
    <cellStyle name="Milliers_laroux" xfId="130"/>
    <cellStyle name="Model" xfId="131"/>
    <cellStyle name="Monétaire [0]_laroux" xfId="132"/>
    <cellStyle name="Monétaire_laroux" xfId="133"/>
    <cellStyle name="no dec" xfId="134"/>
    <cellStyle name="Normal - Style1" xfId="135"/>
    <cellStyle name="Normal - Style2" xfId="136"/>
    <cellStyle name="Normal - Style3" xfId="137"/>
    <cellStyle name="Normal - Style4" xfId="138"/>
    <cellStyle name="Normal - Style5" xfId="139"/>
    <cellStyle name="Normal - Style6" xfId="140"/>
    <cellStyle name="Normal - Style7" xfId="141"/>
    <cellStyle name="Normal - Style8" xfId="142"/>
    <cellStyle name="Normal - 유형1" xfId="143"/>
    <cellStyle name="Normal 3" xfId="144"/>
    <cellStyle name="Percent [2]" xfId="145"/>
    <cellStyle name="PRICE2" xfId="146"/>
    <cellStyle name="PropGenCurrencyFormat" xfId="147"/>
    <cellStyle name="Prozent[2]" xfId="148"/>
    <cellStyle name="RevList" xfId="149"/>
    <cellStyle name="Standard_Blech 1.4462" xfId="150"/>
    <cellStyle name="Style 1" xfId="151"/>
    <cellStyle name="Style 2" xfId="152"/>
    <cellStyle name="subhead" xfId="153"/>
    <cellStyle name="Subtotal" xfId="154"/>
    <cellStyle name="title [1]" xfId="155"/>
    <cellStyle name="title [2]" xfId="156"/>
    <cellStyle name="Währung [0]_Blech 1.4462" xfId="157"/>
    <cellStyle name="Währung_Blech 1.4462" xfId="158"/>
    <cellStyle name="¤@?e_TEST-1 " xfId="159"/>
    <cellStyle name="ÄÞ¸¶ [0]_INQUIRY ¿µ¾÷ÃßÁø " xfId="160"/>
    <cellStyle name="ÄÞ¸¶ [0]_laroux" xfId="161"/>
    <cellStyle name="ÄÞ¸¶ [0]_laroux_1" xfId="162"/>
    <cellStyle name="ÄÞ¸¶ [0]_laroux_2" xfId="163"/>
    <cellStyle name="ÄÞ¸¶_INQUIRY ¿µ¾÷ÃßÁø " xfId="164"/>
    <cellStyle name="ÄÞ¸¶_laroux" xfId="165"/>
    <cellStyle name="ÄÞ¸¶_laroux_1" xfId="166"/>
    <cellStyle name="ÄÞ¸¶_laroux_2" xfId="167"/>
    <cellStyle name="ÅëÈ­ [0]_INQUIRY ¿µ¾÷ÃßÁø " xfId="168"/>
    <cellStyle name="ÅëÈ­ [0]_laroux" xfId="169"/>
    <cellStyle name="ÅëÈ­ [0]_laroux_1" xfId="170"/>
    <cellStyle name="ÅëÈ­ [0]_laroux_2" xfId="171"/>
    <cellStyle name="ÅëÈ­_INQUIRY ¿µ¾÷ÃßÁø " xfId="172"/>
    <cellStyle name="ÅëÈ­_laroux" xfId="173"/>
    <cellStyle name="ÅëÈ­_laroux_1" xfId="174"/>
    <cellStyle name="ÅëÈ­_laroux_2" xfId="175"/>
    <cellStyle name="Ç¥ÁØ_0N-HANDLING " xfId="176"/>
    <cellStyle name="Ç¥ÁØ_5-1±¤°í " xfId="177"/>
    <cellStyle name="Ç¥ÁØ_laroux_1" xfId="178"/>
    <cellStyle name="Ç¥ÁØ_¿µ¾÷ÇöÈ² " xfId="179"/>
    <cellStyle name="Ç¥ÁØ_Áý°èÇ¥(2¿ù) " xfId="180"/>
    <cellStyle name="ハイパーリンク" xfId="181"/>
    <cellStyle name="ㅏㅏㅏ" xfId="182"/>
    <cellStyle name="常规_OPTION_9910" xfId="183"/>
    <cellStyle name="標準_Akia(F）-8" xfId="184"/>
    <cellStyle name="表示済みのハイパーリンク" xfId="185"/>
    <cellStyle name="고정소숫점" xfId="186"/>
    <cellStyle name="고정출력1" xfId="187"/>
    <cellStyle name="고정출력2" xfId="188"/>
    <cellStyle name="날짜" xfId="189"/>
    <cellStyle name="내역서" xfId="190"/>
    <cellStyle name="달러" xfId="191"/>
    <cellStyle name="뒤에 오는 하이퍼링크" xfId="192"/>
    <cellStyle name="똿뗦먛귟 [0.00]_laroux" xfId="193"/>
    <cellStyle name="똿뗦먛귟_laroux" xfId="194"/>
    <cellStyle name="믅됞 [0.00]_laroux" xfId="195"/>
    <cellStyle name="믅됞_laroux" xfId="196"/>
    <cellStyle name="백분율 [0]" xfId="197"/>
    <cellStyle name="백분율 [2]" xfId="198"/>
    <cellStyle name="백분율(2no%)" xfId="199"/>
    <cellStyle name="백분율(3no%)" xfId="200"/>
    <cellStyle name="백분율(no%)" xfId="201"/>
    <cellStyle name="백분율(손익)" xfId="202"/>
    <cellStyle name="백분율(수주)" xfId="203"/>
    <cellStyle name="뷭?_?긚??_1" xfId="204"/>
    <cellStyle name="수당" xfId="205"/>
    <cellStyle name="수당2" xfId="206"/>
    <cellStyle name="수량" xfId="207"/>
    <cellStyle name="숫자(R)" xfId="208"/>
    <cellStyle name="안건회계법인" xfId="209"/>
    <cellStyle name="원" xfId="210"/>
    <cellStyle name="유영" xfId="211"/>
    <cellStyle name="자리수" xfId="212"/>
    <cellStyle name="자리수0" xfId="213"/>
    <cellStyle name="제목1" xfId="214"/>
    <cellStyle name="제목[1 줄]" xfId="215"/>
    <cellStyle name="제목[2줄 아래]" xfId="216"/>
    <cellStyle name="제목[2줄 위]" xfId="217"/>
    <cellStyle name="지정되지 않음" xfId="218"/>
    <cellStyle name="콤마 [0-1]" xfId="219"/>
    <cellStyle name="콤마 [0]" xfId="220"/>
    <cellStyle name="콤마 [0]kich" xfId="221"/>
    <cellStyle name="콤마 [0]kich1" xfId="222"/>
    <cellStyle name="콤마 [0기성]" xfId="223"/>
    <cellStyle name="콤마 [1]" xfId="224"/>
    <cellStyle name="콤마 [2]" xfId="225"/>
    <cellStyle name="콤마(BLANK1)" xfId="226"/>
    <cellStyle name="콤마(BLANK1-0)" xfId="227"/>
    <cellStyle name="콤마(BLANK1-1)" xfId="228"/>
    <cellStyle name="콤마(BLANK1-2)" xfId="229"/>
    <cellStyle name="콤마(zero)" xfId="230"/>
    <cellStyle name="콤마_ 견적기준 FLOW " xfId="231"/>
    <cellStyle name="퍼센트" xfId="232"/>
    <cellStyle name="표준 2 2" xfId="233"/>
    <cellStyle name="표준 202" xfId="234"/>
    <cellStyle name="합산" xfId="235"/>
    <cellStyle name="화폐기호" xfId="236"/>
    <cellStyle name="화폐기호0" xfId="23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cuments%20and%20Settings/h680706/Local%20Settings/Temporary%20Internet%20Files/OLKA/&#52488;&#50504;&#48516;&#50556;&#4832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C"/>
      <sheetName val="E"/>
      <sheetName val="H"/>
      <sheetName val="J"/>
      <sheetName val="M"/>
      <sheetName val="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0625" defaultRowHeight="12.75" customHeight="false" zeroHeight="false" outlineLevelRow="0" outlineLevelCol="1"/>
  <cols>
    <col collapsed="false" customWidth="true" hidden="false" outlineLevel="0" max="1" min="1" style="0" width="17.57"/>
    <col collapsed="false" customWidth="true" hidden="false" outlineLevel="0" max="2" min="2" style="1" width="17.29"/>
    <col collapsed="false" customWidth="true" hidden="false" outlineLevel="0" max="3" min="3" style="1" width="49.44"/>
    <col collapsed="false" customWidth="true" hidden="true" outlineLevel="1" max="4" min="4" style="1" width="31.85"/>
    <col collapsed="false" customWidth="true" hidden="false" outlineLevel="0" max="5" min="5" style="1" width="81.44"/>
    <col collapsed="false" customWidth="true" hidden="false" outlineLevel="0" max="6" min="6" style="1" width="46.12"/>
    <col collapsed="false" customWidth="true" hidden="false" outlineLevel="0" max="7" min="7" style="2" width="91.53"/>
    <col collapsed="false" customWidth="true" hidden="false" outlineLevel="0" max="8" min="8" style="2" width="56.21"/>
    <col collapsed="false" customWidth="true" hidden="false" outlineLevel="0" max="9" min="9" style="1" width="46.12"/>
    <col collapsed="false" customWidth="true" hidden="false" outlineLevel="0" max="10" min="10" style="2" width="81.44"/>
    <col collapsed="false" customWidth="true" hidden="false" outlineLevel="0" max="11" min="11" style="2" width="56.21"/>
    <col collapsed="false" customWidth="true" hidden="false" outlineLevel="0" max="12" min="12" style="1" width="25.93"/>
    <col collapsed="false" customWidth="true" hidden="false" outlineLevel="0" max="13" min="13" style="2" width="36.03"/>
    <col collapsed="false" customWidth="true" hidden="false" outlineLevel="0" max="15" min="14" style="2" width="30.98"/>
    <col collapsed="false" customWidth="true" hidden="false" outlineLevel="0" max="16" min="16" style="2" width="51.16"/>
    <col collapsed="false" customWidth="true" hidden="false" outlineLevel="0" max="17" min="17" style="2" width="25.93"/>
    <col collapsed="false" customWidth="true" hidden="false" outlineLevel="0" max="18" min="18" style="1" width="25.93"/>
    <col collapsed="false" customWidth="true" hidden="false" outlineLevel="0" max="19" min="19" style="1" width="41.07"/>
    <col collapsed="false" customWidth="true" hidden="false" outlineLevel="0" max="20" min="20" style="0" width="141.98"/>
    <col collapsed="false" customWidth="true" hidden="false" outlineLevel="0" max="21" min="21" style="3" width="51.16"/>
    <col collapsed="false" customWidth="true" hidden="false" outlineLevel="0" max="22" min="22" style="3" width="71.35"/>
    <col collapsed="false" customWidth="true" hidden="false" outlineLevel="0" max="25" min="23" style="0" width="22.48"/>
  </cols>
  <sheetData>
    <row r="1" customFormat="false" ht="42" hidden="false" customHeight="true" outlineLevel="0" collapsed="false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 t="s">
        <v>1</v>
      </c>
      <c r="T1" s="8" t="s">
        <v>2</v>
      </c>
      <c r="U1" s="8"/>
      <c r="V1" s="8"/>
    </row>
    <row r="2" customFormat="false" ht="42" hidden="false" customHeight="tru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9"/>
      <c r="S2" s="7" t="s">
        <v>3</v>
      </c>
      <c r="T2" s="8" t="s">
        <v>4</v>
      </c>
      <c r="U2" s="8"/>
      <c r="V2" s="8"/>
    </row>
    <row r="3" customFormat="false" ht="36.75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0"/>
      <c r="S3" s="7" t="s">
        <v>5</v>
      </c>
      <c r="T3" s="11" t="n">
        <v>45727</v>
      </c>
      <c r="U3" s="11"/>
      <c r="V3" s="11"/>
    </row>
    <row r="4" customFormat="false" ht="30" hidden="false" customHeight="true" outlineLevel="0" collapsed="false">
      <c r="A4" s="4"/>
      <c r="B4" s="12" t="n">
        <v>1</v>
      </c>
      <c r="C4" s="12" t="n">
        <v>2</v>
      </c>
      <c r="D4" s="12"/>
      <c r="E4" s="12" t="n">
        <v>3</v>
      </c>
      <c r="F4" s="12" t="n">
        <v>4</v>
      </c>
      <c r="G4" s="12" t="n">
        <v>5</v>
      </c>
      <c r="H4" s="12" t="n">
        <v>6</v>
      </c>
      <c r="I4" s="12" t="n">
        <v>7</v>
      </c>
      <c r="J4" s="12" t="n">
        <v>8</v>
      </c>
      <c r="K4" s="12" t="n">
        <v>9</v>
      </c>
      <c r="L4" s="12" t="n">
        <v>10</v>
      </c>
      <c r="M4" s="12" t="n">
        <v>11</v>
      </c>
      <c r="N4" s="12" t="n">
        <v>12</v>
      </c>
      <c r="O4" s="12" t="n">
        <v>13</v>
      </c>
      <c r="P4" s="12" t="n">
        <v>14</v>
      </c>
      <c r="Q4" s="12" t="n">
        <v>15</v>
      </c>
      <c r="R4" s="13" t="n">
        <v>16</v>
      </c>
      <c r="S4" s="12" t="n">
        <v>17</v>
      </c>
      <c r="T4" s="12" t="n">
        <v>18</v>
      </c>
      <c r="U4" s="12" t="n">
        <v>19</v>
      </c>
      <c r="V4" s="12" t="n">
        <v>20</v>
      </c>
      <c r="W4" s="14"/>
      <c r="X4" s="14"/>
      <c r="Y4" s="14"/>
    </row>
    <row r="5" customFormat="false" ht="24.6" hidden="false" customHeight="true" outlineLevel="0" collapsed="false">
      <c r="A5" s="4"/>
      <c r="B5" s="15" t="s">
        <v>6</v>
      </c>
      <c r="C5" s="15" t="s">
        <v>7</v>
      </c>
      <c r="D5" s="15"/>
      <c r="E5" s="15" t="s">
        <v>8</v>
      </c>
      <c r="F5" s="15" t="s">
        <v>9</v>
      </c>
      <c r="G5" s="15"/>
      <c r="H5" s="15"/>
      <c r="I5" s="15" t="s">
        <v>10</v>
      </c>
      <c r="J5" s="15"/>
      <c r="K5" s="15"/>
      <c r="L5" s="15" t="s">
        <v>11</v>
      </c>
      <c r="M5" s="15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5" t="s">
        <v>17</v>
      </c>
      <c r="S5" s="15" t="s">
        <v>18</v>
      </c>
      <c r="T5" s="15" t="s">
        <v>19</v>
      </c>
      <c r="U5" s="15" t="s">
        <v>20</v>
      </c>
      <c r="V5" s="15" t="s">
        <v>21</v>
      </c>
      <c r="W5" s="16"/>
      <c r="X5" s="16"/>
      <c r="Y5" s="16"/>
    </row>
    <row r="6" customFormat="false" ht="150" hidden="false" customHeight="true" outlineLevel="0" collapsed="false">
      <c r="A6" s="4"/>
      <c r="B6" s="15"/>
      <c r="C6" s="15"/>
      <c r="D6" s="15"/>
      <c r="E6" s="15"/>
      <c r="F6" s="15" t="s">
        <v>22</v>
      </c>
      <c r="G6" s="15" t="s">
        <v>23</v>
      </c>
      <c r="H6" s="15" t="s">
        <v>24</v>
      </c>
      <c r="I6" s="15" t="s">
        <v>22</v>
      </c>
      <c r="J6" s="15" t="s">
        <v>23</v>
      </c>
      <c r="K6" s="15" t="s">
        <v>24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  <c r="X6" s="16"/>
      <c r="Y6" s="16"/>
    </row>
    <row r="7" customFormat="false" ht="75" hidden="false" customHeight="true" outlineLevel="0" collapsed="false">
      <c r="A7" s="4"/>
      <c r="B7" s="17" t="n">
        <v>1</v>
      </c>
      <c r="C7" s="18" t="str">
        <f aca="false">CONCATENATE(F7,D7)</f>
        <v>B0-XY-44051A-I6001</v>
      </c>
      <c r="D7" s="19" t="s">
        <v>25</v>
      </c>
      <c r="E7" s="19" t="s">
        <v>26</v>
      </c>
      <c r="F7" s="20" t="s">
        <v>27</v>
      </c>
      <c r="G7" s="20" t="s">
        <v>28</v>
      </c>
      <c r="H7" s="20" t="s">
        <v>29</v>
      </c>
      <c r="I7" s="19" t="s">
        <v>30</v>
      </c>
      <c r="J7" s="21" t="s">
        <v>31</v>
      </c>
      <c r="K7" s="20" t="s">
        <v>32</v>
      </c>
      <c r="L7" s="20" t="s">
        <v>33</v>
      </c>
      <c r="M7" s="20" t="s">
        <v>34</v>
      </c>
      <c r="N7" s="20" t="n">
        <v>12</v>
      </c>
      <c r="O7" s="20" t="s">
        <v>35</v>
      </c>
      <c r="P7" s="20" t="s">
        <v>36</v>
      </c>
      <c r="Q7" s="20" t="n">
        <v>4</v>
      </c>
      <c r="R7" s="22" t="s">
        <v>37</v>
      </c>
      <c r="S7" s="17" t="s">
        <v>38</v>
      </c>
      <c r="T7" s="20" t="s">
        <v>39</v>
      </c>
      <c r="U7" s="20" t="s">
        <v>40</v>
      </c>
      <c r="V7" s="23"/>
      <c r="W7" s="24"/>
      <c r="X7" s="24"/>
      <c r="Y7" s="24"/>
    </row>
    <row r="8" customFormat="false" ht="78" hidden="false" customHeight="true" outlineLevel="0" collapsed="false">
      <c r="A8" s="4"/>
      <c r="B8" s="17" t="n">
        <v>2</v>
      </c>
      <c r="C8" s="18" t="str">
        <f aca="false">CONCATENATE(F8,D8)</f>
        <v>B0-XY-44051B-I6002</v>
      </c>
      <c r="D8" s="19" t="s">
        <v>41</v>
      </c>
      <c r="E8" s="19" t="s">
        <v>26</v>
      </c>
      <c r="F8" s="20" t="s">
        <v>42</v>
      </c>
      <c r="G8" s="20" t="s">
        <v>43</v>
      </c>
      <c r="H8" s="20" t="s">
        <v>29</v>
      </c>
      <c r="I8" s="19" t="s">
        <v>30</v>
      </c>
      <c r="J8" s="21" t="s">
        <v>31</v>
      </c>
      <c r="K8" s="20" t="s">
        <v>32</v>
      </c>
      <c r="L8" s="20" t="s">
        <v>33</v>
      </c>
      <c r="M8" s="20" t="s">
        <v>34</v>
      </c>
      <c r="N8" s="20" t="n">
        <v>12</v>
      </c>
      <c r="O8" s="20" t="s">
        <v>35</v>
      </c>
      <c r="P8" s="20" t="s">
        <v>36</v>
      </c>
      <c r="Q8" s="20" t="n">
        <v>4</v>
      </c>
      <c r="R8" s="22" t="s">
        <v>37</v>
      </c>
      <c r="S8" s="17" t="s">
        <v>38</v>
      </c>
      <c r="T8" s="20" t="s">
        <v>39</v>
      </c>
      <c r="U8" s="20" t="s">
        <v>40</v>
      </c>
      <c r="V8" s="23"/>
      <c r="W8" s="24"/>
      <c r="X8" s="24"/>
      <c r="Y8" s="24"/>
    </row>
    <row r="9" customFormat="false" ht="125.45" hidden="false" customHeight="true" outlineLevel="0" collapsed="false">
      <c r="A9" s="4"/>
      <c r="B9" s="17" t="n">
        <v>3</v>
      </c>
      <c r="C9" s="18" t="str">
        <f aca="false">CONCATENATE(F9,D9)</f>
        <v>PST-I6003</v>
      </c>
      <c r="D9" s="19" t="s">
        <v>44</v>
      </c>
      <c r="E9" s="19" t="s">
        <v>45</v>
      </c>
      <c r="F9" s="20" t="s">
        <v>46</v>
      </c>
      <c r="G9" s="20" t="s">
        <v>47</v>
      </c>
      <c r="H9" s="20" t="s">
        <v>29</v>
      </c>
      <c r="I9" s="20" t="s">
        <v>48</v>
      </c>
      <c r="J9" s="20" t="s">
        <v>49</v>
      </c>
      <c r="K9" s="20" t="s">
        <v>32</v>
      </c>
      <c r="L9" s="20" t="s">
        <v>33</v>
      </c>
      <c r="M9" s="20" t="s">
        <v>34</v>
      </c>
      <c r="N9" s="20" t="n">
        <v>11.5</v>
      </c>
      <c r="O9" s="20" t="s">
        <v>35</v>
      </c>
      <c r="P9" s="20" t="s">
        <v>50</v>
      </c>
      <c r="Q9" s="20" t="n">
        <v>4</v>
      </c>
      <c r="R9" s="22" t="s">
        <v>37</v>
      </c>
      <c r="S9" s="17" t="s">
        <v>38</v>
      </c>
      <c r="T9" s="20" t="s">
        <v>39</v>
      </c>
      <c r="U9" s="20" t="s">
        <v>40</v>
      </c>
      <c r="V9" s="23"/>
      <c r="W9" s="24"/>
      <c r="X9" s="24"/>
      <c r="Y9" s="24"/>
    </row>
    <row r="10" customFormat="false" ht="75.6" hidden="false" customHeight="true" outlineLevel="0" collapsed="false">
      <c r="A10" s="4"/>
      <c r="B10" s="17" t="n">
        <v>4</v>
      </c>
      <c r="C10" s="18" t="str">
        <f aca="false">CONCATENATE(F10,D10)</f>
        <v>LCP100-I6004</v>
      </c>
      <c r="D10" s="19" t="s">
        <v>51</v>
      </c>
      <c r="E10" s="19" t="s">
        <v>52</v>
      </c>
      <c r="F10" s="20" t="s">
        <v>48</v>
      </c>
      <c r="G10" s="20" t="s">
        <v>49</v>
      </c>
      <c r="H10" s="20" t="s">
        <v>29</v>
      </c>
      <c r="I10" s="19" t="s">
        <v>30</v>
      </c>
      <c r="J10" s="21" t="s">
        <v>31</v>
      </c>
      <c r="K10" s="20" t="s">
        <v>32</v>
      </c>
      <c r="L10" s="20" t="s">
        <v>33</v>
      </c>
      <c r="M10" s="20" t="s">
        <v>34</v>
      </c>
      <c r="N10" s="20" t="n">
        <v>11</v>
      </c>
      <c r="O10" s="20" t="s">
        <v>35</v>
      </c>
      <c r="P10" s="20" t="s">
        <v>53</v>
      </c>
      <c r="Q10" s="20" t="n">
        <v>4</v>
      </c>
      <c r="R10" s="22" t="s">
        <v>37</v>
      </c>
      <c r="S10" s="17" t="s">
        <v>38</v>
      </c>
      <c r="T10" s="20" t="s">
        <v>39</v>
      </c>
      <c r="U10" s="20" t="s">
        <v>40</v>
      </c>
      <c r="V10" s="23"/>
      <c r="W10" s="24"/>
      <c r="X10" s="24"/>
      <c r="Y10" s="24"/>
    </row>
    <row r="11" customFormat="false" ht="80.45" hidden="false" customHeight="true" outlineLevel="0" collapsed="false">
      <c r="A11" s="4"/>
      <c r="B11" s="17" t="n">
        <v>5</v>
      </c>
      <c r="C11" s="18" t="str">
        <f aca="false">CONCATENATE(F11,D11)</f>
        <v>B0-ZS-44051-I6005</v>
      </c>
      <c r="D11" s="19" t="s">
        <v>54</v>
      </c>
      <c r="E11" s="19" t="s">
        <v>55</v>
      </c>
      <c r="F11" s="20" t="s">
        <v>56</v>
      </c>
      <c r="G11" s="20" t="s">
        <v>57</v>
      </c>
      <c r="H11" s="20" t="s">
        <v>29</v>
      </c>
      <c r="I11" s="19" t="s">
        <v>30</v>
      </c>
      <c r="J11" s="21" t="s">
        <v>31</v>
      </c>
      <c r="K11" s="20" t="s">
        <v>32</v>
      </c>
      <c r="L11" s="20" t="s">
        <v>33</v>
      </c>
      <c r="M11" s="20" t="s">
        <v>34</v>
      </c>
      <c r="N11" s="20" t="n">
        <v>12.5</v>
      </c>
      <c r="O11" s="20" t="s">
        <v>35</v>
      </c>
      <c r="P11" s="20" t="s">
        <v>36</v>
      </c>
      <c r="Q11" s="20" t="n">
        <v>4</v>
      </c>
      <c r="R11" s="22" t="s">
        <v>37</v>
      </c>
      <c r="S11" s="17" t="s">
        <v>38</v>
      </c>
      <c r="T11" s="20" t="s">
        <v>39</v>
      </c>
      <c r="U11" s="20" t="s">
        <v>40</v>
      </c>
      <c r="V11" s="23"/>
      <c r="W11" s="24"/>
      <c r="X11" s="24"/>
      <c r="Y11" s="24"/>
    </row>
    <row r="12" customFormat="false" ht="72.6" hidden="false" customHeight="true" outlineLevel="0" collapsed="false">
      <c r="A12" s="4"/>
      <c r="B12" s="17" t="n">
        <v>6</v>
      </c>
      <c r="C12" s="18" t="str">
        <f aca="false">CONCATENATE(F12,D12)</f>
        <v>B0-JB-4417-I6006</v>
      </c>
      <c r="D12" s="19" t="s">
        <v>58</v>
      </c>
      <c r="E12" s="19" t="s">
        <v>59</v>
      </c>
      <c r="F12" s="19" t="s">
        <v>30</v>
      </c>
      <c r="G12" s="21" t="s">
        <v>31</v>
      </c>
      <c r="H12" s="20" t="s">
        <v>29</v>
      </c>
      <c r="I12" s="19" t="s">
        <v>60</v>
      </c>
      <c r="J12" s="21" t="s">
        <v>61</v>
      </c>
      <c r="K12" s="20" t="s">
        <v>62</v>
      </c>
      <c r="L12" s="20" t="s">
        <v>33</v>
      </c>
      <c r="M12" s="20" t="s">
        <v>34</v>
      </c>
      <c r="N12" s="20" t="n">
        <v>11.5</v>
      </c>
      <c r="O12" s="20" t="s">
        <v>35</v>
      </c>
      <c r="P12" s="20" t="s">
        <v>36</v>
      </c>
      <c r="Q12" s="20" t="n">
        <v>180</v>
      </c>
      <c r="R12" s="22" t="s">
        <v>63</v>
      </c>
      <c r="S12" s="17" t="s">
        <v>38</v>
      </c>
      <c r="T12" s="20" t="s">
        <v>39</v>
      </c>
      <c r="U12" s="20" t="s">
        <v>40</v>
      </c>
      <c r="V12" s="23"/>
      <c r="W12" s="4"/>
      <c r="X12" s="4"/>
      <c r="Y12" s="4"/>
    </row>
    <row r="13" customFormat="false" ht="76.9" hidden="false" customHeight="true" outlineLevel="0" collapsed="false">
      <c r="A13" s="25"/>
      <c r="B13" s="17" t="n">
        <v>7</v>
      </c>
      <c r="C13" s="26" t="s">
        <v>64</v>
      </c>
      <c r="D13" s="19"/>
      <c r="E13" s="19" t="s">
        <v>26</v>
      </c>
      <c r="F13" s="19" t="s">
        <v>30</v>
      </c>
      <c r="G13" s="21" t="s">
        <v>31</v>
      </c>
      <c r="H13" s="20" t="s">
        <v>29</v>
      </c>
      <c r="I13" s="19" t="s">
        <v>65</v>
      </c>
      <c r="J13" s="20" t="s">
        <v>66</v>
      </c>
      <c r="K13" s="20" t="s">
        <v>66</v>
      </c>
      <c r="L13" s="20" t="s">
        <v>33</v>
      </c>
      <c r="M13" s="20" t="s">
        <v>34</v>
      </c>
      <c r="N13" s="17" t="s">
        <v>67</v>
      </c>
      <c r="O13" s="20" t="s">
        <v>68</v>
      </c>
      <c r="P13" s="20" t="s">
        <v>68</v>
      </c>
      <c r="Q13" s="20" t="s">
        <v>68</v>
      </c>
      <c r="R13" s="22" t="s">
        <v>63</v>
      </c>
      <c r="S13" s="17" t="s">
        <v>38</v>
      </c>
      <c r="T13" s="20" t="s">
        <v>69</v>
      </c>
      <c r="U13" s="20" t="s">
        <v>70</v>
      </c>
      <c r="V13" s="23"/>
      <c r="W13" s="25"/>
      <c r="X13" s="25"/>
      <c r="Y13" s="25"/>
    </row>
    <row r="14" customFormat="false" ht="79.15" hidden="false" customHeight="true" outlineLevel="0" collapsed="false">
      <c r="A14" s="25"/>
      <c r="B14" s="17" t="n">
        <v>8</v>
      </c>
      <c r="C14" s="26" t="s">
        <v>71</v>
      </c>
      <c r="D14" s="19"/>
      <c r="E14" s="19" t="s">
        <v>26</v>
      </c>
      <c r="F14" s="19" t="s">
        <v>30</v>
      </c>
      <c r="G14" s="21" t="s">
        <v>31</v>
      </c>
      <c r="H14" s="20" t="s">
        <v>29</v>
      </c>
      <c r="I14" s="19" t="s">
        <v>65</v>
      </c>
      <c r="J14" s="20" t="s">
        <v>66</v>
      </c>
      <c r="K14" s="20" t="s">
        <v>66</v>
      </c>
      <c r="L14" s="20" t="s">
        <v>33</v>
      </c>
      <c r="M14" s="20" t="s">
        <v>34</v>
      </c>
      <c r="N14" s="17" t="s">
        <v>67</v>
      </c>
      <c r="O14" s="20" t="s">
        <v>68</v>
      </c>
      <c r="P14" s="20" t="s">
        <v>68</v>
      </c>
      <c r="Q14" s="20" t="s">
        <v>68</v>
      </c>
      <c r="R14" s="22" t="s">
        <v>63</v>
      </c>
      <c r="S14" s="17" t="s">
        <v>38</v>
      </c>
      <c r="T14" s="20" t="s">
        <v>69</v>
      </c>
      <c r="U14" s="20" t="s">
        <v>70</v>
      </c>
      <c r="V14" s="23"/>
      <c r="W14" s="25"/>
      <c r="X14" s="25"/>
      <c r="Y14" s="25"/>
    </row>
    <row r="15" customFormat="false" ht="79.15" hidden="false" customHeight="true" outlineLevel="0" collapsed="false">
      <c r="A15" s="25"/>
      <c r="B15" s="17" t="n">
        <v>9</v>
      </c>
      <c r="C15" s="26" t="s">
        <v>72</v>
      </c>
      <c r="D15" s="19"/>
      <c r="E15" s="19" t="s">
        <v>26</v>
      </c>
      <c r="F15" s="19" t="s">
        <v>30</v>
      </c>
      <c r="G15" s="21" t="s">
        <v>31</v>
      </c>
      <c r="H15" s="20" t="s">
        <v>29</v>
      </c>
      <c r="I15" s="19" t="s">
        <v>65</v>
      </c>
      <c r="J15" s="20" t="s">
        <v>66</v>
      </c>
      <c r="K15" s="20" t="s">
        <v>66</v>
      </c>
      <c r="L15" s="20" t="s">
        <v>33</v>
      </c>
      <c r="M15" s="20" t="s">
        <v>34</v>
      </c>
      <c r="N15" s="17" t="s">
        <v>67</v>
      </c>
      <c r="O15" s="20" t="s">
        <v>68</v>
      </c>
      <c r="P15" s="20" t="s">
        <v>68</v>
      </c>
      <c r="Q15" s="20" t="s">
        <v>68</v>
      </c>
      <c r="R15" s="22" t="s">
        <v>63</v>
      </c>
      <c r="S15" s="17" t="s">
        <v>38</v>
      </c>
      <c r="T15" s="20" t="s">
        <v>69</v>
      </c>
      <c r="U15" s="20" t="s">
        <v>70</v>
      </c>
      <c r="V15" s="23"/>
      <c r="W15" s="25"/>
      <c r="X15" s="25"/>
      <c r="Y15" s="25"/>
    </row>
    <row r="16" customFormat="false" ht="77.25" hidden="false" customHeight="true" outlineLevel="0" collapsed="false">
      <c r="A16" s="4"/>
      <c r="B16" s="17" t="n">
        <v>10</v>
      </c>
      <c r="C16" s="18" t="str">
        <f aca="false">CONCATENATE(F16,D16)</f>
        <v>B0-JB-4417-I6007</v>
      </c>
      <c r="D16" s="19" t="s">
        <v>73</v>
      </c>
      <c r="E16" s="19" t="s">
        <v>74</v>
      </c>
      <c r="F16" s="19" t="s">
        <v>30</v>
      </c>
      <c r="G16" s="21" t="s">
        <v>31</v>
      </c>
      <c r="H16" s="20" t="s">
        <v>29</v>
      </c>
      <c r="I16" s="19" t="s">
        <v>60</v>
      </c>
      <c r="J16" s="21" t="s">
        <v>61</v>
      </c>
      <c r="K16" s="20" t="s">
        <v>62</v>
      </c>
      <c r="L16" s="20" t="s">
        <v>33</v>
      </c>
      <c r="M16" s="20" t="s">
        <v>34</v>
      </c>
      <c r="N16" s="20" t="n">
        <v>18</v>
      </c>
      <c r="O16" s="20" t="s">
        <v>35</v>
      </c>
      <c r="P16" s="20" t="s">
        <v>36</v>
      </c>
      <c r="Q16" s="20" t="n">
        <v>180</v>
      </c>
      <c r="R16" s="22" t="s">
        <v>63</v>
      </c>
      <c r="S16" s="17" t="s">
        <v>38</v>
      </c>
      <c r="T16" s="20" t="s">
        <v>69</v>
      </c>
      <c r="U16" s="20" t="s">
        <v>40</v>
      </c>
      <c r="V16" s="23"/>
      <c r="W16" s="4"/>
      <c r="X16" s="4"/>
      <c r="Y16" s="4"/>
    </row>
    <row r="17" customFormat="false" ht="75" hidden="false" customHeight="true" outlineLevel="0" collapsed="false">
      <c r="A17" s="4"/>
      <c r="B17" s="17" t="n">
        <v>11</v>
      </c>
      <c r="C17" s="18" t="str">
        <f aca="false">CONCATENATE(F17,D17)</f>
        <v>B0-PIT-44001A-I6008</v>
      </c>
      <c r="D17" s="19" t="s">
        <v>75</v>
      </c>
      <c r="E17" s="19" t="s">
        <v>52</v>
      </c>
      <c r="F17" s="20" t="s">
        <v>76</v>
      </c>
      <c r="G17" s="20" t="s">
        <v>77</v>
      </c>
      <c r="H17" s="20" t="s">
        <v>29</v>
      </c>
      <c r="I17" s="20" t="s">
        <v>78</v>
      </c>
      <c r="J17" s="20" t="s">
        <v>79</v>
      </c>
      <c r="K17" s="20" t="s">
        <v>32</v>
      </c>
      <c r="L17" s="20" t="s">
        <v>33</v>
      </c>
      <c r="M17" s="20" t="s">
        <v>34</v>
      </c>
      <c r="N17" s="20" t="n">
        <v>11</v>
      </c>
      <c r="O17" s="20" t="s">
        <v>35</v>
      </c>
      <c r="P17" s="20" t="s">
        <v>53</v>
      </c>
      <c r="Q17" s="20" t="n">
        <v>2</v>
      </c>
      <c r="R17" s="22" t="s">
        <v>37</v>
      </c>
      <c r="S17" s="17" t="s">
        <v>38</v>
      </c>
      <c r="T17" s="20" t="s">
        <v>69</v>
      </c>
      <c r="U17" s="20" t="s">
        <v>40</v>
      </c>
      <c r="V17" s="23"/>
      <c r="W17" s="4"/>
      <c r="X17" s="4"/>
      <c r="Y17" s="4"/>
    </row>
    <row r="18" customFormat="false" ht="87" hidden="false" customHeight="true" outlineLevel="0" collapsed="false">
      <c r="A18" s="4"/>
      <c r="B18" s="17" t="n">
        <v>12</v>
      </c>
      <c r="C18" s="18" t="str">
        <f aca="false">CONCATENATE(F18,D18)</f>
        <v>B0-PIT-44001B-I6009</v>
      </c>
      <c r="D18" s="19" t="s">
        <v>80</v>
      </c>
      <c r="E18" s="19" t="s">
        <v>52</v>
      </c>
      <c r="F18" s="20" t="s">
        <v>81</v>
      </c>
      <c r="G18" s="20" t="s">
        <v>82</v>
      </c>
      <c r="H18" s="20" t="s">
        <v>29</v>
      </c>
      <c r="I18" s="20" t="s">
        <v>78</v>
      </c>
      <c r="J18" s="20" t="s">
        <v>79</v>
      </c>
      <c r="K18" s="20" t="s">
        <v>83</v>
      </c>
      <c r="L18" s="20" t="s">
        <v>33</v>
      </c>
      <c r="M18" s="20" t="s">
        <v>34</v>
      </c>
      <c r="N18" s="20" t="n">
        <v>11</v>
      </c>
      <c r="O18" s="20" t="s">
        <v>35</v>
      </c>
      <c r="P18" s="20" t="s">
        <v>53</v>
      </c>
      <c r="Q18" s="20" t="n">
        <v>2</v>
      </c>
      <c r="R18" s="22" t="s">
        <v>37</v>
      </c>
      <c r="S18" s="17" t="s">
        <v>38</v>
      </c>
      <c r="T18" s="20" t="s">
        <v>69</v>
      </c>
      <c r="U18" s="20" t="s">
        <v>40</v>
      </c>
      <c r="V18" s="23"/>
      <c r="W18" s="4"/>
      <c r="X18" s="4"/>
      <c r="Y18" s="4"/>
    </row>
    <row r="19" customFormat="false" ht="81" hidden="false" customHeight="true" outlineLevel="0" collapsed="false">
      <c r="A19" s="4"/>
      <c r="B19" s="17" t="n">
        <v>13</v>
      </c>
      <c r="C19" s="18" t="str">
        <f aca="false">CONCATENATE(F19,D19)</f>
        <v>B0-PIT-44001C-I6010</v>
      </c>
      <c r="D19" s="19" t="s">
        <v>84</v>
      </c>
      <c r="E19" s="19" t="s">
        <v>52</v>
      </c>
      <c r="F19" s="20" t="s">
        <v>85</v>
      </c>
      <c r="G19" s="20" t="s">
        <v>86</v>
      </c>
      <c r="H19" s="20" t="s">
        <v>29</v>
      </c>
      <c r="I19" s="20" t="s">
        <v>78</v>
      </c>
      <c r="J19" s="20" t="s">
        <v>79</v>
      </c>
      <c r="K19" s="20" t="s">
        <v>83</v>
      </c>
      <c r="L19" s="20" t="s">
        <v>33</v>
      </c>
      <c r="M19" s="20" t="s">
        <v>34</v>
      </c>
      <c r="N19" s="20" t="n">
        <v>11</v>
      </c>
      <c r="O19" s="20" t="s">
        <v>35</v>
      </c>
      <c r="P19" s="20" t="s">
        <v>53</v>
      </c>
      <c r="Q19" s="20" t="n">
        <v>2</v>
      </c>
      <c r="R19" s="22" t="s">
        <v>37</v>
      </c>
      <c r="S19" s="17" t="s">
        <v>38</v>
      </c>
      <c r="T19" s="20" t="s">
        <v>69</v>
      </c>
      <c r="U19" s="20" t="s">
        <v>40</v>
      </c>
      <c r="V19" s="23"/>
      <c r="W19" s="4"/>
      <c r="X19" s="4"/>
      <c r="Y19" s="4"/>
    </row>
    <row r="20" customFormat="false" ht="87" hidden="false" customHeight="true" outlineLevel="0" collapsed="false">
      <c r="A20" s="4"/>
      <c r="B20" s="17" t="n">
        <v>14</v>
      </c>
      <c r="C20" s="18" t="str">
        <f aca="false">CONCATENATE(F20,D20)</f>
        <v>B0-PIT-44004-I6011</v>
      </c>
      <c r="D20" s="19" t="s">
        <v>87</v>
      </c>
      <c r="E20" s="19" t="s">
        <v>52</v>
      </c>
      <c r="F20" s="20" t="s">
        <v>88</v>
      </c>
      <c r="G20" s="20" t="s">
        <v>89</v>
      </c>
      <c r="H20" s="20" t="s">
        <v>29</v>
      </c>
      <c r="I20" s="20" t="s">
        <v>78</v>
      </c>
      <c r="J20" s="20" t="s">
        <v>79</v>
      </c>
      <c r="K20" s="20" t="s">
        <v>83</v>
      </c>
      <c r="L20" s="20" t="s">
        <v>33</v>
      </c>
      <c r="M20" s="20" t="s">
        <v>34</v>
      </c>
      <c r="N20" s="20" t="n">
        <v>11</v>
      </c>
      <c r="O20" s="20" t="s">
        <v>35</v>
      </c>
      <c r="P20" s="20" t="s">
        <v>53</v>
      </c>
      <c r="Q20" s="20" t="n">
        <v>2</v>
      </c>
      <c r="R20" s="22" t="s">
        <v>37</v>
      </c>
      <c r="S20" s="17" t="s">
        <v>38</v>
      </c>
      <c r="T20" s="20" t="s">
        <v>69</v>
      </c>
      <c r="U20" s="20" t="s">
        <v>40</v>
      </c>
      <c r="V20" s="23"/>
      <c r="W20" s="4"/>
      <c r="X20" s="4"/>
      <c r="Y20" s="4"/>
    </row>
    <row r="21" customFormat="false" ht="81" hidden="false" customHeight="true" outlineLevel="0" collapsed="false">
      <c r="A21" s="4"/>
      <c r="B21" s="17" t="n">
        <v>15</v>
      </c>
      <c r="C21" s="18" t="str">
        <f aca="false">CONCATENATE(F21,D21)</f>
        <v>B0-TT-44001-I6012</v>
      </c>
      <c r="D21" s="19" t="s">
        <v>90</v>
      </c>
      <c r="E21" s="19" t="s">
        <v>52</v>
      </c>
      <c r="F21" s="20" t="s">
        <v>91</v>
      </c>
      <c r="G21" s="20" t="s">
        <v>92</v>
      </c>
      <c r="H21" s="20" t="s">
        <v>29</v>
      </c>
      <c r="I21" s="20" t="s">
        <v>78</v>
      </c>
      <c r="J21" s="20" t="s">
        <v>79</v>
      </c>
      <c r="K21" s="20" t="s">
        <v>83</v>
      </c>
      <c r="L21" s="20" t="s">
        <v>33</v>
      </c>
      <c r="M21" s="20" t="s">
        <v>34</v>
      </c>
      <c r="N21" s="20" t="n">
        <v>11</v>
      </c>
      <c r="O21" s="20" t="s">
        <v>35</v>
      </c>
      <c r="P21" s="20" t="s">
        <v>53</v>
      </c>
      <c r="Q21" s="20" t="n">
        <v>3</v>
      </c>
      <c r="R21" s="22" t="s">
        <v>37</v>
      </c>
      <c r="S21" s="17" t="s">
        <v>38</v>
      </c>
      <c r="T21" s="20" t="s">
        <v>69</v>
      </c>
      <c r="U21" s="20" t="s">
        <v>40</v>
      </c>
      <c r="V21" s="23"/>
      <c r="W21" s="4"/>
      <c r="X21" s="4"/>
      <c r="Y21" s="4"/>
    </row>
    <row r="22" customFormat="false" ht="87" hidden="false" customHeight="true" outlineLevel="0" collapsed="false">
      <c r="A22" s="4"/>
      <c r="B22" s="17" t="n">
        <v>16</v>
      </c>
      <c r="C22" s="18" t="str">
        <f aca="false">CONCATENATE(F22,D22)</f>
        <v>B0-JB-4401-I6013</v>
      </c>
      <c r="D22" s="19" t="s">
        <v>93</v>
      </c>
      <c r="E22" s="19" t="s">
        <v>94</v>
      </c>
      <c r="F22" s="20" t="s">
        <v>78</v>
      </c>
      <c r="G22" s="20" t="s">
        <v>79</v>
      </c>
      <c r="H22" s="20" t="s">
        <v>29</v>
      </c>
      <c r="I22" s="19" t="s">
        <v>60</v>
      </c>
      <c r="J22" s="21" t="s">
        <v>61</v>
      </c>
      <c r="K22" s="20" t="s">
        <v>62</v>
      </c>
      <c r="L22" s="20" t="s">
        <v>33</v>
      </c>
      <c r="M22" s="20" t="s">
        <v>34</v>
      </c>
      <c r="N22" s="20" t="n">
        <v>20.5</v>
      </c>
      <c r="O22" s="20" t="s">
        <v>35</v>
      </c>
      <c r="P22" s="20" t="s">
        <v>53</v>
      </c>
      <c r="Q22" s="20" t="n">
        <v>180</v>
      </c>
      <c r="R22" s="22" t="s">
        <v>63</v>
      </c>
      <c r="S22" s="17" t="s">
        <v>38</v>
      </c>
      <c r="T22" s="20" t="s">
        <v>69</v>
      </c>
      <c r="U22" s="20" t="s">
        <v>40</v>
      </c>
      <c r="V22" s="23"/>
      <c r="W22" s="4"/>
      <c r="X22" s="4"/>
      <c r="Y22" s="4"/>
    </row>
    <row r="23" customFormat="false" ht="75" hidden="false" customHeight="true" outlineLevel="0" collapsed="false">
      <c r="A23" s="4"/>
      <c r="B23" s="17" t="n">
        <v>17</v>
      </c>
      <c r="C23" s="18" t="str">
        <f aca="false">CONCATENATE(F23,D23)</f>
        <v>B0-JB-4401-I6014</v>
      </c>
      <c r="D23" s="19" t="s">
        <v>95</v>
      </c>
      <c r="E23" s="19" t="s">
        <v>52</v>
      </c>
      <c r="F23" s="20" t="s">
        <v>78</v>
      </c>
      <c r="G23" s="20" t="s">
        <v>79</v>
      </c>
      <c r="H23" s="20" t="s">
        <v>29</v>
      </c>
      <c r="I23" s="19" t="s">
        <v>60</v>
      </c>
      <c r="J23" s="21" t="s">
        <v>61</v>
      </c>
      <c r="K23" s="20" t="s">
        <v>62</v>
      </c>
      <c r="L23" s="20" t="s">
        <v>33</v>
      </c>
      <c r="M23" s="20" t="s">
        <v>34</v>
      </c>
      <c r="N23" s="20" t="n">
        <v>11</v>
      </c>
      <c r="O23" s="20" t="s">
        <v>35</v>
      </c>
      <c r="P23" s="20" t="s">
        <v>53</v>
      </c>
      <c r="Q23" s="20" t="n">
        <v>180</v>
      </c>
      <c r="R23" s="22" t="s">
        <v>63</v>
      </c>
      <c r="S23" s="17" t="s">
        <v>38</v>
      </c>
      <c r="T23" s="20" t="s">
        <v>69</v>
      </c>
      <c r="U23" s="20" t="s">
        <v>40</v>
      </c>
      <c r="V23" s="23"/>
      <c r="W23" s="4"/>
      <c r="X23" s="4"/>
      <c r="Y23" s="4"/>
    </row>
    <row r="24" customFormat="false" ht="84" hidden="false" customHeight="true" outlineLevel="0" collapsed="false">
      <c r="A24" s="4"/>
      <c r="B24" s="17" t="n">
        <v>18</v>
      </c>
      <c r="C24" s="18" t="str">
        <f aca="false">CONCATENATE(F24,D24)</f>
        <v>B0-GD-44001-I6015</v>
      </c>
      <c r="D24" s="19" t="s">
        <v>96</v>
      </c>
      <c r="E24" s="19" t="s">
        <v>45</v>
      </c>
      <c r="F24" s="20" t="s">
        <v>97</v>
      </c>
      <c r="G24" s="20" t="s">
        <v>98</v>
      </c>
      <c r="H24" s="20" t="s">
        <v>29</v>
      </c>
      <c r="I24" s="19" t="s">
        <v>99</v>
      </c>
      <c r="J24" s="21" t="s">
        <v>100</v>
      </c>
      <c r="K24" s="20" t="s">
        <v>62</v>
      </c>
      <c r="L24" s="20" t="s">
        <v>33</v>
      </c>
      <c r="M24" s="20" t="s">
        <v>34</v>
      </c>
      <c r="N24" s="20" t="n">
        <v>11.5</v>
      </c>
      <c r="O24" s="20" t="s">
        <v>35</v>
      </c>
      <c r="P24" s="20" t="s">
        <v>50</v>
      </c>
      <c r="Q24" s="20" t="n">
        <v>185</v>
      </c>
      <c r="R24" s="22" t="s">
        <v>63</v>
      </c>
      <c r="S24" s="17" t="s">
        <v>38</v>
      </c>
      <c r="T24" s="20" t="s">
        <v>69</v>
      </c>
      <c r="U24" s="20" t="s">
        <v>40</v>
      </c>
      <c r="V24" s="23"/>
      <c r="W24" s="4"/>
      <c r="X24" s="4"/>
      <c r="Y24" s="4"/>
    </row>
    <row r="25" customFormat="false" ht="84.6" hidden="false" customHeight="true" outlineLevel="0" collapsed="false">
      <c r="A25" s="4"/>
      <c r="B25" s="17" t="n">
        <v>19</v>
      </c>
      <c r="C25" s="18" t="str">
        <f aca="false">CONCATENATE(F25,D25)</f>
        <v>B0-AZ-44001B-I6016</v>
      </c>
      <c r="D25" s="19" t="s">
        <v>101</v>
      </c>
      <c r="E25" s="19" t="s">
        <v>102</v>
      </c>
      <c r="F25" s="20" t="s">
        <v>103</v>
      </c>
      <c r="G25" s="20" t="s">
        <v>104</v>
      </c>
      <c r="H25" s="20" t="s">
        <v>105</v>
      </c>
      <c r="I25" s="20" t="s">
        <v>106</v>
      </c>
      <c r="J25" s="21" t="s">
        <v>107</v>
      </c>
      <c r="K25" s="20" t="s">
        <v>105</v>
      </c>
      <c r="L25" s="20" t="s">
        <v>33</v>
      </c>
      <c r="M25" s="20" t="s">
        <v>34</v>
      </c>
      <c r="N25" s="20" t="s">
        <v>108</v>
      </c>
      <c r="O25" s="20" t="s">
        <v>109</v>
      </c>
      <c r="P25" s="20" t="s">
        <v>109</v>
      </c>
      <c r="Q25" s="20" t="n">
        <v>3</v>
      </c>
      <c r="R25" s="22" t="s">
        <v>37</v>
      </c>
      <c r="S25" s="17" t="s">
        <v>38</v>
      </c>
      <c r="T25" s="20" t="s">
        <v>110</v>
      </c>
      <c r="U25" s="20" t="s">
        <v>40</v>
      </c>
      <c r="V25" s="23"/>
      <c r="W25" s="4"/>
      <c r="X25" s="4"/>
      <c r="Y25" s="4"/>
    </row>
    <row r="26" customFormat="false" ht="90" hidden="false" customHeight="true" outlineLevel="0" collapsed="false">
      <c r="A26" s="4"/>
      <c r="B26" s="17" t="n">
        <v>20</v>
      </c>
      <c r="C26" s="18" t="str">
        <f aca="false">CONCATENATE(F26,D26)</f>
        <v>B0-AZ-44001C-I6017</v>
      </c>
      <c r="D26" s="19" t="s">
        <v>111</v>
      </c>
      <c r="E26" s="19" t="s">
        <v>52</v>
      </c>
      <c r="F26" s="20" t="s">
        <v>112</v>
      </c>
      <c r="G26" s="20" t="s">
        <v>113</v>
      </c>
      <c r="H26" s="20" t="s">
        <v>105</v>
      </c>
      <c r="I26" s="20" t="s">
        <v>106</v>
      </c>
      <c r="J26" s="21" t="s">
        <v>107</v>
      </c>
      <c r="K26" s="20" t="s">
        <v>105</v>
      </c>
      <c r="L26" s="20" t="s">
        <v>33</v>
      </c>
      <c r="M26" s="20" t="s">
        <v>34</v>
      </c>
      <c r="N26" s="20" t="n">
        <v>11</v>
      </c>
      <c r="O26" s="20" t="s">
        <v>35</v>
      </c>
      <c r="P26" s="20" t="s">
        <v>53</v>
      </c>
      <c r="Q26" s="20" t="n">
        <v>3</v>
      </c>
      <c r="R26" s="22" t="s">
        <v>37</v>
      </c>
      <c r="S26" s="17" t="s">
        <v>38</v>
      </c>
      <c r="T26" s="20" t="s">
        <v>110</v>
      </c>
      <c r="U26" s="20" t="s">
        <v>40</v>
      </c>
      <c r="V26" s="23"/>
      <c r="W26" s="4"/>
      <c r="X26" s="4"/>
      <c r="Y26" s="4"/>
    </row>
    <row r="27" customFormat="false" ht="90" hidden="false" customHeight="true" outlineLevel="0" collapsed="false">
      <c r="A27" s="4"/>
      <c r="B27" s="17" t="n">
        <v>21</v>
      </c>
      <c r="C27" s="18" t="str">
        <f aca="false">CONCATENATE(F27,D27)</f>
        <v>B0-AZ-44001A-I6018</v>
      </c>
      <c r="D27" s="19" t="s">
        <v>114</v>
      </c>
      <c r="E27" s="19" t="s">
        <v>115</v>
      </c>
      <c r="F27" s="20" t="s">
        <v>116</v>
      </c>
      <c r="G27" s="20" t="s">
        <v>117</v>
      </c>
      <c r="H27" s="20" t="s">
        <v>105</v>
      </c>
      <c r="I27" s="20" t="s">
        <v>106</v>
      </c>
      <c r="J27" s="21" t="s">
        <v>107</v>
      </c>
      <c r="K27" s="20" t="s">
        <v>105</v>
      </c>
      <c r="L27" s="20" t="s">
        <v>108</v>
      </c>
      <c r="M27" s="20" t="s">
        <v>118</v>
      </c>
      <c r="N27" s="20" t="s">
        <v>108</v>
      </c>
      <c r="O27" s="20" t="s">
        <v>109</v>
      </c>
      <c r="P27" s="20" t="s">
        <v>109</v>
      </c>
      <c r="Q27" s="20" t="n">
        <v>3</v>
      </c>
      <c r="R27" s="22" t="s">
        <v>37</v>
      </c>
      <c r="S27" s="17" t="s">
        <v>38</v>
      </c>
      <c r="T27" s="20" t="s">
        <v>110</v>
      </c>
      <c r="U27" s="20" t="s">
        <v>40</v>
      </c>
      <c r="V27" s="23"/>
      <c r="W27" s="4"/>
      <c r="X27" s="4"/>
      <c r="Y27" s="4"/>
    </row>
    <row r="28" customFormat="false" ht="98.45" hidden="false" customHeight="true" outlineLevel="0" collapsed="false">
      <c r="A28" s="4"/>
      <c r="B28" s="17" t="n">
        <v>22</v>
      </c>
      <c r="C28" s="18" t="str">
        <f aca="false">CONCATENATE(F28,D28)</f>
        <v>B0-AZ-44001A-I6019</v>
      </c>
      <c r="D28" s="19" t="s">
        <v>119</v>
      </c>
      <c r="E28" s="19" t="s">
        <v>120</v>
      </c>
      <c r="F28" s="20" t="s">
        <v>116</v>
      </c>
      <c r="G28" s="20" t="s">
        <v>117</v>
      </c>
      <c r="H28" s="20" t="s">
        <v>105</v>
      </c>
      <c r="I28" s="20" t="s">
        <v>106</v>
      </c>
      <c r="J28" s="21" t="s">
        <v>107</v>
      </c>
      <c r="K28" s="20" t="s">
        <v>105</v>
      </c>
      <c r="L28" s="20" t="s">
        <v>108</v>
      </c>
      <c r="M28" s="20" t="s">
        <v>118</v>
      </c>
      <c r="N28" s="20" t="s">
        <v>108</v>
      </c>
      <c r="O28" s="20" t="s">
        <v>109</v>
      </c>
      <c r="P28" s="20" t="s">
        <v>109</v>
      </c>
      <c r="Q28" s="20" t="n">
        <v>3</v>
      </c>
      <c r="R28" s="22" t="s">
        <v>37</v>
      </c>
      <c r="S28" s="17" t="s">
        <v>38</v>
      </c>
      <c r="T28" s="20" t="s">
        <v>110</v>
      </c>
      <c r="U28" s="20" t="s">
        <v>40</v>
      </c>
      <c r="V28" s="23"/>
      <c r="W28" s="4"/>
      <c r="X28" s="4"/>
      <c r="Y28" s="4"/>
    </row>
    <row r="29" customFormat="false" ht="98.45" hidden="false" customHeight="true" outlineLevel="0" collapsed="false">
      <c r="A29" s="25"/>
      <c r="B29" s="17" t="n">
        <v>23</v>
      </c>
      <c r="C29" s="26" t="s">
        <v>121</v>
      </c>
      <c r="D29" s="19"/>
      <c r="E29" s="19" t="s">
        <v>94</v>
      </c>
      <c r="F29" s="20" t="s">
        <v>106</v>
      </c>
      <c r="G29" s="21" t="s">
        <v>107</v>
      </c>
      <c r="H29" s="20" t="s">
        <v>105</v>
      </c>
      <c r="I29" s="19" t="s">
        <v>122</v>
      </c>
      <c r="J29" s="21" t="s">
        <v>123</v>
      </c>
      <c r="K29" s="20" t="s">
        <v>62</v>
      </c>
      <c r="L29" s="20" t="s">
        <v>33</v>
      </c>
      <c r="M29" s="20" t="s">
        <v>34</v>
      </c>
      <c r="N29" s="17" t="s">
        <v>67</v>
      </c>
      <c r="O29" s="20" t="s">
        <v>68</v>
      </c>
      <c r="P29" s="20" t="s">
        <v>68</v>
      </c>
      <c r="Q29" s="20" t="s">
        <v>68</v>
      </c>
      <c r="R29" s="22" t="s">
        <v>63</v>
      </c>
      <c r="S29" s="17" t="s">
        <v>38</v>
      </c>
      <c r="T29" s="20" t="s">
        <v>110</v>
      </c>
      <c r="U29" s="20" t="s">
        <v>70</v>
      </c>
      <c r="V29" s="23"/>
      <c r="W29" s="25"/>
      <c r="X29" s="25"/>
      <c r="Y29" s="25"/>
    </row>
    <row r="30" customFormat="false" ht="98.45" hidden="false" customHeight="true" outlineLevel="0" collapsed="false">
      <c r="A30" s="25"/>
      <c r="B30" s="17" t="n">
        <v>24</v>
      </c>
      <c r="C30" s="26" t="s">
        <v>124</v>
      </c>
      <c r="D30" s="19"/>
      <c r="E30" s="19" t="s">
        <v>115</v>
      </c>
      <c r="F30" s="20" t="s">
        <v>106</v>
      </c>
      <c r="G30" s="21" t="s">
        <v>107</v>
      </c>
      <c r="H30" s="20" t="s">
        <v>105</v>
      </c>
      <c r="I30" s="19" t="s">
        <v>122</v>
      </c>
      <c r="J30" s="21" t="s">
        <v>123</v>
      </c>
      <c r="K30" s="20" t="s">
        <v>62</v>
      </c>
      <c r="L30" s="20" t="s">
        <v>108</v>
      </c>
      <c r="M30" s="20" t="s">
        <v>118</v>
      </c>
      <c r="N30" s="17" t="s">
        <v>67</v>
      </c>
      <c r="O30" s="20" t="s">
        <v>68</v>
      </c>
      <c r="P30" s="20" t="s">
        <v>68</v>
      </c>
      <c r="Q30" s="20" t="s">
        <v>68</v>
      </c>
      <c r="R30" s="22" t="s">
        <v>63</v>
      </c>
      <c r="S30" s="17" t="s">
        <v>38</v>
      </c>
      <c r="T30" s="20" t="s">
        <v>110</v>
      </c>
      <c r="U30" s="20" t="s">
        <v>70</v>
      </c>
      <c r="V30" s="23"/>
      <c r="W30" s="25"/>
      <c r="X30" s="25"/>
      <c r="Y30" s="25"/>
    </row>
    <row r="31" customFormat="false" ht="98.45" hidden="false" customHeight="true" outlineLevel="0" collapsed="false">
      <c r="A31" s="25"/>
      <c r="B31" s="17" t="n">
        <v>25</v>
      </c>
      <c r="C31" s="26" t="s">
        <v>125</v>
      </c>
      <c r="D31" s="19"/>
      <c r="E31" s="19" t="s">
        <v>126</v>
      </c>
      <c r="F31" s="20" t="s">
        <v>106</v>
      </c>
      <c r="G31" s="21" t="s">
        <v>107</v>
      </c>
      <c r="H31" s="20" t="s">
        <v>105</v>
      </c>
      <c r="I31" s="19" t="s">
        <v>122</v>
      </c>
      <c r="J31" s="21" t="s">
        <v>123</v>
      </c>
      <c r="K31" s="20" t="s">
        <v>62</v>
      </c>
      <c r="L31" s="20" t="s">
        <v>108</v>
      </c>
      <c r="M31" s="20" t="s">
        <v>118</v>
      </c>
      <c r="N31" s="17" t="s">
        <v>67</v>
      </c>
      <c r="O31" s="20" t="s">
        <v>68</v>
      </c>
      <c r="P31" s="20" t="s">
        <v>68</v>
      </c>
      <c r="Q31" s="20" t="s">
        <v>68</v>
      </c>
      <c r="R31" s="22" t="s">
        <v>63</v>
      </c>
      <c r="S31" s="17" t="s">
        <v>38</v>
      </c>
      <c r="T31" s="20" t="s">
        <v>110</v>
      </c>
      <c r="U31" s="20" t="s">
        <v>70</v>
      </c>
      <c r="V31" s="23"/>
      <c r="W31" s="25"/>
      <c r="X31" s="25"/>
      <c r="Y31" s="25"/>
    </row>
    <row r="32" customFormat="false" ht="87" hidden="false" customHeight="true" outlineLevel="0" collapsed="false">
      <c r="B32" s="17" t="n">
        <v>26</v>
      </c>
      <c r="C32" s="18" t="str">
        <f aca="false">CONCATENATE(F32,D32)</f>
        <v>B0-JBP-4402-I6020</v>
      </c>
      <c r="D32" s="19" t="s">
        <v>127</v>
      </c>
      <c r="E32" s="19" t="s">
        <v>26</v>
      </c>
      <c r="F32" s="19" t="s">
        <v>128</v>
      </c>
      <c r="G32" s="21" t="s">
        <v>129</v>
      </c>
      <c r="H32" s="20" t="s">
        <v>105</v>
      </c>
      <c r="I32" s="20" t="s">
        <v>116</v>
      </c>
      <c r="J32" s="21" t="s">
        <v>117</v>
      </c>
      <c r="K32" s="20" t="s">
        <v>130</v>
      </c>
      <c r="L32" s="20" t="s">
        <v>33</v>
      </c>
      <c r="M32" s="20" t="s">
        <v>131</v>
      </c>
      <c r="N32" s="20" t="n">
        <v>12</v>
      </c>
      <c r="O32" s="20" t="s">
        <v>35</v>
      </c>
      <c r="P32" s="20" t="s">
        <v>132</v>
      </c>
      <c r="Q32" s="20" t="n">
        <v>4</v>
      </c>
      <c r="R32" s="22" t="s">
        <v>37</v>
      </c>
      <c r="S32" s="17" t="s">
        <v>38</v>
      </c>
      <c r="T32" s="20" t="s">
        <v>133</v>
      </c>
      <c r="U32" s="20" t="s">
        <v>40</v>
      </c>
      <c r="V32" s="23"/>
    </row>
    <row r="33" customFormat="false" ht="90" hidden="false" customHeight="true" outlineLevel="0" collapsed="false">
      <c r="B33" s="17" t="n">
        <v>27</v>
      </c>
      <c r="C33" s="18" t="str">
        <f aca="false">CONCATENATE(F33,D33)</f>
        <v>B0-JBP-4402-I6021</v>
      </c>
      <c r="D33" s="19" t="s">
        <v>134</v>
      </c>
      <c r="E33" s="19" t="s">
        <v>26</v>
      </c>
      <c r="F33" s="19" t="s">
        <v>128</v>
      </c>
      <c r="G33" s="21" t="s">
        <v>129</v>
      </c>
      <c r="H33" s="20" t="s">
        <v>105</v>
      </c>
      <c r="I33" s="20" t="s">
        <v>103</v>
      </c>
      <c r="J33" s="21" t="s">
        <v>104</v>
      </c>
      <c r="K33" s="20" t="s">
        <v>130</v>
      </c>
      <c r="L33" s="20" t="s">
        <v>33</v>
      </c>
      <c r="M33" s="20" t="s">
        <v>131</v>
      </c>
      <c r="N33" s="20" t="n">
        <v>12</v>
      </c>
      <c r="O33" s="20" t="s">
        <v>35</v>
      </c>
      <c r="P33" s="20" t="s">
        <v>132</v>
      </c>
      <c r="Q33" s="20" t="n">
        <v>4</v>
      </c>
      <c r="R33" s="22" t="s">
        <v>37</v>
      </c>
      <c r="S33" s="17" t="s">
        <v>38</v>
      </c>
      <c r="T33" s="20" t="s">
        <v>133</v>
      </c>
      <c r="U33" s="20" t="s">
        <v>40</v>
      </c>
      <c r="V33" s="23"/>
    </row>
    <row r="34" customFormat="false" ht="95.45" hidden="false" customHeight="true" outlineLevel="0" collapsed="false">
      <c r="B34" s="17" t="n">
        <v>28</v>
      </c>
      <c r="C34" s="18" t="str">
        <f aca="false">CONCATENATE(F34,D34)</f>
        <v>B0-JBP-4402-I6022</v>
      </c>
      <c r="D34" s="19" t="s">
        <v>135</v>
      </c>
      <c r="E34" s="19" t="s">
        <v>26</v>
      </c>
      <c r="F34" s="19" t="s">
        <v>128</v>
      </c>
      <c r="G34" s="21" t="s">
        <v>129</v>
      </c>
      <c r="H34" s="20" t="s">
        <v>105</v>
      </c>
      <c r="I34" s="20" t="s">
        <v>112</v>
      </c>
      <c r="J34" s="21" t="s">
        <v>136</v>
      </c>
      <c r="K34" s="20" t="s">
        <v>130</v>
      </c>
      <c r="L34" s="20" t="s">
        <v>33</v>
      </c>
      <c r="M34" s="20" t="s">
        <v>131</v>
      </c>
      <c r="N34" s="20" t="n">
        <v>12</v>
      </c>
      <c r="O34" s="20" t="s">
        <v>35</v>
      </c>
      <c r="P34" s="20" t="s">
        <v>132</v>
      </c>
      <c r="Q34" s="20" t="n">
        <v>4</v>
      </c>
      <c r="R34" s="22" t="s">
        <v>37</v>
      </c>
      <c r="S34" s="17" t="s">
        <v>38</v>
      </c>
      <c r="T34" s="20" t="s">
        <v>133</v>
      </c>
      <c r="U34" s="20" t="s">
        <v>40</v>
      </c>
      <c r="V34" s="23"/>
    </row>
    <row r="35" customFormat="false" ht="103.9" hidden="false" customHeight="true" outlineLevel="0" collapsed="false">
      <c r="B35" s="17" t="n">
        <v>29</v>
      </c>
      <c r="C35" s="18" t="str">
        <f aca="false">CONCATENATE(F35,D35)</f>
        <v>B0-JBP-4402-I6023</v>
      </c>
      <c r="D35" s="19" t="s">
        <v>137</v>
      </c>
      <c r="E35" s="19" t="s">
        <v>26</v>
      </c>
      <c r="F35" s="19" t="s">
        <v>128</v>
      </c>
      <c r="G35" s="21" t="s">
        <v>129</v>
      </c>
      <c r="H35" s="20" t="s">
        <v>105</v>
      </c>
      <c r="I35" s="20" t="s">
        <v>106</v>
      </c>
      <c r="J35" s="21" t="s">
        <v>107</v>
      </c>
      <c r="K35" s="20" t="s">
        <v>130</v>
      </c>
      <c r="L35" s="20" t="s">
        <v>33</v>
      </c>
      <c r="M35" s="20" t="s">
        <v>131</v>
      </c>
      <c r="N35" s="20" t="n">
        <v>12</v>
      </c>
      <c r="O35" s="20" t="s">
        <v>35</v>
      </c>
      <c r="P35" s="20" t="s">
        <v>132</v>
      </c>
      <c r="Q35" s="20" t="n">
        <v>4</v>
      </c>
      <c r="R35" s="22" t="s">
        <v>37</v>
      </c>
      <c r="S35" s="17" t="s">
        <v>38</v>
      </c>
      <c r="T35" s="20" t="s">
        <v>133</v>
      </c>
      <c r="U35" s="20" t="s">
        <v>40</v>
      </c>
      <c r="V35" s="23"/>
    </row>
    <row r="36" customFormat="false" ht="119.45" hidden="false" customHeight="true" outlineLevel="0" collapsed="false">
      <c r="A36" s="4"/>
      <c r="B36" s="17" t="n">
        <v>30</v>
      </c>
      <c r="C36" s="18" t="str">
        <f aca="false">CONCATENATE(F36,D36)</f>
        <v>B0-PDIT-44001-I6024</v>
      </c>
      <c r="D36" s="19" t="s">
        <v>138</v>
      </c>
      <c r="E36" s="19" t="s">
        <v>52</v>
      </c>
      <c r="F36" s="20" t="s">
        <v>139</v>
      </c>
      <c r="G36" s="20" t="s">
        <v>140</v>
      </c>
      <c r="H36" s="20" t="s">
        <v>141</v>
      </c>
      <c r="I36" s="19" t="s">
        <v>142</v>
      </c>
      <c r="J36" s="21" t="s">
        <v>143</v>
      </c>
      <c r="K36" s="20" t="s">
        <v>144</v>
      </c>
      <c r="L36" s="20" t="s">
        <v>33</v>
      </c>
      <c r="M36" s="20" t="s">
        <v>34</v>
      </c>
      <c r="N36" s="20" t="n">
        <v>11</v>
      </c>
      <c r="O36" s="20" t="s">
        <v>35</v>
      </c>
      <c r="P36" s="20" t="s">
        <v>53</v>
      </c>
      <c r="Q36" s="20" t="n">
        <v>2</v>
      </c>
      <c r="R36" s="22" t="s">
        <v>37</v>
      </c>
      <c r="S36" s="17" t="s">
        <v>38</v>
      </c>
      <c r="T36" s="20" t="s">
        <v>145</v>
      </c>
      <c r="U36" s="20" t="s">
        <v>40</v>
      </c>
      <c r="V36" s="23"/>
      <c r="W36" s="4"/>
      <c r="X36" s="4"/>
      <c r="Y36" s="4"/>
    </row>
    <row r="37" customFormat="false" ht="106.9" hidden="false" customHeight="true" outlineLevel="0" collapsed="false">
      <c r="A37" s="4"/>
      <c r="B37" s="17" t="n">
        <v>31</v>
      </c>
      <c r="C37" s="18" t="str">
        <f aca="false">CONCATENATE(F37,D37)</f>
        <v>B0-LS-44001-I6025</v>
      </c>
      <c r="D37" s="19" t="s">
        <v>146</v>
      </c>
      <c r="E37" s="19" t="s">
        <v>55</v>
      </c>
      <c r="F37" s="20" t="s">
        <v>147</v>
      </c>
      <c r="G37" s="20" t="s">
        <v>148</v>
      </c>
      <c r="H37" s="20" t="s">
        <v>141</v>
      </c>
      <c r="I37" s="19" t="s">
        <v>142</v>
      </c>
      <c r="J37" s="21" t="s">
        <v>143</v>
      </c>
      <c r="K37" s="20" t="s">
        <v>144</v>
      </c>
      <c r="L37" s="20" t="s">
        <v>33</v>
      </c>
      <c r="M37" s="20" t="s">
        <v>34</v>
      </c>
      <c r="N37" s="20" t="n">
        <v>12.5</v>
      </c>
      <c r="O37" s="20" t="s">
        <v>35</v>
      </c>
      <c r="P37" s="20" t="s">
        <v>36</v>
      </c>
      <c r="Q37" s="20" t="n">
        <v>10</v>
      </c>
      <c r="R37" s="22" t="s">
        <v>37</v>
      </c>
      <c r="S37" s="17" t="s">
        <v>38</v>
      </c>
      <c r="T37" s="20" t="s">
        <v>145</v>
      </c>
      <c r="U37" s="20" t="s">
        <v>40</v>
      </c>
      <c r="V37" s="23"/>
      <c r="W37" s="4"/>
      <c r="X37" s="4"/>
      <c r="Y37" s="4"/>
    </row>
    <row r="38" customFormat="false" ht="90" hidden="false" customHeight="true" outlineLevel="0" collapsed="false">
      <c r="A38" s="4"/>
      <c r="B38" s="17" t="n">
        <v>32</v>
      </c>
      <c r="C38" s="18" t="str">
        <f aca="false">CONCATENATE(F38,D38)</f>
        <v>B0-LS-44002-I6026</v>
      </c>
      <c r="D38" s="19" t="s">
        <v>149</v>
      </c>
      <c r="E38" s="19" t="s">
        <v>55</v>
      </c>
      <c r="F38" s="20" t="s">
        <v>150</v>
      </c>
      <c r="G38" s="20" t="s">
        <v>151</v>
      </c>
      <c r="H38" s="20" t="s">
        <v>141</v>
      </c>
      <c r="I38" s="19" t="s">
        <v>142</v>
      </c>
      <c r="J38" s="21" t="s">
        <v>143</v>
      </c>
      <c r="K38" s="20" t="s">
        <v>144</v>
      </c>
      <c r="L38" s="20" t="s">
        <v>33</v>
      </c>
      <c r="M38" s="20" t="s">
        <v>34</v>
      </c>
      <c r="N38" s="20" t="n">
        <v>12.5</v>
      </c>
      <c r="O38" s="20" t="s">
        <v>35</v>
      </c>
      <c r="P38" s="20" t="s">
        <v>36</v>
      </c>
      <c r="Q38" s="20" t="n">
        <v>10</v>
      </c>
      <c r="R38" s="22" t="s">
        <v>37</v>
      </c>
      <c r="S38" s="17" t="s">
        <v>38</v>
      </c>
      <c r="T38" s="20" t="s">
        <v>145</v>
      </c>
      <c r="U38" s="20" t="s">
        <v>40</v>
      </c>
      <c r="V38" s="23"/>
      <c r="W38" s="4"/>
      <c r="X38" s="4"/>
      <c r="Y38" s="4"/>
    </row>
    <row r="39" customFormat="false" ht="105" hidden="false" customHeight="true" outlineLevel="0" collapsed="false">
      <c r="A39" s="4"/>
      <c r="B39" s="17" t="n">
        <v>33</v>
      </c>
      <c r="C39" s="18" t="str">
        <f aca="false">CONCATENATE(F39,D39)</f>
        <v>B0-XV-44052-I6027</v>
      </c>
      <c r="D39" s="19" t="s">
        <v>152</v>
      </c>
      <c r="E39" s="19" t="s">
        <v>55</v>
      </c>
      <c r="F39" s="20" t="s">
        <v>153</v>
      </c>
      <c r="G39" s="20" t="s">
        <v>154</v>
      </c>
      <c r="H39" s="20" t="s">
        <v>141</v>
      </c>
      <c r="I39" s="19" t="s">
        <v>142</v>
      </c>
      <c r="J39" s="21" t="s">
        <v>143</v>
      </c>
      <c r="K39" s="20" t="s">
        <v>144</v>
      </c>
      <c r="L39" s="20" t="s">
        <v>33</v>
      </c>
      <c r="M39" s="20" t="s">
        <v>34</v>
      </c>
      <c r="N39" s="20" t="n">
        <v>12.5</v>
      </c>
      <c r="O39" s="20" t="s">
        <v>35</v>
      </c>
      <c r="P39" s="20" t="s">
        <v>36</v>
      </c>
      <c r="Q39" s="20" t="n">
        <v>20</v>
      </c>
      <c r="R39" s="22" t="s">
        <v>37</v>
      </c>
      <c r="S39" s="17" t="s">
        <v>38</v>
      </c>
      <c r="T39" s="20" t="s">
        <v>145</v>
      </c>
      <c r="U39" s="20" t="s">
        <v>40</v>
      </c>
      <c r="V39" s="23"/>
      <c r="W39" s="4"/>
      <c r="X39" s="4"/>
      <c r="Y39" s="4"/>
    </row>
    <row r="40" customFormat="false" ht="114.6" hidden="false" customHeight="true" outlineLevel="0" collapsed="false">
      <c r="A40" s="4"/>
      <c r="B40" s="17" t="n">
        <v>34</v>
      </c>
      <c r="C40" s="18" t="str">
        <f aca="false">CONCATENATE(F40,D40)</f>
        <v>B0-XV-44052-I6028</v>
      </c>
      <c r="D40" s="19" t="s">
        <v>155</v>
      </c>
      <c r="E40" s="19" t="s">
        <v>26</v>
      </c>
      <c r="F40" s="20" t="s">
        <v>153</v>
      </c>
      <c r="G40" s="20" t="s">
        <v>154</v>
      </c>
      <c r="H40" s="20" t="s">
        <v>141</v>
      </c>
      <c r="I40" s="19" t="s">
        <v>142</v>
      </c>
      <c r="J40" s="21" t="s">
        <v>143</v>
      </c>
      <c r="K40" s="20" t="s">
        <v>144</v>
      </c>
      <c r="L40" s="20" t="s">
        <v>33</v>
      </c>
      <c r="M40" s="20" t="s">
        <v>34</v>
      </c>
      <c r="N40" s="20" t="n">
        <v>12</v>
      </c>
      <c r="O40" s="20" t="s">
        <v>35</v>
      </c>
      <c r="P40" s="20" t="s">
        <v>36</v>
      </c>
      <c r="Q40" s="20" t="n">
        <v>20</v>
      </c>
      <c r="R40" s="22" t="s">
        <v>37</v>
      </c>
      <c r="S40" s="17" t="s">
        <v>38</v>
      </c>
      <c r="T40" s="20" t="s">
        <v>145</v>
      </c>
      <c r="U40" s="20" t="s">
        <v>40</v>
      </c>
      <c r="V40" s="23"/>
      <c r="W40" s="4"/>
      <c r="X40" s="4"/>
      <c r="Y40" s="4"/>
    </row>
    <row r="41" customFormat="false" ht="111" hidden="false" customHeight="true" outlineLevel="0" collapsed="false">
      <c r="A41" s="4"/>
      <c r="B41" s="17" t="n">
        <v>35</v>
      </c>
      <c r="C41" s="18" t="str">
        <f aca="false">CONCATENATE(F41,D41)</f>
        <v>B0-XV-44053-I6029</v>
      </c>
      <c r="D41" s="19" t="s">
        <v>156</v>
      </c>
      <c r="E41" s="19" t="s">
        <v>55</v>
      </c>
      <c r="F41" s="20" t="s">
        <v>157</v>
      </c>
      <c r="G41" s="20" t="s">
        <v>158</v>
      </c>
      <c r="H41" s="20" t="s">
        <v>141</v>
      </c>
      <c r="I41" s="19" t="s">
        <v>142</v>
      </c>
      <c r="J41" s="21" t="s">
        <v>143</v>
      </c>
      <c r="K41" s="20" t="s">
        <v>144</v>
      </c>
      <c r="L41" s="20" t="s">
        <v>33</v>
      </c>
      <c r="M41" s="20" t="s">
        <v>34</v>
      </c>
      <c r="N41" s="20" t="n">
        <v>12.5</v>
      </c>
      <c r="O41" s="20" t="s">
        <v>35</v>
      </c>
      <c r="P41" s="20" t="s">
        <v>36</v>
      </c>
      <c r="Q41" s="20" t="n">
        <v>15</v>
      </c>
      <c r="R41" s="22" t="s">
        <v>37</v>
      </c>
      <c r="S41" s="17" t="s">
        <v>38</v>
      </c>
      <c r="T41" s="20" t="s">
        <v>145</v>
      </c>
      <c r="U41" s="20" t="s">
        <v>40</v>
      </c>
      <c r="V41" s="23"/>
      <c r="W41" s="4"/>
      <c r="X41" s="4"/>
      <c r="Y41" s="4"/>
    </row>
    <row r="42" customFormat="false" ht="104.45" hidden="false" customHeight="true" outlineLevel="0" collapsed="false">
      <c r="A42" s="4"/>
      <c r="B42" s="17" t="n">
        <v>36</v>
      </c>
      <c r="C42" s="18" t="str">
        <f aca="false">CONCATENATE(F42,D42)</f>
        <v>B0-XV-44053-I6030</v>
      </c>
      <c r="D42" s="19" t="s">
        <v>159</v>
      </c>
      <c r="E42" s="19" t="s">
        <v>26</v>
      </c>
      <c r="F42" s="20" t="s">
        <v>157</v>
      </c>
      <c r="G42" s="20" t="s">
        <v>158</v>
      </c>
      <c r="H42" s="20" t="s">
        <v>141</v>
      </c>
      <c r="I42" s="19" t="s">
        <v>142</v>
      </c>
      <c r="J42" s="21" t="s">
        <v>143</v>
      </c>
      <c r="K42" s="20" t="s">
        <v>144</v>
      </c>
      <c r="L42" s="20" t="s">
        <v>33</v>
      </c>
      <c r="M42" s="20" t="s">
        <v>34</v>
      </c>
      <c r="N42" s="20" t="n">
        <v>12</v>
      </c>
      <c r="O42" s="20" t="s">
        <v>35</v>
      </c>
      <c r="P42" s="20" t="s">
        <v>36</v>
      </c>
      <c r="Q42" s="20" t="n">
        <v>15</v>
      </c>
      <c r="R42" s="22" t="s">
        <v>37</v>
      </c>
      <c r="S42" s="17" t="s">
        <v>38</v>
      </c>
      <c r="T42" s="20" t="s">
        <v>145</v>
      </c>
      <c r="U42" s="20" t="s">
        <v>40</v>
      </c>
      <c r="V42" s="23"/>
      <c r="W42" s="4"/>
      <c r="X42" s="4"/>
      <c r="Y42" s="4"/>
    </row>
    <row r="43" customFormat="false" ht="111" hidden="false" customHeight="true" outlineLevel="0" collapsed="false">
      <c r="A43" s="4"/>
      <c r="B43" s="17" t="n">
        <v>37</v>
      </c>
      <c r="C43" s="18" t="str">
        <f aca="false">CONCATENATE(F43,D43)</f>
        <v>B0-XV-44054-I6031</v>
      </c>
      <c r="D43" s="19" t="s">
        <v>160</v>
      </c>
      <c r="E43" s="19" t="s">
        <v>55</v>
      </c>
      <c r="F43" s="20" t="s">
        <v>161</v>
      </c>
      <c r="G43" s="20" t="s">
        <v>162</v>
      </c>
      <c r="H43" s="20" t="s">
        <v>141</v>
      </c>
      <c r="I43" s="19" t="s">
        <v>142</v>
      </c>
      <c r="J43" s="21" t="s">
        <v>143</v>
      </c>
      <c r="K43" s="20" t="s">
        <v>144</v>
      </c>
      <c r="L43" s="20" t="s">
        <v>33</v>
      </c>
      <c r="M43" s="20" t="s">
        <v>34</v>
      </c>
      <c r="N43" s="20" t="n">
        <v>12.5</v>
      </c>
      <c r="O43" s="20" t="s">
        <v>35</v>
      </c>
      <c r="P43" s="20" t="s">
        <v>36</v>
      </c>
      <c r="Q43" s="20" t="n">
        <v>15</v>
      </c>
      <c r="R43" s="22" t="s">
        <v>37</v>
      </c>
      <c r="S43" s="17" t="s">
        <v>38</v>
      </c>
      <c r="T43" s="20" t="s">
        <v>145</v>
      </c>
      <c r="U43" s="20" t="s">
        <v>40</v>
      </c>
      <c r="V43" s="23"/>
      <c r="W43" s="4"/>
      <c r="X43" s="4"/>
      <c r="Y43" s="4"/>
    </row>
    <row r="44" customFormat="false" ht="109.9" hidden="false" customHeight="true" outlineLevel="0" collapsed="false">
      <c r="A44" s="4"/>
      <c r="B44" s="17" t="n">
        <v>38</v>
      </c>
      <c r="C44" s="18" t="str">
        <f aca="false">CONCATENATE(F44,D44)</f>
        <v>B0-XV-44054-I6032</v>
      </c>
      <c r="D44" s="19" t="s">
        <v>163</v>
      </c>
      <c r="E44" s="19" t="s">
        <v>26</v>
      </c>
      <c r="F44" s="20" t="s">
        <v>161</v>
      </c>
      <c r="G44" s="20" t="s">
        <v>162</v>
      </c>
      <c r="H44" s="20" t="s">
        <v>141</v>
      </c>
      <c r="I44" s="19" t="s">
        <v>142</v>
      </c>
      <c r="J44" s="21" t="s">
        <v>143</v>
      </c>
      <c r="K44" s="20" t="s">
        <v>144</v>
      </c>
      <c r="L44" s="20" t="s">
        <v>33</v>
      </c>
      <c r="M44" s="20" t="s">
        <v>34</v>
      </c>
      <c r="N44" s="20" t="n">
        <v>12</v>
      </c>
      <c r="O44" s="20" t="s">
        <v>35</v>
      </c>
      <c r="P44" s="20" t="s">
        <v>36</v>
      </c>
      <c r="Q44" s="20" t="n">
        <v>15</v>
      </c>
      <c r="R44" s="22" t="s">
        <v>37</v>
      </c>
      <c r="S44" s="17" t="s">
        <v>38</v>
      </c>
      <c r="T44" s="20" t="s">
        <v>145</v>
      </c>
      <c r="U44" s="20" t="s">
        <v>40</v>
      </c>
      <c r="V44" s="23"/>
      <c r="W44" s="4"/>
      <c r="X44" s="4"/>
      <c r="Y44" s="4"/>
    </row>
    <row r="45" customFormat="false" ht="96" hidden="false" customHeight="true" outlineLevel="0" collapsed="false">
      <c r="A45" s="4"/>
      <c r="B45" s="17" t="n">
        <v>39</v>
      </c>
      <c r="C45" s="18" t="str">
        <f aca="false">CONCATENATE(F45,D45)</f>
        <v>B0-XV-44055-I6033</v>
      </c>
      <c r="D45" s="19" t="s">
        <v>164</v>
      </c>
      <c r="E45" s="19" t="s">
        <v>55</v>
      </c>
      <c r="F45" s="20" t="s">
        <v>165</v>
      </c>
      <c r="G45" s="20" t="s">
        <v>166</v>
      </c>
      <c r="H45" s="20" t="s">
        <v>141</v>
      </c>
      <c r="I45" s="19" t="s">
        <v>142</v>
      </c>
      <c r="J45" s="21" t="s">
        <v>143</v>
      </c>
      <c r="K45" s="20" t="s">
        <v>144</v>
      </c>
      <c r="L45" s="20" t="s">
        <v>33</v>
      </c>
      <c r="M45" s="20" t="s">
        <v>34</v>
      </c>
      <c r="N45" s="20" t="n">
        <v>12.5</v>
      </c>
      <c r="O45" s="20" t="s">
        <v>35</v>
      </c>
      <c r="P45" s="20" t="s">
        <v>36</v>
      </c>
      <c r="Q45" s="20" t="n">
        <v>15</v>
      </c>
      <c r="R45" s="22" t="s">
        <v>37</v>
      </c>
      <c r="S45" s="17" t="s">
        <v>38</v>
      </c>
      <c r="T45" s="20" t="s">
        <v>145</v>
      </c>
      <c r="U45" s="20" t="s">
        <v>40</v>
      </c>
      <c r="V45" s="23"/>
      <c r="W45" s="4"/>
      <c r="X45" s="4"/>
      <c r="Y45" s="4"/>
    </row>
    <row r="46" customFormat="false" ht="98.45" hidden="false" customHeight="true" outlineLevel="0" collapsed="false">
      <c r="A46" s="4"/>
      <c r="B46" s="17" t="n">
        <v>40</v>
      </c>
      <c r="C46" s="18" t="str">
        <f aca="false">CONCATENATE(F46,D46)</f>
        <v>B0-XV-44055-I6034</v>
      </c>
      <c r="D46" s="19" t="s">
        <v>167</v>
      </c>
      <c r="E46" s="19" t="s">
        <v>26</v>
      </c>
      <c r="F46" s="20" t="s">
        <v>165</v>
      </c>
      <c r="G46" s="20" t="s">
        <v>166</v>
      </c>
      <c r="H46" s="20" t="s">
        <v>141</v>
      </c>
      <c r="I46" s="19" t="s">
        <v>142</v>
      </c>
      <c r="J46" s="21" t="s">
        <v>143</v>
      </c>
      <c r="K46" s="20" t="s">
        <v>144</v>
      </c>
      <c r="L46" s="20" t="s">
        <v>33</v>
      </c>
      <c r="M46" s="20" t="s">
        <v>34</v>
      </c>
      <c r="N46" s="20" t="n">
        <v>12</v>
      </c>
      <c r="O46" s="20" t="s">
        <v>35</v>
      </c>
      <c r="P46" s="20" t="s">
        <v>36</v>
      </c>
      <c r="Q46" s="20" t="n">
        <v>15</v>
      </c>
      <c r="R46" s="22" t="s">
        <v>37</v>
      </c>
      <c r="S46" s="17" t="s">
        <v>38</v>
      </c>
      <c r="T46" s="20" t="s">
        <v>145</v>
      </c>
      <c r="U46" s="20" t="s">
        <v>40</v>
      </c>
      <c r="V46" s="23"/>
      <c r="W46" s="4"/>
      <c r="X46" s="4"/>
      <c r="Y46" s="4"/>
    </row>
    <row r="47" customFormat="false" ht="91.9" hidden="false" customHeight="true" outlineLevel="0" collapsed="false">
      <c r="A47" s="4"/>
      <c r="B47" s="17" t="n">
        <v>41</v>
      </c>
      <c r="C47" s="18" t="str">
        <f aca="false">CONCATENATE(F47,D47)</f>
        <v>B0-JB-4403-I6035</v>
      </c>
      <c r="D47" s="19" t="s">
        <v>168</v>
      </c>
      <c r="E47" s="19" t="s">
        <v>169</v>
      </c>
      <c r="F47" s="19" t="s">
        <v>142</v>
      </c>
      <c r="G47" s="21" t="s">
        <v>143</v>
      </c>
      <c r="H47" s="20" t="s">
        <v>141</v>
      </c>
      <c r="I47" s="19" t="s">
        <v>60</v>
      </c>
      <c r="J47" s="21" t="s">
        <v>61</v>
      </c>
      <c r="K47" s="20" t="s">
        <v>62</v>
      </c>
      <c r="L47" s="20" t="s">
        <v>33</v>
      </c>
      <c r="M47" s="20" t="s">
        <v>34</v>
      </c>
      <c r="N47" s="20" t="n">
        <v>16.5</v>
      </c>
      <c r="O47" s="20" t="s">
        <v>35</v>
      </c>
      <c r="P47" s="20" t="s">
        <v>53</v>
      </c>
      <c r="Q47" s="20" t="n">
        <v>177</v>
      </c>
      <c r="R47" s="22" t="s">
        <v>63</v>
      </c>
      <c r="S47" s="17" t="s">
        <v>38</v>
      </c>
      <c r="T47" s="20" t="s">
        <v>145</v>
      </c>
      <c r="U47" s="20" t="s">
        <v>40</v>
      </c>
      <c r="V47" s="23"/>
      <c r="W47" s="4"/>
      <c r="X47" s="4"/>
      <c r="Y47" s="4"/>
    </row>
    <row r="48" customFormat="false" ht="84" hidden="false" customHeight="true" outlineLevel="0" collapsed="false">
      <c r="A48" s="4"/>
      <c r="B48" s="17" t="n">
        <v>42</v>
      </c>
      <c r="C48" s="18" t="str">
        <f aca="false">CONCATENATE(F48,D48)</f>
        <v>B0-JB-4403-I6036</v>
      </c>
      <c r="D48" s="19" t="s">
        <v>170</v>
      </c>
      <c r="E48" s="19" t="s">
        <v>74</v>
      </c>
      <c r="F48" s="19" t="s">
        <v>142</v>
      </c>
      <c r="G48" s="21" t="s">
        <v>143</v>
      </c>
      <c r="H48" s="20" t="s">
        <v>141</v>
      </c>
      <c r="I48" s="19" t="s">
        <v>60</v>
      </c>
      <c r="J48" s="21" t="s">
        <v>61</v>
      </c>
      <c r="K48" s="20" t="s">
        <v>62</v>
      </c>
      <c r="L48" s="20" t="s">
        <v>33</v>
      </c>
      <c r="M48" s="20" t="s">
        <v>34</v>
      </c>
      <c r="N48" s="20" t="n">
        <v>18</v>
      </c>
      <c r="O48" s="20" t="s">
        <v>35</v>
      </c>
      <c r="P48" s="20" t="s">
        <v>36</v>
      </c>
      <c r="Q48" s="20" t="n">
        <v>177</v>
      </c>
      <c r="R48" s="22" t="s">
        <v>63</v>
      </c>
      <c r="S48" s="17" t="s">
        <v>38</v>
      </c>
      <c r="T48" s="20" t="s">
        <v>145</v>
      </c>
      <c r="U48" s="20" t="s">
        <v>40</v>
      </c>
      <c r="V48" s="23"/>
      <c r="W48" s="4"/>
      <c r="X48" s="4"/>
      <c r="Y48" s="4"/>
    </row>
    <row r="49" customFormat="false" ht="93" hidden="false" customHeight="true" outlineLevel="0" collapsed="false">
      <c r="A49" s="4"/>
      <c r="B49" s="17" t="n">
        <v>43</v>
      </c>
      <c r="C49" s="18" t="str">
        <f aca="false">CONCATENATE(F49,D49)</f>
        <v>B0-JB-4403-I6037</v>
      </c>
      <c r="D49" s="19" t="s">
        <v>171</v>
      </c>
      <c r="E49" s="19" t="s">
        <v>172</v>
      </c>
      <c r="F49" s="19" t="s">
        <v>142</v>
      </c>
      <c r="G49" s="21" t="s">
        <v>143</v>
      </c>
      <c r="H49" s="20" t="s">
        <v>141</v>
      </c>
      <c r="I49" s="19" t="s">
        <v>60</v>
      </c>
      <c r="J49" s="21" t="s">
        <v>61</v>
      </c>
      <c r="K49" s="20" t="s">
        <v>62</v>
      </c>
      <c r="L49" s="20" t="s">
        <v>33</v>
      </c>
      <c r="M49" s="20" t="s">
        <v>34</v>
      </c>
      <c r="N49" s="20" t="n">
        <v>21.5</v>
      </c>
      <c r="O49" s="20" t="s">
        <v>35</v>
      </c>
      <c r="P49" s="20" t="s">
        <v>36</v>
      </c>
      <c r="Q49" s="20" t="n">
        <v>177</v>
      </c>
      <c r="R49" s="22" t="s">
        <v>63</v>
      </c>
      <c r="S49" s="17" t="s">
        <v>38</v>
      </c>
      <c r="T49" s="20" t="s">
        <v>145</v>
      </c>
      <c r="U49" s="20" t="s">
        <v>40</v>
      </c>
      <c r="V49" s="23"/>
      <c r="W49" s="4"/>
      <c r="X49" s="4"/>
      <c r="Y49" s="4"/>
    </row>
    <row r="50" customFormat="false" ht="91.9" hidden="false" customHeight="true" outlineLevel="0" collapsed="false">
      <c r="A50" s="4"/>
      <c r="B50" s="17" t="n">
        <v>44</v>
      </c>
      <c r="C50" s="18" t="str">
        <f aca="false">CONCATENATE(F50,D50)</f>
        <v>B0-JB-4403-I6038</v>
      </c>
      <c r="D50" s="19" t="s">
        <v>173</v>
      </c>
      <c r="E50" s="19" t="s">
        <v>174</v>
      </c>
      <c r="F50" s="19" t="s">
        <v>142</v>
      </c>
      <c r="G50" s="21" t="s">
        <v>143</v>
      </c>
      <c r="H50" s="20" t="s">
        <v>141</v>
      </c>
      <c r="I50" s="19" t="s">
        <v>60</v>
      </c>
      <c r="J50" s="21" t="s">
        <v>61</v>
      </c>
      <c r="K50" s="20" t="s">
        <v>62</v>
      </c>
      <c r="L50" s="20" t="s">
        <v>33</v>
      </c>
      <c r="M50" s="20" t="s">
        <v>34</v>
      </c>
      <c r="N50" s="20" t="n">
        <v>20</v>
      </c>
      <c r="O50" s="20" t="s">
        <v>35</v>
      </c>
      <c r="P50" s="20" t="s">
        <v>36</v>
      </c>
      <c r="Q50" s="20" t="n">
        <v>177</v>
      </c>
      <c r="R50" s="22" t="s">
        <v>63</v>
      </c>
      <c r="S50" s="17" t="s">
        <v>38</v>
      </c>
      <c r="T50" s="20" t="s">
        <v>145</v>
      </c>
      <c r="U50" s="20" t="s">
        <v>40</v>
      </c>
      <c r="V50" s="23"/>
      <c r="W50" s="4"/>
      <c r="X50" s="4"/>
      <c r="Y50" s="4"/>
    </row>
    <row r="51" customFormat="false" ht="120" hidden="false" customHeight="true" outlineLevel="0" collapsed="false">
      <c r="A51" s="4"/>
      <c r="B51" s="17" t="n">
        <v>45</v>
      </c>
      <c r="C51" s="18" t="str">
        <f aca="false">CONCATENATE(F51,D51)</f>
        <v>B0-PDIT-44002-I6039</v>
      </c>
      <c r="D51" s="19" t="s">
        <v>175</v>
      </c>
      <c r="E51" s="19" t="s">
        <v>52</v>
      </c>
      <c r="F51" s="20" t="s">
        <v>176</v>
      </c>
      <c r="G51" s="20" t="s">
        <v>177</v>
      </c>
      <c r="H51" s="20" t="s">
        <v>178</v>
      </c>
      <c r="I51" s="19" t="s">
        <v>179</v>
      </c>
      <c r="J51" s="21" t="s">
        <v>180</v>
      </c>
      <c r="K51" s="20" t="s">
        <v>181</v>
      </c>
      <c r="L51" s="20" t="s">
        <v>33</v>
      </c>
      <c r="M51" s="20" t="s">
        <v>34</v>
      </c>
      <c r="N51" s="20" t="n">
        <v>11</v>
      </c>
      <c r="O51" s="20" t="s">
        <v>35</v>
      </c>
      <c r="P51" s="20" t="s">
        <v>53</v>
      </c>
      <c r="Q51" s="20" t="n">
        <v>2</v>
      </c>
      <c r="R51" s="22" t="s">
        <v>37</v>
      </c>
      <c r="S51" s="17" t="s">
        <v>38</v>
      </c>
      <c r="T51" s="20" t="s">
        <v>182</v>
      </c>
      <c r="U51" s="20" t="s">
        <v>40</v>
      </c>
      <c r="V51" s="23"/>
      <c r="W51" s="4"/>
      <c r="X51" s="4"/>
      <c r="Y51" s="4"/>
    </row>
    <row r="52" customFormat="false" ht="101.45" hidden="false" customHeight="true" outlineLevel="0" collapsed="false">
      <c r="A52" s="4"/>
      <c r="B52" s="17" t="n">
        <v>46</v>
      </c>
      <c r="C52" s="18" t="str">
        <f aca="false">CONCATENATE(F52,D52)</f>
        <v>B0-LS-44003-I6040</v>
      </c>
      <c r="D52" s="19" t="s">
        <v>183</v>
      </c>
      <c r="E52" s="19" t="s">
        <v>55</v>
      </c>
      <c r="F52" s="20" t="s">
        <v>184</v>
      </c>
      <c r="G52" s="20" t="s">
        <v>185</v>
      </c>
      <c r="H52" s="20" t="s">
        <v>178</v>
      </c>
      <c r="I52" s="19" t="s">
        <v>179</v>
      </c>
      <c r="J52" s="21" t="s">
        <v>180</v>
      </c>
      <c r="K52" s="20" t="s">
        <v>181</v>
      </c>
      <c r="L52" s="20" t="s">
        <v>33</v>
      </c>
      <c r="M52" s="20" t="s">
        <v>34</v>
      </c>
      <c r="N52" s="20" t="n">
        <v>12.5</v>
      </c>
      <c r="O52" s="20" t="s">
        <v>35</v>
      </c>
      <c r="P52" s="20" t="s">
        <v>36</v>
      </c>
      <c r="Q52" s="20" t="n">
        <v>10</v>
      </c>
      <c r="R52" s="22" t="s">
        <v>37</v>
      </c>
      <c r="S52" s="17" t="s">
        <v>38</v>
      </c>
      <c r="T52" s="20" t="s">
        <v>182</v>
      </c>
      <c r="U52" s="20" t="s">
        <v>40</v>
      </c>
      <c r="V52" s="23"/>
      <c r="W52" s="4"/>
      <c r="X52" s="4"/>
      <c r="Y52" s="4"/>
    </row>
    <row r="53" customFormat="false" ht="100.15" hidden="false" customHeight="true" outlineLevel="0" collapsed="false">
      <c r="A53" s="4"/>
      <c r="B53" s="17" t="n">
        <v>47</v>
      </c>
      <c r="C53" s="18" t="str">
        <f aca="false">CONCATENATE(F53,D53)</f>
        <v>B0-LS-44004-I6041</v>
      </c>
      <c r="D53" s="19" t="s">
        <v>186</v>
      </c>
      <c r="E53" s="19" t="s">
        <v>55</v>
      </c>
      <c r="F53" s="20" t="s">
        <v>187</v>
      </c>
      <c r="G53" s="20" t="s">
        <v>188</v>
      </c>
      <c r="H53" s="20" t="s">
        <v>178</v>
      </c>
      <c r="I53" s="19" t="s">
        <v>179</v>
      </c>
      <c r="J53" s="21" t="s">
        <v>180</v>
      </c>
      <c r="K53" s="20" t="s">
        <v>181</v>
      </c>
      <c r="L53" s="20" t="s">
        <v>33</v>
      </c>
      <c r="M53" s="20" t="s">
        <v>34</v>
      </c>
      <c r="N53" s="20" t="n">
        <v>12.5</v>
      </c>
      <c r="O53" s="20" t="s">
        <v>35</v>
      </c>
      <c r="P53" s="20" t="s">
        <v>36</v>
      </c>
      <c r="Q53" s="20" t="n">
        <v>10</v>
      </c>
      <c r="R53" s="22" t="s">
        <v>37</v>
      </c>
      <c r="S53" s="17" t="s">
        <v>38</v>
      </c>
      <c r="T53" s="20" t="s">
        <v>182</v>
      </c>
      <c r="U53" s="20" t="s">
        <v>40</v>
      </c>
      <c r="V53" s="23"/>
      <c r="W53" s="4"/>
      <c r="X53" s="4"/>
      <c r="Y53" s="4"/>
    </row>
    <row r="54" customFormat="false" ht="97.9" hidden="false" customHeight="true" outlineLevel="0" collapsed="false">
      <c r="A54" s="4"/>
      <c r="B54" s="17" t="n">
        <v>48</v>
      </c>
      <c r="C54" s="18" t="str">
        <f aca="false">CONCATENATE(F54,D54)</f>
        <v>B0-XV-44056-I6042</v>
      </c>
      <c r="D54" s="19" t="s">
        <v>189</v>
      </c>
      <c r="E54" s="19" t="s">
        <v>55</v>
      </c>
      <c r="F54" s="20" t="s">
        <v>190</v>
      </c>
      <c r="G54" s="20" t="s">
        <v>191</v>
      </c>
      <c r="H54" s="20" t="s">
        <v>178</v>
      </c>
      <c r="I54" s="19" t="s">
        <v>179</v>
      </c>
      <c r="J54" s="21" t="s">
        <v>180</v>
      </c>
      <c r="K54" s="20" t="s">
        <v>181</v>
      </c>
      <c r="L54" s="20" t="s">
        <v>33</v>
      </c>
      <c r="M54" s="20" t="s">
        <v>34</v>
      </c>
      <c r="N54" s="20" t="n">
        <v>12.5</v>
      </c>
      <c r="O54" s="20" t="s">
        <v>35</v>
      </c>
      <c r="P54" s="20" t="s">
        <v>36</v>
      </c>
      <c r="Q54" s="20" t="n">
        <v>20</v>
      </c>
      <c r="R54" s="22" t="s">
        <v>37</v>
      </c>
      <c r="S54" s="17" t="s">
        <v>38</v>
      </c>
      <c r="T54" s="20" t="s">
        <v>182</v>
      </c>
      <c r="U54" s="20" t="s">
        <v>40</v>
      </c>
      <c r="V54" s="23"/>
      <c r="W54" s="4"/>
      <c r="X54" s="4"/>
      <c r="Y54" s="4"/>
    </row>
    <row r="55" customFormat="false" ht="90" hidden="false" customHeight="true" outlineLevel="0" collapsed="false">
      <c r="A55" s="4"/>
      <c r="B55" s="17" t="n">
        <v>49</v>
      </c>
      <c r="C55" s="18" t="str">
        <f aca="false">CONCATENATE(F55,D55)</f>
        <v>B0-XV-44056-I6043</v>
      </c>
      <c r="D55" s="19" t="s">
        <v>192</v>
      </c>
      <c r="E55" s="19" t="s">
        <v>26</v>
      </c>
      <c r="F55" s="20" t="s">
        <v>190</v>
      </c>
      <c r="G55" s="20" t="s">
        <v>191</v>
      </c>
      <c r="H55" s="20" t="s">
        <v>178</v>
      </c>
      <c r="I55" s="19" t="s">
        <v>179</v>
      </c>
      <c r="J55" s="21" t="s">
        <v>180</v>
      </c>
      <c r="K55" s="20" t="s">
        <v>181</v>
      </c>
      <c r="L55" s="20" t="s">
        <v>33</v>
      </c>
      <c r="M55" s="20" t="s">
        <v>34</v>
      </c>
      <c r="N55" s="20" t="n">
        <v>12</v>
      </c>
      <c r="O55" s="20" t="s">
        <v>35</v>
      </c>
      <c r="P55" s="20" t="s">
        <v>36</v>
      </c>
      <c r="Q55" s="20" t="n">
        <v>20</v>
      </c>
      <c r="R55" s="22" t="s">
        <v>37</v>
      </c>
      <c r="S55" s="17" t="s">
        <v>38</v>
      </c>
      <c r="T55" s="20" t="s">
        <v>182</v>
      </c>
      <c r="U55" s="20" t="s">
        <v>40</v>
      </c>
      <c r="V55" s="23"/>
      <c r="W55" s="4"/>
      <c r="X55" s="4"/>
      <c r="Y55" s="4"/>
    </row>
    <row r="56" customFormat="false" ht="127.9" hidden="false" customHeight="true" outlineLevel="0" collapsed="false">
      <c r="A56" s="4"/>
      <c r="B56" s="17" t="n">
        <v>50</v>
      </c>
      <c r="C56" s="18" t="str">
        <f aca="false">CONCATENATE(F56,D56)</f>
        <v>B0-XV-44057-I6044</v>
      </c>
      <c r="D56" s="19" t="s">
        <v>193</v>
      </c>
      <c r="E56" s="19" t="s">
        <v>55</v>
      </c>
      <c r="F56" s="20" t="s">
        <v>194</v>
      </c>
      <c r="G56" s="20" t="s">
        <v>195</v>
      </c>
      <c r="H56" s="20" t="s">
        <v>178</v>
      </c>
      <c r="I56" s="19" t="s">
        <v>179</v>
      </c>
      <c r="J56" s="21" t="s">
        <v>180</v>
      </c>
      <c r="K56" s="20" t="s">
        <v>181</v>
      </c>
      <c r="L56" s="20" t="s">
        <v>33</v>
      </c>
      <c r="M56" s="20" t="s">
        <v>34</v>
      </c>
      <c r="N56" s="20" t="n">
        <v>12.5</v>
      </c>
      <c r="O56" s="20" t="s">
        <v>35</v>
      </c>
      <c r="P56" s="20" t="s">
        <v>36</v>
      </c>
      <c r="Q56" s="20" t="n">
        <v>15</v>
      </c>
      <c r="R56" s="22" t="s">
        <v>37</v>
      </c>
      <c r="S56" s="17" t="s">
        <v>38</v>
      </c>
      <c r="T56" s="20" t="s">
        <v>182</v>
      </c>
      <c r="U56" s="20" t="s">
        <v>40</v>
      </c>
      <c r="V56" s="23"/>
      <c r="W56" s="4"/>
      <c r="X56" s="4"/>
      <c r="Y56" s="4"/>
    </row>
    <row r="57" customFormat="false" ht="126.6" hidden="false" customHeight="true" outlineLevel="0" collapsed="false">
      <c r="A57" s="4"/>
      <c r="B57" s="17" t="n">
        <v>51</v>
      </c>
      <c r="C57" s="18" t="str">
        <f aca="false">CONCATENATE(F57,D57)</f>
        <v>B0-XV-44057-I6045</v>
      </c>
      <c r="D57" s="19" t="s">
        <v>196</v>
      </c>
      <c r="E57" s="19" t="s">
        <v>26</v>
      </c>
      <c r="F57" s="20" t="s">
        <v>194</v>
      </c>
      <c r="G57" s="20" t="s">
        <v>195</v>
      </c>
      <c r="H57" s="20" t="s">
        <v>178</v>
      </c>
      <c r="I57" s="19" t="s">
        <v>179</v>
      </c>
      <c r="J57" s="21" t="s">
        <v>180</v>
      </c>
      <c r="K57" s="20" t="s">
        <v>181</v>
      </c>
      <c r="L57" s="20" t="s">
        <v>33</v>
      </c>
      <c r="M57" s="20" t="s">
        <v>34</v>
      </c>
      <c r="N57" s="20" t="n">
        <v>12</v>
      </c>
      <c r="O57" s="20" t="s">
        <v>35</v>
      </c>
      <c r="P57" s="20" t="s">
        <v>36</v>
      </c>
      <c r="Q57" s="20" t="n">
        <v>15</v>
      </c>
      <c r="R57" s="22" t="s">
        <v>37</v>
      </c>
      <c r="S57" s="17" t="s">
        <v>38</v>
      </c>
      <c r="T57" s="20" t="s">
        <v>182</v>
      </c>
      <c r="U57" s="20" t="s">
        <v>40</v>
      </c>
      <c r="V57" s="23"/>
      <c r="W57" s="4"/>
      <c r="X57" s="4"/>
      <c r="Y57" s="4"/>
    </row>
    <row r="58" customFormat="false" ht="114" hidden="false" customHeight="true" outlineLevel="0" collapsed="false">
      <c r="A58" s="4"/>
      <c r="B58" s="17" t="n">
        <v>52</v>
      </c>
      <c r="C58" s="18" t="str">
        <f aca="false">CONCATENATE(F58,D58)</f>
        <v>B0-XV-44058-I6046</v>
      </c>
      <c r="D58" s="19" t="s">
        <v>197</v>
      </c>
      <c r="E58" s="19" t="s">
        <v>55</v>
      </c>
      <c r="F58" s="20" t="s">
        <v>198</v>
      </c>
      <c r="G58" s="20" t="s">
        <v>199</v>
      </c>
      <c r="H58" s="20" t="s">
        <v>178</v>
      </c>
      <c r="I58" s="19" t="s">
        <v>179</v>
      </c>
      <c r="J58" s="21" t="s">
        <v>180</v>
      </c>
      <c r="K58" s="20" t="s">
        <v>181</v>
      </c>
      <c r="L58" s="20" t="s">
        <v>33</v>
      </c>
      <c r="M58" s="20" t="s">
        <v>34</v>
      </c>
      <c r="N58" s="20" t="n">
        <v>12.5</v>
      </c>
      <c r="O58" s="20" t="s">
        <v>35</v>
      </c>
      <c r="P58" s="20" t="s">
        <v>36</v>
      </c>
      <c r="Q58" s="20" t="n">
        <v>15</v>
      </c>
      <c r="R58" s="22" t="s">
        <v>37</v>
      </c>
      <c r="S58" s="17" t="s">
        <v>38</v>
      </c>
      <c r="T58" s="20" t="s">
        <v>182</v>
      </c>
      <c r="U58" s="20" t="s">
        <v>40</v>
      </c>
      <c r="V58" s="23"/>
      <c r="W58" s="4"/>
      <c r="X58" s="4"/>
      <c r="Y58" s="4"/>
    </row>
    <row r="59" customFormat="false" ht="105.6" hidden="false" customHeight="true" outlineLevel="0" collapsed="false">
      <c r="A59" s="4"/>
      <c r="B59" s="17" t="n">
        <v>53</v>
      </c>
      <c r="C59" s="18" t="str">
        <f aca="false">CONCATENATE(F59,D59)</f>
        <v>B0-XV-44058-I6047</v>
      </c>
      <c r="D59" s="19" t="s">
        <v>200</v>
      </c>
      <c r="E59" s="19" t="s">
        <v>26</v>
      </c>
      <c r="F59" s="20" t="s">
        <v>198</v>
      </c>
      <c r="G59" s="20" t="s">
        <v>199</v>
      </c>
      <c r="H59" s="20" t="s">
        <v>178</v>
      </c>
      <c r="I59" s="19" t="s">
        <v>179</v>
      </c>
      <c r="J59" s="21" t="s">
        <v>180</v>
      </c>
      <c r="K59" s="20" t="s">
        <v>181</v>
      </c>
      <c r="L59" s="20" t="s">
        <v>33</v>
      </c>
      <c r="M59" s="20" t="s">
        <v>34</v>
      </c>
      <c r="N59" s="20" t="n">
        <v>12</v>
      </c>
      <c r="O59" s="20" t="s">
        <v>35</v>
      </c>
      <c r="P59" s="20" t="s">
        <v>36</v>
      </c>
      <c r="Q59" s="20" t="n">
        <v>15</v>
      </c>
      <c r="R59" s="22" t="s">
        <v>37</v>
      </c>
      <c r="S59" s="17" t="s">
        <v>38</v>
      </c>
      <c r="T59" s="20" t="s">
        <v>182</v>
      </c>
      <c r="U59" s="20" t="s">
        <v>40</v>
      </c>
      <c r="V59" s="23"/>
      <c r="W59" s="4"/>
      <c r="X59" s="4"/>
      <c r="Y59" s="4"/>
    </row>
    <row r="60" customFormat="false" ht="106.9" hidden="false" customHeight="true" outlineLevel="0" collapsed="false">
      <c r="A60" s="4"/>
      <c r="B60" s="17" t="n">
        <v>54</v>
      </c>
      <c r="C60" s="18" t="str">
        <f aca="false">CONCATENATE(F60,D60)</f>
        <v>B0-XV-44059-I6048</v>
      </c>
      <c r="D60" s="19" t="s">
        <v>201</v>
      </c>
      <c r="E60" s="19" t="s">
        <v>55</v>
      </c>
      <c r="F60" s="20" t="s">
        <v>202</v>
      </c>
      <c r="G60" s="20" t="s">
        <v>203</v>
      </c>
      <c r="H60" s="20" t="s">
        <v>178</v>
      </c>
      <c r="I60" s="19" t="s">
        <v>179</v>
      </c>
      <c r="J60" s="21" t="s">
        <v>180</v>
      </c>
      <c r="K60" s="20" t="s">
        <v>181</v>
      </c>
      <c r="L60" s="20" t="s">
        <v>33</v>
      </c>
      <c r="M60" s="20" t="s">
        <v>34</v>
      </c>
      <c r="N60" s="20" t="n">
        <v>12.5</v>
      </c>
      <c r="O60" s="20" t="s">
        <v>35</v>
      </c>
      <c r="P60" s="20" t="s">
        <v>36</v>
      </c>
      <c r="Q60" s="20" t="n">
        <v>15</v>
      </c>
      <c r="R60" s="22" t="s">
        <v>37</v>
      </c>
      <c r="S60" s="17" t="s">
        <v>38</v>
      </c>
      <c r="T60" s="20" t="s">
        <v>182</v>
      </c>
      <c r="U60" s="20" t="s">
        <v>40</v>
      </c>
      <c r="V60" s="23"/>
      <c r="W60" s="4"/>
      <c r="X60" s="4"/>
      <c r="Y60" s="4"/>
    </row>
    <row r="61" customFormat="false" ht="100.15" hidden="false" customHeight="true" outlineLevel="0" collapsed="false">
      <c r="A61" s="4"/>
      <c r="B61" s="17" t="n">
        <v>55</v>
      </c>
      <c r="C61" s="18" t="str">
        <f aca="false">CONCATENATE(F61,D61)</f>
        <v>B0-XV-44059-I6049</v>
      </c>
      <c r="D61" s="19" t="s">
        <v>204</v>
      </c>
      <c r="E61" s="19" t="s">
        <v>26</v>
      </c>
      <c r="F61" s="20" t="s">
        <v>202</v>
      </c>
      <c r="G61" s="20" t="s">
        <v>203</v>
      </c>
      <c r="H61" s="20" t="s">
        <v>178</v>
      </c>
      <c r="I61" s="19" t="s">
        <v>179</v>
      </c>
      <c r="J61" s="21" t="s">
        <v>180</v>
      </c>
      <c r="K61" s="20" t="s">
        <v>181</v>
      </c>
      <c r="L61" s="20" t="s">
        <v>33</v>
      </c>
      <c r="M61" s="20" t="s">
        <v>34</v>
      </c>
      <c r="N61" s="20" t="n">
        <v>12</v>
      </c>
      <c r="O61" s="20" t="s">
        <v>35</v>
      </c>
      <c r="P61" s="20" t="s">
        <v>36</v>
      </c>
      <c r="Q61" s="20" t="n">
        <v>15</v>
      </c>
      <c r="R61" s="22" t="s">
        <v>37</v>
      </c>
      <c r="S61" s="17" t="s">
        <v>38</v>
      </c>
      <c r="T61" s="20" t="s">
        <v>182</v>
      </c>
      <c r="U61" s="20" t="s">
        <v>40</v>
      </c>
      <c r="V61" s="23"/>
      <c r="W61" s="4"/>
      <c r="X61" s="4"/>
      <c r="Y61" s="4"/>
    </row>
    <row r="62" customFormat="false" ht="120" hidden="false" customHeight="true" outlineLevel="0" collapsed="false">
      <c r="A62" s="4"/>
      <c r="B62" s="17" t="n">
        <v>56</v>
      </c>
      <c r="C62" s="18" t="str">
        <f aca="false">CONCATENATE(F62,D62)</f>
        <v>B0-JB-4404-I6050</v>
      </c>
      <c r="D62" s="27" t="s">
        <v>205</v>
      </c>
      <c r="E62" s="19" t="s">
        <v>169</v>
      </c>
      <c r="F62" s="19" t="s">
        <v>179</v>
      </c>
      <c r="G62" s="21" t="s">
        <v>180</v>
      </c>
      <c r="H62" s="20" t="s">
        <v>178</v>
      </c>
      <c r="I62" s="19" t="s">
        <v>60</v>
      </c>
      <c r="J62" s="21" t="s">
        <v>61</v>
      </c>
      <c r="K62" s="20" t="s">
        <v>62</v>
      </c>
      <c r="L62" s="20" t="s">
        <v>33</v>
      </c>
      <c r="M62" s="20" t="s">
        <v>34</v>
      </c>
      <c r="N62" s="20" t="n">
        <v>16.5</v>
      </c>
      <c r="O62" s="20" t="s">
        <v>35</v>
      </c>
      <c r="P62" s="20" t="s">
        <v>53</v>
      </c>
      <c r="Q62" s="20" t="n">
        <v>177</v>
      </c>
      <c r="R62" s="22" t="s">
        <v>63</v>
      </c>
      <c r="S62" s="17" t="s">
        <v>38</v>
      </c>
      <c r="T62" s="20" t="s">
        <v>182</v>
      </c>
      <c r="U62" s="20" t="s">
        <v>40</v>
      </c>
      <c r="V62" s="23"/>
      <c r="W62" s="4"/>
      <c r="X62" s="4"/>
      <c r="Y62" s="4"/>
    </row>
    <row r="63" customFormat="false" ht="120" hidden="false" customHeight="true" outlineLevel="0" collapsed="false">
      <c r="A63" s="4"/>
      <c r="B63" s="17" t="n">
        <v>57</v>
      </c>
      <c r="C63" s="18" t="str">
        <f aca="false">CONCATENATE(F63,D63)</f>
        <v>B0-JB-4404-I6051</v>
      </c>
      <c r="D63" s="27" t="s">
        <v>206</v>
      </c>
      <c r="E63" s="19" t="s">
        <v>74</v>
      </c>
      <c r="F63" s="19" t="s">
        <v>179</v>
      </c>
      <c r="G63" s="21" t="s">
        <v>180</v>
      </c>
      <c r="H63" s="20" t="s">
        <v>178</v>
      </c>
      <c r="I63" s="19" t="s">
        <v>60</v>
      </c>
      <c r="J63" s="21" t="s">
        <v>61</v>
      </c>
      <c r="K63" s="20" t="s">
        <v>62</v>
      </c>
      <c r="L63" s="20" t="s">
        <v>33</v>
      </c>
      <c r="M63" s="20" t="s">
        <v>34</v>
      </c>
      <c r="N63" s="20" t="n">
        <v>18</v>
      </c>
      <c r="O63" s="20" t="s">
        <v>35</v>
      </c>
      <c r="P63" s="20" t="s">
        <v>36</v>
      </c>
      <c r="Q63" s="20" t="n">
        <v>177</v>
      </c>
      <c r="R63" s="22" t="s">
        <v>63</v>
      </c>
      <c r="S63" s="17" t="s">
        <v>38</v>
      </c>
      <c r="T63" s="20" t="s">
        <v>182</v>
      </c>
      <c r="U63" s="20" t="s">
        <v>40</v>
      </c>
      <c r="V63" s="23"/>
      <c r="W63" s="4"/>
      <c r="X63" s="4"/>
      <c r="Y63" s="4"/>
    </row>
    <row r="64" customFormat="false" ht="120" hidden="false" customHeight="true" outlineLevel="0" collapsed="false">
      <c r="A64" s="4"/>
      <c r="B64" s="17" t="n">
        <v>58</v>
      </c>
      <c r="C64" s="18" t="str">
        <f aca="false">CONCATENATE(F64,D64)</f>
        <v>B0-JB-4404-I6052</v>
      </c>
      <c r="D64" s="27" t="s">
        <v>207</v>
      </c>
      <c r="E64" s="19" t="s">
        <v>172</v>
      </c>
      <c r="F64" s="19" t="s">
        <v>179</v>
      </c>
      <c r="G64" s="21" t="s">
        <v>180</v>
      </c>
      <c r="H64" s="20" t="s">
        <v>178</v>
      </c>
      <c r="I64" s="19" t="s">
        <v>60</v>
      </c>
      <c r="J64" s="21" t="s">
        <v>61</v>
      </c>
      <c r="K64" s="20" t="s">
        <v>62</v>
      </c>
      <c r="L64" s="20" t="s">
        <v>33</v>
      </c>
      <c r="M64" s="20" t="s">
        <v>34</v>
      </c>
      <c r="N64" s="20" t="n">
        <v>21.5</v>
      </c>
      <c r="O64" s="20" t="s">
        <v>35</v>
      </c>
      <c r="P64" s="20" t="s">
        <v>36</v>
      </c>
      <c r="Q64" s="20" t="n">
        <v>177</v>
      </c>
      <c r="R64" s="22" t="s">
        <v>63</v>
      </c>
      <c r="S64" s="17" t="s">
        <v>38</v>
      </c>
      <c r="T64" s="20" t="s">
        <v>182</v>
      </c>
      <c r="U64" s="20" t="s">
        <v>40</v>
      </c>
      <c r="V64" s="23"/>
      <c r="W64" s="4"/>
      <c r="X64" s="4"/>
      <c r="Y64" s="4"/>
    </row>
    <row r="65" customFormat="false" ht="90" hidden="false" customHeight="true" outlineLevel="0" collapsed="false">
      <c r="A65" s="4"/>
      <c r="B65" s="17" t="n">
        <v>59</v>
      </c>
      <c r="C65" s="18" t="str">
        <f aca="false">CONCATENATE(F65,D65)</f>
        <v>B0-JB-4404-I6053</v>
      </c>
      <c r="D65" s="27" t="s">
        <v>208</v>
      </c>
      <c r="E65" s="19" t="s">
        <v>174</v>
      </c>
      <c r="F65" s="19" t="s">
        <v>179</v>
      </c>
      <c r="G65" s="21" t="s">
        <v>180</v>
      </c>
      <c r="H65" s="20" t="s">
        <v>178</v>
      </c>
      <c r="I65" s="19" t="s">
        <v>60</v>
      </c>
      <c r="J65" s="21" t="s">
        <v>61</v>
      </c>
      <c r="K65" s="20" t="s">
        <v>62</v>
      </c>
      <c r="L65" s="20" t="s">
        <v>33</v>
      </c>
      <c r="M65" s="20" t="s">
        <v>34</v>
      </c>
      <c r="N65" s="20" t="n">
        <v>20</v>
      </c>
      <c r="O65" s="20" t="s">
        <v>35</v>
      </c>
      <c r="P65" s="20" t="s">
        <v>36</v>
      </c>
      <c r="Q65" s="20" t="n">
        <v>177</v>
      </c>
      <c r="R65" s="22" t="s">
        <v>63</v>
      </c>
      <c r="S65" s="17" t="s">
        <v>38</v>
      </c>
      <c r="T65" s="20" t="s">
        <v>182</v>
      </c>
      <c r="U65" s="20" t="s">
        <v>40</v>
      </c>
      <c r="V65" s="23"/>
      <c r="W65" s="4"/>
      <c r="X65" s="4"/>
      <c r="Y65" s="4"/>
    </row>
    <row r="66" customFormat="false" ht="117.75" hidden="false" customHeight="true" outlineLevel="0" collapsed="false">
      <c r="A66" s="4"/>
      <c r="B66" s="17" t="n">
        <v>60</v>
      </c>
      <c r="C66" s="18" t="str">
        <f aca="false">CONCATENATE(F66,D66)</f>
        <v>B0-GD-44003-I6054</v>
      </c>
      <c r="D66" s="27" t="s">
        <v>209</v>
      </c>
      <c r="E66" s="19" t="s">
        <v>45</v>
      </c>
      <c r="F66" s="19" t="s">
        <v>210</v>
      </c>
      <c r="G66" s="20" t="s">
        <v>211</v>
      </c>
      <c r="H66" s="20" t="s">
        <v>178</v>
      </c>
      <c r="I66" s="19" t="s">
        <v>99</v>
      </c>
      <c r="J66" s="21" t="s">
        <v>100</v>
      </c>
      <c r="K66" s="20" t="s">
        <v>62</v>
      </c>
      <c r="L66" s="20" t="s">
        <v>33</v>
      </c>
      <c r="M66" s="20" t="s">
        <v>34</v>
      </c>
      <c r="N66" s="20" t="n">
        <v>11.5</v>
      </c>
      <c r="O66" s="20" t="s">
        <v>35</v>
      </c>
      <c r="P66" s="20" t="s">
        <v>50</v>
      </c>
      <c r="Q66" s="20" t="n">
        <v>179</v>
      </c>
      <c r="R66" s="22" t="s">
        <v>63</v>
      </c>
      <c r="S66" s="17" t="s">
        <v>38</v>
      </c>
      <c r="T66" s="20" t="s">
        <v>212</v>
      </c>
      <c r="U66" s="20" t="s">
        <v>40</v>
      </c>
      <c r="V66" s="23"/>
      <c r="W66" s="4"/>
      <c r="X66" s="4"/>
      <c r="Y66" s="4"/>
    </row>
    <row r="67" customFormat="false" ht="117.75" hidden="false" customHeight="true" outlineLevel="0" collapsed="false">
      <c r="A67" s="4"/>
      <c r="B67" s="17" t="n">
        <v>61</v>
      </c>
      <c r="C67" s="18" t="str">
        <f aca="false">CONCATENATE(F67,D67)</f>
        <v>B0-GD-44002-I6055</v>
      </c>
      <c r="D67" s="27" t="s">
        <v>213</v>
      </c>
      <c r="E67" s="19" t="s">
        <v>45</v>
      </c>
      <c r="F67" s="19" t="s">
        <v>214</v>
      </c>
      <c r="G67" s="20" t="s">
        <v>215</v>
      </c>
      <c r="H67" s="20" t="s">
        <v>216</v>
      </c>
      <c r="I67" s="19" t="s">
        <v>99</v>
      </c>
      <c r="J67" s="21" t="s">
        <v>100</v>
      </c>
      <c r="K67" s="20" t="s">
        <v>62</v>
      </c>
      <c r="L67" s="20" t="s">
        <v>33</v>
      </c>
      <c r="M67" s="20" t="s">
        <v>34</v>
      </c>
      <c r="N67" s="20" t="n">
        <v>11.5</v>
      </c>
      <c r="O67" s="20" t="s">
        <v>35</v>
      </c>
      <c r="P67" s="20" t="s">
        <v>50</v>
      </c>
      <c r="Q67" s="20" t="n">
        <v>175</v>
      </c>
      <c r="R67" s="22" t="s">
        <v>63</v>
      </c>
      <c r="S67" s="17" t="s">
        <v>38</v>
      </c>
      <c r="T67" s="20" t="s">
        <v>217</v>
      </c>
      <c r="U67" s="20" t="s">
        <v>40</v>
      </c>
      <c r="V67" s="23"/>
      <c r="W67" s="4"/>
      <c r="X67" s="4"/>
      <c r="Y67" s="4"/>
    </row>
    <row r="68" customFormat="false" ht="117.75" hidden="false" customHeight="true" outlineLevel="0" collapsed="false">
      <c r="A68" s="4"/>
      <c r="B68" s="17" t="n">
        <v>62</v>
      </c>
      <c r="C68" s="18" t="str">
        <f aca="false">CONCATENATE(F68,D68)</f>
        <v>B0-XV-44060-I6056</v>
      </c>
      <c r="D68" s="19" t="s">
        <v>218</v>
      </c>
      <c r="E68" s="19" t="s">
        <v>55</v>
      </c>
      <c r="F68" s="20" t="s">
        <v>219</v>
      </c>
      <c r="G68" s="20" t="s">
        <v>220</v>
      </c>
      <c r="H68" s="20" t="s">
        <v>221</v>
      </c>
      <c r="I68" s="20" t="s">
        <v>222</v>
      </c>
      <c r="J68" s="20" t="s">
        <v>223</v>
      </c>
      <c r="K68" s="20" t="s">
        <v>221</v>
      </c>
      <c r="L68" s="20" t="s">
        <v>33</v>
      </c>
      <c r="M68" s="20" t="s">
        <v>34</v>
      </c>
      <c r="N68" s="20" t="n">
        <v>12.5</v>
      </c>
      <c r="O68" s="20" t="s">
        <v>35</v>
      </c>
      <c r="P68" s="20" t="s">
        <v>36</v>
      </c>
      <c r="Q68" s="20" t="n">
        <v>20</v>
      </c>
      <c r="R68" s="22" t="s">
        <v>37</v>
      </c>
      <c r="S68" s="17" t="s">
        <v>38</v>
      </c>
      <c r="T68" s="20" t="s">
        <v>224</v>
      </c>
      <c r="U68" s="20" t="s">
        <v>40</v>
      </c>
      <c r="V68" s="23"/>
      <c r="W68" s="4"/>
      <c r="X68" s="4"/>
      <c r="Y68" s="4"/>
    </row>
    <row r="69" customFormat="false" ht="117.75" hidden="false" customHeight="true" outlineLevel="0" collapsed="false">
      <c r="A69" s="4"/>
      <c r="B69" s="17" t="n">
        <v>63</v>
      </c>
      <c r="C69" s="18" t="str">
        <f aca="false">CONCATENATE(F69,D69)</f>
        <v>B0-XV-44060-I6057</v>
      </c>
      <c r="D69" s="19" t="s">
        <v>225</v>
      </c>
      <c r="E69" s="19" t="s">
        <v>26</v>
      </c>
      <c r="F69" s="20" t="s">
        <v>219</v>
      </c>
      <c r="G69" s="20" t="s">
        <v>220</v>
      </c>
      <c r="H69" s="20" t="s">
        <v>221</v>
      </c>
      <c r="I69" s="20" t="s">
        <v>222</v>
      </c>
      <c r="J69" s="20" t="s">
        <v>223</v>
      </c>
      <c r="K69" s="20" t="s">
        <v>221</v>
      </c>
      <c r="L69" s="20" t="s">
        <v>33</v>
      </c>
      <c r="M69" s="20" t="s">
        <v>34</v>
      </c>
      <c r="N69" s="20" t="n">
        <v>12</v>
      </c>
      <c r="O69" s="20" t="s">
        <v>35</v>
      </c>
      <c r="P69" s="20" t="s">
        <v>36</v>
      </c>
      <c r="Q69" s="20" t="n">
        <v>20</v>
      </c>
      <c r="R69" s="22" t="s">
        <v>37</v>
      </c>
      <c r="S69" s="17" t="s">
        <v>38</v>
      </c>
      <c r="T69" s="20" t="s">
        <v>224</v>
      </c>
      <c r="U69" s="20" t="s">
        <v>40</v>
      </c>
      <c r="V69" s="23"/>
      <c r="W69" s="4"/>
      <c r="X69" s="4"/>
      <c r="Y69" s="4"/>
    </row>
    <row r="70" customFormat="false" ht="117.75" hidden="false" customHeight="true" outlineLevel="0" collapsed="false">
      <c r="A70" s="4"/>
      <c r="B70" s="17" t="n">
        <v>64</v>
      </c>
      <c r="C70" s="18" t="str">
        <f aca="false">CONCATENATE(F70,D70)</f>
        <v>B0-XV-44061-I6058</v>
      </c>
      <c r="D70" s="19" t="s">
        <v>226</v>
      </c>
      <c r="E70" s="19" t="s">
        <v>55</v>
      </c>
      <c r="F70" s="20" t="s">
        <v>227</v>
      </c>
      <c r="G70" s="20" t="s">
        <v>228</v>
      </c>
      <c r="H70" s="20" t="s">
        <v>221</v>
      </c>
      <c r="I70" s="20" t="s">
        <v>222</v>
      </c>
      <c r="J70" s="20" t="s">
        <v>223</v>
      </c>
      <c r="K70" s="20" t="s">
        <v>221</v>
      </c>
      <c r="L70" s="20" t="s">
        <v>33</v>
      </c>
      <c r="M70" s="20" t="s">
        <v>34</v>
      </c>
      <c r="N70" s="20" t="n">
        <v>12.5</v>
      </c>
      <c r="O70" s="20" t="s">
        <v>35</v>
      </c>
      <c r="P70" s="20" t="s">
        <v>36</v>
      </c>
      <c r="Q70" s="20" t="n">
        <v>15</v>
      </c>
      <c r="R70" s="22" t="s">
        <v>37</v>
      </c>
      <c r="S70" s="17" t="s">
        <v>38</v>
      </c>
      <c r="T70" s="20" t="s">
        <v>224</v>
      </c>
      <c r="U70" s="20" t="s">
        <v>40</v>
      </c>
      <c r="V70" s="23"/>
      <c r="W70" s="4"/>
      <c r="X70" s="4"/>
      <c r="Y70" s="4"/>
    </row>
    <row r="71" customFormat="false" ht="117.75" hidden="false" customHeight="true" outlineLevel="0" collapsed="false">
      <c r="A71" s="4"/>
      <c r="B71" s="17" t="n">
        <v>65</v>
      </c>
      <c r="C71" s="18" t="str">
        <f aca="false">CONCATENATE(F71,D71)</f>
        <v>B0-XV-44061-I6059</v>
      </c>
      <c r="D71" s="19" t="s">
        <v>229</v>
      </c>
      <c r="E71" s="19" t="s">
        <v>26</v>
      </c>
      <c r="F71" s="20" t="s">
        <v>227</v>
      </c>
      <c r="G71" s="20" t="s">
        <v>228</v>
      </c>
      <c r="H71" s="20" t="s">
        <v>221</v>
      </c>
      <c r="I71" s="20" t="s">
        <v>222</v>
      </c>
      <c r="J71" s="20" t="s">
        <v>223</v>
      </c>
      <c r="K71" s="20" t="s">
        <v>221</v>
      </c>
      <c r="L71" s="20" t="s">
        <v>33</v>
      </c>
      <c r="M71" s="20" t="s">
        <v>34</v>
      </c>
      <c r="N71" s="20" t="n">
        <v>12</v>
      </c>
      <c r="O71" s="20" t="s">
        <v>35</v>
      </c>
      <c r="P71" s="20" t="s">
        <v>36</v>
      </c>
      <c r="Q71" s="20" t="n">
        <v>15</v>
      </c>
      <c r="R71" s="22" t="s">
        <v>37</v>
      </c>
      <c r="S71" s="17" t="s">
        <v>38</v>
      </c>
      <c r="T71" s="20" t="s">
        <v>224</v>
      </c>
      <c r="U71" s="20" t="s">
        <v>40</v>
      </c>
      <c r="V71" s="23"/>
      <c r="W71" s="4"/>
      <c r="X71" s="4"/>
      <c r="Y71" s="4"/>
    </row>
    <row r="72" customFormat="false" ht="117.75" hidden="false" customHeight="true" outlineLevel="0" collapsed="false">
      <c r="A72" s="4"/>
      <c r="B72" s="17" t="n">
        <v>66</v>
      </c>
      <c r="C72" s="18" t="str">
        <f aca="false">CONCATENATE(F72,D72)</f>
        <v>B0-XV-44062-I6060</v>
      </c>
      <c r="D72" s="19" t="s">
        <v>230</v>
      </c>
      <c r="E72" s="19" t="s">
        <v>55</v>
      </c>
      <c r="F72" s="20" t="s">
        <v>231</v>
      </c>
      <c r="G72" s="20" t="s">
        <v>232</v>
      </c>
      <c r="H72" s="20" t="s">
        <v>221</v>
      </c>
      <c r="I72" s="20" t="s">
        <v>222</v>
      </c>
      <c r="J72" s="20" t="s">
        <v>223</v>
      </c>
      <c r="K72" s="20" t="s">
        <v>221</v>
      </c>
      <c r="L72" s="20" t="s">
        <v>33</v>
      </c>
      <c r="M72" s="20" t="s">
        <v>34</v>
      </c>
      <c r="N72" s="20" t="n">
        <v>12.5</v>
      </c>
      <c r="O72" s="20" t="s">
        <v>35</v>
      </c>
      <c r="P72" s="20" t="s">
        <v>36</v>
      </c>
      <c r="Q72" s="20" t="n">
        <v>15</v>
      </c>
      <c r="R72" s="22" t="s">
        <v>37</v>
      </c>
      <c r="S72" s="17" t="s">
        <v>38</v>
      </c>
      <c r="T72" s="20" t="s">
        <v>224</v>
      </c>
      <c r="U72" s="20" t="s">
        <v>40</v>
      </c>
      <c r="V72" s="23"/>
      <c r="W72" s="4"/>
      <c r="X72" s="4"/>
      <c r="Y72" s="4"/>
    </row>
    <row r="73" customFormat="false" ht="117.75" hidden="false" customHeight="true" outlineLevel="0" collapsed="false">
      <c r="A73" s="4"/>
      <c r="B73" s="17" t="n">
        <v>67</v>
      </c>
      <c r="C73" s="18" t="str">
        <f aca="false">CONCATENATE(F73,D73)</f>
        <v>B0-XV-44062-I6061</v>
      </c>
      <c r="D73" s="19" t="s">
        <v>233</v>
      </c>
      <c r="E73" s="19" t="s">
        <v>26</v>
      </c>
      <c r="F73" s="20" t="s">
        <v>231</v>
      </c>
      <c r="G73" s="20" t="s">
        <v>232</v>
      </c>
      <c r="H73" s="20" t="s">
        <v>221</v>
      </c>
      <c r="I73" s="20" t="s">
        <v>222</v>
      </c>
      <c r="J73" s="20" t="s">
        <v>223</v>
      </c>
      <c r="K73" s="20" t="s">
        <v>221</v>
      </c>
      <c r="L73" s="20" t="s">
        <v>33</v>
      </c>
      <c r="M73" s="20" t="s">
        <v>34</v>
      </c>
      <c r="N73" s="20" t="n">
        <v>12</v>
      </c>
      <c r="O73" s="20" t="s">
        <v>35</v>
      </c>
      <c r="P73" s="20" t="s">
        <v>36</v>
      </c>
      <c r="Q73" s="20" t="n">
        <v>15</v>
      </c>
      <c r="R73" s="22" t="s">
        <v>37</v>
      </c>
      <c r="S73" s="17" t="s">
        <v>38</v>
      </c>
      <c r="T73" s="20" t="s">
        <v>224</v>
      </c>
      <c r="U73" s="20" t="s">
        <v>40</v>
      </c>
      <c r="V73" s="23"/>
      <c r="W73" s="4"/>
      <c r="X73" s="4"/>
      <c r="Y73" s="4"/>
    </row>
    <row r="74" customFormat="false" ht="117.75" hidden="false" customHeight="true" outlineLevel="0" collapsed="false">
      <c r="A74" s="4"/>
      <c r="B74" s="17" t="n">
        <v>68</v>
      </c>
      <c r="C74" s="18" t="str">
        <f aca="false">CONCATENATE(F74,D74)</f>
        <v>B0-XV-44063-I6062</v>
      </c>
      <c r="D74" s="19" t="s">
        <v>234</v>
      </c>
      <c r="E74" s="19" t="s">
        <v>55</v>
      </c>
      <c r="F74" s="20" t="s">
        <v>235</v>
      </c>
      <c r="G74" s="20" t="s">
        <v>236</v>
      </c>
      <c r="H74" s="20" t="s">
        <v>221</v>
      </c>
      <c r="I74" s="20" t="s">
        <v>222</v>
      </c>
      <c r="J74" s="20" t="s">
        <v>223</v>
      </c>
      <c r="K74" s="20" t="s">
        <v>221</v>
      </c>
      <c r="L74" s="20" t="s">
        <v>33</v>
      </c>
      <c r="M74" s="20" t="s">
        <v>34</v>
      </c>
      <c r="N74" s="20" t="n">
        <v>12.5</v>
      </c>
      <c r="O74" s="20" t="s">
        <v>35</v>
      </c>
      <c r="P74" s="20" t="s">
        <v>36</v>
      </c>
      <c r="Q74" s="20" t="n">
        <v>20</v>
      </c>
      <c r="R74" s="22" t="s">
        <v>37</v>
      </c>
      <c r="S74" s="17" t="s">
        <v>38</v>
      </c>
      <c r="T74" s="20" t="s">
        <v>224</v>
      </c>
      <c r="U74" s="20" t="s">
        <v>40</v>
      </c>
      <c r="V74" s="23"/>
      <c r="W74" s="4"/>
      <c r="X74" s="4"/>
      <c r="Y74" s="4"/>
    </row>
    <row r="75" customFormat="false" ht="117.75" hidden="false" customHeight="true" outlineLevel="0" collapsed="false">
      <c r="A75" s="4"/>
      <c r="B75" s="17" t="n">
        <v>69</v>
      </c>
      <c r="C75" s="18" t="str">
        <f aca="false">CONCATENATE(F75,D75)</f>
        <v>B0-XV-44063-I6063</v>
      </c>
      <c r="D75" s="19" t="s">
        <v>237</v>
      </c>
      <c r="E75" s="19" t="s">
        <v>26</v>
      </c>
      <c r="F75" s="20" t="s">
        <v>235</v>
      </c>
      <c r="G75" s="20" t="s">
        <v>236</v>
      </c>
      <c r="H75" s="20" t="s">
        <v>221</v>
      </c>
      <c r="I75" s="20" t="s">
        <v>222</v>
      </c>
      <c r="J75" s="20" t="s">
        <v>223</v>
      </c>
      <c r="K75" s="20" t="s">
        <v>221</v>
      </c>
      <c r="L75" s="20" t="s">
        <v>33</v>
      </c>
      <c r="M75" s="20" t="s">
        <v>34</v>
      </c>
      <c r="N75" s="20" t="n">
        <v>12</v>
      </c>
      <c r="O75" s="20" t="s">
        <v>35</v>
      </c>
      <c r="P75" s="20" t="s">
        <v>36</v>
      </c>
      <c r="Q75" s="20" t="n">
        <v>20</v>
      </c>
      <c r="R75" s="22" t="s">
        <v>37</v>
      </c>
      <c r="S75" s="17" t="s">
        <v>38</v>
      </c>
      <c r="T75" s="20" t="s">
        <v>224</v>
      </c>
      <c r="U75" s="20" t="s">
        <v>40</v>
      </c>
      <c r="V75" s="23"/>
      <c r="W75" s="4"/>
      <c r="X75" s="4"/>
      <c r="Y75" s="4"/>
    </row>
    <row r="76" customFormat="false" ht="88.9" hidden="false" customHeight="true" outlineLevel="0" collapsed="false">
      <c r="A76" s="4"/>
      <c r="B76" s="17" t="n">
        <v>70</v>
      </c>
      <c r="C76" s="18" t="str">
        <f aca="false">CONCATENATE(F76,D76)</f>
        <v>B0-JB-4405-I6064</v>
      </c>
      <c r="D76" s="19" t="s">
        <v>238</v>
      </c>
      <c r="E76" s="19" t="s">
        <v>172</v>
      </c>
      <c r="F76" s="20" t="s">
        <v>222</v>
      </c>
      <c r="G76" s="20" t="s">
        <v>223</v>
      </c>
      <c r="H76" s="20" t="s">
        <v>221</v>
      </c>
      <c r="I76" s="19" t="s">
        <v>60</v>
      </c>
      <c r="J76" s="21" t="s">
        <v>61</v>
      </c>
      <c r="K76" s="20" t="s">
        <v>62</v>
      </c>
      <c r="L76" s="20" t="s">
        <v>33</v>
      </c>
      <c r="M76" s="20" t="s">
        <v>34</v>
      </c>
      <c r="N76" s="20" t="n">
        <v>21.5</v>
      </c>
      <c r="O76" s="20" t="s">
        <v>35</v>
      </c>
      <c r="P76" s="20" t="s">
        <v>36</v>
      </c>
      <c r="Q76" s="20" t="n">
        <v>176</v>
      </c>
      <c r="R76" s="22" t="s">
        <v>63</v>
      </c>
      <c r="S76" s="17" t="s">
        <v>38</v>
      </c>
      <c r="T76" s="20" t="s">
        <v>224</v>
      </c>
      <c r="U76" s="20" t="s">
        <v>40</v>
      </c>
      <c r="V76" s="23"/>
      <c r="W76" s="4"/>
      <c r="X76" s="4"/>
      <c r="Y76" s="4"/>
    </row>
    <row r="77" customFormat="false" ht="88.9" hidden="false" customHeight="true" outlineLevel="0" collapsed="false">
      <c r="A77" s="4"/>
      <c r="B77" s="17" t="n">
        <v>71</v>
      </c>
      <c r="C77" s="18" t="str">
        <f aca="false">CONCATENATE(F77,D77)</f>
        <v>B0-JB-4405-I6065</v>
      </c>
      <c r="D77" s="19" t="s">
        <v>239</v>
      </c>
      <c r="E77" s="19" t="s">
        <v>174</v>
      </c>
      <c r="F77" s="20" t="s">
        <v>222</v>
      </c>
      <c r="G77" s="20" t="s">
        <v>223</v>
      </c>
      <c r="H77" s="20" t="s">
        <v>221</v>
      </c>
      <c r="I77" s="19" t="s">
        <v>60</v>
      </c>
      <c r="J77" s="21" t="s">
        <v>61</v>
      </c>
      <c r="K77" s="20" t="s">
        <v>62</v>
      </c>
      <c r="L77" s="20" t="s">
        <v>33</v>
      </c>
      <c r="M77" s="20" t="s">
        <v>34</v>
      </c>
      <c r="N77" s="20" t="n">
        <v>20</v>
      </c>
      <c r="O77" s="20" t="s">
        <v>35</v>
      </c>
      <c r="P77" s="20" t="s">
        <v>36</v>
      </c>
      <c r="Q77" s="20" t="n">
        <v>176</v>
      </c>
      <c r="R77" s="22" t="s">
        <v>63</v>
      </c>
      <c r="S77" s="17" t="s">
        <v>38</v>
      </c>
      <c r="T77" s="20" t="s">
        <v>224</v>
      </c>
      <c r="U77" s="20" t="s">
        <v>40</v>
      </c>
      <c r="V77" s="23"/>
      <c r="W77" s="4"/>
      <c r="X77" s="4"/>
      <c r="Y77" s="4"/>
    </row>
    <row r="78" customFormat="false" ht="79.9" hidden="false" customHeight="true" outlineLevel="0" collapsed="false">
      <c r="A78" s="4"/>
      <c r="B78" s="17" t="n">
        <v>72</v>
      </c>
      <c r="C78" s="18" t="s">
        <v>108</v>
      </c>
      <c r="D78" s="19"/>
      <c r="E78" s="18" t="s">
        <v>108</v>
      </c>
      <c r="F78" s="18" t="s">
        <v>108</v>
      </c>
      <c r="G78" s="18" t="s">
        <v>108</v>
      </c>
      <c r="H78" s="18" t="s">
        <v>108</v>
      </c>
      <c r="I78" s="18" t="s">
        <v>108</v>
      </c>
      <c r="J78" s="18" t="s">
        <v>108</v>
      </c>
      <c r="K78" s="18" t="s">
        <v>108</v>
      </c>
      <c r="L78" s="18" t="s">
        <v>108</v>
      </c>
      <c r="M78" s="18" t="s">
        <v>108</v>
      </c>
      <c r="N78" s="18" t="s">
        <v>108</v>
      </c>
      <c r="O78" s="18" t="s">
        <v>108</v>
      </c>
      <c r="P78" s="18" t="s">
        <v>108</v>
      </c>
      <c r="Q78" s="18" t="s">
        <v>108</v>
      </c>
      <c r="R78" s="18" t="s">
        <v>108</v>
      </c>
      <c r="S78" s="18" t="s">
        <v>108</v>
      </c>
      <c r="T78" s="18" t="s">
        <v>108</v>
      </c>
      <c r="U78" s="18" t="s">
        <v>108</v>
      </c>
      <c r="V78" s="28" t="s">
        <v>240</v>
      </c>
      <c r="W78" s="4"/>
      <c r="X78" s="4"/>
      <c r="Y78" s="4"/>
    </row>
    <row r="79" customFormat="false" ht="84" hidden="false" customHeight="true" outlineLevel="0" collapsed="false">
      <c r="A79" s="4"/>
      <c r="B79" s="17" t="n">
        <v>73</v>
      </c>
      <c r="C79" s="18" t="s">
        <v>108</v>
      </c>
      <c r="D79" s="19"/>
      <c r="E79" s="18" t="s">
        <v>108</v>
      </c>
      <c r="F79" s="18" t="s">
        <v>108</v>
      </c>
      <c r="G79" s="18" t="s">
        <v>108</v>
      </c>
      <c r="H79" s="18" t="s">
        <v>108</v>
      </c>
      <c r="I79" s="18" t="s">
        <v>108</v>
      </c>
      <c r="J79" s="18" t="s">
        <v>108</v>
      </c>
      <c r="K79" s="18" t="s">
        <v>108</v>
      </c>
      <c r="L79" s="18" t="s">
        <v>108</v>
      </c>
      <c r="M79" s="18" t="s">
        <v>108</v>
      </c>
      <c r="N79" s="18" t="s">
        <v>108</v>
      </c>
      <c r="O79" s="18" t="s">
        <v>108</v>
      </c>
      <c r="P79" s="18" t="s">
        <v>108</v>
      </c>
      <c r="Q79" s="18" t="s">
        <v>108</v>
      </c>
      <c r="R79" s="18" t="s">
        <v>108</v>
      </c>
      <c r="S79" s="18" t="s">
        <v>108</v>
      </c>
      <c r="T79" s="18" t="s">
        <v>108</v>
      </c>
      <c r="U79" s="18" t="s">
        <v>108</v>
      </c>
      <c r="V79" s="28" t="s">
        <v>240</v>
      </c>
      <c r="W79" s="4"/>
      <c r="X79" s="4"/>
      <c r="Y79" s="4"/>
    </row>
    <row r="80" customFormat="false" ht="103.9" hidden="false" customHeight="true" outlineLevel="0" collapsed="false">
      <c r="A80" s="4"/>
      <c r="B80" s="17" t="n">
        <v>72</v>
      </c>
      <c r="C80" s="18" t="str">
        <f aca="false">CONCATENATE(F80,D80)</f>
        <v>B0-XV-44064-I6068</v>
      </c>
      <c r="D80" s="19" t="s">
        <v>241</v>
      </c>
      <c r="E80" s="19" t="s">
        <v>55</v>
      </c>
      <c r="F80" s="20" t="s">
        <v>242</v>
      </c>
      <c r="G80" s="20" t="s">
        <v>243</v>
      </c>
      <c r="H80" s="20" t="s">
        <v>244</v>
      </c>
      <c r="I80" s="20" t="s">
        <v>245</v>
      </c>
      <c r="J80" s="20" t="s">
        <v>246</v>
      </c>
      <c r="K80" s="20" t="s">
        <v>244</v>
      </c>
      <c r="L80" s="20" t="s">
        <v>33</v>
      </c>
      <c r="M80" s="20" t="s">
        <v>34</v>
      </c>
      <c r="N80" s="20" t="n">
        <v>12.5</v>
      </c>
      <c r="O80" s="20" t="s">
        <v>35</v>
      </c>
      <c r="P80" s="20" t="s">
        <v>36</v>
      </c>
      <c r="Q80" s="20" t="n">
        <v>10</v>
      </c>
      <c r="R80" s="22" t="s">
        <v>37</v>
      </c>
      <c r="S80" s="17" t="s">
        <v>38</v>
      </c>
      <c r="T80" s="20" t="s">
        <v>247</v>
      </c>
      <c r="U80" s="20" t="s">
        <v>40</v>
      </c>
      <c r="V80" s="28"/>
      <c r="W80" s="4"/>
      <c r="X80" s="4"/>
      <c r="Y80" s="4"/>
    </row>
    <row r="81" customFormat="false" ht="100.9" hidden="false" customHeight="true" outlineLevel="0" collapsed="false">
      <c r="A81" s="4"/>
      <c r="B81" s="17" t="n">
        <v>73</v>
      </c>
      <c r="C81" s="18" t="str">
        <f aca="false">CONCATENATE(F81,D81)</f>
        <v>B0-XV-44064-I6069</v>
      </c>
      <c r="D81" s="19" t="s">
        <v>248</v>
      </c>
      <c r="E81" s="19" t="s">
        <v>26</v>
      </c>
      <c r="F81" s="20" t="s">
        <v>242</v>
      </c>
      <c r="G81" s="20" t="s">
        <v>243</v>
      </c>
      <c r="H81" s="20" t="s">
        <v>244</v>
      </c>
      <c r="I81" s="20" t="s">
        <v>245</v>
      </c>
      <c r="J81" s="20" t="s">
        <v>246</v>
      </c>
      <c r="K81" s="20" t="s">
        <v>244</v>
      </c>
      <c r="L81" s="20" t="s">
        <v>33</v>
      </c>
      <c r="M81" s="20" t="s">
        <v>34</v>
      </c>
      <c r="N81" s="20" t="n">
        <v>12</v>
      </c>
      <c r="O81" s="20" t="s">
        <v>35</v>
      </c>
      <c r="P81" s="20" t="s">
        <v>36</v>
      </c>
      <c r="Q81" s="20" t="n">
        <v>10</v>
      </c>
      <c r="R81" s="22" t="s">
        <v>37</v>
      </c>
      <c r="S81" s="17" t="s">
        <v>38</v>
      </c>
      <c r="T81" s="20" t="s">
        <v>247</v>
      </c>
      <c r="U81" s="20" t="s">
        <v>40</v>
      </c>
      <c r="V81" s="28"/>
      <c r="W81" s="4"/>
      <c r="X81" s="4"/>
      <c r="Y81" s="4"/>
    </row>
    <row r="82" customFormat="false" ht="100.9" hidden="false" customHeight="true" outlineLevel="0" collapsed="false">
      <c r="A82" s="4"/>
      <c r="B82" s="17" t="n">
        <v>74</v>
      </c>
      <c r="C82" s="18" t="str">
        <f aca="false">CONCATENATE(F82,D82)</f>
        <v>B0-PIT-44005-I6070</v>
      </c>
      <c r="D82" s="19" t="s">
        <v>249</v>
      </c>
      <c r="E82" s="19" t="s">
        <v>52</v>
      </c>
      <c r="F82" s="20" t="s">
        <v>250</v>
      </c>
      <c r="G82" s="20" t="s">
        <v>251</v>
      </c>
      <c r="H82" s="20" t="s">
        <v>244</v>
      </c>
      <c r="I82" s="20" t="s">
        <v>245</v>
      </c>
      <c r="J82" s="20" t="s">
        <v>246</v>
      </c>
      <c r="K82" s="20" t="s">
        <v>244</v>
      </c>
      <c r="L82" s="20" t="s">
        <v>33</v>
      </c>
      <c r="M82" s="20" t="s">
        <v>34</v>
      </c>
      <c r="N82" s="20" t="n">
        <v>11</v>
      </c>
      <c r="O82" s="20" t="s">
        <v>35</v>
      </c>
      <c r="P82" s="20" t="s">
        <v>53</v>
      </c>
      <c r="Q82" s="20" t="n">
        <v>2</v>
      </c>
      <c r="R82" s="22" t="s">
        <v>37</v>
      </c>
      <c r="S82" s="17" t="s">
        <v>38</v>
      </c>
      <c r="T82" s="20" t="s">
        <v>247</v>
      </c>
      <c r="U82" s="20" t="s">
        <v>40</v>
      </c>
      <c r="V82" s="28"/>
      <c r="W82" s="4"/>
      <c r="X82" s="4"/>
      <c r="Y82" s="4"/>
    </row>
    <row r="83" customFormat="false" ht="94.9" hidden="false" customHeight="true" outlineLevel="0" collapsed="false">
      <c r="A83" s="4"/>
      <c r="B83" s="17" t="n">
        <v>75</v>
      </c>
      <c r="C83" s="18" t="str">
        <f aca="false">CONCATENATE(F83,D83)</f>
        <v>B0-TT-44002-I6071</v>
      </c>
      <c r="D83" s="19" t="s">
        <v>252</v>
      </c>
      <c r="E83" s="19" t="s">
        <v>52</v>
      </c>
      <c r="F83" s="20" t="s">
        <v>253</v>
      </c>
      <c r="G83" s="20" t="s">
        <v>254</v>
      </c>
      <c r="H83" s="20" t="s">
        <v>244</v>
      </c>
      <c r="I83" s="20" t="s">
        <v>245</v>
      </c>
      <c r="J83" s="20" t="s">
        <v>246</v>
      </c>
      <c r="K83" s="20" t="s">
        <v>244</v>
      </c>
      <c r="L83" s="20" t="s">
        <v>33</v>
      </c>
      <c r="M83" s="20" t="s">
        <v>34</v>
      </c>
      <c r="N83" s="20" t="n">
        <v>11</v>
      </c>
      <c r="O83" s="20" t="s">
        <v>35</v>
      </c>
      <c r="P83" s="20" t="s">
        <v>53</v>
      </c>
      <c r="Q83" s="20" t="n">
        <v>30</v>
      </c>
      <c r="R83" s="22" t="s">
        <v>37</v>
      </c>
      <c r="S83" s="17" t="s">
        <v>38</v>
      </c>
      <c r="T83" s="20" t="s">
        <v>247</v>
      </c>
      <c r="U83" s="20" t="s">
        <v>40</v>
      </c>
      <c r="V83" s="28"/>
      <c r="W83" s="4"/>
      <c r="X83" s="4"/>
      <c r="Y83" s="4"/>
    </row>
    <row r="84" customFormat="false" ht="97.9" hidden="false" customHeight="true" outlineLevel="0" collapsed="false">
      <c r="A84" s="4"/>
      <c r="B84" s="17" t="n">
        <v>76</v>
      </c>
      <c r="C84" s="18" t="str">
        <f aca="false">CONCATENATE(F84,D84)</f>
        <v>B0-PIT-44006-I6072</v>
      </c>
      <c r="D84" s="19" t="s">
        <v>255</v>
      </c>
      <c r="E84" s="19" t="s">
        <v>52</v>
      </c>
      <c r="F84" s="20" t="s">
        <v>256</v>
      </c>
      <c r="G84" s="20" t="s">
        <v>257</v>
      </c>
      <c r="H84" s="20" t="s">
        <v>244</v>
      </c>
      <c r="I84" s="20" t="s">
        <v>245</v>
      </c>
      <c r="J84" s="20" t="s">
        <v>246</v>
      </c>
      <c r="K84" s="20" t="s">
        <v>244</v>
      </c>
      <c r="L84" s="20" t="s">
        <v>33</v>
      </c>
      <c r="M84" s="20" t="s">
        <v>34</v>
      </c>
      <c r="N84" s="20" t="n">
        <v>11</v>
      </c>
      <c r="O84" s="20" t="s">
        <v>35</v>
      </c>
      <c r="P84" s="20" t="s">
        <v>53</v>
      </c>
      <c r="Q84" s="20" t="n">
        <v>2</v>
      </c>
      <c r="R84" s="22" t="s">
        <v>37</v>
      </c>
      <c r="S84" s="17" t="s">
        <v>38</v>
      </c>
      <c r="T84" s="20" t="s">
        <v>247</v>
      </c>
      <c r="U84" s="20" t="s">
        <v>40</v>
      </c>
      <c r="V84" s="28"/>
      <c r="W84" s="4"/>
      <c r="X84" s="4"/>
      <c r="Y84" s="4"/>
    </row>
    <row r="85" customFormat="false" ht="100.9" hidden="false" customHeight="true" outlineLevel="0" collapsed="false">
      <c r="A85" s="4"/>
      <c r="B85" s="17" t="n">
        <v>77</v>
      </c>
      <c r="C85" s="18" t="str">
        <f aca="false">CONCATENATE(F85,D85)</f>
        <v>B0-JB-4406-I6073</v>
      </c>
      <c r="D85" s="19" t="s">
        <v>258</v>
      </c>
      <c r="E85" s="19" t="s">
        <v>74</v>
      </c>
      <c r="F85" s="20" t="s">
        <v>245</v>
      </c>
      <c r="G85" s="20" t="s">
        <v>259</v>
      </c>
      <c r="H85" s="20" t="s">
        <v>244</v>
      </c>
      <c r="I85" s="19" t="s">
        <v>60</v>
      </c>
      <c r="J85" s="21" t="s">
        <v>61</v>
      </c>
      <c r="K85" s="20" t="s">
        <v>62</v>
      </c>
      <c r="L85" s="20" t="s">
        <v>33</v>
      </c>
      <c r="M85" s="20" t="s">
        <v>34</v>
      </c>
      <c r="N85" s="20" t="n">
        <v>18</v>
      </c>
      <c r="O85" s="20" t="s">
        <v>35</v>
      </c>
      <c r="P85" s="20" t="s">
        <v>36</v>
      </c>
      <c r="Q85" s="20" t="n">
        <v>150</v>
      </c>
      <c r="R85" s="22" t="s">
        <v>63</v>
      </c>
      <c r="S85" s="17" t="s">
        <v>38</v>
      </c>
      <c r="T85" s="20" t="s">
        <v>247</v>
      </c>
      <c r="U85" s="20" t="s">
        <v>40</v>
      </c>
      <c r="V85" s="28"/>
      <c r="W85" s="4"/>
      <c r="X85" s="4"/>
      <c r="Y85" s="4"/>
    </row>
    <row r="86" customFormat="false" ht="100.9" hidden="false" customHeight="true" outlineLevel="0" collapsed="false">
      <c r="A86" s="4"/>
      <c r="B86" s="17" t="n">
        <v>78</v>
      </c>
      <c r="C86" s="18" t="str">
        <f aca="false">CONCATENATE(F86,D86)</f>
        <v>B0-JB-4406-I6074</v>
      </c>
      <c r="D86" s="19" t="s">
        <v>260</v>
      </c>
      <c r="E86" s="19" t="s">
        <v>261</v>
      </c>
      <c r="F86" s="20" t="s">
        <v>245</v>
      </c>
      <c r="G86" s="20" t="s">
        <v>259</v>
      </c>
      <c r="H86" s="20" t="s">
        <v>244</v>
      </c>
      <c r="I86" s="19" t="s">
        <v>60</v>
      </c>
      <c r="J86" s="21" t="s">
        <v>61</v>
      </c>
      <c r="K86" s="20" t="s">
        <v>62</v>
      </c>
      <c r="L86" s="20" t="s">
        <v>33</v>
      </c>
      <c r="M86" s="20" t="s">
        <v>34</v>
      </c>
      <c r="N86" s="20" t="n">
        <v>13.5</v>
      </c>
      <c r="O86" s="20" t="s">
        <v>35</v>
      </c>
      <c r="P86" s="20" t="s">
        <v>36</v>
      </c>
      <c r="Q86" s="20" t="n">
        <v>150</v>
      </c>
      <c r="R86" s="22" t="s">
        <v>63</v>
      </c>
      <c r="S86" s="17" t="s">
        <v>38</v>
      </c>
      <c r="T86" s="20" t="s">
        <v>247</v>
      </c>
      <c r="U86" s="20" t="s">
        <v>40</v>
      </c>
      <c r="V86" s="28"/>
      <c r="W86" s="4"/>
      <c r="X86" s="4"/>
      <c r="Y86" s="4"/>
    </row>
    <row r="87" customFormat="false" ht="115.9" hidden="false" customHeight="true" outlineLevel="0" collapsed="false">
      <c r="A87" s="4"/>
      <c r="B87" s="17" t="n">
        <v>79</v>
      </c>
      <c r="C87" s="18" t="str">
        <f aca="false">CONCATENATE(F87,D87)</f>
        <v>B0-JB-4406-I6075</v>
      </c>
      <c r="D87" s="19" t="s">
        <v>262</v>
      </c>
      <c r="E87" s="19" t="s">
        <v>94</v>
      </c>
      <c r="F87" s="20" t="s">
        <v>245</v>
      </c>
      <c r="G87" s="20" t="s">
        <v>259</v>
      </c>
      <c r="H87" s="20" t="s">
        <v>244</v>
      </c>
      <c r="I87" s="19" t="s">
        <v>60</v>
      </c>
      <c r="J87" s="21" t="s">
        <v>61</v>
      </c>
      <c r="K87" s="20" t="s">
        <v>62</v>
      </c>
      <c r="L87" s="20" t="s">
        <v>33</v>
      </c>
      <c r="M87" s="20" t="s">
        <v>34</v>
      </c>
      <c r="N87" s="20" t="n">
        <v>20.5</v>
      </c>
      <c r="O87" s="20" t="s">
        <v>35</v>
      </c>
      <c r="P87" s="20" t="s">
        <v>53</v>
      </c>
      <c r="Q87" s="20" t="n">
        <v>150</v>
      </c>
      <c r="R87" s="22" t="s">
        <v>63</v>
      </c>
      <c r="S87" s="17" t="s">
        <v>38</v>
      </c>
      <c r="T87" s="20" t="s">
        <v>247</v>
      </c>
      <c r="U87" s="20" t="s">
        <v>40</v>
      </c>
      <c r="V87" s="28"/>
      <c r="W87" s="4"/>
      <c r="X87" s="4"/>
      <c r="Y87" s="4"/>
    </row>
    <row r="88" customFormat="false" ht="123.6" hidden="false" customHeight="true" outlineLevel="0" collapsed="false">
      <c r="A88" s="4"/>
      <c r="B88" s="17" t="n">
        <v>80</v>
      </c>
      <c r="C88" s="18" t="str">
        <f aca="false">CONCATENATE(F88,D88)</f>
        <v>B0-SDV-44065-I6076</v>
      </c>
      <c r="D88" s="19" t="s">
        <v>263</v>
      </c>
      <c r="E88" s="19" t="s">
        <v>59</v>
      </c>
      <c r="F88" s="20" t="s">
        <v>264</v>
      </c>
      <c r="G88" s="20" t="s">
        <v>265</v>
      </c>
      <c r="H88" s="20" t="s">
        <v>266</v>
      </c>
      <c r="I88" s="20" t="s">
        <v>267</v>
      </c>
      <c r="J88" s="20" t="s">
        <v>268</v>
      </c>
      <c r="K88" s="20" t="s">
        <v>266</v>
      </c>
      <c r="L88" s="20" t="s">
        <v>33</v>
      </c>
      <c r="M88" s="20" t="s">
        <v>34</v>
      </c>
      <c r="N88" s="20" t="n">
        <v>11.5</v>
      </c>
      <c r="O88" s="20" t="s">
        <v>35</v>
      </c>
      <c r="P88" s="20" t="s">
        <v>36</v>
      </c>
      <c r="Q88" s="20" t="n">
        <v>20</v>
      </c>
      <c r="R88" s="22" t="s">
        <v>37</v>
      </c>
      <c r="S88" s="17" t="s">
        <v>38</v>
      </c>
      <c r="T88" s="20" t="s">
        <v>269</v>
      </c>
      <c r="U88" s="20" t="s">
        <v>40</v>
      </c>
      <c r="V88" s="28"/>
      <c r="W88" s="4"/>
      <c r="X88" s="4"/>
      <c r="Y88" s="4"/>
    </row>
    <row r="89" customFormat="false" ht="118.9" hidden="false" customHeight="true" outlineLevel="0" collapsed="false">
      <c r="A89" s="4"/>
      <c r="B89" s="17" t="n">
        <v>81</v>
      </c>
      <c r="C89" s="18" t="str">
        <f aca="false">CONCATENATE(F89,D89)</f>
        <v>B0-SDV-44066-I6077</v>
      </c>
      <c r="D89" s="19" t="s">
        <v>270</v>
      </c>
      <c r="E89" s="19" t="s">
        <v>59</v>
      </c>
      <c r="F89" s="20" t="s">
        <v>271</v>
      </c>
      <c r="G89" s="20" t="s">
        <v>272</v>
      </c>
      <c r="H89" s="20" t="s">
        <v>266</v>
      </c>
      <c r="I89" s="20" t="s">
        <v>267</v>
      </c>
      <c r="J89" s="20" t="s">
        <v>268</v>
      </c>
      <c r="K89" s="20" t="s">
        <v>266</v>
      </c>
      <c r="L89" s="20" t="s">
        <v>33</v>
      </c>
      <c r="M89" s="20" t="s">
        <v>34</v>
      </c>
      <c r="N89" s="20" t="n">
        <v>11.5</v>
      </c>
      <c r="O89" s="20" t="s">
        <v>35</v>
      </c>
      <c r="P89" s="20" t="s">
        <v>36</v>
      </c>
      <c r="Q89" s="20" t="n">
        <v>20</v>
      </c>
      <c r="R89" s="22" t="s">
        <v>37</v>
      </c>
      <c r="S89" s="17" t="s">
        <v>38</v>
      </c>
      <c r="T89" s="20" t="s">
        <v>269</v>
      </c>
      <c r="U89" s="20" t="s">
        <v>40</v>
      </c>
      <c r="V89" s="28"/>
      <c r="W89" s="4"/>
      <c r="X89" s="4"/>
      <c r="Y89" s="4"/>
    </row>
    <row r="90" customFormat="false" ht="118.9" hidden="false" customHeight="true" outlineLevel="0" collapsed="false">
      <c r="A90" s="4"/>
      <c r="B90" s="17" t="n">
        <v>82</v>
      </c>
      <c r="C90" s="18" t="str">
        <f aca="false">CONCATENATE(F90,D90)</f>
        <v>B0-PRV-44081-I6078</v>
      </c>
      <c r="D90" s="19" t="s">
        <v>273</v>
      </c>
      <c r="E90" s="19" t="s">
        <v>52</v>
      </c>
      <c r="F90" s="20" t="s">
        <v>274</v>
      </c>
      <c r="G90" s="20" t="s">
        <v>275</v>
      </c>
      <c r="H90" s="20" t="s">
        <v>266</v>
      </c>
      <c r="I90" s="20" t="s">
        <v>267</v>
      </c>
      <c r="J90" s="20" t="s">
        <v>268</v>
      </c>
      <c r="K90" s="20" t="s">
        <v>266</v>
      </c>
      <c r="L90" s="20" t="s">
        <v>33</v>
      </c>
      <c r="M90" s="20" t="s">
        <v>34</v>
      </c>
      <c r="N90" s="20" t="n">
        <v>11</v>
      </c>
      <c r="O90" s="20" t="s">
        <v>35</v>
      </c>
      <c r="P90" s="20" t="s">
        <v>53</v>
      </c>
      <c r="Q90" s="20" t="n">
        <v>15</v>
      </c>
      <c r="R90" s="22" t="s">
        <v>37</v>
      </c>
      <c r="S90" s="17" t="s">
        <v>38</v>
      </c>
      <c r="T90" s="20" t="s">
        <v>269</v>
      </c>
      <c r="U90" s="20" t="s">
        <v>40</v>
      </c>
      <c r="V90" s="28"/>
      <c r="W90" s="4"/>
      <c r="X90" s="4"/>
      <c r="Y90" s="4"/>
    </row>
    <row r="91" customFormat="false" ht="115.9" hidden="false" customHeight="true" outlineLevel="0" collapsed="false">
      <c r="A91" s="4"/>
      <c r="B91" s="17" t="n">
        <v>83</v>
      </c>
      <c r="C91" s="18" t="str">
        <f aca="false">CONCATENATE(F91,D91)</f>
        <v>B0-PRV-44082-I6079</v>
      </c>
      <c r="D91" s="19" t="s">
        <v>276</v>
      </c>
      <c r="E91" s="19" t="s">
        <v>52</v>
      </c>
      <c r="F91" s="20" t="s">
        <v>277</v>
      </c>
      <c r="G91" s="20" t="s">
        <v>278</v>
      </c>
      <c r="H91" s="20" t="s">
        <v>266</v>
      </c>
      <c r="I91" s="20" t="s">
        <v>267</v>
      </c>
      <c r="J91" s="20" t="s">
        <v>268</v>
      </c>
      <c r="K91" s="20" t="s">
        <v>266</v>
      </c>
      <c r="L91" s="20" t="s">
        <v>33</v>
      </c>
      <c r="M91" s="20" t="s">
        <v>34</v>
      </c>
      <c r="N91" s="20" t="n">
        <v>11</v>
      </c>
      <c r="O91" s="20" t="s">
        <v>35</v>
      </c>
      <c r="P91" s="20" t="s">
        <v>53</v>
      </c>
      <c r="Q91" s="20" t="n">
        <v>15</v>
      </c>
      <c r="R91" s="22" t="s">
        <v>37</v>
      </c>
      <c r="S91" s="17" t="s">
        <v>38</v>
      </c>
      <c r="T91" s="20" t="s">
        <v>269</v>
      </c>
      <c r="U91" s="20" t="s">
        <v>40</v>
      </c>
      <c r="V91" s="28"/>
      <c r="W91" s="4"/>
      <c r="X91" s="4"/>
      <c r="Y91" s="4"/>
    </row>
    <row r="92" customFormat="false" ht="126.6" hidden="false" customHeight="true" outlineLevel="0" collapsed="false">
      <c r="A92" s="4"/>
      <c r="B92" s="17" t="n">
        <v>84</v>
      </c>
      <c r="C92" s="18" t="str">
        <f aca="false">CONCATENATE(F92,D92)</f>
        <v>B0-PRV-44083-I6080</v>
      </c>
      <c r="D92" s="19" t="s">
        <v>279</v>
      </c>
      <c r="E92" s="19" t="s">
        <v>52</v>
      </c>
      <c r="F92" s="20" t="s">
        <v>280</v>
      </c>
      <c r="G92" s="20" t="s">
        <v>281</v>
      </c>
      <c r="H92" s="20" t="s">
        <v>266</v>
      </c>
      <c r="I92" s="20" t="s">
        <v>267</v>
      </c>
      <c r="J92" s="20" t="s">
        <v>268</v>
      </c>
      <c r="K92" s="20" t="s">
        <v>266</v>
      </c>
      <c r="L92" s="20" t="s">
        <v>33</v>
      </c>
      <c r="M92" s="20" t="s">
        <v>34</v>
      </c>
      <c r="N92" s="20" t="n">
        <v>11</v>
      </c>
      <c r="O92" s="20" t="s">
        <v>35</v>
      </c>
      <c r="P92" s="20" t="s">
        <v>53</v>
      </c>
      <c r="Q92" s="20" t="n">
        <v>15</v>
      </c>
      <c r="R92" s="22" t="s">
        <v>37</v>
      </c>
      <c r="S92" s="17" t="s">
        <v>38</v>
      </c>
      <c r="T92" s="20" t="s">
        <v>269</v>
      </c>
      <c r="U92" s="20" t="s">
        <v>40</v>
      </c>
      <c r="V92" s="28"/>
      <c r="W92" s="4"/>
      <c r="X92" s="4"/>
      <c r="Y92" s="4"/>
    </row>
    <row r="93" customFormat="false" ht="130.9" hidden="false" customHeight="true" outlineLevel="0" collapsed="false">
      <c r="A93" s="4"/>
      <c r="B93" s="17" t="n">
        <v>85</v>
      </c>
      <c r="C93" s="18" t="str">
        <f aca="false">CONCATENATE(F93,D93)</f>
        <v>B0-PRV-44084-I6081</v>
      </c>
      <c r="D93" s="19" t="s">
        <v>282</v>
      </c>
      <c r="E93" s="19" t="s">
        <v>52</v>
      </c>
      <c r="F93" s="20" t="s">
        <v>283</v>
      </c>
      <c r="G93" s="20" t="s">
        <v>284</v>
      </c>
      <c r="H93" s="20" t="s">
        <v>266</v>
      </c>
      <c r="I93" s="20" t="s">
        <v>267</v>
      </c>
      <c r="J93" s="20" t="s">
        <v>268</v>
      </c>
      <c r="K93" s="20" t="s">
        <v>266</v>
      </c>
      <c r="L93" s="20" t="s">
        <v>33</v>
      </c>
      <c r="M93" s="20" t="s">
        <v>34</v>
      </c>
      <c r="N93" s="20" t="n">
        <v>11</v>
      </c>
      <c r="O93" s="20" t="s">
        <v>35</v>
      </c>
      <c r="P93" s="20" t="s">
        <v>53</v>
      </c>
      <c r="Q93" s="20" t="n">
        <v>15</v>
      </c>
      <c r="R93" s="22" t="s">
        <v>37</v>
      </c>
      <c r="S93" s="17" t="s">
        <v>38</v>
      </c>
      <c r="T93" s="20" t="s">
        <v>269</v>
      </c>
      <c r="U93" s="20" t="s">
        <v>40</v>
      </c>
      <c r="V93" s="28"/>
      <c r="W93" s="4"/>
      <c r="X93" s="4"/>
      <c r="Y93" s="4"/>
    </row>
    <row r="94" customFormat="false" ht="118.5" hidden="false" customHeight="true" outlineLevel="0" collapsed="false">
      <c r="A94" s="4"/>
      <c r="B94" s="17" t="n">
        <v>86</v>
      </c>
      <c r="C94" s="18" t="str">
        <f aca="false">CONCATENATE(F94,D94)</f>
        <v>B0-JB-4407-I6082</v>
      </c>
      <c r="D94" s="19" t="s">
        <v>285</v>
      </c>
      <c r="E94" s="19" t="s">
        <v>74</v>
      </c>
      <c r="F94" s="20" t="s">
        <v>267</v>
      </c>
      <c r="G94" s="20" t="s">
        <v>268</v>
      </c>
      <c r="H94" s="20" t="s">
        <v>266</v>
      </c>
      <c r="I94" s="19" t="s">
        <v>60</v>
      </c>
      <c r="J94" s="21" t="s">
        <v>61</v>
      </c>
      <c r="K94" s="20" t="s">
        <v>62</v>
      </c>
      <c r="L94" s="20" t="s">
        <v>33</v>
      </c>
      <c r="M94" s="20" t="s">
        <v>34</v>
      </c>
      <c r="N94" s="20" t="n">
        <v>18</v>
      </c>
      <c r="O94" s="20" t="s">
        <v>35</v>
      </c>
      <c r="P94" s="20" t="s">
        <v>36</v>
      </c>
      <c r="Q94" s="20" t="n">
        <v>155</v>
      </c>
      <c r="R94" s="22" t="s">
        <v>63</v>
      </c>
      <c r="S94" s="17" t="s">
        <v>38</v>
      </c>
      <c r="T94" s="20" t="s">
        <v>269</v>
      </c>
      <c r="U94" s="20" t="s">
        <v>40</v>
      </c>
      <c r="V94" s="28"/>
      <c r="W94" s="4"/>
      <c r="X94" s="4"/>
      <c r="Y94" s="4"/>
    </row>
    <row r="95" customFormat="false" ht="118.5" hidden="false" customHeight="true" outlineLevel="0" collapsed="false">
      <c r="A95" s="4"/>
      <c r="B95" s="17" t="n">
        <v>87</v>
      </c>
      <c r="C95" s="18" t="str">
        <f aca="false">CONCATENATE(F95,D95)</f>
        <v>B0-JB-4407-I6083</v>
      </c>
      <c r="D95" s="19" t="s">
        <v>286</v>
      </c>
      <c r="E95" s="19" t="s">
        <v>94</v>
      </c>
      <c r="F95" s="20" t="s">
        <v>267</v>
      </c>
      <c r="G95" s="20" t="s">
        <v>268</v>
      </c>
      <c r="H95" s="20" t="s">
        <v>266</v>
      </c>
      <c r="I95" s="19" t="s">
        <v>60</v>
      </c>
      <c r="J95" s="21" t="s">
        <v>61</v>
      </c>
      <c r="K95" s="20" t="s">
        <v>62</v>
      </c>
      <c r="L95" s="20" t="s">
        <v>33</v>
      </c>
      <c r="M95" s="20" t="s">
        <v>34</v>
      </c>
      <c r="N95" s="20" t="n">
        <v>20.5</v>
      </c>
      <c r="O95" s="20" t="s">
        <v>35</v>
      </c>
      <c r="P95" s="20" t="s">
        <v>53</v>
      </c>
      <c r="Q95" s="20" t="n">
        <v>155</v>
      </c>
      <c r="R95" s="22" t="s">
        <v>63</v>
      </c>
      <c r="S95" s="17" t="s">
        <v>38</v>
      </c>
      <c r="T95" s="20" t="s">
        <v>269</v>
      </c>
      <c r="U95" s="20" t="s">
        <v>40</v>
      </c>
      <c r="V95" s="28"/>
      <c r="W95" s="4"/>
      <c r="X95" s="4"/>
      <c r="Y95" s="4"/>
    </row>
    <row r="96" customFormat="false" ht="118.5" hidden="false" customHeight="true" outlineLevel="0" collapsed="false">
      <c r="A96" s="4"/>
      <c r="B96" s="17" t="n">
        <v>88</v>
      </c>
      <c r="C96" s="18" t="str">
        <f aca="false">CONCATENATE(F96,D96)</f>
        <v>B0-PIT-44007-I6084</v>
      </c>
      <c r="D96" s="19" t="s">
        <v>287</v>
      </c>
      <c r="E96" s="19" t="s">
        <v>52</v>
      </c>
      <c r="F96" s="20" t="s">
        <v>288</v>
      </c>
      <c r="G96" s="20" t="s">
        <v>289</v>
      </c>
      <c r="H96" s="20" t="s">
        <v>266</v>
      </c>
      <c r="I96" s="20" t="s">
        <v>290</v>
      </c>
      <c r="J96" s="20" t="s">
        <v>268</v>
      </c>
      <c r="K96" s="20" t="s">
        <v>266</v>
      </c>
      <c r="L96" s="20" t="s">
        <v>33</v>
      </c>
      <c r="M96" s="20" t="s">
        <v>34</v>
      </c>
      <c r="N96" s="20" t="n">
        <v>11</v>
      </c>
      <c r="O96" s="20" t="s">
        <v>35</v>
      </c>
      <c r="P96" s="20" t="s">
        <v>53</v>
      </c>
      <c r="Q96" s="20" t="n">
        <v>2</v>
      </c>
      <c r="R96" s="22" t="s">
        <v>37</v>
      </c>
      <c r="S96" s="17" t="s">
        <v>38</v>
      </c>
      <c r="T96" s="20" t="s">
        <v>269</v>
      </c>
      <c r="U96" s="20" t="s">
        <v>40</v>
      </c>
      <c r="V96" s="28"/>
      <c r="W96" s="4"/>
      <c r="X96" s="4"/>
      <c r="Y96" s="4"/>
    </row>
    <row r="97" customFormat="false" ht="118.5" hidden="false" customHeight="true" outlineLevel="0" collapsed="false">
      <c r="A97" s="4"/>
      <c r="B97" s="17" t="n">
        <v>89</v>
      </c>
      <c r="C97" s="18" t="str">
        <f aca="false">CONCATENATE(F97,D97)</f>
        <v>B0-TT-44003-I6085</v>
      </c>
      <c r="D97" s="19" t="s">
        <v>291</v>
      </c>
      <c r="E97" s="19" t="s">
        <v>52</v>
      </c>
      <c r="F97" s="20" t="s">
        <v>292</v>
      </c>
      <c r="G97" s="20" t="s">
        <v>293</v>
      </c>
      <c r="H97" s="20" t="s">
        <v>266</v>
      </c>
      <c r="I97" s="20" t="s">
        <v>290</v>
      </c>
      <c r="J97" s="20" t="s">
        <v>268</v>
      </c>
      <c r="K97" s="20" t="s">
        <v>266</v>
      </c>
      <c r="L97" s="20" t="s">
        <v>33</v>
      </c>
      <c r="M97" s="20" t="s">
        <v>34</v>
      </c>
      <c r="N97" s="20" t="n">
        <v>11</v>
      </c>
      <c r="O97" s="20" t="s">
        <v>35</v>
      </c>
      <c r="P97" s="20" t="s">
        <v>53</v>
      </c>
      <c r="Q97" s="20" t="n">
        <v>5</v>
      </c>
      <c r="R97" s="22" t="s">
        <v>37</v>
      </c>
      <c r="S97" s="17" t="s">
        <v>38</v>
      </c>
      <c r="T97" s="20" t="s">
        <v>269</v>
      </c>
      <c r="U97" s="20" t="s">
        <v>40</v>
      </c>
      <c r="V97" s="28"/>
      <c r="W97" s="4"/>
      <c r="X97" s="4"/>
      <c r="Y97" s="4"/>
    </row>
    <row r="98" customFormat="false" ht="118.5" hidden="false" customHeight="true" outlineLevel="0" collapsed="false">
      <c r="A98" s="4"/>
      <c r="B98" s="17" t="n">
        <v>90</v>
      </c>
      <c r="C98" s="18" t="str">
        <f aca="false">CONCATENATE(F98,D98)</f>
        <v>B0-JB-4408-I6086</v>
      </c>
      <c r="D98" s="19" t="s">
        <v>294</v>
      </c>
      <c r="E98" s="19" t="s">
        <v>94</v>
      </c>
      <c r="F98" s="20" t="s">
        <v>290</v>
      </c>
      <c r="G98" s="20" t="s">
        <v>268</v>
      </c>
      <c r="H98" s="20" t="s">
        <v>266</v>
      </c>
      <c r="I98" s="19" t="s">
        <v>60</v>
      </c>
      <c r="J98" s="21" t="s">
        <v>61</v>
      </c>
      <c r="K98" s="20" t="s">
        <v>62</v>
      </c>
      <c r="L98" s="20" t="s">
        <v>33</v>
      </c>
      <c r="M98" s="20" t="s">
        <v>34</v>
      </c>
      <c r="N98" s="20" t="n">
        <v>20.5</v>
      </c>
      <c r="O98" s="20" t="s">
        <v>35</v>
      </c>
      <c r="P98" s="20" t="s">
        <v>53</v>
      </c>
      <c r="Q98" s="20" t="n">
        <v>144</v>
      </c>
      <c r="R98" s="22" t="s">
        <v>63</v>
      </c>
      <c r="S98" s="17" t="s">
        <v>38</v>
      </c>
      <c r="T98" s="20" t="s">
        <v>269</v>
      </c>
      <c r="U98" s="20" t="s">
        <v>40</v>
      </c>
      <c r="V98" s="28"/>
      <c r="W98" s="4"/>
      <c r="X98" s="4"/>
      <c r="Y98" s="4"/>
    </row>
    <row r="99" customFormat="false" ht="118.5" hidden="false" customHeight="true" outlineLevel="0" collapsed="false">
      <c r="A99" s="4"/>
      <c r="B99" s="17" t="n">
        <v>91</v>
      </c>
      <c r="C99" s="18" t="str">
        <f aca="false">CONCATENATE(F99,D99)</f>
        <v>B0-GD-44006-I6087</v>
      </c>
      <c r="D99" s="19" t="s">
        <v>295</v>
      </c>
      <c r="E99" s="19" t="s">
        <v>45</v>
      </c>
      <c r="F99" s="20" t="s">
        <v>296</v>
      </c>
      <c r="G99" s="20" t="s">
        <v>297</v>
      </c>
      <c r="H99" s="20" t="s">
        <v>266</v>
      </c>
      <c r="I99" s="19" t="s">
        <v>99</v>
      </c>
      <c r="J99" s="21" t="s">
        <v>100</v>
      </c>
      <c r="K99" s="20" t="s">
        <v>62</v>
      </c>
      <c r="L99" s="20" t="s">
        <v>33</v>
      </c>
      <c r="M99" s="20" t="s">
        <v>34</v>
      </c>
      <c r="N99" s="20" t="n">
        <v>11.5</v>
      </c>
      <c r="O99" s="20" t="s">
        <v>35</v>
      </c>
      <c r="P99" s="20" t="s">
        <v>50</v>
      </c>
      <c r="Q99" s="20" t="n">
        <v>148</v>
      </c>
      <c r="R99" s="22" t="s">
        <v>63</v>
      </c>
      <c r="S99" s="17" t="s">
        <v>38</v>
      </c>
      <c r="T99" s="20" t="s">
        <v>298</v>
      </c>
      <c r="U99" s="20" t="s">
        <v>40</v>
      </c>
      <c r="V99" s="28"/>
      <c r="W99" s="4"/>
      <c r="X99" s="4"/>
      <c r="Y99" s="4"/>
    </row>
    <row r="100" customFormat="false" ht="118.5" hidden="false" customHeight="true" outlineLevel="0" collapsed="false">
      <c r="A100" s="4"/>
      <c r="B100" s="17" t="n">
        <v>92</v>
      </c>
      <c r="C100" s="18" t="str">
        <f aca="false">CONCATENATE(F100,D100)</f>
        <v>B0-LCP-4403-I6088</v>
      </c>
      <c r="D100" s="19" t="s">
        <v>299</v>
      </c>
      <c r="E100" s="19" t="s">
        <v>55</v>
      </c>
      <c r="F100" s="19" t="s">
        <v>300</v>
      </c>
      <c r="G100" s="20" t="s">
        <v>301</v>
      </c>
      <c r="H100" s="20" t="s">
        <v>302</v>
      </c>
      <c r="I100" s="19" t="s">
        <v>60</v>
      </c>
      <c r="J100" s="21" t="s">
        <v>61</v>
      </c>
      <c r="K100" s="20" t="s">
        <v>62</v>
      </c>
      <c r="L100" s="20" t="s">
        <v>33</v>
      </c>
      <c r="M100" s="20" t="s">
        <v>34</v>
      </c>
      <c r="N100" s="20" t="n">
        <v>12.5</v>
      </c>
      <c r="O100" s="20" t="s">
        <v>35</v>
      </c>
      <c r="P100" s="20" t="s">
        <v>36</v>
      </c>
      <c r="Q100" s="20" t="n">
        <v>189</v>
      </c>
      <c r="R100" s="22" t="s">
        <v>63</v>
      </c>
      <c r="S100" s="17" t="s">
        <v>38</v>
      </c>
      <c r="T100" s="20" t="s">
        <v>303</v>
      </c>
      <c r="U100" s="20" t="s">
        <v>40</v>
      </c>
      <c r="V100" s="28"/>
      <c r="W100" s="25"/>
      <c r="X100" s="25"/>
      <c r="Y100" s="25"/>
    </row>
    <row r="101" customFormat="false" ht="118.5" hidden="false" customHeight="true" outlineLevel="0" collapsed="false">
      <c r="A101" s="4"/>
      <c r="B101" s="17" t="n">
        <v>93</v>
      </c>
      <c r="C101" s="18" t="str">
        <f aca="false">CONCATENATE(F101,D101)</f>
        <v>B0-LS-44005-I6089</v>
      </c>
      <c r="D101" s="19" t="s">
        <v>304</v>
      </c>
      <c r="E101" s="19" t="s">
        <v>55</v>
      </c>
      <c r="F101" s="20" t="s">
        <v>305</v>
      </c>
      <c r="G101" s="20" t="s">
        <v>306</v>
      </c>
      <c r="H101" s="20" t="s">
        <v>302</v>
      </c>
      <c r="I101" s="19" t="s">
        <v>60</v>
      </c>
      <c r="J101" s="21" t="s">
        <v>61</v>
      </c>
      <c r="K101" s="20" t="s">
        <v>62</v>
      </c>
      <c r="L101" s="20" t="s">
        <v>33</v>
      </c>
      <c r="M101" s="20" t="s">
        <v>34</v>
      </c>
      <c r="N101" s="20" t="n">
        <v>13.5</v>
      </c>
      <c r="O101" s="20" t="s">
        <v>35</v>
      </c>
      <c r="P101" s="20" t="s">
        <v>36</v>
      </c>
      <c r="Q101" s="20" t="n">
        <v>176</v>
      </c>
      <c r="R101" s="22" t="s">
        <v>63</v>
      </c>
      <c r="S101" s="17" t="s">
        <v>38</v>
      </c>
      <c r="T101" s="20" t="s">
        <v>307</v>
      </c>
      <c r="U101" s="20" t="s">
        <v>40</v>
      </c>
      <c r="V101" s="28"/>
      <c r="W101" s="4"/>
      <c r="X101" s="4"/>
      <c r="Y101" s="4"/>
    </row>
    <row r="102" customFormat="false" ht="94.9" hidden="false" customHeight="true" outlineLevel="0" collapsed="false">
      <c r="A102" s="4"/>
      <c r="B102" s="17" t="n">
        <v>94</v>
      </c>
      <c r="C102" s="18" t="str">
        <f aca="false">CONCATENATE(F102,D102)</f>
        <v>B1-PIT-44009-I6090</v>
      </c>
      <c r="D102" s="19" t="s">
        <v>308</v>
      </c>
      <c r="E102" s="19" t="s">
        <v>52</v>
      </c>
      <c r="F102" s="20" t="s">
        <v>309</v>
      </c>
      <c r="G102" s="20" t="s">
        <v>310</v>
      </c>
      <c r="H102" s="20" t="s">
        <v>311</v>
      </c>
      <c r="I102" s="20" t="s">
        <v>312</v>
      </c>
      <c r="J102" s="21" t="s">
        <v>313</v>
      </c>
      <c r="K102" s="20" t="s">
        <v>314</v>
      </c>
      <c r="L102" s="20" t="s">
        <v>33</v>
      </c>
      <c r="M102" s="20" t="s">
        <v>34</v>
      </c>
      <c r="N102" s="20" t="n">
        <v>11</v>
      </c>
      <c r="O102" s="20" t="s">
        <v>35</v>
      </c>
      <c r="P102" s="20" t="s">
        <v>53</v>
      </c>
      <c r="Q102" s="20" t="n">
        <v>2</v>
      </c>
      <c r="R102" s="22" t="s">
        <v>37</v>
      </c>
      <c r="S102" s="17" t="s">
        <v>38</v>
      </c>
      <c r="T102" s="20" t="s">
        <v>315</v>
      </c>
      <c r="U102" s="20" t="s">
        <v>40</v>
      </c>
      <c r="V102" s="28"/>
      <c r="W102" s="4"/>
      <c r="X102" s="4"/>
      <c r="Y102" s="4"/>
    </row>
    <row r="103" customFormat="false" ht="102" hidden="false" customHeight="true" outlineLevel="0" collapsed="false">
      <c r="A103" s="4"/>
      <c r="B103" s="17" t="n">
        <v>95</v>
      </c>
      <c r="C103" s="18" t="str">
        <f aca="false">CONCATENATE(F103,D103)</f>
        <v>B1-TT-44004-I6091</v>
      </c>
      <c r="D103" s="19" t="s">
        <v>316</v>
      </c>
      <c r="E103" s="19" t="s">
        <v>52</v>
      </c>
      <c r="F103" s="20" t="s">
        <v>317</v>
      </c>
      <c r="G103" s="20" t="s">
        <v>318</v>
      </c>
      <c r="H103" s="20" t="s">
        <v>311</v>
      </c>
      <c r="I103" s="20" t="s">
        <v>312</v>
      </c>
      <c r="J103" s="21" t="s">
        <v>313</v>
      </c>
      <c r="K103" s="20" t="s">
        <v>314</v>
      </c>
      <c r="L103" s="20" t="s">
        <v>33</v>
      </c>
      <c r="M103" s="20" t="s">
        <v>34</v>
      </c>
      <c r="N103" s="20" t="n">
        <v>11</v>
      </c>
      <c r="O103" s="20" t="s">
        <v>35</v>
      </c>
      <c r="P103" s="20" t="s">
        <v>53</v>
      </c>
      <c r="Q103" s="20" t="n">
        <v>6</v>
      </c>
      <c r="R103" s="22" t="s">
        <v>37</v>
      </c>
      <c r="S103" s="17" t="s">
        <v>38</v>
      </c>
      <c r="T103" s="20" t="s">
        <v>315</v>
      </c>
      <c r="U103" s="20" t="s">
        <v>40</v>
      </c>
      <c r="V103" s="28"/>
      <c r="W103" s="4"/>
      <c r="X103" s="4"/>
      <c r="Y103" s="4"/>
    </row>
    <row r="104" customFormat="false" ht="102" hidden="false" customHeight="true" outlineLevel="0" collapsed="false">
      <c r="A104" s="4"/>
      <c r="B104" s="17" t="n">
        <v>96</v>
      </c>
      <c r="C104" s="18" t="str">
        <f aca="false">CONCATENATE(F104,D104)</f>
        <v>B1-PIT-44010-I6092</v>
      </c>
      <c r="D104" s="19" t="s">
        <v>319</v>
      </c>
      <c r="E104" s="19" t="s">
        <v>52</v>
      </c>
      <c r="F104" s="20" t="s">
        <v>320</v>
      </c>
      <c r="G104" s="20" t="s">
        <v>321</v>
      </c>
      <c r="H104" s="20" t="s">
        <v>311</v>
      </c>
      <c r="I104" s="20" t="s">
        <v>312</v>
      </c>
      <c r="J104" s="21" t="s">
        <v>313</v>
      </c>
      <c r="K104" s="20" t="s">
        <v>314</v>
      </c>
      <c r="L104" s="20" t="s">
        <v>33</v>
      </c>
      <c r="M104" s="20" t="s">
        <v>34</v>
      </c>
      <c r="N104" s="20" t="n">
        <v>11</v>
      </c>
      <c r="O104" s="20" t="s">
        <v>35</v>
      </c>
      <c r="P104" s="20" t="s">
        <v>53</v>
      </c>
      <c r="Q104" s="20" t="n">
        <v>2</v>
      </c>
      <c r="R104" s="22" t="s">
        <v>37</v>
      </c>
      <c r="S104" s="17" t="s">
        <v>38</v>
      </c>
      <c r="T104" s="20" t="s">
        <v>315</v>
      </c>
      <c r="U104" s="20" t="s">
        <v>40</v>
      </c>
      <c r="V104" s="28"/>
      <c r="W104" s="4"/>
      <c r="X104" s="4"/>
      <c r="Y104" s="4"/>
    </row>
    <row r="105" customFormat="false" ht="90" hidden="false" customHeight="true" outlineLevel="0" collapsed="false">
      <c r="A105" s="4"/>
      <c r="B105" s="17" t="n">
        <v>97</v>
      </c>
      <c r="C105" s="18" t="str">
        <f aca="false">CONCATENATE(F105,D105)</f>
        <v>B1-TT-44005-I6093</v>
      </c>
      <c r="D105" s="19" t="s">
        <v>322</v>
      </c>
      <c r="E105" s="19" t="s">
        <v>52</v>
      </c>
      <c r="F105" s="20" t="s">
        <v>323</v>
      </c>
      <c r="G105" s="20" t="s">
        <v>324</v>
      </c>
      <c r="H105" s="20" t="s">
        <v>311</v>
      </c>
      <c r="I105" s="20" t="s">
        <v>312</v>
      </c>
      <c r="J105" s="21" t="s">
        <v>313</v>
      </c>
      <c r="K105" s="20" t="s">
        <v>314</v>
      </c>
      <c r="L105" s="20" t="s">
        <v>33</v>
      </c>
      <c r="M105" s="20" t="s">
        <v>34</v>
      </c>
      <c r="N105" s="20" t="n">
        <v>11</v>
      </c>
      <c r="O105" s="20" t="s">
        <v>35</v>
      </c>
      <c r="P105" s="20" t="s">
        <v>53</v>
      </c>
      <c r="Q105" s="20" t="n">
        <v>6</v>
      </c>
      <c r="R105" s="22" t="s">
        <v>37</v>
      </c>
      <c r="S105" s="17" t="s">
        <v>38</v>
      </c>
      <c r="T105" s="20" t="s">
        <v>315</v>
      </c>
      <c r="U105" s="20" t="s">
        <v>40</v>
      </c>
      <c r="V105" s="28"/>
      <c r="W105" s="4"/>
      <c r="X105" s="4"/>
      <c r="Y105" s="4"/>
    </row>
    <row r="106" customFormat="false" ht="96" hidden="false" customHeight="true" outlineLevel="0" collapsed="false">
      <c r="A106" s="4"/>
      <c r="B106" s="17" t="n">
        <v>98</v>
      </c>
      <c r="C106" s="18" t="str">
        <f aca="false">CONCATENATE(F106,D106)</f>
        <v>B1-TT-44006-I6094</v>
      </c>
      <c r="D106" s="19" t="s">
        <v>325</v>
      </c>
      <c r="E106" s="19" t="s">
        <v>52</v>
      </c>
      <c r="F106" s="20" t="s">
        <v>326</v>
      </c>
      <c r="G106" s="20" t="s">
        <v>327</v>
      </c>
      <c r="H106" s="20" t="s">
        <v>311</v>
      </c>
      <c r="I106" s="20" t="s">
        <v>312</v>
      </c>
      <c r="J106" s="21" t="s">
        <v>313</v>
      </c>
      <c r="K106" s="20" t="s">
        <v>314</v>
      </c>
      <c r="L106" s="20" t="s">
        <v>33</v>
      </c>
      <c r="M106" s="20" t="s">
        <v>34</v>
      </c>
      <c r="N106" s="20" t="n">
        <v>11</v>
      </c>
      <c r="O106" s="20" t="s">
        <v>35</v>
      </c>
      <c r="P106" s="20" t="s">
        <v>53</v>
      </c>
      <c r="Q106" s="20" t="n">
        <v>8</v>
      </c>
      <c r="R106" s="22" t="s">
        <v>37</v>
      </c>
      <c r="S106" s="17" t="s">
        <v>38</v>
      </c>
      <c r="T106" s="20" t="s">
        <v>315</v>
      </c>
      <c r="U106" s="20" t="s">
        <v>40</v>
      </c>
      <c r="V106" s="28"/>
      <c r="W106" s="4"/>
      <c r="X106" s="4"/>
      <c r="Y106" s="4"/>
    </row>
    <row r="107" customFormat="false" ht="96" hidden="false" customHeight="true" outlineLevel="0" collapsed="false">
      <c r="A107" s="4"/>
      <c r="B107" s="17" t="n">
        <v>99</v>
      </c>
      <c r="C107" s="18" t="str">
        <f aca="false">CONCATENATE(F107,D107)</f>
        <v>B1-LS-44006A-I6095</v>
      </c>
      <c r="D107" s="19" t="s">
        <v>328</v>
      </c>
      <c r="E107" s="19" t="s">
        <v>55</v>
      </c>
      <c r="F107" s="20" t="s">
        <v>329</v>
      </c>
      <c r="G107" s="20" t="s">
        <v>330</v>
      </c>
      <c r="H107" s="20" t="s">
        <v>311</v>
      </c>
      <c r="I107" s="20" t="s">
        <v>312</v>
      </c>
      <c r="J107" s="21" t="s">
        <v>313</v>
      </c>
      <c r="K107" s="20" t="s">
        <v>314</v>
      </c>
      <c r="L107" s="20" t="s">
        <v>33</v>
      </c>
      <c r="M107" s="20" t="s">
        <v>34</v>
      </c>
      <c r="N107" s="20" t="n">
        <v>12.5</v>
      </c>
      <c r="O107" s="20" t="s">
        <v>35</v>
      </c>
      <c r="P107" s="20" t="s">
        <v>36</v>
      </c>
      <c r="Q107" s="20" t="n">
        <v>10</v>
      </c>
      <c r="R107" s="22" t="s">
        <v>37</v>
      </c>
      <c r="S107" s="17" t="s">
        <v>38</v>
      </c>
      <c r="T107" s="20" t="s">
        <v>315</v>
      </c>
      <c r="U107" s="20" t="s">
        <v>40</v>
      </c>
      <c r="V107" s="28"/>
      <c r="W107" s="4"/>
      <c r="X107" s="4"/>
      <c r="Y107" s="4"/>
    </row>
    <row r="108" customFormat="false" ht="99" hidden="false" customHeight="true" outlineLevel="0" collapsed="false">
      <c r="A108" s="4"/>
      <c r="B108" s="17" t="n">
        <v>100</v>
      </c>
      <c r="C108" s="18" t="str">
        <f aca="false">CONCATENATE(F108,D108)</f>
        <v>B1-LS-44006B-I6096</v>
      </c>
      <c r="D108" s="19" t="s">
        <v>331</v>
      </c>
      <c r="E108" s="19" t="s">
        <v>55</v>
      </c>
      <c r="F108" s="20" t="s">
        <v>332</v>
      </c>
      <c r="G108" s="20" t="s">
        <v>333</v>
      </c>
      <c r="H108" s="20" t="s">
        <v>311</v>
      </c>
      <c r="I108" s="20" t="s">
        <v>312</v>
      </c>
      <c r="J108" s="21" t="s">
        <v>313</v>
      </c>
      <c r="K108" s="20" t="s">
        <v>314</v>
      </c>
      <c r="L108" s="20" t="s">
        <v>33</v>
      </c>
      <c r="M108" s="20" t="s">
        <v>34</v>
      </c>
      <c r="N108" s="20" t="n">
        <v>12.5</v>
      </c>
      <c r="O108" s="20" t="s">
        <v>35</v>
      </c>
      <c r="P108" s="20" t="s">
        <v>36</v>
      </c>
      <c r="Q108" s="20" t="n">
        <v>10</v>
      </c>
      <c r="R108" s="22" t="s">
        <v>37</v>
      </c>
      <c r="S108" s="17" t="s">
        <v>38</v>
      </c>
      <c r="T108" s="20" t="s">
        <v>315</v>
      </c>
      <c r="U108" s="20" t="s">
        <v>40</v>
      </c>
      <c r="V108" s="28"/>
      <c r="W108" s="4"/>
      <c r="X108" s="4"/>
      <c r="Y108" s="4"/>
    </row>
    <row r="109" customFormat="false" ht="99" hidden="false" customHeight="true" outlineLevel="0" collapsed="false">
      <c r="A109" s="4"/>
      <c r="B109" s="17" t="n">
        <v>101</v>
      </c>
      <c r="C109" s="18" t="str">
        <f aca="false">CONCATENATE(F109,D109)</f>
        <v>B1-LS-44006C-I6097</v>
      </c>
      <c r="D109" s="19" t="s">
        <v>334</v>
      </c>
      <c r="E109" s="19" t="s">
        <v>55</v>
      </c>
      <c r="F109" s="20" t="s">
        <v>335</v>
      </c>
      <c r="G109" s="20" t="s">
        <v>336</v>
      </c>
      <c r="H109" s="20" t="s">
        <v>311</v>
      </c>
      <c r="I109" s="20" t="s">
        <v>312</v>
      </c>
      <c r="J109" s="21" t="s">
        <v>313</v>
      </c>
      <c r="K109" s="20" t="s">
        <v>314</v>
      </c>
      <c r="L109" s="20" t="s">
        <v>33</v>
      </c>
      <c r="M109" s="20" t="s">
        <v>34</v>
      </c>
      <c r="N109" s="20" t="n">
        <v>12.5</v>
      </c>
      <c r="O109" s="20" t="s">
        <v>35</v>
      </c>
      <c r="P109" s="20" t="s">
        <v>36</v>
      </c>
      <c r="Q109" s="20" t="n">
        <v>10</v>
      </c>
      <c r="R109" s="22" t="s">
        <v>37</v>
      </c>
      <c r="S109" s="17" t="s">
        <v>38</v>
      </c>
      <c r="T109" s="20" t="s">
        <v>315</v>
      </c>
      <c r="U109" s="20" t="s">
        <v>40</v>
      </c>
      <c r="V109" s="28"/>
      <c r="W109" s="4"/>
      <c r="X109" s="4"/>
      <c r="Y109" s="4"/>
    </row>
    <row r="110" customFormat="false" ht="108" hidden="false" customHeight="true" outlineLevel="0" collapsed="false">
      <c r="A110" s="4"/>
      <c r="B110" s="17" t="n">
        <v>102</v>
      </c>
      <c r="C110" s="18" t="str">
        <f aca="false">CONCATENATE(F110,D110)</f>
        <v>B1-XV-44067-I6098</v>
      </c>
      <c r="D110" s="19" t="s">
        <v>337</v>
      </c>
      <c r="E110" s="19" t="s">
        <v>55</v>
      </c>
      <c r="F110" s="20" t="s">
        <v>338</v>
      </c>
      <c r="G110" s="20" t="s">
        <v>339</v>
      </c>
      <c r="H110" s="20" t="s">
        <v>311</v>
      </c>
      <c r="I110" s="20" t="s">
        <v>312</v>
      </c>
      <c r="J110" s="21" t="s">
        <v>313</v>
      </c>
      <c r="K110" s="20" t="s">
        <v>314</v>
      </c>
      <c r="L110" s="20" t="s">
        <v>33</v>
      </c>
      <c r="M110" s="20" t="s">
        <v>34</v>
      </c>
      <c r="N110" s="20" t="n">
        <v>12.5</v>
      </c>
      <c r="O110" s="20" t="s">
        <v>35</v>
      </c>
      <c r="P110" s="20" t="s">
        <v>36</v>
      </c>
      <c r="Q110" s="20" t="n">
        <v>15</v>
      </c>
      <c r="R110" s="22" t="s">
        <v>37</v>
      </c>
      <c r="S110" s="17" t="s">
        <v>38</v>
      </c>
      <c r="T110" s="20" t="s">
        <v>315</v>
      </c>
      <c r="U110" s="20" t="s">
        <v>40</v>
      </c>
      <c r="V110" s="28"/>
      <c r="W110" s="4"/>
      <c r="X110" s="4"/>
      <c r="Y110" s="4"/>
    </row>
    <row r="111" customFormat="false" ht="109.9" hidden="false" customHeight="true" outlineLevel="0" collapsed="false">
      <c r="A111" s="4"/>
      <c r="B111" s="17" t="n">
        <v>103</v>
      </c>
      <c r="C111" s="18" t="str">
        <f aca="false">CONCATENATE(F111,D111)</f>
        <v>B1-XV-44067-I6099</v>
      </c>
      <c r="D111" s="19" t="s">
        <v>340</v>
      </c>
      <c r="E111" s="19" t="s">
        <v>26</v>
      </c>
      <c r="F111" s="20" t="s">
        <v>338</v>
      </c>
      <c r="G111" s="20" t="s">
        <v>339</v>
      </c>
      <c r="H111" s="20" t="s">
        <v>311</v>
      </c>
      <c r="I111" s="20" t="s">
        <v>312</v>
      </c>
      <c r="J111" s="21" t="s">
        <v>313</v>
      </c>
      <c r="K111" s="20" t="s">
        <v>314</v>
      </c>
      <c r="L111" s="20" t="s">
        <v>33</v>
      </c>
      <c r="M111" s="20" t="s">
        <v>34</v>
      </c>
      <c r="N111" s="20" t="n">
        <v>12</v>
      </c>
      <c r="O111" s="20" t="s">
        <v>35</v>
      </c>
      <c r="P111" s="20" t="s">
        <v>36</v>
      </c>
      <c r="Q111" s="20" t="n">
        <v>15</v>
      </c>
      <c r="R111" s="22" t="s">
        <v>37</v>
      </c>
      <c r="S111" s="17" t="s">
        <v>38</v>
      </c>
      <c r="T111" s="20" t="s">
        <v>315</v>
      </c>
      <c r="U111" s="20" t="s">
        <v>40</v>
      </c>
      <c r="V111" s="28"/>
      <c r="W111" s="4"/>
      <c r="X111" s="4"/>
      <c r="Y111" s="4"/>
    </row>
    <row r="112" customFormat="false" ht="99.6" hidden="false" customHeight="true" outlineLevel="0" collapsed="false">
      <c r="A112" s="4"/>
      <c r="B112" s="17" t="n">
        <v>104</v>
      </c>
      <c r="C112" s="17" t="s">
        <v>67</v>
      </c>
      <c r="D112" s="19"/>
      <c r="E112" s="19" t="s">
        <v>169</v>
      </c>
      <c r="F112" s="20" t="s">
        <v>312</v>
      </c>
      <c r="G112" s="21" t="s">
        <v>313</v>
      </c>
      <c r="H112" s="20" t="s">
        <v>311</v>
      </c>
      <c r="I112" s="19" t="s">
        <v>341</v>
      </c>
      <c r="J112" s="21" t="s">
        <v>342</v>
      </c>
      <c r="K112" s="20" t="s">
        <v>62</v>
      </c>
      <c r="L112" s="20" t="s">
        <v>33</v>
      </c>
      <c r="M112" s="20" t="s">
        <v>34</v>
      </c>
      <c r="N112" s="20" t="s">
        <v>68</v>
      </c>
      <c r="O112" s="20" t="s">
        <v>68</v>
      </c>
      <c r="P112" s="20" t="s">
        <v>68</v>
      </c>
      <c r="Q112" s="20" t="s">
        <v>68</v>
      </c>
      <c r="R112" s="22" t="s">
        <v>63</v>
      </c>
      <c r="S112" s="17" t="s">
        <v>38</v>
      </c>
      <c r="T112" s="20" t="s">
        <v>315</v>
      </c>
      <c r="U112" s="20" t="s">
        <v>70</v>
      </c>
      <c r="V112" s="28"/>
      <c r="W112" s="25"/>
      <c r="X112" s="25"/>
      <c r="Y112" s="25"/>
    </row>
    <row r="113" customFormat="false" ht="108.6" hidden="false" customHeight="true" outlineLevel="0" collapsed="false">
      <c r="A113" s="4"/>
      <c r="B113" s="17" t="n">
        <v>105</v>
      </c>
      <c r="C113" s="18" t="str">
        <f aca="false">CONCATENATE(F113,D113)</f>
        <v>B1-JB-4409-I6099</v>
      </c>
      <c r="D113" s="19" t="s">
        <v>340</v>
      </c>
      <c r="E113" s="19" t="s">
        <v>94</v>
      </c>
      <c r="F113" s="20" t="s">
        <v>312</v>
      </c>
      <c r="G113" s="21" t="s">
        <v>313</v>
      </c>
      <c r="H113" s="20" t="s">
        <v>311</v>
      </c>
      <c r="I113" s="19" t="s">
        <v>60</v>
      </c>
      <c r="J113" s="21" t="s">
        <v>61</v>
      </c>
      <c r="K113" s="20" t="s">
        <v>62</v>
      </c>
      <c r="L113" s="20" t="s">
        <v>33</v>
      </c>
      <c r="M113" s="20" t="s">
        <v>34</v>
      </c>
      <c r="N113" s="20" t="n">
        <v>20.5</v>
      </c>
      <c r="O113" s="20" t="s">
        <v>35</v>
      </c>
      <c r="P113" s="20" t="s">
        <v>53</v>
      </c>
      <c r="Q113" s="20" t="n">
        <v>540</v>
      </c>
      <c r="R113" s="22" t="s">
        <v>63</v>
      </c>
      <c r="S113" s="17" t="s">
        <v>38</v>
      </c>
      <c r="T113" s="20" t="s">
        <v>315</v>
      </c>
      <c r="U113" s="20" t="s">
        <v>40</v>
      </c>
      <c r="V113" s="28"/>
      <c r="W113" s="4"/>
      <c r="X113" s="4"/>
      <c r="Y113" s="4"/>
    </row>
    <row r="114" customFormat="false" ht="105.6" hidden="false" customHeight="true" outlineLevel="0" collapsed="false">
      <c r="A114" s="4"/>
      <c r="B114" s="17" t="n">
        <v>106</v>
      </c>
      <c r="C114" s="18" t="str">
        <f aca="false">CONCATENATE(F114,D114)</f>
        <v>B1-JB-4409-I6100</v>
      </c>
      <c r="D114" s="19" t="s">
        <v>343</v>
      </c>
      <c r="E114" s="19" t="s">
        <v>172</v>
      </c>
      <c r="F114" s="20" t="s">
        <v>312</v>
      </c>
      <c r="G114" s="21" t="s">
        <v>313</v>
      </c>
      <c r="H114" s="20" t="s">
        <v>311</v>
      </c>
      <c r="I114" s="19" t="s">
        <v>60</v>
      </c>
      <c r="J114" s="21" t="s">
        <v>61</v>
      </c>
      <c r="K114" s="20" t="s">
        <v>62</v>
      </c>
      <c r="L114" s="20" t="s">
        <v>33</v>
      </c>
      <c r="M114" s="20" t="s">
        <v>34</v>
      </c>
      <c r="N114" s="20" t="n">
        <v>21.5</v>
      </c>
      <c r="O114" s="20" t="s">
        <v>35</v>
      </c>
      <c r="P114" s="20" t="s">
        <v>36</v>
      </c>
      <c r="Q114" s="20" t="n">
        <v>540</v>
      </c>
      <c r="R114" s="22" t="s">
        <v>63</v>
      </c>
      <c r="S114" s="17" t="s">
        <v>38</v>
      </c>
      <c r="T114" s="20" t="s">
        <v>315</v>
      </c>
      <c r="U114" s="20" t="s">
        <v>40</v>
      </c>
      <c r="V114" s="28"/>
      <c r="W114" s="4"/>
      <c r="X114" s="4"/>
      <c r="Y114" s="4"/>
    </row>
    <row r="115" customFormat="false" ht="106.9" hidden="false" customHeight="true" outlineLevel="0" collapsed="false">
      <c r="A115" s="4"/>
      <c r="B115" s="17" t="n">
        <v>107</v>
      </c>
      <c r="C115" s="18" t="str">
        <f aca="false">CONCATENATE(F115,D115)</f>
        <v>B1-JB-4409-I6101</v>
      </c>
      <c r="D115" s="19" t="s">
        <v>344</v>
      </c>
      <c r="E115" s="19" t="s">
        <v>261</v>
      </c>
      <c r="F115" s="20" t="s">
        <v>312</v>
      </c>
      <c r="G115" s="21" t="s">
        <v>313</v>
      </c>
      <c r="H115" s="20" t="s">
        <v>311</v>
      </c>
      <c r="I115" s="19" t="s">
        <v>60</v>
      </c>
      <c r="J115" s="21" t="s">
        <v>61</v>
      </c>
      <c r="K115" s="20" t="s">
        <v>62</v>
      </c>
      <c r="L115" s="20" t="s">
        <v>33</v>
      </c>
      <c r="M115" s="20" t="s">
        <v>34</v>
      </c>
      <c r="N115" s="20" t="n">
        <v>13.5</v>
      </c>
      <c r="O115" s="20" t="s">
        <v>35</v>
      </c>
      <c r="P115" s="20" t="s">
        <v>36</v>
      </c>
      <c r="Q115" s="20" t="n">
        <v>540</v>
      </c>
      <c r="R115" s="22" t="s">
        <v>63</v>
      </c>
      <c r="S115" s="17" t="s">
        <v>38</v>
      </c>
      <c r="T115" s="20" t="s">
        <v>315</v>
      </c>
      <c r="U115" s="20" t="s">
        <v>40</v>
      </c>
      <c r="V115" s="28"/>
      <c r="W115" s="4"/>
      <c r="X115" s="4"/>
      <c r="Y115" s="4"/>
    </row>
    <row r="116" customFormat="false" ht="93" hidden="false" customHeight="true" outlineLevel="0" collapsed="false">
      <c r="A116" s="4"/>
      <c r="B116" s="17" t="n">
        <v>108</v>
      </c>
      <c r="C116" s="18" t="str">
        <f aca="false">CONCATENATE(F116,D116)</f>
        <v>B1-PIDT-44003-I6102</v>
      </c>
      <c r="D116" s="19" t="s">
        <v>345</v>
      </c>
      <c r="E116" s="19" t="s">
        <v>52</v>
      </c>
      <c r="F116" s="20" t="s">
        <v>346</v>
      </c>
      <c r="G116" s="20" t="s">
        <v>347</v>
      </c>
      <c r="H116" s="20" t="s">
        <v>348</v>
      </c>
      <c r="I116" s="19" t="s">
        <v>349</v>
      </c>
      <c r="J116" s="21" t="s">
        <v>350</v>
      </c>
      <c r="K116" s="20" t="s">
        <v>351</v>
      </c>
      <c r="L116" s="20" t="s">
        <v>33</v>
      </c>
      <c r="M116" s="20" t="s">
        <v>34</v>
      </c>
      <c r="N116" s="20" t="n">
        <v>11</v>
      </c>
      <c r="O116" s="20" t="s">
        <v>35</v>
      </c>
      <c r="P116" s="20" t="s">
        <v>53</v>
      </c>
      <c r="Q116" s="20" t="n">
        <v>2</v>
      </c>
      <c r="R116" s="22" t="s">
        <v>37</v>
      </c>
      <c r="S116" s="17" t="s">
        <v>38</v>
      </c>
      <c r="T116" s="20" t="s">
        <v>352</v>
      </c>
      <c r="U116" s="20" t="s">
        <v>40</v>
      </c>
      <c r="V116" s="28"/>
      <c r="W116" s="4"/>
      <c r="X116" s="4"/>
      <c r="Y116" s="4"/>
    </row>
    <row r="117" customFormat="false" ht="87" hidden="false" customHeight="true" outlineLevel="0" collapsed="false">
      <c r="A117" s="4"/>
      <c r="B117" s="17" t="n">
        <v>109</v>
      </c>
      <c r="C117" s="18" t="str">
        <f aca="false">CONCATENATE(F117,D117)</f>
        <v>B1-LS-44009A-I6103</v>
      </c>
      <c r="D117" s="19" t="s">
        <v>353</v>
      </c>
      <c r="E117" s="19" t="s">
        <v>55</v>
      </c>
      <c r="F117" s="20" t="s">
        <v>354</v>
      </c>
      <c r="G117" s="20" t="s">
        <v>355</v>
      </c>
      <c r="H117" s="20" t="s">
        <v>348</v>
      </c>
      <c r="I117" s="19" t="s">
        <v>349</v>
      </c>
      <c r="J117" s="21" t="s">
        <v>350</v>
      </c>
      <c r="K117" s="20" t="s">
        <v>348</v>
      </c>
      <c r="L117" s="20" t="s">
        <v>33</v>
      </c>
      <c r="M117" s="20" t="s">
        <v>34</v>
      </c>
      <c r="N117" s="20" t="n">
        <v>12.5</v>
      </c>
      <c r="O117" s="20" t="s">
        <v>35</v>
      </c>
      <c r="P117" s="20" t="s">
        <v>36</v>
      </c>
      <c r="Q117" s="20" t="n">
        <v>8</v>
      </c>
      <c r="R117" s="22" t="s">
        <v>37</v>
      </c>
      <c r="S117" s="17" t="s">
        <v>38</v>
      </c>
      <c r="T117" s="20" t="s">
        <v>352</v>
      </c>
      <c r="U117" s="20" t="s">
        <v>40</v>
      </c>
      <c r="V117" s="28"/>
      <c r="W117" s="4"/>
      <c r="X117" s="4"/>
      <c r="Y117" s="4"/>
    </row>
    <row r="118" customFormat="false" ht="93" hidden="false" customHeight="true" outlineLevel="0" collapsed="false">
      <c r="A118" s="4"/>
      <c r="B118" s="17" t="n">
        <v>110</v>
      </c>
      <c r="C118" s="18" t="str">
        <f aca="false">CONCATENATE(F118,D118)</f>
        <v>B1-LS-44009B-I6104</v>
      </c>
      <c r="D118" s="19" t="s">
        <v>356</v>
      </c>
      <c r="E118" s="19" t="s">
        <v>55</v>
      </c>
      <c r="F118" s="20" t="s">
        <v>357</v>
      </c>
      <c r="G118" s="20" t="s">
        <v>358</v>
      </c>
      <c r="H118" s="20" t="s">
        <v>348</v>
      </c>
      <c r="I118" s="19" t="s">
        <v>349</v>
      </c>
      <c r="J118" s="21" t="s">
        <v>350</v>
      </c>
      <c r="K118" s="20" t="s">
        <v>348</v>
      </c>
      <c r="L118" s="20" t="s">
        <v>33</v>
      </c>
      <c r="M118" s="20" t="s">
        <v>34</v>
      </c>
      <c r="N118" s="20" t="n">
        <v>12.5</v>
      </c>
      <c r="O118" s="20" t="s">
        <v>35</v>
      </c>
      <c r="P118" s="20" t="s">
        <v>36</v>
      </c>
      <c r="Q118" s="20" t="n">
        <v>8</v>
      </c>
      <c r="R118" s="22" t="s">
        <v>37</v>
      </c>
      <c r="S118" s="17" t="s">
        <v>38</v>
      </c>
      <c r="T118" s="20" t="s">
        <v>352</v>
      </c>
      <c r="U118" s="20" t="s">
        <v>40</v>
      </c>
      <c r="V118" s="28"/>
      <c r="W118" s="4"/>
      <c r="X118" s="4"/>
      <c r="Y118" s="4"/>
    </row>
    <row r="119" customFormat="false" ht="78" hidden="false" customHeight="true" outlineLevel="0" collapsed="false">
      <c r="A119" s="4"/>
      <c r="B119" s="17" t="n">
        <v>111</v>
      </c>
      <c r="C119" s="18" t="str">
        <f aca="false">CONCATENATE(F119,D119)</f>
        <v>B1-LS-44009C-I6105</v>
      </c>
      <c r="D119" s="19" t="s">
        <v>359</v>
      </c>
      <c r="E119" s="19" t="s">
        <v>55</v>
      </c>
      <c r="F119" s="20" t="s">
        <v>360</v>
      </c>
      <c r="G119" s="20" t="s">
        <v>361</v>
      </c>
      <c r="H119" s="20" t="s">
        <v>348</v>
      </c>
      <c r="I119" s="19" t="s">
        <v>349</v>
      </c>
      <c r="J119" s="21" t="s">
        <v>350</v>
      </c>
      <c r="K119" s="20" t="s">
        <v>348</v>
      </c>
      <c r="L119" s="20" t="s">
        <v>33</v>
      </c>
      <c r="M119" s="20" t="s">
        <v>34</v>
      </c>
      <c r="N119" s="20" t="n">
        <v>12.5</v>
      </c>
      <c r="O119" s="20" t="s">
        <v>35</v>
      </c>
      <c r="P119" s="20" t="s">
        <v>36</v>
      </c>
      <c r="Q119" s="20" t="n">
        <v>8</v>
      </c>
      <c r="R119" s="22" t="s">
        <v>37</v>
      </c>
      <c r="S119" s="17" t="s">
        <v>38</v>
      </c>
      <c r="T119" s="20" t="s">
        <v>352</v>
      </c>
      <c r="U119" s="20" t="s">
        <v>40</v>
      </c>
      <c r="V119" s="28"/>
      <c r="W119" s="4"/>
      <c r="X119" s="4"/>
      <c r="Y119" s="4"/>
    </row>
    <row r="120" customFormat="false" ht="81" hidden="false" customHeight="true" outlineLevel="0" collapsed="false">
      <c r="A120" s="4"/>
      <c r="B120" s="17" t="n">
        <v>112</v>
      </c>
      <c r="C120" s="18" t="str">
        <f aca="false">CONCATENATE(F120,D120)</f>
        <v>B1-LS-44012-I6106</v>
      </c>
      <c r="D120" s="19" t="s">
        <v>362</v>
      </c>
      <c r="E120" s="19" t="s">
        <v>55</v>
      </c>
      <c r="F120" s="20" t="s">
        <v>363</v>
      </c>
      <c r="G120" s="20" t="s">
        <v>364</v>
      </c>
      <c r="H120" s="20" t="s">
        <v>348</v>
      </c>
      <c r="I120" s="19" t="s">
        <v>349</v>
      </c>
      <c r="J120" s="21" t="s">
        <v>350</v>
      </c>
      <c r="K120" s="20" t="s">
        <v>348</v>
      </c>
      <c r="L120" s="20" t="s">
        <v>33</v>
      </c>
      <c r="M120" s="20" t="s">
        <v>34</v>
      </c>
      <c r="N120" s="20" t="n">
        <v>12.5</v>
      </c>
      <c r="O120" s="20" t="s">
        <v>35</v>
      </c>
      <c r="P120" s="20" t="s">
        <v>36</v>
      </c>
      <c r="Q120" s="20" t="n">
        <v>20</v>
      </c>
      <c r="R120" s="22" t="s">
        <v>37</v>
      </c>
      <c r="S120" s="17" t="s">
        <v>38</v>
      </c>
      <c r="T120" s="20" t="s">
        <v>352</v>
      </c>
      <c r="U120" s="20" t="s">
        <v>40</v>
      </c>
      <c r="V120" s="28"/>
      <c r="W120" s="4"/>
      <c r="X120" s="4"/>
      <c r="Y120" s="4"/>
    </row>
    <row r="121" customFormat="false" ht="82.9" hidden="false" customHeight="true" outlineLevel="0" collapsed="false">
      <c r="A121" s="4"/>
      <c r="B121" s="17" t="n">
        <v>113</v>
      </c>
      <c r="C121" s="18" t="str">
        <f aca="false">CONCATENATE(F121,D121)</f>
        <v>B1-XV-44068-I6107</v>
      </c>
      <c r="D121" s="19" t="s">
        <v>365</v>
      </c>
      <c r="E121" s="19" t="s">
        <v>55</v>
      </c>
      <c r="F121" s="20" t="s">
        <v>366</v>
      </c>
      <c r="G121" s="20" t="s">
        <v>367</v>
      </c>
      <c r="H121" s="20" t="s">
        <v>348</v>
      </c>
      <c r="I121" s="19" t="s">
        <v>349</v>
      </c>
      <c r="J121" s="21" t="s">
        <v>350</v>
      </c>
      <c r="K121" s="20" t="s">
        <v>348</v>
      </c>
      <c r="L121" s="20" t="s">
        <v>33</v>
      </c>
      <c r="M121" s="20" t="s">
        <v>34</v>
      </c>
      <c r="N121" s="20" t="n">
        <v>12.5</v>
      </c>
      <c r="O121" s="20" t="s">
        <v>35</v>
      </c>
      <c r="P121" s="20" t="s">
        <v>36</v>
      </c>
      <c r="Q121" s="20" t="n">
        <v>15</v>
      </c>
      <c r="R121" s="22" t="s">
        <v>37</v>
      </c>
      <c r="S121" s="17" t="s">
        <v>38</v>
      </c>
      <c r="T121" s="20" t="s">
        <v>352</v>
      </c>
      <c r="U121" s="20" t="s">
        <v>40</v>
      </c>
      <c r="V121" s="28"/>
      <c r="W121" s="4"/>
      <c r="X121" s="4"/>
      <c r="Y121" s="4"/>
    </row>
    <row r="122" customFormat="false" ht="78" hidden="false" customHeight="true" outlineLevel="0" collapsed="false">
      <c r="A122" s="4"/>
      <c r="B122" s="17" t="n">
        <v>114</v>
      </c>
      <c r="C122" s="18" t="str">
        <f aca="false">CONCATENATE(F122,D122)</f>
        <v>B1-XV-44068-I6108</v>
      </c>
      <c r="D122" s="19" t="s">
        <v>368</v>
      </c>
      <c r="E122" s="19" t="s">
        <v>26</v>
      </c>
      <c r="F122" s="20" t="s">
        <v>366</v>
      </c>
      <c r="G122" s="20" t="s">
        <v>367</v>
      </c>
      <c r="H122" s="20" t="s">
        <v>348</v>
      </c>
      <c r="I122" s="19" t="s">
        <v>349</v>
      </c>
      <c r="J122" s="21" t="s">
        <v>350</v>
      </c>
      <c r="K122" s="20" t="s">
        <v>348</v>
      </c>
      <c r="L122" s="20" t="s">
        <v>33</v>
      </c>
      <c r="M122" s="20" t="s">
        <v>34</v>
      </c>
      <c r="N122" s="20" t="n">
        <v>12</v>
      </c>
      <c r="O122" s="20" t="s">
        <v>35</v>
      </c>
      <c r="P122" s="20" t="s">
        <v>36</v>
      </c>
      <c r="Q122" s="20" t="n">
        <v>15</v>
      </c>
      <c r="R122" s="22" t="s">
        <v>37</v>
      </c>
      <c r="S122" s="17" t="s">
        <v>38</v>
      </c>
      <c r="T122" s="20" t="s">
        <v>352</v>
      </c>
      <c r="U122" s="20" t="s">
        <v>40</v>
      </c>
      <c r="V122" s="28"/>
      <c r="W122" s="4"/>
      <c r="X122" s="4"/>
      <c r="Y122" s="4"/>
    </row>
    <row r="123" customFormat="false" ht="91.9" hidden="false" customHeight="true" outlineLevel="0" collapsed="false">
      <c r="A123" s="4"/>
      <c r="B123" s="17" t="n">
        <v>115</v>
      </c>
      <c r="C123" s="18" t="str">
        <f aca="false">CONCATENATE(F123,D123)</f>
        <v>B1-JB-4410-I6109</v>
      </c>
      <c r="D123" s="19" t="s">
        <v>369</v>
      </c>
      <c r="E123" s="19" t="s">
        <v>169</v>
      </c>
      <c r="F123" s="19" t="s">
        <v>349</v>
      </c>
      <c r="G123" s="21" t="s">
        <v>350</v>
      </c>
      <c r="H123" s="20" t="s">
        <v>348</v>
      </c>
      <c r="I123" s="19" t="s">
        <v>60</v>
      </c>
      <c r="J123" s="21" t="s">
        <v>61</v>
      </c>
      <c r="K123" s="20" t="s">
        <v>62</v>
      </c>
      <c r="L123" s="20" t="s">
        <v>33</v>
      </c>
      <c r="M123" s="20" t="s">
        <v>34</v>
      </c>
      <c r="N123" s="20" t="n">
        <v>16.5</v>
      </c>
      <c r="O123" s="20" t="s">
        <v>35</v>
      </c>
      <c r="P123" s="20" t="s">
        <v>53</v>
      </c>
      <c r="Q123" s="20" t="n">
        <v>540</v>
      </c>
      <c r="R123" s="22" t="s">
        <v>63</v>
      </c>
      <c r="S123" s="17" t="s">
        <v>38</v>
      </c>
      <c r="T123" s="20" t="s">
        <v>352</v>
      </c>
      <c r="U123" s="20" t="s">
        <v>40</v>
      </c>
      <c r="V123" s="28"/>
      <c r="W123" s="4"/>
      <c r="X123" s="4"/>
      <c r="Y123" s="4"/>
    </row>
    <row r="124" customFormat="false" ht="82.9" hidden="false" customHeight="true" outlineLevel="0" collapsed="false">
      <c r="A124" s="4"/>
      <c r="B124" s="17" t="n">
        <v>116</v>
      </c>
      <c r="C124" s="18" t="str">
        <f aca="false">CONCATENATE(F124,D124)</f>
        <v>B1-JB-4410-I6110</v>
      </c>
      <c r="D124" s="19" t="s">
        <v>370</v>
      </c>
      <c r="E124" s="19" t="s">
        <v>74</v>
      </c>
      <c r="F124" s="19" t="s">
        <v>349</v>
      </c>
      <c r="G124" s="21" t="s">
        <v>350</v>
      </c>
      <c r="H124" s="20" t="s">
        <v>348</v>
      </c>
      <c r="I124" s="19" t="s">
        <v>60</v>
      </c>
      <c r="J124" s="21" t="s">
        <v>61</v>
      </c>
      <c r="K124" s="20" t="s">
        <v>62</v>
      </c>
      <c r="L124" s="20" t="s">
        <v>33</v>
      </c>
      <c r="M124" s="20" t="s">
        <v>34</v>
      </c>
      <c r="N124" s="20" t="n">
        <v>18</v>
      </c>
      <c r="O124" s="20" t="s">
        <v>35</v>
      </c>
      <c r="P124" s="20" t="s">
        <v>36</v>
      </c>
      <c r="Q124" s="20" t="n">
        <v>540</v>
      </c>
      <c r="R124" s="22" t="s">
        <v>63</v>
      </c>
      <c r="S124" s="17" t="s">
        <v>38</v>
      </c>
      <c r="T124" s="20" t="s">
        <v>352</v>
      </c>
      <c r="U124" s="20" t="s">
        <v>40</v>
      </c>
      <c r="V124" s="28"/>
      <c r="W124" s="4"/>
      <c r="X124" s="4"/>
      <c r="Y124" s="4"/>
    </row>
    <row r="125" customFormat="false" ht="90" hidden="false" customHeight="true" outlineLevel="0" collapsed="false">
      <c r="A125" s="4"/>
      <c r="B125" s="17" t="n">
        <v>117</v>
      </c>
      <c r="C125" s="18" t="str">
        <f aca="false">CONCATENATE(F125,D125)</f>
        <v>B1-JB-4410-I6111</v>
      </c>
      <c r="D125" s="19" t="s">
        <v>371</v>
      </c>
      <c r="E125" s="19" t="s">
        <v>74</v>
      </c>
      <c r="F125" s="19" t="s">
        <v>349</v>
      </c>
      <c r="G125" s="21" t="s">
        <v>350</v>
      </c>
      <c r="H125" s="20" t="s">
        <v>348</v>
      </c>
      <c r="I125" s="19" t="s">
        <v>60</v>
      </c>
      <c r="J125" s="21" t="s">
        <v>61</v>
      </c>
      <c r="K125" s="20" t="s">
        <v>62</v>
      </c>
      <c r="L125" s="20" t="s">
        <v>33</v>
      </c>
      <c r="M125" s="20" t="s">
        <v>34</v>
      </c>
      <c r="N125" s="20" t="n">
        <v>18</v>
      </c>
      <c r="O125" s="20" t="s">
        <v>35</v>
      </c>
      <c r="P125" s="20" t="s">
        <v>36</v>
      </c>
      <c r="Q125" s="20" t="n">
        <v>540</v>
      </c>
      <c r="R125" s="22" t="s">
        <v>63</v>
      </c>
      <c r="S125" s="17" t="s">
        <v>38</v>
      </c>
      <c r="T125" s="20" t="s">
        <v>352</v>
      </c>
      <c r="U125" s="20" t="s">
        <v>40</v>
      </c>
      <c r="V125" s="28"/>
      <c r="W125" s="4"/>
      <c r="X125" s="4"/>
      <c r="Y125" s="4"/>
    </row>
    <row r="126" customFormat="false" ht="85.9" hidden="false" customHeight="true" outlineLevel="0" collapsed="false">
      <c r="A126" s="4"/>
      <c r="B126" s="17" t="n">
        <v>118</v>
      </c>
      <c r="C126" s="18" t="str">
        <f aca="false">CONCATENATE(F126,D126)</f>
        <v>B1-JB-4410-I6112</v>
      </c>
      <c r="D126" s="19" t="s">
        <v>372</v>
      </c>
      <c r="E126" s="19" t="s">
        <v>261</v>
      </c>
      <c r="F126" s="19" t="s">
        <v>349</v>
      </c>
      <c r="G126" s="21" t="s">
        <v>350</v>
      </c>
      <c r="H126" s="20" t="s">
        <v>348</v>
      </c>
      <c r="I126" s="19" t="s">
        <v>60</v>
      </c>
      <c r="J126" s="21" t="s">
        <v>61</v>
      </c>
      <c r="K126" s="20" t="s">
        <v>62</v>
      </c>
      <c r="L126" s="20" t="s">
        <v>33</v>
      </c>
      <c r="M126" s="20" t="s">
        <v>34</v>
      </c>
      <c r="N126" s="20" t="n">
        <v>13.5</v>
      </c>
      <c r="O126" s="20" t="s">
        <v>35</v>
      </c>
      <c r="P126" s="20" t="s">
        <v>36</v>
      </c>
      <c r="Q126" s="20" t="n">
        <v>540</v>
      </c>
      <c r="R126" s="22" t="s">
        <v>63</v>
      </c>
      <c r="S126" s="17" t="s">
        <v>38</v>
      </c>
      <c r="T126" s="20" t="s">
        <v>352</v>
      </c>
      <c r="U126" s="20" t="s">
        <v>40</v>
      </c>
      <c r="V126" s="28"/>
      <c r="W126" s="4"/>
      <c r="X126" s="4"/>
      <c r="Y126" s="4"/>
    </row>
    <row r="127" customFormat="false" ht="133.9" hidden="false" customHeight="true" outlineLevel="0" collapsed="false">
      <c r="A127" s="4"/>
      <c r="B127" s="17" t="n">
        <v>119</v>
      </c>
      <c r="C127" s="18" t="str">
        <f aca="false">CONCATENATE(F127,D127)</f>
        <v>B1-GD-44007-I6113</v>
      </c>
      <c r="D127" s="19" t="s">
        <v>373</v>
      </c>
      <c r="E127" s="19" t="s">
        <v>45</v>
      </c>
      <c r="F127" s="20" t="s">
        <v>374</v>
      </c>
      <c r="G127" s="20" t="s">
        <v>375</v>
      </c>
      <c r="H127" s="29" t="s">
        <v>376</v>
      </c>
      <c r="I127" s="19" t="s">
        <v>99</v>
      </c>
      <c r="J127" s="21" t="s">
        <v>100</v>
      </c>
      <c r="K127" s="20" t="s">
        <v>62</v>
      </c>
      <c r="L127" s="20" t="s">
        <v>33</v>
      </c>
      <c r="M127" s="20" t="s">
        <v>34</v>
      </c>
      <c r="N127" s="20" t="n">
        <v>11.5</v>
      </c>
      <c r="O127" s="20" t="s">
        <v>35</v>
      </c>
      <c r="P127" s="20" t="s">
        <v>50</v>
      </c>
      <c r="Q127" s="20" t="n">
        <v>540</v>
      </c>
      <c r="R127" s="22" t="s">
        <v>63</v>
      </c>
      <c r="S127" s="17" t="s">
        <v>38</v>
      </c>
      <c r="T127" s="20" t="s">
        <v>377</v>
      </c>
      <c r="U127" s="20" t="s">
        <v>40</v>
      </c>
      <c r="V127" s="28"/>
      <c r="W127" s="4"/>
      <c r="X127" s="4"/>
      <c r="Y127" s="4"/>
    </row>
    <row r="128" customFormat="false" ht="91.9" hidden="false" customHeight="true" outlineLevel="0" collapsed="false">
      <c r="A128" s="4"/>
      <c r="B128" s="17" t="n">
        <v>120</v>
      </c>
      <c r="C128" s="18" t="str">
        <f aca="false">CONCATENATE(F128,D128)</f>
        <v>B1-LCP-4404-I6114</v>
      </c>
      <c r="D128" s="19" t="s">
        <v>378</v>
      </c>
      <c r="E128" s="19" t="s">
        <v>55</v>
      </c>
      <c r="F128" s="19" t="s">
        <v>379</v>
      </c>
      <c r="G128" s="20" t="s">
        <v>380</v>
      </c>
      <c r="H128" s="20" t="s">
        <v>381</v>
      </c>
      <c r="I128" s="19" t="s">
        <v>60</v>
      </c>
      <c r="J128" s="21" t="s">
        <v>61</v>
      </c>
      <c r="K128" s="20" t="s">
        <v>62</v>
      </c>
      <c r="L128" s="20" t="s">
        <v>33</v>
      </c>
      <c r="M128" s="20" t="s">
        <v>34</v>
      </c>
      <c r="N128" s="20" t="n">
        <v>12.5</v>
      </c>
      <c r="O128" s="20" t="s">
        <v>35</v>
      </c>
      <c r="P128" s="20" t="s">
        <v>36</v>
      </c>
      <c r="Q128" s="20" t="n">
        <v>540</v>
      </c>
      <c r="R128" s="22" t="s">
        <v>63</v>
      </c>
      <c r="S128" s="17" t="s">
        <v>38</v>
      </c>
      <c r="T128" s="20" t="s">
        <v>303</v>
      </c>
      <c r="U128" s="20" t="s">
        <v>40</v>
      </c>
      <c r="V128" s="28"/>
      <c r="W128" s="25"/>
      <c r="X128" s="25"/>
      <c r="Y128" s="25"/>
    </row>
    <row r="129" customFormat="false" ht="91.9" hidden="false" customHeight="true" outlineLevel="0" collapsed="false">
      <c r="A129" s="4"/>
      <c r="B129" s="17" t="n">
        <v>121</v>
      </c>
      <c r="C129" s="18" t="str">
        <f aca="false">CONCATENATE(F129,D129)</f>
        <v>B1-PIT-44011-I6115</v>
      </c>
      <c r="D129" s="19" t="s">
        <v>382</v>
      </c>
      <c r="E129" s="19" t="s">
        <v>52</v>
      </c>
      <c r="F129" s="20" t="s">
        <v>383</v>
      </c>
      <c r="G129" s="21" t="s">
        <v>384</v>
      </c>
      <c r="H129" s="20" t="s">
        <v>314</v>
      </c>
      <c r="I129" s="19" t="s">
        <v>385</v>
      </c>
      <c r="J129" s="21" t="s">
        <v>386</v>
      </c>
      <c r="K129" s="20" t="s">
        <v>314</v>
      </c>
      <c r="L129" s="20" t="s">
        <v>33</v>
      </c>
      <c r="M129" s="20" t="s">
        <v>34</v>
      </c>
      <c r="N129" s="20" t="n">
        <v>11</v>
      </c>
      <c r="O129" s="20" t="s">
        <v>35</v>
      </c>
      <c r="P129" s="20" t="s">
        <v>53</v>
      </c>
      <c r="Q129" s="20" t="n">
        <v>2</v>
      </c>
      <c r="R129" s="22" t="s">
        <v>37</v>
      </c>
      <c r="S129" s="17" t="s">
        <v>38</v>
      </c>
      <c r="T129" s="20" t="s">
        <v>387</v>
      </c>
      <c r="U129" s="20" t="s">
        <v>40</v>
      </c>
      <c r="V129" s="28"/>
      <c r="W129" s="4"/>
      <c r="X129" s="4"/>
      <c r="Y129" s="4"/>
    </row>
    <row r="130" customFormat="false" ht="103.9" hidden="false" customHeight="true" outlineLevel="0" collapsed="false">
      <c r="A130" s="4"/>
      <c r="B130" s="17" t="n">
        <v>122</v>
      </c>
      <c r="C130" s="18" t="str">
        <f aca="false">CONCATENATE(F130,D130)</f>
        <v>B1-TT-44007-I6116</v>
      </c>
      <c r="D130" s="19" t="s">
        <v>388</v>
      </c>
      <c r="E130" s="19" t="s">
        <v>52</v>
      </c>
      <c r="F130" s="20" t="s">
        <v>389</v>
      </c>
      <c r="G130" s="20" t="s">
        <v>390</v>
      </c>
      <c r="H130" s="20" t="s">
        <v>314</v>
      </c>
      <c r="I130" s="19" t="s">
        <v>385</v>
      </c>
      <c r="J130" s="21" t="s">
        <v>386</v>
      </c>
      <c r="K130" s="20" t="s">
        <v>314</v>
      </c>
      <c r="L130" s="20" t="s">
        <v>33</v>
      </c>
      <c r="M130" s="20" t="s">
        <v>34</v>
      </c>
      <c r="N130" s="20" t="n">
        <v>11</v>
      </c>
      <c r="O130" s="20" t="s">
        <v>35</v>
      </c>
      <c r="P130" s="20" t="s">
        <v>53</v>
      </c>
      <c r="Q130" s="20" t="n">
        <v>6</v>
      </c>
      <c r="R130" s="22" t="s">
        <v>37</v>
      </c>
      <c r="S130" s="17" t="s">
        <v>38</v>
      </c>
      <c r="T130" s="20" t="s">
        <v>387</v>
      </c>
      <c r="U130" s="20" t="s">
        <v>40</v>
      </c>
      <c r="V130" s="28"/>
      <c r="W130" s="4"/>
      <c r="X130" s="4"/>
      <c r="Y130" s="4"/>
    </row>
    <row r="131" customFormat="false" ht="124.9" hidden="false" customHeight="true" outlineLevel="0" collapsed="false">
      <c r="A131" s="4"/>
      <c r="B131" s="17" t="n">
        <v>123</v>
      </c>
      <c r="C131" s="18" t="str">
        <f aca="false">CONCATENATE(F131,D131)</f>
        <v>B1-PIT-44012-I6117</v>
      </c>
      <c r="D131" s="19" t="s">
        <v>391</v>
      </c>
      <c r="E131" s="19" t="s">
        <v>52</v>
      </c>
      <c r="F131" s="20" t="s">
        <v>392</v>
      </c>
      <c r="G131" s="20" t="s">
        <v>393</v>
      </c>
      <c r="H131" s="20" t="s">
        <v>314</v>
      </c>
      <c r="I131" s="19" t="s">
        <v>385</v>
      </c>
      <c r="J131" s="21" t="s">
        <v>386</v>
      </c>
      <c r="K131" s="20" t="s">
        <v>314</v>
      </c>
      <c r="L131" s="20" t="s">
        <v>33</v>
      </c>
      <c r="M131" s="20" t="s">
        <v>34</v>
      </c>
      <c r="N131" s="20" t="n">
        <v>11</v>
      </c>
      <c r="O131" s="20" t="s">
        <v>35</v>
      </c>
      <c r="P131" s="20" t="s">
        <v>53</v>
      </c>
      <c r="Q131" s="20" t="n">
        <v>2</v>
      </c>
      <c r="R131" s="22" t="s">
        <v>37</v>
      </c>
      <c r="S131" s="17" t="s">
        <v>38</v>
      </c>
      <c r="T131" s="20" t="s">
        <v>387</v>
      </c>
      <c r="U131" s="20" t="s">
        <v>40</v>
      </c>
      <c r="V131" s="28"/>
      <c r="W131" s="4"/>
      <c r="X131" s="4"/>
      <c r="Y131" s="4"/>
    </row>
    <row r="132" customFormat="false" ht="100.9" hidden="false" customHeight="true" outlineLevel="0" collapsed="false">
      <c r="A132" s="4"/>
      <c r="B132" s="17" t="n">
        <v>124</v>
      </c>
      <c r="C132" s="18" t="str">
        <f aca="false">CONCATENATE(F132,D132)</f>
        <v>B1-TT-44008-I6118</v>
      </c>
      <c r="D132" s="19" t="s">
        <v>394</v>
      </c>
      <c r="E132" s="19" t="s">
        <v>52</v>
      </c>
      <c r="F132" s="20" t="s">
        <v>395</v>
      </c>
      <c r="G132" s="20" t="s">
        <v>396</v>
      </c>
      <c r="H132" s="20" t="s">
        <v>314</v>
      </c>
      <c r="I132" s="19" t="s">
        <v>385</v>
      </c>
      <c r="J132" s="21" t="s">
        <v>386</v>
      </c>
      <c r="K132" s="20" t="s">
        <v>314</v>
      </c>
      <c r="L132" s="20" t="s">
        <v>33</v>
      </c>
      <c r="M132" s="20" t="s">
        <v>34</v>
      </c>
      <c r="N132" s="20" t="n">
        <v>11</v>
      </c>
      <c r="O132" s="20" t="s">
        <v>35</v>
      </c>
      <c r="P132" s="20" t="s">
        <v>53</v>
      </c>
      <c r="Q132" s="20" t="n">
        <v>6</v>
      </c>
      <c r="R132" s="22" t="s">
        <v>37</v>
      </c>
      <c r="S132" s="17" t="s">
        <v>38</v>
      </c>
      <c r="T132" s="20" t="s">
        <v>387</v>
      </c>
      <c r="U132" s="20" t="s">
        <v>40</v>
      </c>
      <c r="V132" s="28"/>
      <c r="W132" s="4"/>
      <c r="X132" s="4"/>
      <c r="Y132" s="4"/>
    </row>
    <row r="133" customFormat="false" ht="103.9" hidden="false" customHeight="true" outlineLevel="0" collapsed="false">
      <c r="A133" s="4"/>
      <c r="B133" s="17" t="n">
        <v>125</v>
      </c>
      <c r="C133" s="18" t="str">
        <f aca="false">CONCATENATE(F133,D133)</f>
        <v>B1-TT-44009-I6119</v>
      </c>
      <c r="D133" s="19" t="s">
        <v>397</v>
      </c>
      <c r="E133" s="19" t="s">
        <v>52</v>
      </c>
      <c r="F133" s="20" t="s">
        <v>398</v>
      </c>
      <c r="G133" s="20" t="s">
        <v>399</v>
      </c>
      <c r="H133" s="20" t="s">
        <v>314</v>
      </c>
      <c r="I133" s="19" t="s">
        <v>385</v>
      </c>
      <c r="J133" s="21" t="s">
        <v>386</v>
      </c>
      <c r="K133" s="20" t="s">
        <v>314</v>
      </c>
      <c r="L133" s="20" t="s">
        <v>33</v>
      </c>
      <c r="M133" s="20" t="s">
        <v>34</v>
      </c>
      <c r="N133" s="20" t="n">
        <v>11</v>
      </c>
      <c r="O133" s="20" t="s">
        <v>35</v>
      </c>
      <c r="P133" s="20" t="s">
        <v>53</v>
      </c>
      <c r="Q133" s="20" t="n">
        <v>8</v>
      </c>
      <c r="R133" s="22" t="s">
        <v>37</v>
      </c>
      <c r="S133" s="17" t="s">
        <v>38</v>
      </c>
      <c r="T133" s="20" t="s">
        <v>387</v>
      </c>
      <c r="U133" s="20" t="s">
        <v>40</v>
      </c>
      <c r="V133" s="28"/>
      <c r="W133" s="4"/>
      <c r="X133" s="4"/>
      <c r="Y133" s="4"/>
    </row>
    <row r="134" customFormat="false" ht="96" hidden="false" customHeight="true" outlineLevel="0" collapsed="false">
      <c r="A134" s="4"/>
      <c r="B134" s="17" t="n">
        <v>126</v>
      </c>
      <c r="C134" s="18" t="str">
        <f aca="false">CONCATENATE(F134,D134)</f>
        <v>B1-LS-44013A-I6120</v>
      </c>
      <c r="D134" s="19" t="s">
        <v>400</v>
      </c>
      <c r="E134" s="19" t="s">
        <v>55</v>
      </c>
      <c r="F134" s="20" t="s">
        <v>401</v>
      </c>
      <c r="G134" s="20" t="s">
        <v>402</v>
      </c>
      <c r="H134" s="20" t="s">
        <v>314</v>
      </c>
      <c r="I134" s="19" t="s">
        <v>385</v>
      </c>
      <c r="J134" s="21" t="s">
        <v>386</v>
      </c>
      <c r="K134" s="20" t="s">
        <v>314</v>
      </c>
      <c r="L134" s="20" t="s">
        <v>33</v>
      </c>
      <c r="M134" s="20" t="s">
        <v>34</v>
      </c>
      <c r="N134" s="20" t="n">
        <v>12.5</v>
      </c>
      <c r="O134" s="20" t="s">
        <v>35</v>
      </c>
      <c r="P134" s="20" t="s">
        <v>36</v>
      </c>
      <c r="Q134" s="20" t="n">
        <v>10</v>
      </c>
      <c r="R134" s="22" t="s">
        <v>37</v>
      </c>
      <c r="S134" s="17" t="s">
        <v>38</v>
      </c>
      <c r="T134" s="20" t="s">
        <v>387</v>
      </c>
      <c r="U134" s="20" t="s">
        <v>40</v>
      </c>
      <c r="V134" s="28"/>
      <c r="W134" s="4"/>
      <c r="X134" s="4"/>
      <c r="Y134" s="4"/>
    </row>
    <row r="135" customFormat="false" ht="100.9" hidden="false" customHeight="true" outlineLevel="0" collapsed="false">
      <c r="A135" s="4"/>
      <c r="B135" s="17" t="n">
        <v>127</v>
      </c>
      <c r="C135" s="18" t="str">
        <f aca="false">CONCATENATE(F135,D135)</f>
        <v>B1-LS-44013B-I6121</v>
      </c>
      <c r="D135" s="19" t="s">
        <v>403</v>
      </c>
      <c r="E135" s="19" t="s">
        <v>55</v>
      </c>
      <c r="F135" s="20" t="s">
        <v>404</v>
      </c>
      <c r="G135" s="20" t="s">
        <v>405</v>
      </c>
      <c r="H135" s="20" t="s">
        <v>314</v>
      </c>
      <c r="I135" s="19" t="s">
        <v>385</v>
      </c>
      <c r="J135" s="21" t="s">
        <v>386</v>
      </c>
      <c r="K135" s="20" t="s">
        <v>314</v>
      </c>
      <c r="L135" s="20" t="s">
        <v>33</v>
      </c>
      <c r="M135" s="20" t="s">
        <v>34</v>
      </c>
      <c r="N135" s="20" t="n">
        <v>12.5</v>
      </c>
      <c r="O135" s="20" t="s">
        <v>35</v>
      </c>
      <c r="P135" s="20" t="s">
        <v>36</v>
      </c>
      <c r="Q135" s="20" t="n">
        <v>10</v>
      </c>
      <c r="R135" s="22" t="s">
        <v>37</v>
      </c>
      <c r="S135" s="17" t="s">
        <v>38</v>
      </c>
      <c r="T135" s="20" t="s">
        <v>387</v>
      </c>
      <c r="U135" s="20" t="s">
        <v>40</v>
      </c>
      <c r="V135" s="28"/>
      <c r="W135" s="4"/>
      <c r="X135" s="4"/>
      <c r="Y135" s="4"/>
    </row>
    <row r="136" customFormat="false" ht="94.9" hidden="false" customHeight="true" outlineLevel="0" collapsed="false">
      <c r="A136" s="4"/>
      <c r="B136" s="17" t="n">
        <v>128</v>
      </c>
      <c r="C136" s="18" t="str">
        <f aca="false">CONCATENATE(F136,D136)</f>
        <v>B1-LS-44013C-I6122</v>
      </c>
      <c r="D136" s="19" t="s">
        <v>406</v>
      </c>
      <c r="E136" s="19" t="s">
        <v>55</v>
      </c>
      <c r="F136" s="20" t="s">
        <v>407</v>
      </c>
      <c r="G136" s="20" t="s">
        <v>408</v>
      </c>
      <c r="H136" s="20" t="s">
        <v>314</v>
      </c>
      <c r="I136" s="19" t="s">
        <v>385</v>
      </c>
      <c r="J136" s="21" t="s">
        <v>386</v>
      </c>
      <c r="K136" s="20" t="s">
        <v>314</v>
      </c>
      <c r="L136" s="20" t="s">
        <v>33</v>
      </c>
      <c r="M136" s="20" t="s">
        <v>34</v>
      </c>
      <c r="N136" s="20" t="n">
        <v>12.5</v>
      </c>
      <c r="O136" s="20" t="s">
        <v>35</v>
      </c>
      <c r="P136" s="20" t="s">
        <v>36</v>
      </c>
      <c r="Q136" s="20" t="n">
        <v>10</v>
      </c>
      <c r="R136" s="22" t="s">
        <v>37</v>
      </c>
      <c r="S136" s="17" t="s">
        <v>38</v>
      </c>
      <c r="T136" s="20" t="s">
        <v>387</v>
      </c>
      <c r="U136" s="20" t="s">
        <v>40</v>
      </c>
      <c r="V136" s="28"/>
      <c r="W136" s="4"/>
      <c r="X136" s="4"/>
      <c r="Y136" s="4"/>
    </row>
    <row r="137" customFormat="false" ht="96" hidden="false" customHeight="true" outlineLevel="0" collapsed="false">
      <c r="A137" s="4"/>
      <c r="B137" s="17" t="n">
        <v>129</v>
      </c>
      <c r="C137" s="18" t="str">
        <f aca="false">CONCATENATE(F137,D137)</f>
        <v>B1-XV-44069-I6123</v>
      </c>
      <c r="D137" s="19" t="s">
        <v>409</v>
      </c>
      <c r="E137" s="19" t="s">
        <v>55</v>
      </c>
      <c r="F137" s="20" t="s">
        <v>410</v>
      </c>
      <c r="G137" s="20" t="s">
        <v>411</v>
      </c>
      <c r="H137" s="20" t="s">
        <v>314</v>
      </c>
      <c r="I137" s="19" t="s">
        <v>385</v>
      </c>
      <c r="J137" s="21" t="s">
        <v>386</v>
      </c>
      <c r="K137" s="20" t="s">
        <v>314</v>
      </c>
      <c r="L137" s="20" t="s">
        <v>33</v>
      </c>
      <c r="M137" s="20" t="s">
        <v>34</v>
      </c>
      <c r="N137" s="20" t="n">
        <v>12.5</v>
      </c>
      <c r="O137" s="20" t="s">
        <v>35</v>
      </c>
      <c r="P137" s="20" t="s">
        <v>36</v>
      </c>
      <c r="Q137" s="20" t="n">
        <v>15</v>
      </c>
      <c r="R137" s="22" t="s">
        <v>37</v>
      </c>
      <c r="S137" s="17" t="s">
        <v>38</v>
      </c>
      <c r="T137" s="20" t="s">
        <v>387</v>
      </c>
      <c r="U137" s="20" t="s">
        <v>40</v>
      </c>
      <c r="V137" s="28"/>
      <c r="W137" s="4"/>
      <c r="X137" s="4"/>
      <c r="Y137" s="4"/>
    </row>
    <row r="138" customFormat="false" ht="96" hidden="false" customHeight="true" outlineLevel="0" collapsed="false">
      <c r="A138" s="4"/>
      <c r="B138" s="17" t="n">
        <v>130</v>
      </c>
      <c r="C138" s="18" t="str">
        <f aca="false">CONCATENATE(F138,D138)</f>
        <v>B1-XV-44069-I6124</v>
      </c>
      <c r="D138" s="19" t="s">
        <v>412</v>
      </c>
      <c r="E138" s="19" t="s">
        <v>26</v>
      </c>
      <c r="F138" s="20" t="s">
        <v>410</v>
      </c>
      <c r="G138" s="20" t="s">
        <v>411</v>
      </c>
      <c r="H138" s="20" t="s">
        <v>314</v>
      </c>
      <c r="I138" s="19" t="s">
        <v>385</v>
      </c>
      <c r="J138" s="21" t="s">
        <v>386</v>
      </c>
      <c r="K138" s="20" t="s">
        <v>314</v>
      </c>
      <c r="L138" s="20" t="s">
        <v>33</v>
      </c>
      <c r="M138" s="20" t="s">
        <v>34</v>
      </c>
      <c r="N138" s="20" t="n">
        <v>12</v>
      </c>
      <c r="O138" s="20" t="s">
        <v>35</v>
      </c>
      <c r="P138" s="20" t="s">
        <v>36</v>
      </c>
      <c r="Q138" s="20" t="n">
        <v>15</v>
      </c>
      <c r="R138" s="22" t="s">
        <v>37</v>
      </c>
      <c r="S138" s="17" t="s">
        <v>38</v>
      </c>
      <c r="T138" s="20" t="s">
        <v>387</v>
      </c>
      <c r="U138" s="20" t="s">
        <v>40</v>
      </c>
      <c r="V138" s="28"/>
      <c r="W138" s="4"/>
      <c r="X138" s="4"/>
      <c r="Y138" s="4"/>
    </row>
    <row r="139" customFormat="false" ht="96" hidden="false" customHeight="true" outlineLevel="0" collapsed="false">
      <c r="A139" s="4"/>
      <c r="B139" s="17" t="n">
        <v>131</v>
      </c>
      <c r="C139" s="17" t="s">
        <v>67</v>
      </c>
      <c r="D139" s="19"/>
      <c r="E139" s="19" t="s">
        <v>169</v>
      </c>
      <c r="F139" s="19" t="s">
        <v>413</v>
      </c>
      <c r="G139" s="21" t="s">
        <v>386</v>
      </c>
      <c r="H139" s="20" t="s">
        <v>314</v>
      </c>
      <c r="I139" s="19" t="s">
        <v>341</v>
      </c>
      <c r="J139" s="21" t="s">
        <v>342</v>
      </c>
      <c r="K139" s="20" t="s">
        <v>62</v>
      </c>
      <c r="L139" s="20" t="s">
        <v>33</v>
      </c>
      <c r="M139" s="20" t="s">
        <v>34</v>
      </c>
      <c r="N139" s="20" t="s">
        <v>68</v>
      </c>
      <c r="O139" s="20" t="s">
        <v>68</v>
      </c>
      <c r="P139" s="20" t="s">
        <v>68</v>
      </c>
      <c r="Q139" s="20" t="s">
        <v>68</v>
      </c>
      <c r="R139" s="22" t="s">
        <v>63</v>
      </c>
      <c r="S139" s="17" t="s">
        <v>38</v>
      </c>
      <c r="T139" s="20" t="s">
        <v>387</v>
      </c>
      <c r="U139" s="20" t="s">
        <v>70</v>
      </c>
      <c r="V139" s="28"/>
      <c r="W139" s="25"/>
      <c r="X139" s="25"/>
      <c r="Y139" s="25"/>
    </row>
    <row r="140" customFormat="false" ht="106.9" hidden="false" customHeight="true" outlineLevel="0" collapsed="false">
      <c r="A140" s="4"/>
      <c r="B140" s="17" t="n">
        <v>132</v>
      </c>
      <c r="C140" s="18" t="str">
        <f aca="false">CONCATENATE(F140,D140)</f>
        <v>B1-JB-4411-I6124</v>
      </c>
      <c r="D140" s="19" t="s">
        <v>412</v>
      </c>
      <c r="E140" s="19" t="s">
        <v>94</v>
      </c>
      <c r="F140" s="19" t="s">
        <v>385</v>
      </c>
      <c r="G140" s="21" t="s">
        <v>386</v>
      </c>
      <c r="H140" s="20" t="s">
        <v>314</v>
      </c>
      <c r="I140" s="19" t="s">
        <v>60</v>
      </c>
      <c r="J140" s="21" t="s">
        <v>61</v>
      </c>
      <c r="K140" s="20" t="s">
        <v>62</v>
      </c>
      <c r="L140" s="20" t="s">
        <v>33</v>
      </c>
      <c r="M140" s="20" t="s">
        <v>34</v>
      </c>
      <c r="N140" s="20" t="n">
        <v>20.5</v>
      </c>
      <c r="O140" s="20" t="s">
        <v>35</v>
      </c>
      <c r="P140" s="20" t="s">
        <v>53</v>
      </c>
      <c r="Q140" s="20" t="n">
        <v>490</v>
      </c>
      <c r="R140" s="22" t="s">
        <v>63</v>
      </c>
      <c r="S140" s="17" t="s">
        <v>38</v>
      </c>
      <c r="T140" s="20" t="s">
        <v>387</v>
      </c>
      <c r="U140" s="20" t="s">
        <v>40</v>
      </c>
      <c r="V140" s="28"/>
      <c r="W140" s="4"/>
      <c r="X140" s="4"/>
      <c r="Y140" s="4"/>
    </row>
    <row r="141" customFormat="false" ht="106.15" hidden="false" customHeight="true" outlineLevel="0" collapsed="false">
      <c r="A141" s="4"/>
      <c r="B141" s="17" t="n">
        <v>133</v>
      </c>
      <c r="C141" s="18" t="str">
        <f aca="false">CONCATENATE(F141,D141)</f>
        <v>B1-JB-4411-I6125</v>
      </c>
      <c r="D141" s="19" t="s">
        <v>414</v>
      </c>
      <c r="E141" s="19" t="s">
        <v>172</v>
      </c>
      <c r="F141" s="19" t="s">
        <v>385</v>
      </c>
      <c r="G141" s="21" t="s">
        <v>386</v>
      </c>
      <c r="H141" s="20" t="s">
        <v>314</v>
      </c>
      <c r="I141" s="19" t="s">
        <v>60</v>
      </c>
      <c r="J141" s="21" t="s">
        <v>61</v>
      </c>
      <c r="K141" s="20" t="s">
        <v>62</v>
      </c>
      <c r="L141" s="20" t="s">
        <v>33</v>
      </c>
      <c r="M141" s="20" t="s">
        <v>34</v>
      </c>
      <c r="N141" s="20" t="n">
        <v>21.5</v>
      </c>
      <c r="O141" s="20" t="s">
        <v>35</v>
      </c>
      <c r="P141" s="20" t="s">
        <v>36</v>
      </c>
      <c r="Q141" s="20" t="n">
        <v>490</v>
      </c>
      <c r="R141" s="22" t="s">
        <v>63</v>
      </c>
      <c r="S141" s="17" t="s">
        <v>38</v>
      </c>
      <c r="T141" s="20" t="s">
        <v>387</v>
      </c>
      <c r="U141" s="20" t="s">
        <v>40</v>
      </c>
      <c r="V141" s="28"/>
      <c r="W141" s="4"/>
      <c r="X141" s="4"/>
      <c r="Y141" s="4"/>
    </row>
    <row r="142" customFormat="false" ht="91.9" hidden="false" customHeight="true" outlineLevel="0" collapsed="false">
      <c r="A142" s="4"/>
      <c r="B142" s="17" t="n">
        <v>134</v>
      </c>
      <c r="C142" s="18" t="str">
        <f aca="false">CONCATENATE(F142,D142)</f>
        <v>B1-JB-4411-I6126</v>
      </c>
      <c r="D142" s="19" t="s">
        <v>415</v>
      </c>
      <c r="E142" s="19" t="s">
        <v>261</v>
      </c>
      <c r="F142" s="19" t="s">
        <v>385</v>
      </c>
      <c r="G142" s="21" t="s">
        <v>386</v>
      </c>
      <c r="H142" s="20" t="s">
        <v>314</v>
      </c>
      <c r="I142" s="19" t="s">
        <v>60</v>
      </c>
      <c r="J142" s="21" t="s">
        <v>61</v>
      </c>
      <c r="K142" s="20" t="s">
        <v>62</v>
      </c>
      <c r="L142" s="20" t="s">
        <v>33</v>
      </c>
      <c r="M142" s="20" t="s">
        <v>34</v>
      </c>
      <c r="N142" s="20" t="n">
        <v>13.5</v>
      </c>
      <c r="O142" s="20" t="s">
        <v>35</v>
      </c>
      <c r="P142" s="20" t="s">
        <v>36</v>
      </c>
      <c r="Q142" s="20" t="n">
        <v>490</v>
      </c>
      <c r="R142" s="22" t="s">
        <v>63</v>
      </c>
      <c r="S142" s="17" t="s">
        <v>38</v>
      </c>
      <c r="T142" s="20" t="s">
        <v>387</v>
      </c>
      <c r="U142" s="20" t="s">
        <v>40</v>
      </c>
      <c r="V142" s="28"/>
      <c r="W142" s="4"/>
      <c r="X142" s="4"/>
      <c r="Y142" s="4"/>
    </row>
    <row r="143" customFormat="false" ht="90" hidden="false" customHeight="true" outlineLevel="0" collapsed="false">
      <c r="A143" s="4"/>
      <c r="B143" s="17" t="n">
        <v>135</v>
      </c>
      <c r="C143" s="18" t="str">
        <f aca="false">CONCATENATE(F143,D143)</f>
        <v>B1-PDIT-44004-I6127</v>
      </c>
      <c r="D143" s="19" t="s">
        <v>416</v>
      </c>
      <c r="E143" s="19" t="s">
        <v>52</v>
      </c>
      <c r="F143" s="20" t="s">
        <v>417</v>
      </c>
      <c r="G143" s="21" t="s">
        <v>418</v>
      </c>
      <c r="H143" s="20" t="s">
        <v>419</v>
      </c>
      <c r="I143" s="19" t="s">
        <v>420</v>
      </c>
      <c r="J143" s="21" t="s">
        <v>421</v>
      </c>
      <c r="K143" s="20" t="s">
        <v>419</v>
      </c>
      <c r="L143" s="20" t="s">
        <v>33</v>
      </c>
      <c r="M143" s="20" t="s">
        <v>34</v>
      </c>
      <c r="N143" s="20" t="n">
        <v>11</v>
      </c>
      <c r="O143" s="20" t="s">
        <v>35</v>
      </c>
      <c r="P143" s="20" t="s">
        <v>53</v>
      </c>
      <c r="Q143" s="20" t="n">
        <v>2</v>
      </c>
      <c r="R143" s="22" t="s">
        <v>37</v>
      </c>
      <c r="S143" s="17" t="s">
        <v>38</v>
      </c>
      <c r="T143" s="20" t="s">
        <v>422</v>
      </c>
      <c r="U143" s="20" t="s">
        <v>40</v>
      </c>
      <c r="V143" s="28"/>
      <c r="W143" s="4"/>
      <c r="X143" s="4"/>
      <c r="Y143" s="4"/>
    </row>
    <row r="144" customFormat="false" ht="96" hidden="false" customHeight="true" outlineLevel="0" collapsed="false">
      <c r="A144" s="4"/>
      <c r="B144" s="17" t="n">
        <v>136</v>
      </c>
      <c r="C144" s="18" t="str">
        <f aca="false">CONCATENATE(F144,D144)</f>
        <v>B1-LS-44016A-I6128</v>
      </c>
      <c r="D144" s="19" t="s">
        <v>423</v>
      </c>
      <c r="E144" s="19" t="s">
        <v>55</v>
      </c>
      <c r="F144" s="20" t="s">
        <v>424</v>
      </c>
      <c r="G144" s="20" t="s">
        <v>425</v>
      </c>
      <c r="H144" s="20" t="s">
        <v>419</v>
      </c>
      <c r="I144" s="19" t="s">
        <v>420</v>
      </c>
      <c r="J144" s="21" t="s">
        <v>421</v>
      </c>
      <c r="K144" s="20" t="s">
        <v>419</v>
      </c>
      <c r="L144" s="20" t="s">
        <v>33</v>
      </c>
      <c r="M144" s="20" t="s">
        <v>34</v>
      </c>
      <c r="N144" s="20" t="n">
        <v>12.5</v>
      </c>
      <c r="O144" s="20" t="s">
        <v>35</v>
      </c>
      <c r="P144" s="20" t="s">
        <v>36</v>
      </c>
      <c r="Q144" s="20" t="n">
        <v>8</v>
      </c>
      <c r="R144" s="22" t="s">
        <v>37</v>
      </c>
      <c r="S144" s="17" t="s">
        <v>38</v>
      </c>
      <c r="T144" s="20" t="s">
        <v>422</v>
      </c>
      <c r="U144" s="20" t="s">
        <v>40</v>
      </c>
      <c r="V144" s="28"/>
      <c r="W144" s="4"/>
      <c r="X144" s="4"/>
      <c r="Y144" s="4"/>
    </row>
    <row r="145" customFormat="false" ht="84" hidden="false" customHeight="true" outlineLevel="0" collapsed="false">
      <c r="A145" s="4"/>
      <c r="B145" s="17" t="n">
        <v>137</v>
      </c>
      <c r="C145" s="18" t="str">
        <f aca="false">CONCATENATE(F145,D145)</f>
        <v>B1-LS-44016B-I6129</v>
      </c>
      <c r="D145" s="19" t="s">
        <v>426</v>
      </c>
      <c r="E145" s="19" t="s">
        <v>55</v>
      </c>
      <c r="F145" s="20" t="s">
        <v>427</v>
      </c>
      <c r="G145" s="20" t="s">
        <v>428</v>
      </c>
      <c r="H145" s="20" t="s">
        <v>419</v>
      </c>
      <c r="I145" s="19" t="s">
        <v>420</v>
      </c>
      <c r="J145" s="21" t="s">
        <v>421</v>
      </c>
      <c r="K145" s="20" t="s">
        <v>419</v>
      </c>
      <c r="L145" s="20" t="s">
        <v>33</v>
      </c>
      <c r="M145" s="20" t="s">
        <v>34</v>
      </c>
      <c r="N145" s="20" t="n">
        <v>12.5</v>
      </c>
      <c r="O145" s="20" t="s">
        <v>35</v>
      </c>
      <c r="P145" s="20" t="s">
        <v>36</v>
      </c>
      <c r="Q145" s="20" t="n">
        <v>8</v>
      </c>
      <c r="R145" s="22" t="s">
        <v>37</v>
      </c>
      <c r="S145" s="17" t="s">
        <v>38</v>
      </c>
      <c r="T145" s="20" t="s">
        <v>422</v>
      </c>
      <c r="U145" s="20" t="s">
        <v>40</v>
      </c>
      <c r="V145" s="28"/>
      <c r="W145" s="4"/>
      <c r="X145" s="4"/>
      <c r="Y145" s="4"/>
    </row>
    <row r="146" customFormat="false" ht="84" hidden="false" customHeight="true" outlineLevel="0" collapsed="false">
      <c r="A146" s="4"/>
      <c r="B146" s="17" t="n">
        <v>138</v>
      </c>
      <c r="C146" s="18" t="str">
        <f aca="false">CONCATENATE(F146,D146)</f>
        <v>B1-LS-44016C-I6130</v>
      </c>
      <c r="D146" s="19" t="s">
        <v>429</v>
      </c>
      <c r="E146" s="19" t="s">
        <v>55</v>
      </c>
      <c r="F146" s="20" t="s">
        <v>430</v>
      </c>
      <c r="G146" s="20" t="s">
        <v>431</v>
      </c>
      <c r="H146" s="20" t="s">
        <v>419</v>
      </c>
      <c r="I146" s="19" t="s">
        <v>420</v>
      </c>
      <c r="J146" s="21" t="s">
        <v>421</v>
      </c>
      <c r="K146" s="20" t="s">
        <v>419</v>
      </c>
      <c r="L146" s="20" t="s">
        <v>33</v>
      </c>
      <c r="M146" s="20" t="s">
        <v>34</v>
      </c>
      <c r="N146" s="20" t="n">
        <v>12.5</v>
      </c>
      <c r="O146" s="20" t="s">
        <v>35</v>
      </c>
      <c r="P146" s="20" t="s">
        <v>36</v>
      </c>
      <c r="Q146" s="20" t="n">
        <v>8</v>
      </c>
      <c r="R146" s="22" t="s">
        <v>37</v>
      </c>
      <c r="S146" s="17" t="s">
        <v>38</v>
      </c>
      <c r="T146" s="20" t="s">
        <v>422</v>
      </c>
      <c r="U146" s="20" t="s">
        <v>40</v>
      </c>
      <c r="V146" s="28"/>
      <c r="W146" s="4"/>
      <c r="X146" s="4"/>
      <c r="Y146" s="4"/>
    </row>
    <row r="147" customFormat="false" ht="79.9" hidden="false" customHeight="true" outlineLevel="0" collapsed="false">
      <c r="A147" s="4"/>
      <c r="B147" s="17" t="n">
        <v>139</v>
      </c>
      <c r="C147" s="18" t="str">
        <f aca="false">CONCATENATE(F147,D147)</f>
        <v>B1-LS-44019-I6131</v>
      </c>
      <c r="D147" s="19" t="s">
        <v>432</v>
      </c>
      <c r="E147" s="19" t="s">
        <v>55</v>
      </c>
      <c r="F147" s="20" t="s">
        <v>433</v>
      </c>
      <c r="G147" s="20" t="s">
        <v>434</v>
      </c>
      <c r="H147" s="20" t="s">
        <v>419</v>
      </c>
      <c r="I147" s="19" t="s">
        <v>420</v>
      </c>
      <c r="J147" s="21" t="s">
        <v>421</v>
      </c>
      <c r="K147" s="20" t="s">
        <v>419</v>
      </c>
      <c r="L147" s="20" t="s">
        <v>33</v>
      </c>
      <c r="M147" s="20" t="s">
        <v>34</v>
      </c>
      <c r="N147" s="20" t="n">
        <v>12.5</v>
      </c>
      <c r="O147" s="20" t="s">
        <v>35</v>
      </c>
      <c r="P147" s="20" t="s">
        <v>36</v>
      </c>
      <c r="Q147" s="20" t="n">
        <v>20</v>
      </c>
      <c r="R147" s="22" t="s">
        <v>37</v>
      </c>
      <c r="S147" s="17" t="s">
        <v>38</v>
      </c>
      <c r="T147" s="20" t="s">
        <v>422</v>
      </c>
      <c r="U147" s="20" t="s">
        <v>40</v>
      </c>
      <c r="V147" s="28"/>
      <c r="W147" s="4"/>
      <c r="X147" s="4"/>
      <c r="Y147" s="4"/>
    </row>
    <row r="148" customFormat="false" ht="87" hidden="false" customHeight="true" outlineLevel="0" collapsed="false">
      <c r="A148" s="4"/>
      <c r="B148" s="17" t="n">
        <v>140</v>
      </c>
      <c r="C148" s="18" t="str">
        <f aca="false">CONCATENATE(F148,D148)</f>
        <v>B1-XV-44070-I6132</v>
      </c>
      <c r="D148" s="19" t="s">
        <v>435</v>
      </c>
      <c r="E148" s="19" t="s">
        <v>55</v>
      </c>
      <c r="F148" s="20" t="s">
        <v>436</v>
      </c>
      <c r="G148" s="20" t="s">
        <v>437</v>
      </c>
      <c r="H148" s="20" t="s">
        <v>419</v>
      </c>
      <c r="I148" s="19" t="s">
        <v>420</v>
      </c>
      <c r="J148" s="21" t="s">
        <v>421</v>
      </c>
      <c r="K148" s="20" t="s">
        <v>419</v>
      </c>
      <c r="L148" s="20" t="s">
        <v>33</v>
      </c>
      <c r="M148" s="20" t="s">
        <v>34</v>
      </c>
      <c r="N148" s="20" t="n">
        <v>12.5</v>
      </c>
      <c r="O148" s="20" t="s">
        <v>35</v>
      </c>
      <c r="P148" s="20" t="s">
        <v>36</v>
      </c>
      <c r="Q148" s="20" t="n">
        <v>15</v>
      </c>
      <c r="R148" s="22" t="s">
        <v>37</v>
      </c>
      <c r="S148" s="17" t="s">
        <v>38</v>
      </c>
      <c r="T148" s="20" t="s">
        <v>422</v>
      </c>
      <c r="U148" s="20" t="s">
        <v>40</v>
      </c>
      <c r="V148" s="28"/>
      <c r="W148" s="4"/>
      <c r="X148" s="4"/>
      <c r="Y148" s="4"/>
    </row>
    <row r="149" customFormat="false" ht="88.9" hidden="false" customHeight="true" outlineLevel="0" collapsed="false">
      <c r="A149" s="4"/>
      <c r="B149" s="17" t="n">
        <v>141</v>
      </c>
      <c r="C149" s="18" t="str">
        <f aca="false">CONCATENATE(F149,D149)</f>
        <v>B1-XV-44070-I6133</v>
      </c>
      <c r="D149" s="19" t="s">
        <v>438</v>
      </c>
      <c r="E149" s="19" t="s">
        <v>26</v>
      </c>
      <c r="F149" s="20" t="s">
        <v>436</v>
      </c>
      <c r="G149" s="20" t="s">
        <v>437</v>
      </c>
      <c r="H149" s="20" t="s">
        <v>419</v>
      </c>
      <c r="I149" s="19" t="s">
        <v>420</v>
      </c>
      <c r="J149" s="21" t="s">
        <v>421</v>
      </c>
      <c r="K149" s="20" t="s">
        <v>419</v>
      </c>
      <c r="L149" s="20" t="s">
        <v>33</v>
      </c>
      <c r="M149" s="20" t="s">
        <v>34</v>
      </c>
      <c r="N149" s="20" t="n">
        <v>12</v>
      </c>
      <c r="O149" s="20" t="s">
        <v>35</v>
      </c>
      <c r="P149" s="20" t="s">
        <v>36</v>
      </c>
      <c r="Q149" s="20" t="n">
        <v>15</v>
      </c>
      <c r="R149" s="22" t="s">
        <v>37</v>
      </c>
      <c r="S149" s="17" t="s">
        <v>38</v>
      </c>
      <c r="T149" s="20" t="s">
        <v>422</v>
      </c>
      <c r="U149" s="20" t="s">
        <v>40</v>
      </c>
      <c r="V149" s="28"/>
      <c r="W149" s="4"/>
      <c r="X149" s="4"/>
      <c r="Y149" s="4"/>
    </row>
    <row r="150" customFormat="false" ht="90" hidden="false" customHeight="true" outlineLevel="0" collapsed="false">
      <c r="A150" s="4"/>
      <c r="B150" s="17" t="n">
        <v>142</v>
      </c>
      <c r="C150" s="18" t="str">
        <f aca="false">CONCATENATE(F150,D150)</f>
        <v>B1-JB-4412-I6134</v>
      </c>
      <c r="D150" s="19" t="s">
        <v>439</v>
      </c>
      <c r="E150" s="19" t="s">
        <v>169</v>
      </c>
      <c r="F150" s="19" t="s">
        <v>420</v>
      </c>
      <c r="G150" s="21" t="s">
        <v>440</v>
      </c>
      <c r="H150" s="20" t="s">
        <v>419</v>
      </c>
      <c r="I150" s="19" t="s">
        <v>60</v>
      </c>
      <c r="J150" s="21" t="s">
        <v>61</v>
      </c>
      <c r="K150" s="20" t="s">
        <v>62</v>
      </c>
      <c r="L150" s="20" t="s">
        <v>33</v>
      </c>
      <c r="M150" s="20" t="s">
        <v>34</v>
      </c>
      <c r="N150" s="20" t="n">
        <v>16.5</v>
      </c>
      <c r="O150" s="20" t="s">
        <v>35</v>
      </c>
      <c r="P150" s="20" t="s">
        <v>53</v>
      </c>
      <c r="Q150" s="20" t="n">
        <v>490</v>
      </c>
      <c r="R150" s="22" t="s">
        <v>63</v>
      </c>
      <c r="S150" s="17" t="s">
        <v>38</v>
      </c>
      <c r="T150" s="20" t="s">
        <v>422</v>
      </c>
      <c r="U150" s="20" t="s">
        <v>40</v>
      </c>
      <c r="V150" s="28"/>
      <c r="W150" s="4"/>
      <c r="X150" s="4"/>
      <c r="Y150" s="4"/>
    </row>
    <row r="151" customFormat="false" ht="87" hidden="false" customHeight="true" outlineLevel="0" collapsed="false">
      <c r="A151" s="4"/>
      <c r="B151" s="17" t="n">
        <v>143</v>
      </c>
      <c r="C151" s="18" t="str">
        <f aca="false">CONCATENATE(F151,D151)</f>
        <v>B1-JB-4412-I6135</v>
      </c>
      <c r="D151" s="19" t="s">
        <v>441</v>
      </c>
      <c r="E151" s="19" t="s">
        <v>74</v>
      </c>
      <c r="F151" s="19" t="s">
        <v>420</v>
      </c>
      <c r="G151" s="21" t="s">
        <v>440</v>
      </c>
      <c r="H151" s="20" t="s">
        <v>419</v>
      </c>
      <c r="I151" s="19" t="s">
        <v>60</v>
      </c>
      <c r="J151" s="21" t="s">
        <v>61</v>
      </c>
      <c r="K151" s="20" t="s">
        <v>62</v>
      </c>
      <c r="L151" s="20" t="s">
        <v>33</v>
      </c>
      <c r="M151" s="20" t="s">
        <v>34</v>
      </c>
      <c r="N151" s="20" t="n">
        <v>18</v>
      </c>
      <c r="O151" s="20" t="s">
        <v>35</v>
      </c>
      <c r="P151" s="20" t="s">
        <v>36</v>
      </c>
      <c r="Q151" s="20" t="n">
        <v>490</v>
      </c>
      <c r="R151" s="22" t="s">
        <v>63</v>
      </c>
      <c r="S151" s="17" t="s">
        <v>38</v>
      </c>
      <c r="T151" s="20" t="s">
        <v>422</v>
      </c>
      <c r="U151" s="20" t="s">
        <v>40</v>
      </c>
      <c r="V151" s="28"/>
      <c r="W151" s="4"/>
      <c r="X151" s="4"/>
      <c r="Y151" s="4"/>
    </row>
    <row r="152" customFormat="false" ht="82.9" hidden="false" customHeight="true" outlineLevel="0" collapsed="false">
      <c r="A152" s="4"/>
      <c r="B152" s="17" t="n">
        <v>144</v>
      </c>
      <c r="C152" s="18" t="str">
        <f aca="false">CONCATENATE(F152,D152)</f>
        <v>B1-JB-4412-I6136</v>
      </c>
      <c r="D152" s="19" t="s">
        <v>442</v>
      </c>
      <c r="E152" s="19" t="s">
        <v>74</v>
      </c>
      <c r="F152" s="19" t="s">
        <v>420</v>
      </c>
      <c r="G152" s="21" t="s">
        <v>440</v>
      </c>
      <c r="H152" s="20" t="s">
        <v>419</v>
      </c>
      <c r="I152" s="19" t="s">
        <v>60</v>
      </c>
      <c r="J152" s="21" t="s">
        <v>61</v>
      </c>
      <c r="K152" s="20" t="s">
        <v>62</v>
      </c>
      <c r="L152" s="20" t="s">
        <v>33</v>
      </c>
      <c r="M152" s="20" t="s">
        <v>34</v>
      </c>
      <c r="N152" s="20" t="n">
        <v>18</v>
      </c>
      <c r="O152" s="20" t="s">
        <v>35</v>
      </c>
      <c r="P152" s="20" t="s">
        <v>36</v>
      </c>
      <c r="Q152" s="20" t="n">
        <v>490</v>
      </c>
      <c r="R152" s="22" t="s">
        <v>63</v>
      </c>
      <c r="S152" s="17" t="s">
        <v>38</v>
      </c>
      <c r="T152" s="20" t="s">
        <v>422</v>
      </c>
      <c r="U152" s="20" t="s">
        <v>40</v>
      </c>
      <c r="V152" s="28"/>
      <c r="W152" s="4"/>
      <c r="X152" s="4"/>
      <c r="Y152" s="4"/>
    </row>
    <row r="153" customFormat="false" ht="93" hidden="false" customHeight="true" outlineLevel="0" collapsed="false">
      <c r="A153" s="4"/>
      <c r="B153" s="17" t="n">
        <v>145</v>
      </c>
      <c r="C153" s="18" t="str">
        <f aca="false">CONCATENATE(F153,D153)</f>
        <v>B1-JB-4412-I6137</v>
      </c>
      <c r="D153" s="19" t="s">
        <v>443</v>
      </c>
      <c r="E153" s="19" t="s">
        <v>261</v>
      </c>
      <c r="F153" s="19" t="s">
        <v>420</v>
      </c>
      <c r="G153" s="21" t="s">
        <v>440</v>
      </c>
      <c r="H153" s="20" t="s">
        <v>419</v>
      </c>
      <c r="I153" s="19" t="s">
        <v>60</v>
      </c>
      <c r="J153" s="21" t="s">
        <v>61</v>
      </c>
      <c r="K153" s="20" t="s">
        <v>62</v>
      </c>
      <c r="L153" s="20" t="s">
        <v>33</v>
      </c>
      <c r="M153" s="20" t="s">
        <v>34</v>
      </c>
      <c r="N153" s="20" t="n">
        <v>13.5</v>
      </c>
      <c r="O153" s="20" t="s">
        <v>35</v>
      </c>
      <c r="P153" s="20" t="s">
        <v>36</v>
      </c>
      <c r="Q153" s="20" t="n">
        <v>490</v>
      </c>
      <c r="R153" s="22" t="s">
        <v>63</v>
      </c>
      <c r="S153" s="17" t="s">
        <v>38</v>
      </c>
      <c r="T153" s="20" t="s">
        <v>422</v>
      </c>
      <c r="U153" s="20" t="s">
        <v>40</v>
      </c>
      <c r="V153" s="28"/>
      <c r="W153" s="4"/>
      <c r="X153" s="4"/>
      <c r="Y153" s="4"/>
    </row>
    <row r="154" customFormat="false" ht="147.6" hidden="false" customHeight="true" outlineLevel="0" collapsed="false">
      <c r="A154" s="4"/>
      <c r="B154" s="17" t="n">
        <v>146</v>
      </c>
      <c r="C154" s="18" t="str">
        <f aca="false">CONCATENATE(F154,D154)</f>
        <v>B1-GD-44008-I6138</v>
      </c>
      <c r="D154" s="19" t="s">
        <v>444</v>
      </c>
      <c r="E154" s="19" t="s">
        <v>45</v>
      </c>
      <c r="F154" s="20" t="s">
        <v>445</v>
      </c>
      <c r="G154" s="20" t="s">
        <v>446</v>
      </c>
      <c r="H154" s="29" t="s">
        <v>447</v>
      </c>
      <c r="I154" s="19" t="s">
        <v>99</v>
      </c>
      <c r="J154" s="21" t="s">
        <v>100</v>
      </c>
      <c r="K154" s="20" t="s">
        <v>62</v>
      </c>
      <c r="L154" s="20" t="s">
        <v>33</v>
      </c>
      <c r="M154" s="20" t="s">
        <v>34</v>
      </c>
      <c r="N154" s="20" t="n">
        <v>11.5</v>
      </c>
      <c r="O154" s="20" t="s">
        <v>35</v>
      </c>
      <c r="P154" s="20" t="s">
        <v>50</v>
      </c>
      <c r="Q154" s="20" t="n">
        <v>490</v>
      </c>
      <c r="R154" s="22" t="s">
        <v>63</v>
      </c>
      <c r="S154" s="17" t="s">
        <v>38</v>
      </c>
      <c r="T154" s="20" t="s">
        <v>448</v>
      </c>
      <c r="U154" s="20" t="s">
        <v>40</v>
      </c>
      <c r="V154" s="28"/>
      <c r="W154" s="4"/>
      <c r="X154" s="4"/>
      <c r="Y154" s="4"/>
    </row>
    <row r="155" customFormat="false" ht="125.45" hidden="false" customHeight="true" outlineLevel="0" collapsed="false">
      <c r="A155" s="4"/>
      <c r="B155" s="17" t="n">
        <v>147</v>
      </c>
      <c r="C155" s="18" t="str">
        <f aca="false">CONCATENATE(F155,D155)</f>
        <v>B1-LCP-4405-I6139</v>
      </c>
      <c r="D155" s="19" t="s">
        <v>449</v>
      </c>
      <c r="E155" s="19" t="s">
        <v>55</v>
      </c>
      <c r="F155" s="19" t="s">
        <v>450</v>
      </c>
      <c r="G155" s="20" t="s">
        <v>451</v>
      </c>
      <c r="H155" s="20" t="s">
        <v>452</v>
      </c>
      <c r="I155" s="19" t="s">
        <v>60</v>
      </c>
      <c r="J155" s="21" t="s">
        <v>61</v>
      </c>
      <c r="K155" s="20" t="s">
        <v>62</v>
      </c>
      <c r="L155" s="20" t="s">
        <v>33</v>
      </c>
      <c r="M155" s="20" t="s">
        <v>34</v>
      </c>
      <c r="N155" s="20" t="n">
        <v>12.5</v>
      </c>
      <c r="O155" s="20" t="s">
        <v>35</v>
      </c>
      <c r="P155" s="20" t="s">
        <v>36</v>
      </c>
      <c r="Q155" s="20" t="n">
        <v>490</v>
      </c>
      <c r="R155" s="22" t="s">
        <v>63</v>
      </c>
      <c r="S155" s="17" t="s">
        <v>38</v>
      </c>
      <c r="T155" s="20" t="s">
        <v>303</v>
      </c>
      <c r="U155" s="20" t="s">
        <v>40</v>
      </c>
      <c r="V155" s="28"/>
      <c r="W155" s="25"/>
      <c r="X155" s="25"/>
      <c r="Y155" s="25"/>
    </row>
    <row r="156" customFormat="false" ht="118.9" hidden="false" customHeight="true" outlineLevel="0" collapsed="false">
      <c r="A156" s="4"/>
      <c r="B156" s="17" t="n">
        <v>148</v>
      </c>
      <c r="C156" s="18" t="str">
        <f aca="false">CONCATENATE(F156,D156)</f>
        <v>B2-PIT-44013-I6140</v>
      </c>
      <c r="D156" s="19" t="s">
        <v>453</v>
      </c>
      <c r="E156" s="19" t="s">
        <v>52</v>
      </c>
      <c r="F156" s="20" t="s">
        <v>454</v>
      </c>
      <c r="G156" s="20" t="s">
        <v>455</v>
      </c>
      <c r="H156" s="20" t="s">
        <v>456</v>
      </c>
      <c r="I156" s="19" t="s">
        <v>457</v>
      </c>
      <c r="J156" s="21" t="s">
        <v>458</v>
      </c>
      <c r="K156" s="20" t="s">
        <v>456</v>
      </c>
      <c r="L156" s="20" t="s">
        <v>33</v>
      </c>
      <c r="M156" s="20" t="s">
        <v>34</v>
      </c>
      <c r="N156" s="20" t="n">
        <v>11</v>
      </c>
      <c r="O156" s="20" t="s">
        <v>35</v>
      </c>
      <c r="P156" s="20" t="s">
        <v>53</v>
      </c>
      <c r="Q156" s="20" t="n">
        <v>2</v>
      </c>
      <c r="R156" s="22" t="s">
        <v>37</v>
      </c>
      <c r="S156" s="17" t="s">
        <v>38</v>
      </c>
      <c r="T156" s="20" t="s">
        <v>459</v>
      </c>
      <c r="U156" s="20" t="s">
        <v>40</v>
      </c>
      <c r="V156" s="28"/>
      <c r="W156" s="4"/>
      <c r="X156" s="4"/>
      <c r="Y156" s="4"/>
    </row>
    <row r="157" customFormat="false" ht="97.9" hidden="false" customHeight="true" outlineLevel="0" collapsed="false">
      <c r="A157" s="4"/>
      <c r="B157" s="17" t="n">
        <v>149</v>
      </c>
      <c r="C157" s="18" t="str">
        <f aca="false">CONCATENATE(F157,D157)</f>
        <v>B2-TT-44010-I6141</v>
      </c>
      <c r="D157" s="19" t="s">
        <v>460</v>
      </c>
      <c r="E157" s="19" t="s">
        <v>52</v>
      </c>
      <c r="F157" s="20" t="s">
        <v>461</v>
      </c>
      <c r="G157" s="20" t="s">
        <v>462</v>
      </c>
      <c r="H157" s="20" t="s">
        <v>456</v>
      </c>
      <c r="I157" s="19" t="s">
        <v>457</v>
      </c>
      <c r="J157" s="21" t="s">
        <v>458</v>
      </c>
      <c r="K157" s="20" t="s">
        <v>456</v>
      </c>
      <c r="L157" s="20" t="s">
        <v>33</v>
      </c>
      <c r="M157" s="20" t="s">
        <v>34</v>
      </c>
      <c r="N157" s="20" t="n">
        <v>11</v>
      </c>
      <c r="O157" s="20" t="s">
        <v>35</v>
      </c>
      <c r="P157" s="20" t="s">
        <v>53</v>
      </c>
      <c r="Q157" s="20" t="n">
        <v>6</v>
      </c>
      <c r="R157" s="22" t="s">
        <v>37</v>
      </c>
      <c r="S157" s="17" t="s">
        <v>38</v>
      </c>
      <c r="T157" s="20" t="s">
        <v>459</v>
      </c>
      <c r="U157" s="20" t="s">
        <v>40</v>
      </c>
      <c r="V157" s="28"/>
      <c r="W157" s="4"/>
      <c r="X157" s="4"/>
      <c r="Y157" s="4"/>
    </row>
    <row r="158" customFormat="false" ht="100.9" hidden="false" customHeight="true" outlineLevel="0" collapsed="false">
      <c r="A158" s="4"/>
      <c r="B158" s="17" t="n">
        <v>150</v>
      </c>
      <c r="C158" s="18" t="str">
        <f aca="false">CONCATENATE(F158,D158)</f>
        <v>B2-PIT-44014-I6142</v>
      </c>
      <c r="D158" s="19" t="s">
        <v>463</v>
      </c>
      <c r="E158" s="19" t="s">
        <v>52</v>
      </c>
      <c r="F158" s="20" t="s">
        <v>464</v>
      </c>
      <c r="G158" s="20" t="s">
        <v>465</v>
      </c>
      <c r="H158" s="20" t="s">
        <v>456</v>
      </c>
      <c r="I158" s="19" t="s">
        <v>457</v>
      </c>
      <c r="J158" s="21" t="s">
        <v>458</v>
      </c>
      <c r="K158" s="20" t="s">
        <v>456</v>
      </c>
      <c r="L158" s="20" t="s">
        <v>33</v>
      </c>
      <c r="M158" s="20" t="s">
        <v>34</v>
      </c>
      <c r="N158" s="20" t="n">
        <v>11</v>
      </c>
      <c r="O158" s="20" t="s">
        <v>35</v>
      </c>
      <c r="P158" s="20" t="s">
        <v>53</v>
      </c>
      <c r="Q158" s="20" t="n">
        <v>2</v>
      </c>
      <c r="R158" s="22" t="s">
        <v>37</v>
      </c>
      <c r="S158" s="17" t="s">
        <v>38</v>
      </c>
      <c r="T158" s="20" t="s">
        <v>459</v>
      </c>
      <c r="U158" s="20" t="s">
        <v>40</v>
      </c>
      <c r="V158" s="28"/>
      <c r="W158" s="4"/>
      <c r="X158" s="4"/>
      <c r="Y158" s="4"/>
    </row>
    <row r="159" customFormat="false" ht="120" hidden="false" customHeight="true" outlineLevel="0" collapsed="false">
      <c r="A159" s="4"/>
      <c r="B159" s="17" t="n">
        <v>151</v>
      </c>
      <c r="C159" s="18" t="str">
        <f aca="false">CONCATENATE(F159,D159)</f>
        <v>B2-TT-44011-I6143</v>
      </c>
      <c r="D159" s="19" t="s">
        <v>466</v>
      </c>
      <c r="E159" s="19" t="s">
        <v>52</v>
      </c>
      <c r="F159" s="20" t="s">
        <v>467</v>
      </c>
      <c r="G159" s="20" t="s">
        <v>468</v>
      </c>
      <c r="H159" s="20" t="s">
        <v>456</v>
      </c>
      <c r="I159" s="19" t="s">
        <v>457</v>
      </c>
      <c r="J159" s="21" t="s">
        <v>458</v>
      </c>
      <c r="K159" s="20" t="s">
        <v>456</v>
      </c>
      <c r="L159" s="20" t="s">
        <v>33</v>
      </c>
      <c r="M159" s="20" t="s">
        <v>34</v>
      </c>
      <c r="N159" s="20" t="n">
        <v>11</v>
      </c>
      <c r="O159" s="20" t="s">
        <v>35</v>
      </c>
      <c r="P159" s="20" t="s">
        <v>53</v>
      </c>
      <c r="Q159" s="20" t="n">
        <v>6</v>
      </c>
      <c r="R159" s="22" t="s">
        <v>37</v>
      </c>
      <c r="S159" s="17" t="s">
        <v>38</v>
      </c>
      <c r="T159" s="20" t="s">
        <v>459</v>
      </c>
      <c r="U159" s="20" t="s">
        <v>40</v>
      </c>
      <c r="V159" s="28"/>
      <c r="W159" s="4"/>
      <c r="X159" s="4"/>
      <c r="Y159" s="4"/>
    </row>
    <row r="160" customFormat="false" ht="96" hidden="false" customHeight="true" outlineLevel="0" collapsed="false">
      <c r="A160" s="4"/>
      <c r="B160" s="17" t="n">
        <v>152</v>
      </c>
      <c r="C160" s="18" t="str">
        <f aca="false">CONCATENATE(F160,D160)</f>
        <v>B2-TT-44012-I6144</v>
      </c>
      <c r="D160" s="19" t="s">
        <v>469</v>
      </c>
      <c r="E160" s="19" t="s">
        <v>52</v>
      </c>
      <c r="F160" s="20" t="s">
        <v>470</v>
      </c>
      <c r="G160" s="20" t="s">
        <v>471</v>
      </c>
      <c r="H160" s="20" t="s">
        <v>456</v>
      </c>
      <c r="I160" s="19" t="s">
        <v>457</v>
      </c>
      <c r="J160" s="21" t="s">
        <v>458</v>
      </c>
      <c r="K160" s="20" t="s">
        <v>456</v>
      </c>
      <c r="L160" s="20" t="s">
        <v>33</v>
      </c>
      <c r="M160" s="20" t="s">
        <v>34</v>
      </c>
      <c r="N160" s="20" t="n">
        <v>11</v>
      </c>
      <c r="O160" s="20" t="s">
        <v>35</v>
      </c>
      <c r="P160" s="20" t="s">
        <v>53</v>
      </c>
      <c r="Q160" s="20" t="n">
        <v>8</v>
      </c>
      <c r="R160" s="22" t="s">
        <v>37</v>
      </c>
      <c r="S160" s="17" t="s">
        <v>38</v>
      </c>
      <c r="T160" s="20" t="s">
        <v>459</v>
      </c>
      <c r="U160" s="20" t="s">
        <v>40</v>
      </c>
      <c r="V160" s="28"/>
      <c r="W160" s="4"/>
      <c r="X160" s="4"/>
      <c r="Y160" s="4"/>
    </row>
    <row r="161" customFormat="false" ht="99.6" hidden="false" customHeight="true" outlineLevel="0" collapsed="false">
      <c r="A161" s="4"/>
      <c r="B161" s="17" t="n">
        <v>153</v>
      </c>
      <c r="C161" s="18" t="str">
        <f aca="false">CONCATENATE(F161,D161)</f>
        <v>B2-LS-44020A-I6145</v>
      </c>
      <c r="D161" s="19" t="s">
        <v>472</v>
      </c>
      <c r="E161" s="19" t="s">
        <v>55</v>
      </c>
      <c r="F161" s="20" t="s">
        <v>473</v>
      </c>
      <c r="G161" s="20" t="s">
        <v>474</v>
      </c>
      <c r="H161" s="20" t="s">
        <v>456</v>
      </c>
      <c r="I161" s="19" t="s">
        <v>457</v>
      </c>
      <c r="J161" s="21" t="s">
        <v>458</v>
      </c>
      <c r="K161" s="20" t="s">
        <v>456</v>
      </c>
      <c r="L161" s="20" t="s">
        <v>33</v>
      </c>
      <c r="M161" s="20" t="s">
        <v>34</v>
      </c>
      <c r="N161" s="20" t="n">
        <v>12.5</v>
      </c>
      <c r="O161" s="20" t="s">
        <v>35</v>
      </c>
      <c r="P161" s="20" t="s">
        <v>36</v>
      </c>
      <c r="Q161" s="20" t="n">
        <v>10</v>
      </c>
      <c r="R161" s="22" t="s">
        <v>37</v>
      </c>
      <c r="S161" s="17" t="s">
        <v>38</v>
      </c>
      <c r="T161" s="20" t="s">
        <v>459</v>
      </c>
      <c r="U161" s="20" t="s">
        <v>40</v>
      </c>
      <c r="V161" s="28"/>
      <c r="W161" s="4"/>
      <c r="X161" s="4"/>
      <c r="Y161" s="4"/>
    </row>
    <row r="162" customFormat="false" ht="102" hidden="false" customHeight="true" outlineLevel="0" collapsed="false">
      <c r="A162" s="4"/>
      <c r="B162" s="17" t="n">
        <v>154</v>
      </c>
      <c r="C162" s="18" t="str">
        <f aca="false">CONCATENATE(F162,D162)</f>
        <v>B2-LS-44020B-I6146</v>
      </c>
      <c r="D162" s="19" t="s">
        <v>475</v>
      </c>
      <c r="E162" s="19" t="s">
        <v>55</v>
      </c>
      <c r="F162" s="20" t="s">
        <v>476</v>
      </c>
      <c r="G162" s="20" t="s">
        <v>477</v>
      </c>
      <c r="H162" s="20" t="s">
        <v>456</v>
      </c>
      <c r="I162" s="19" t="s">
        <v>457</v>
      </c>
      <c r="J162" s="21" t="s">
        <v>458</v>
      </c>
      <c r="K162" s="20" t="s">
        <v>456</v>
      </c>
      <c r="L162" s="20" t="s">
        <v>33</v>
      </c>
      <c r="M162" s="20" t="s">
        <v>34</v>
      </c>
      <c r="N162" s="20" t="n">
        <v>12.5</v>
      </c>
      <c r="O162" s="20" t="s">
        <v>35</v>
      </c>
      <c r="P162" s="20" t="s">
        <v>36</v>
      </c>
      <c r="Q162" s="20" t="n">
        <v>10</v>
      </c>
      <c r="R162" s="22" t="s">
        <v>37</v>
      </c>
      <c r="S162" s="17" t="s">
        <v>38</v>
      </c>
      <c r="T162" s="20" t="s">
        <v>459</v>
      </c>
      <c r="U162" s="20" t="s">
        <v>40</v>
      </c>
      <c r="V162" s="28"/>
      <c r="W162" s="4"/>
      <c r="X162" s="4"/>
      <c r="Y162" s="4"/>
    </row>
    <row r="163" customFormat="false" ht="100.9" hidden="false" customHeight="true" outlineLevel="0" collapsed="false">
      <c r="A163" s="4"/>
      <c r="B163" s="17" t="n">
        <v>155</v>
      </c>
      <c r="C163" s="18" t="str">
        <f aca="false">CONCATENATE(F163,D163)</f>
        <v>B2-LS-44020C-I6147</v>
      </c>
      <c r="D163" s="19" t="s">
        <v>478</v>
      </c>
      <c r="E163" s="19" t="s">
        <v>55</v>
      </c>
      <c r="F163" s="20" t="s">
        <v>479</v>
      </c>
      <c r="G163" s="20" t="s">
        <v>480</v>
      </c>
      <c r="H163" s="20" t="s">
        <v>456</v>
      </c>
      <c r="I163" s="19" t="s">
        <v>457</v>
      </c>
      <c r="J163" s="21" t="s">
        <v>458</v>
      </c>
      <c r="K163" s="20" t="s">
        <v>456</v>
      </c>
      <c r="L163" s="20" t="s">
        <v>33</v>
      </c>
      <c r="M163" s="20" t="s">
        <v>34</v>
      </c>
      <c r="N163" s="20" t="n">
        <v>12.5</v>
      </c>
      <c r="O163" s="20" t="s">
        <v>35</v>
      </c>
      <c r="P163" s="20" t="s">
        <v>36</v>
      </c>
      <c r="Q163" s="20" t="n">
        <v>10</v>
      </c>
      <c r="R163" s="22" t="s">
        <v>37</v>
      </c>
      <c r="S163" s="17" t="s">
        <v>38</v>
      </c>
      <c r="T163" s="20" t="s">
        <v>459</v>
      </c>
      <c r="U163" s="20" t="s">
        <v>40</v>
      </c>
      <c r="V163" s="28"/>
      <c r="W163" s="4"/>
      <c r="X163" s="4"/>
      <c r="Y163" s="4"/>
    </row>
    <row r="164" customFormat="false" ht="105" hidden="false" customHeight="true" outlineLevel="0" collapsed="false">
      <c r="A164" s="4"/>
      <c r="B164" s="17" t="n">
        <v>156</v>
      </c>
      <c r="C164" s="18" t="str">
        <f aca="false">CONCATENATE(F164,D164)</f>
        <v>B2-XV-44071-I6148</v>
      </c>
      <c r="D164" s="19" t="s">
        <v>481</v>
      </c>
      <c r="E164" s="19" t="s">
        <v>55</v>
      </c>
      <c r="F164" s="20" t="s">
        <v>482</v>
      </c>
      <c r="G164" s="20" t="s">
        <v>483</v>
      </c>
      <c r="H164" s="20" t="s">
        <v>456</v>
      </c>
      <c r="I164" s="19" t="s">
        <v>457</v>
      </c>
      <c r="J164" s="21" t="s">
        <v>458</v>
      </c>
      <c r="K164" s="20" t="s">
        <v>456</v>
      </c>
      <c r="L164" s="20" t="s">
        <v>33</v>
      </c>
      <c r="M164" s="20" t="s">
        <v>34</v>
      </c>
      <c r="N164" s="20" t="n">
        <v>12.5</v>
      </c>
      <c r="O164" s="20" t="s">
        <v>35</v>
      </c>
      <c r="P164" s="20" t="s">
        <v>36</v>
      </c>
      <c r="Q164" s="20" t="n">
        <v>15</v>
      </c>
      <c r="R164" s="22" t="s">
        <v>37</v>
      </c>
      <c r="S164" s="17" t="s">
        <v>38</v>
      </c>
      <c r="T164" s="20" t="s">
        <v>459</v>
      </c>
      <c r="U164" s="20" t="s">
        <v>40</v>
      </c>
      <c r="V164" s="28"/>
      <c r="W164" s="4"/>
      <c r="X164" s="4"/>
      <c r="Y164" s="4"/>
    </row>
    <row r="165" customFormat="false" ht="102" hidden="false" customHeight="true" outlineLevel="0" collapsed="false">
      <c r="A165" s="4"/>
      <c r="B165" s="17" t="n">
        <v>157</v>
      </c>
      <c r="C165" s="18" t="str">
        <f aca="false">CONCATENATE(F165,D165)</f>
        <v>B2-XV-44071-I6149</v>
      </c>
      <c r="D165" s="19" t="s">
        <v>484</v>
      </c>
      <c r="E165" s="19" t="s">
        <v>26</v>
      </c>
      <c r="F165" s="20" t="s">
        <v>482</v>
      </c>
      <c r="G165" s="20" t="s">
        <v>483</v>
      </c>
      <c r="H165" s="20" t="s">
        <v>456</v>
      </c>
      <c r="I165" s="19" t="s">
        <v>457</v>
      </c>
      <c r="J165" s="21" t="s">
        <v>458</v>
      </c>
      <c r="K165" s="20" t="s">
        <v>456</v>
      </c>
      <c r="L165" s="20" t="s">
        <v>33</v>
      </c>
      <c r="M165" s="20" t="s">
        <v>34</v>
      </c>
      <c r="N165" s="20" t="n">
        <v>12</v>
      </c>
      <c r="O165" s="20" t="s">
        <v>35</v>
      </c>
      <c r="P165" s="20" t="s">
        <v>36</v>
      </c>
      <c r="Q165" s="20" t="n">
        <v>15</v>
      </c>
      <c r="R165" s="22" t="s">
        <v>37</v>
      </c>
      <c r="S165" s="17" t="s">
        <v>38</v>
      </c>
      <c r="T165" s="20" t="s">
        <v>459</v>
      </c>
      <c r="U165" s="20" t="s">
        <v>40</v>
      </c>
      <c r="V165" s="28"/>
      <c r="W165" s="4"/>
      <c r="X165" s="4"/>
      <c r="Y165" s="4"/>
    </row>
    <row r="166" customFormat="false" ht="91.9" hidden="false" customHeight="true" outlineLevel="0" collapsed="false">
      <c r="A166" s="4"/>
      <c r="B166" s="17" t="n">
        <v>158</v>
      </c>
      <c r="C166" s="17" t="s">
        <v>67</v>
      </c>
      <c r="D166" s="19"/>
      <c r="E166" s="19" t="s">
        <v>169</v>
      </c>
      <c r="F166" s="19" t="s">
        <v>485</v>
      </c>
      <c r="G166" s="21" t="s">
        <v>458</v>
      </c>
      <c r="H166" s="20" t="s">
        <v>486</v>
      </c>
      <c r="I166" s="19" t="s">
        <v>341</v>
      </c>
      <c r="J166" s="21" t="s">
        <v>342</v>
      </c>
      <c r="K166" s="20" t="s">
        <v>62</v>
      </c>
      <c r="L166" s="20" t="s">
        <v>33</v>
      </c>
      <c r="M166" s="20" t="s">
        <v>34</v>
      </c>
      <c r="N166" s="20" t="s">
        <v>68</v>
      </c>
      <c r="O166" s="20" t="s">
        <v>68</v>
      </c>
      <c r="P166" s="20" t="s">
        <v>68</v>
      </c>
      <c r="Q166" s="20" t="s">
        <v>68</v>
      </c>
      <c r="R166" s="22" t="s">
        <v>63</v>
      </c>
      <c r="S166" s="17" t="s">
        <v>38</v>
      </c>
      <c r="T166" s="20" t="s">
        <v>459</v>
      </c>
      <c r="U166" s="20" t="s">
        <v>70</v>
      </c>
      <c r="V166" s="28"/>
      <c r="W166" s="25"/>
      <c r="X166" s="25"/>
      <c r="Y166" s="25"/>
    </row>
    <row r="167" customFormat="false" ht="91.9" hidden="false" customHeight="true" outlineLevel="0" collapsed="false">
      <c r="A167" s="4"/>
      <c r="B167" s="17" t="n">
        <v>159</v>
      </c>
      <c r="C167" s="18" t="str">
        <f aca="false">CONCATENATE(F167,D167)</f>
        <v>B2-JB-4413-I6150</v>
      </c>
      <c r="D167" s="19" t="s">
        <v>487</v>
      </c>
      <c r="E167" s="19" t="s">
        <v>94</v>
      </c>
      <c r="F167" s="19" t="s">
        <v>457</v>
      </c>
      <c r="G167" s="21" t="s">
        <v>458</v>
      </c>
      <c r="H167" s="20" t="s">
        <v>486</v>
      </c>
      <c r="I167" s="19" t="s">
        <v>60</v>
      </c>
      <c r="J167" s="21" t="s">
        <v>61</v>
      </c>
      <c r="K167" s="20" t="s">
        <v>62</v>
      </c>
      <c r="L167" s="20" t="s">
        <v>33</v>
      </c>
      <c r="M167" s="20" t="s">
        <v>34</v>
      </c>
      <c r="N167" s="20" t="n">
        <v>20.5</v>
      </c>
      <c r="O167" s="20" t="s">
        <v>35</v>
      </c>
      <c r="P167" s="20" t="s">
        <v>53</v>
      </c>
      <c r="Q167" s="20" t="n">
        <v>350</v>
      </c>
      <c r="R167" s="22" t="s">
        <v>63</v>
      </c>
      <c r="S167" s="17" t="s">
        <v>38</v>
      </c>
      <c r="T167" s="20" t="s">
        <v>459</v>
      </c>
      <c r="U167" s="20" t="s">
        <v>40</v>
      </c>
      <c r="V167" s="28"/>
      <c r="W167" s="4"/>
      <c r="X167" s="4"/>
      <c r="Y167" s="4"/>
    </row>
    <row r="168" customFormat="false" ht="103.9" hidden="false" customHeight="true" outlineLevel="0" collapsed="false">
      <c r="A168" s="4"/>
      <c r="B168" s="17" t="n">
        <v>160</v>
      </c>
      <c r="C168" s="18" t="str">
        <f aca="false">CONCATENATE(F168,D168)</f>
        <v>B2-JB-4413-I6151</v>
      </c>
      <c r="D168" s="19" t="s">
        <v>488</v>
      </c>
      <c r="E168" s="19" t="s">
        <v>172</v>
      </c>
      <c r="F168" s="19" t="s">
        <v>457</v>
      </c>
      <c r="G168" s="21" t="s">
        <v>458</v>
      </c>
      <c r="H168" s="20" t="s">
        <v>486</v>
      </c>
      <c r="I168" s="19" t="s">
        <v>60</v>
      </c>
      <c r="J168" s="21" t="s">
        <v>61</v>
      </c>
      <c r="K168" s="20" t="s">
        <v>62</v>
      </c>
      <c r="L168" s="20" t="s">
        <v>33</v>
      </c>
      <c r="M168" s="20" t="s">
        <v>34</v>
      </c>
      <c r="N168" s="20" t="n">
        <v>21.5</v>
      </c>
      <c r="O168" s="20" t="s">
        <v>35</v>
      </c>
      <c r="P168" s="20" t="s">
        <v>36</v>
      </c>
      <c r="Q168" s="20" t="n">
        <v>350</v>
      </c>
      <c r="R168" s="22" t="s">
        <v>63</v>
      </c>
      <c r="S168" s="17" t="s">
        <v>38</v>
      </c>
      <c r="T168" s="20" t="s">
        <v>459</v>
      </c>
      <c r="U168" s="20" t="s">
        <v>40</v>
      </c>
      <c r="V168" s="28"/>
      <c r="W168" s="4"/>
      <c r="X168" s="4"/>
      <c r="Y168" s="4"/>
    </row>
    <row r="169" customFormat="false" ht="93" hidden="false" customHeight="true" outlineLevel="0" collapsed="false">
      <c r="A169" s="4"/>
      <c r="B169" s="17" t="n">
        <v>161</v>
      </c>
      <c r="C169" s="18" t="str">
        <f aca="false">CONCATENATE(F169,D169)</f>
        <v>B2-JB-4413-I6152</v>
      </c>
      <c r="D169" s="19" t="s">
        <v>489</v>
      </c>
      <c r="E169" s="19" t="s">
        <v>261</v>
      </c>
      <c r="F169" s="19" t="s">
        <v>457</v>
      </c>
      <c r="G169" s="21" t="s">
        <v>458</v>
      </c>
      <c r="H169" s="20" t="s">
        <v>486</v>
      </c>
      <c r="I169" s="19" t="s">
        <v>60</v>
      </c>
      <c r="J169" s="21" t="s">
        <v>61</v>
      </c>
      <c r="K169" s="20" t="s">
        <v>62</v>
      </c>
      <c r="L169" s="20" t="s">
        <v>33</v>
      </c>
      <c r="M169" s="20" t="s">
        <v>34</v>
      </c>
      <c r="N169" s="20" t="n">
        <v>13.5</v>
      </c>
      <c r="O169" s="20" t="s">
        <v>35</v>
      </c>
      <c r="P169" s="20" t="s">
        <v>36</v>
      </c>
      <c r="Q169" s="20" t="n">
        <v>350</v>
      </c>
      <c r="R169" s="22" t="s">
        <v>63</v>
      </c>
      <c r="S169" s="17" t="s">
        <v>38</v>
      </c>
      <c r="T169" s="20" t="s">
        <v>459</v>
      </c>
      <c r="U169" s="20" t="s">
        <v>40</v>
      </c>
      <c r="V169" s="28"/>
      <c r="W169" s="4"/>
      <c r="X169" s="4"/>
      <c r="Y169" s="4"/>
    </row>
    <row r="170" customFormat="false" ht="84" hidden="false" customHeight="true" outlineLevel="0" collapsed="false">
      <c r="A170" s="4"/>
      <c r="B170" s="17" t="n">
        <v>162</v>
      </c>
      <c r="C170" s="18" t="str">
        <f aca="false">CONCATENATE(F170,D170)</f>
        <v>B2-PDIT-44005-I6153</v>
      </c>
      <c r="D170" s="19" t="s">
        <v>490</v>
      </c>
      <c r="E170" s="19" t="s">
        <v>52</v>
      </c>
      <c r="F170" s="20" t="s">
        <v>491</v>
      </c>
      <c r="G170" s="20" t="s">
        <v>492</v>
      </c>
      <c r="H170" s="20" t="s">
        <v>493</v>
      </c>
      <c r="I170" s="19" t="s">
        <v>494</v>
      </c>
      <c r="J170" s="21" t="s">
        <v>495</v>
      </c>
      <c r="K170" s="20" t="s">
        <v>493</v>
      </c>
      <c r="L170" s="20" t="s">
        <v>33</v>
      </c>
      <c r="M170" s="20" t="s">
        <v>34</v>
      </c>
      <c r="N170" s="20" t="n">
        <v>11</v>
      </c>
      <c r="O170" s="20" t="s">
        <v>35</v>
      </c>
      <c r="P170" s="20" t="s">
        <v>53</v>
      </c>
      <c r="Q170" s="20" t="n">
        <v>2</v>
      </c>
      <c r="R170" s="22" t="s">
        <v>37</v>
      </c>
      <c r="S170" s="17" t="s">
        <v>38</v>
      </c>
      <c r="T170" s="20" t="s">
        <v>496</v>
      </c>
      <c r="U170" s="20" t="s">
        <v>40</v>
      </c>
      <c r="V170" s="28"/>
      <c r="W170" s="4"/>
      <c r="X170" s="4"/>
      <c r="Y170" s="4"/>
    </row>
    <row r="171" customFormat="false" ht="91.9" hidden="false" customHeight="true" outlineLevel="0" collapsed="false">
      <c r="A171" s="4"/>
      <c r="B171" s="17" t="n">
        <v>163</v>
      </c>
      <c r="C171" s="18" t="str">
        <f aca="false">CONCATENATE(F171,D171)</f>
        <v>B2-LS-44023A-I6154</v>
      </c>
      <c r="D171" s="19" t="s">
        <v>497</v>
      </c>
      <c r="E171" s="19" t="s">
        <v>55</v>
      </c>
      <c r="F171" s="20" t="s">
        <v>498</v>
      </c>
      <c r="G171" s="20" t="s">
        <v>499</v>
      </c>
      <c r="H171" s="20" t="s">
        <v>493</v>
      </c>
      <c r="I171" s="19" t="s">
        <v>494</v>
      </c>
      <c r="J171" s="21" t="s">
        <v>495</v>
      </c>
      <c r="K171" s="20" t="s">
        <v>493</v>
      </c>
      <c r="L171" s="20" t="s">
        <v>33</v>
      </c>
      <c r="M171" s="20" t="s">
        <v>34</v>
      </c>
      <c r="N171" s="20" t="n">
        <v>12.5</v>
      </c>
      <c r="O171" s="20" t="s">
        <v>35</v>
      </c>
      <c r="P171" s="20" t="s">
        <v>36</v>
      </c>
      <c r="Q171" s="20" t="n">
        <v>8</v>
      </c>
      <c r="R171" s="22" t="s">
        <v>37</v>
      </c>
      <c r="S171" s="17" t="s">
        <v>38</v>
      </c>
      <c r="T171" s="20" t="s">
        <v>496</v>
      </c>
      <c r="U171" s="20" t="s">
        <v>40</v>
      </c>
      <c r="V171" s="28"/>
      <c r="W171" s="4"/>
      <c r="X171" s="4"/>
      <c r="Y171" s="4"/>
    </row>
    <row r="172" customFormat="false" ht="93" hidden="false" customHeight="true" outlineLevel="0" collapsed="false">
      <c r="A172" s="4"/>
      <c r="B172" s="17" t="n">
        <v>164</v>
      </c>
      <c r="C172" s="18" t="str">
        <f aca="false">CONCATENATE(F172,D172)</f>
        <v>B2-LS-44023B-I6155</v>
      </c>
      <c r="D172" s="19" t="s">
        <v>500</v>
      </c>
      <c r="E172" s="19" t="s">
        <v>55</v>
      </c>
      <c r="F172" s="20" t="s">
        <v>501</v>
      </c>
      <c r="G172" s="20" t="s">
        <v>502</v>
      </c>
      <c r="H172" s="20" t="s">
        <v>493</v>
      </c>
      <c r="I172" s="19" t="s">
        <v>494</v>
      </c>
      <c r="J172" s="21" t="s">
        <v>495</v>
      </c>
      <c r="K172" s="20" t="s">
        <v>493</v>
      </c>
      <c r="L172" s="20" t="s">
        <v>33</v>
      </c>
      <c r="M172" s="20" t="s">
        <v>34</v>
      </c>
      <c r="N172" s="20" t="n">
        <v>12.5</v>
      </c>
      <c r="O172" s="20" t="s">
        <v>35</v>
      </c>
      <c r="P172" s="20" t="s">
        <v>36</v>
      </c>
      <c r="Q172" s="20" t="n">
        <v>8</v>
      </c>
      <c r="R172" s="22" t="s">
        <v>37</v>
      </c>
      <c r="S172" s="17" t="s">
        <v>38</v>
      </c>
      <c r="T172" s="20" t="s">
        <v>496</v>
      </c>
      <c r="U172" s="20" t="s">
        <v>40</v>
      </c>
      <c r="V172" s="28"/>
      <c r="W172" s="4"/>
      <c r="X172" s="4"/>
      <c r="Y172" s="4"/>
    </row>
    <row r="173" customFormat="false" ht="79.9" hidden="false" customHeight="true" outlineLevel="0" collapsed="false">
      <c r="A173" s="4"/>
      <c r="B173" s="17" t="n">
        <v>165</v>
      </c>
      <c r="C173" s="18" t="str">
        <f aca="false">CONCATENATE(F173,D173)</f>
        <v>B2-LS-44023C-I6156</v>
      </c>
      <c r="D173" s="19" t="s">
        <v>503</v>
      </c>
      <c r="E173" s="19" t="s">
        <v>55</v>
      </c>
      <c r="F173" s="20" t="s">
        <v>504</v>
      </c>
      <c r="G173" s="20" t="s">
        <v>505</v>
      </c>
      <c r="H173" s="20" t="s">
        <v>493</v>
      </c>
      <c r="I173" s="19" t="s">
        <v>494</v>
      </c>
      <c r="J173" s="21" t="s">
        <v>495</v>
      </c>
      <c r="K173" s="20" t="s">
        <v>493</v>
      </c>
      <c r="L173" s="20" t="s">
        <v>33</v>
      </c>
      <c r="M173" s="20" t="s">
        <v>34</v>
      </c>
      <c r="N173" s="20" t="n">
        <v>12.5</v>
      </c>
      <c r="O173" s="20" t="s">
        <v>35</v>
      </c>
      <c r="P173" s="20" t="s">
        <v>36</v>
      </c>
      <c r="Q173" s="20" t="n">
        <v>8</v>
      </c>
      <c r="R173" s="22" t="s">
        <v>37</v>
      </c>
      <c r="S173" s="17" t="s">
        <v>38</v>
      </c>
      <c r="T173" s="20" t="s">
        <v>496</v>
      </c>
      <c r="U173" s="20" t="s">
        <v>40</v>
      </c>
      <c r="V173" s="28"/>
      <c r="W173" s="4"/>
      <c r="X173" s="4"/>
      <c r="Y173" s="4"/>
    </row>
    <row r="174" customFormat="false" ht="103.9" hidden="false" customHeight="true" outlineLevel="0" collapsed="false">
      <c r="A174" s="4"/>
      <c r="B174" s="17" t="n">
        <v>166</v>
      </c>
      <c r="C174" s="18" t="str">
        <f aca="false">CONCATENATE(F174,D174)</f>
        <v>B2-LS-44026-I6157</v>
      </c>
      <c r="D174" s="19" t="s">
        <v>506</v>
      </c>
      <c r="E174" s="19" t="s">
        <v>55</v>
      </c>
      <c r="F174" s="20" t="s">
        <v>507</v>
      </c>
      <c r="G174" s="20" t="s">
        <v>508</v>
      </c>
      <c r="H174" s="20" t="s">
        <v>493</v>
      </c>
      <c r="I174" s="19" t="s">
        <v>494</v>
      </c>
      <c r="J174" s="21" t="s">
        <v>495</v>
      </c>
      <c r="K174" s="20" t="s">
        <v>493</v>
      </c>
      <c r="L174" s="20" t="s">
        <v>33</v>
      </c>
      <c r="M174" s="20" t="s">
        <v>34</v>
      </c>
      <c r="N174" s="20" t="n">
        <v>12.5</v>
      </c>
      <c r="O174" s="20" t="s">
        <v>35</v>
      </c>
      <c r="P174" s="20" t="s">
        <v>36</v>
      </c>
      <c r="Q174" s="20" t="n">
        <v>20</v>
      </c>
      <c r="R174" s="22" t="s">
        <v>37</v>
      </c>
      <c r="S174" s="17" t="s">
        <v>38</v>
      </c>
      <c r="T174" s="20" t="s">
        <v>496</v>
      </c>
      <c r="U174" s="20" t="s">
        <v>40</v>
      </c>
      <c r="V174" s="28"/>
      <c r="W174" s="4"/>
      <c r="X174" s="4"/>
      <c r="Y174" s="4"/>
    </row>
    <row r="175" customFormat="false" ht="90" hidden="false" customHeight="true" outlineLevel="0" collapsed="false">
      <c r="A175" s="4"/>
      <c r="B175" s="17" t="n">
        <v>167</v>
      </c>
      <c r="C175" s="18" t="str">
        <f aca="false">CONCATENATE(F175,D175)</f>
        <v>B2-XV-44072-I6158</v>
      </c>
      <c r="D175" s="19" t="s">
        <v>509</v>
      </c>
      <c r="E175" s="19" t="s">
        <v>55</v>
      </c>
      <c r="F175" s="20" t="s">
        <v>510</v>
      </c>
      <c r="G175" s="20" t="s">
        <v>511</v>
      </c>
      <c r="H175" s="20" t="s">
        <v>493</v>
      </c>
      <c r="I175" s="19" t="s">
        <v>494</v>
      </c>
      <c r="J175" s="21" t="s">
        <v>495</v>
      </c>
      <c r="K175" s="20" t="s">
        <v>493</v>
      </c>
      <c r="L175" s="20" t="s">
        <v>33</v>
      </c>
      <c r="M175" s="20" t="s">
        <v>34</v>
      </c>
      <c r="N175" s="20" t="n">
        <v>12.5</v>
      </c>
      <c r="O175" s="20" t="s">
        <v>35</v>
      </c>
      <c r="P175" s="20" t="s">
        <v>36</v>
      </c>
      <c r="Q175" s="20" t="n">
        <v>15</v>
      </c>
      <c r="R175" s="22" t="s">
        <v>37</v>
      </c>
      <c r="S175" s="17" t="s">
        <v>38</v>
      </c>
      <c r="T175" s="20" t="s">
        <v>496</v>
      </c>
      <c r="U175" s="20" t="s">
        <v>40</v>
      </c>
      <c r="V175" s="28"/>
      <c r="W175" s="4"/>
      <c r="X175" s="4"/>
      <c r="Y175" s="4"/>
    </row>
    <row r="176" customFormat="false" ht="119.45" hidden="false" customHeight="true" outlineLevel="0" collapsed="false">
      <c r="A176" s="4"/>
      <c r="B176" s="17" t="n">
        <v>168</v>
      </c>
      <c r="C176" s="18" t="str">
        <f aca="false">CONCATENATE(F176,D176)</f>
        <v>B2-XV-44072-I6159</v>
      </c>
      <c r="D176" s="19" t="s">
        <v>512</v>
      </c>
      <c r="E176" s="19" t="s">
        <v>26</v>
      </c>
      <c r="F176" s="20" t="s">
        <v>510</v>
      </c>
      <c r="G176" s="20" t="s">
        <v>511</v>
      </c>
      <c r="H176" s="20" t="s">
        <v>493</v>
      </c>
      <c r="I176" s="19" t="s">
        <v>494</v>
      </c>
      <c r="J176" s="21" t="s">
        <v>495</v>
      </c>
      <c r="K176" s="20" t="s">
        <v>493</v>
      </c>
      <c r="L176" s="20" t="s">
        <v>33</v>
      </c>
      <c r="M176" s="20" t="s">
        <v>34</v>
      </c>
      <c r="N176" s="20" t="n">
        <v>12</v>
      </c>
      <c r="O176" s="20" t="s">
        <v>35</v>
      </c>
      <c r="P176" s="20" t="s">
        <v>36</v>
      </c>
      <c r="Q176" s="20" t="n">
        <v>15</v>
      </c>
      <c r="R176" s="22" t="s">
        <v>37</v>
      </c>
      <c r="S176" s="17" t="s">
        <v>38</v>
      </c>
      <c r="T176" s="20" t="s">
        <v>496</v>
      </c>
      <c r="U176" s="20" t="s">
        <v>40</v>
      </c>
      <c r="V176" s="28"/>
      <c r="W176" s="4"/>
      <c r="X176" s="4"/>
      <c r="Y176" s="4"/>
    </row>
    <row r="177" customFormat="false" ht="82.9" hidden="false" customHeight="true" outlineLevel="0" collapsed="false">
      <c r="A177" s="4"/>
      <c r="B177" s="17" t="n">
        <v>169</v>
      </c>
      <c r="C177" s="18" t="str">
        <f aca="false">CONCATENATE(F177,D177)</f>
        <v>B2-JB-4414-I6160</v>
      </c>
      <c r="D177" s="19" t="s">
        <v>513</v>
      </c>
      <c r="E177" s="19" t="s">
        <v>169</v>
      </c>
      <c r="F177" s="19" t="s">
        <v>494</v>
      </c>
      <c r="G177" s="21" t="s">
        <v>495</v>
      </c>
      <c r="H177" s="20" t="s">
        <v>493</v>
      </c>
      <c r="I177" s="19" t="s">
        <v>60</v>
      </c>
      <c r="J177" s="21" t="s">
        <v>61</v>
      </c>
      <c r="K177" s="20" t="s">
        <v>62</v>
      </c>
      <c r="L177" s="20" t="s">
        <v>33</v>
      </c>
      <c r="M177" s="20" t="s">
        <v>34</v>
      </c>
      <c r="N177" s="20" t="n">
        <v>16.5</v>
      </c>
      <c r="O177" s="20" t="s">
        <v>35</v>
      </c>
      <c r="P177" s="20" t="s">
        <v>53</v>
      </c>
      <c r="Q177" s="20" t="n">
        <v>350</v>
      </c>
      <c r="R177" s="22" t="s">
        <v>63</v>
      </c>
      <c r="S177" s="17" t="s">
        <v>38</v>
      </c>
      <c r="T177" s="20" t="s">
        <v>496</v>
      </c>
      <c r="U177" s="20" t="s">
        <v>40</v>
      </c>
      <c r="V177" s="28"/>
      <c r="W177" s="4"/>
      <c r="X177" s="4"/>
      <c r="Y177" s="4"/>
    </row>
    <row r="178" customFormat="false" ht="85.9" hidden="false" customHeight="true" outlineLevel="0" collapsed="false">
      <c r="A178" s="4"/>
      <c r="B178" s="17" t="n">
        <v>170</v>
      </c>
      <c r="C178" s="18" t="str">
        <f aca="false">CONCATENATE(F178,D178)</f>
        <v>B2-JB-4414-I6161</v>
      </c>
      <c r="D178" s="19" t="s">
        <v>514</v>
      </c>
      <c r="E178" s="19" t="s">
        <v>74</v>
      </c>
      <c r="F178" s="19" t="s">
        <v>494</v>
      </c>
      <c r="G178" s="21" t="s">
        <v>495</v>
      </c>
      <c r="H178" s="20" t="s">
        <v>493</v>
      </c>
      <c r="I178" s="19" t="s">
        <v>60</v>
      </c>
      <c r="J178" s="21" t="s">
        <v>61</v>
      </c>
      <c r="K178" s="20" t="s">
        <v>62</v>
      </c>
      <c r="L178" s="20" t="s">
        <v>33</v>
      </c>
      <c r="M178" s="20" t="s">
        <v>34</v>
      </c>
      <c r="N178" s="20" t="n">
        <v>18</v>
      </c>
      <c r="O178" s="20" t="s">
        <v>35</v>
      </c>
      <c r="P178" s="20" t="s">
        <v>36</v>
      </c>
      <c r="Q178" s="20" t="n">
        <v>350</v>
      </c>
      <c r="R178" s="22" t="s">
        <v>63</v>
      </c>
      <c r="S178" s="17" t="s">
        <v>38</v>
      </c>
      <c r="T178" s="20" t="s">
        <v>496</v>
      </c>
      <c r="U178" s="20" t="s">
        <v>40</v>
      </c>
      <c r="V178" s="28"/>
      <c r="W178" s="4"/>
      <c r="X178" s="4"/>
      <c r="Y178" s="4"/>
    </row>
    <row r="179" customFormat="false" ht="87" hidden="false" customHeight="true" outlineLevel="0" collapsed="false">
      <c r="A179" s="4"/>
      <c r="B179" s="17" t="n">
        <v>171</v>
      </c>
      <c r="C179" s="18" t="str">
        <f aca="false">CONCATENATE(F179,D179)</f>
        <v>B2-JB-4414-I6162</v>
      </c>
      <c r="D179" s="19" t="s">
        <v>515</v>
      </c>
      <c r="E179" s="19" t="s">
        <v>74</v>
      </c>
      <c r="F179" s="19" t="s">
        <v>494</v>
      </c>
      <c r="G179" s="21" t="s">
        <v>495</v>
      </c>
      <c r="H179" s="20" t="s">
        <v>493</v>
      </c>
      <c r="I179" s="19" t="s">
        <v>60</v>
      </c>
      <c r="J179" s="21" t="s">
        <v>61</v>
      </c>
      <c r="K179" s="20" t="s">
        <v>62</v>
      </c>
      <c r="L179" s="20" t="s">
        <v>33</v>
      </c>
      <c r="M179" s="20" t="s">
        <v>34</v>
      </c>
      <c r="N179" s="20" t="n">
        <v>18</v>
      </c>
      <c r="O179" s="20" t="s">
        <v>35</v>
      </c>
      <c r="P179" s="20" t="s">
        <v>36</v>
      </c>
      <c r="Q179" s="20" t="n">
        <v>350</v>
      </c>
      <c r="R179" s="22" t="s">
        <v>63</v>
      </c>
      <c r="S179" s="17" t="s">
        <v>38</v>
      </c>
      <c r="T179" s="20" t="s">
        <v>496</v>
      </c>
      <c r="U179" s="20" t="s">
        <v>40</v>
      </c>
      <c r="V179" s="28"/>
      <c r="W179" s="4"/>
      <c r="X179" s="4"/>
      <c r="Y179" s="4"/>
    </row>
    <row r="180" customFormat="false" ht="91.9" hidden="false" customHeight="true" outlineLevel="0" collapsed="false">
      <c r="A180" s="4"/>
      <c r="B180" s="17" t="n">
        <v>172</v>
      </c>
      <c r="C180" s="18" t="str">
        <f aca="false">CONCATENATE(F180,D180)</f>
        <v>B2-JB-4414-I6163</v>
      </c>
      <c r="D180" s="19" t="s">
        <v>516</v>
      </c>
      <c r="E180" s="19" t="s">
        <v>261</v>
      </c>
      <c r="F180" s="19" t="s">
        <v>494</v>
      </c>
      <c r="G180" s="21" t="s">
        <v>495</v>
      </c>
      <c r="H180" s="20" t="s">
        <v>493</v>
      </c>
      <c r="I180" s="19" t="s">
        <v>60</v>
      </c>
      <c r="J180" s="21" t="s">
        <v>61</v>
      </c>
      <c r="K180" s="20" t="s">
        <v>62</v>
      </c>
      <c r="L180" s="20" t="s">
        <v>33</v>
      </c>
      <c r="M180" s="20" t="s">
        <v>34</v>
      </c>
      <c r="N180" s="20" t="n">
        <v>13.5</v>
      </c>
      <c r="O180" s="20" t="s">
        <v>35</v>
      </c>
      <c r="P180" s="20" t="s">
        <v>36</v>
      </c>
      <c r="Q180" s="20" t="n">
        <v>350</v>
      </c>
      <c r="R180" s="22" t="s">
        <v>63</v>
      </c>
      <c r="S180" s="17" t="s">
        <v>38</v>
      </c>
      <c r="T180" s="20" t="s">
        <v>496</v>
      </c>
      <c r="U180" s="20" t="s">
        <v>40</v>
      </c>
      <c r="V180" s="28"/>
      <c r="W180" s="4"/>
      <c r="X180" s="4"/>
      <c r="Y180" s="4"/>
    </row>
    <row r="181" customFormat="false" ht="135" hidden="false" customHeight="true" outlineLevel="0" collapsed="false">
      <c r="A181" s="4"/>
      <c r="B181" s="17" t="n">
        <v>173</v>
      </c>
      <c r="C181" s="18" t="str">
        <f aca="false">CONCATENATE(F181,D181)</f>
        <v>B2-GD-44009-I6164</v>
      </c>
      <c r="D181" s="19" t="s">
        <v>517</v>
      </c>
      <c r="E181" s="19" t="s">
        <v>45</v>
      </c>
      <c r="F181" s="20" t="s">
        <v>518</v>
      </c>
      <c r="G181" s="20" t="s">
        <v>519</v>
      </c>
      <c r="H181" s="29" t="s">
        <v>520</v>
      </c>
      <c r="I181" s="19" t="s">
        <v>99</v>
      </c>
      <c r="J181" s="21" t="s">
        <v>100</v>
      </c>
      <c r="K181" s="20" t="s">
        <v>62</v>
      </c>
      <c r="L181" s="20" t="s">
        <v>33</v>
      </c>
      <c r="M181" s="20" t="s">
        <v>34</v>
      </c>
      <c r="N181" s="20" t="n">
        <v>11.5</v>
      </c>
      <c r="O181" s="20" t="s">
        <v>35</v>
      </c>
      <c r="P181" s="20" t="s">
        <v>50</v>
      </c>
      <c r="Q181" s="20" t="n">
        <v>350</v>
      </c>
      <c r="R181" s="22" t="s">
        <v>63</v>
      </c>
      <c r="S181" s="17" t="s">
        <v>38</v>
      </c>
      <c r="T181" s="20" t="s">
        <v>521</v>
      </c>
      <c r="U181" s="20" t="s">
        <v>40</v>
      </c>
      <c r="V181" s="28"/>
      <c r="W181" s="4"/>
      <c r="X181" s="4"/>
      <c r="Y181" s="4"/>
    </row>
    <row r="182" customFormat="false" ht="126" hidden="false" customHeight="true" outlineLevel="0" collapsed="false">
      <c r="A182" s="4"/>
      <c r="B182" s="17" t="n">
        <v>174</v>
      </c>
      <c r="C182" s="18" t="str">
        <f aca="false">CONCATENATE(F182,D182)</f>
        <v>B2-LCP-4406-I6165</v>
      </c>
      <c r="D182" s="19" t="s">
        <v>522</v>
      </c>
      <c r="E182" s="19" t="s">
        <v>55</v>
      </c>
      <c r="F182" s="19" t="s">
        <v>523</v>
      </c>
      <c r="G182" s="20" t="s">
        <v>524</v>
      </c>
      <c r="H182" s="20" t="s">
        <v>525</v>
      </c>
      <c r="I182" s="19" t="s">
        <v>60</v>
      </c>
      <c r="J182" s="21" t="s">
        <v>61</v>
      </c>
      <c r="K182" s="20" t="s">
        <v>62</v>
      </c>
      <c r="L182" s="20" t="s">
        <v>33</v>
      </c>
      <c r="M182" s="20" t="s">
        <v>34</v>
      </c>
      <c r="N182" s="20" t="n">
        <v>12.5</v>
      </c>
      <c r="O182" s="20" t="s">
        <v>35</v>
      </c>
      <c r="P182" s="20" t="s">
        <v>36</v>
      </c>
      <c r="Q182" s="20" t="n">
        <v>350</v>
      </c>
      <c r="R182" s="22" t="s">
        <v>63</v>
      </c>
      <c r="S182" s="17" t="s">
        <v>38</v>
      </c>
      <c r="T182" s="20" t="s">
        <v>303</v>
      </c>
      <c r="U182" s="20" t="s">
        <v>40</v>
      </c>
      <c r="V182" s="28"/>
      <c r="W182" s="25"/>
      <c r="X182" s="25"/>
      <c r="Y182" s="25"/>
    </row>
    <row r="183" customFormat="false" ht="109.9" hidden="false" customHeight="true" outlineLevel="0" collapsed="false">
      <c r="A183" s="4"/>
      <c r="B183" s="17" t="n">
        <v>175</v>
      </c>
      <c r="C183" s="18" t="str">
        <f aca="false">CONCATENATE(F183,D183)</f>
        <v>B2-PIT-44015-I6166</v>
      </c>
      <c r="D183" s="19" t="s">
        <v>526</v>
      </c>
      <c r="E183" s="19" t="s">
        <v>52</v>
      </c>
      <c r="F183" s="20" t="s">
        <v>527</v>
      </c>
      <c r="G183" s="21" t="s">
        <v>528</v>
      </c>
      <c r="H183" s="20" t="s">
        <v>529</v>
      </c>
      <c r="I183" s="19" t="s">
        <v>530</v>
      </c>
      <c r="J183" s="21" t="s">
        <v>531</v>
      </c>
      <c r="K183" s="20" t="s">
        <v>529</v>
      </c>
      <c r="L183" s="20" t="s">
        <v>33</v>
      </c>
      <c r="M183" s="20" t="s">
        <v>34</v>
      </c>
      <c r="N183" s="20" t="n">
        <v>11</v>
      </c>
      <c r="O183" s="20" t="s">
        <v>35</v>
      </c>
      <c r="P183" s="20" t="s">
        <v>53</v>
      </c>
      <c r="Q183" s="20" t="n">
        <v>2</v>
      </c>
      <c r="R183" s="22" t="s">
        <v>37</v>
      </c>
      <c r="S183" s="17" t="s">
        <v>38</v>
      </c>
      <c r="T183" s="20" t="s">
        <v>532</v>
      </c>
      <c r="U183" s="20" t="s">
        <v>40</v>
      </c>
      <c r="V183" s="28"/>
      <c r="W183" s="4"/>
      <c r="X183" s="4"/>
      <c r="Y183" s="4"/>
    </row>
    <row r="184" customFormat="false" ht="100.9" hidden="false" customHeight="true" outlineLevel="0" collapsed="false">
      <c r="A184" s="4"/>
      <c r="B184" s="17" t="n">
        <v>176</v>
      </c>
      <c r="C184" s="18" t="str">
        <f aca="false">CONCATENATE(F184,D184)</f>
        <v>B2-TT-44013-I6167</v>
      </c>
      <c r="D184" s="19" t="s">
        <v>533</v>
      </c>
      <c r="E184" s="19" t="s">
        <v>52</v>
      </c>
      <c r="F184" s="20" t="s">
        <v>534</v>
      </c>
      <c r="G184" s="20" t="s">
        <v>535</v>
      </c>
      <c r="H184" s="20" t="s">
        <v>529</v>
      </c>
      <c r="I184" s="19" t="s">
        <v>530</v>
      </c>
      <c r="J184" s="21" t="s">
        <v>531</v>
      </c>
      <c r="K184" s="20" t="s">
        <v>529</v>
      </c>
      <c r="L184" s="20" t="s">
        <v>33</v>
      </c>
      <c r="M184" s="20" t="s">
        <v>34</v>
      </c>
      <c r="N184" s="20" t="n">
        <v>11</v>
      </c>
      <c r="O184" s="20" t="s">
        <v>35</v>
      </c>
      <c r="P184" s="20" t="s">
        <v>53</v>
      </c>
      <c r="Q184" s="20" t="n">
        <v>6</v>
      </c>
      <c r="R184" s="22" t="s">
        <v>37</v>
      </c>
      <c r="S184" s="17" t="s">
        <v>38</v>
      </c>
      <c r="T184" s="20" t="s">
        <v>532</v>
      </c>
      <c r="U184" s="20" t="s">
        <v>40</v>
      </c>
      <c r="V184" s="28"/>
      <c r="W184" s="4"/>
      <c r="X184" s="4"/>
      <c r="Y184" s="4"/>
    </row>
    <row r="185" customFormat="false" ht="97.9" hidden="false" customHeight="true" outlineLevel="0" collapsed="false">
      <c r="A185" s="4"/>
      <c r="B185" s="17" t="n">
        <v>177</v>
      </c>
      <c r="C185" s="18" t="str">
        <f aca="false">CONCATENATE(F185,D185)</f>
        <v>B2-PIT-44016-I6168</v>
      </c>
      <c r="D185" s="19" t="s">
        <v>536</v>
      </c>
      <c r="E185" s="19" t="s">
        <v>52</v>
      </c>
      <c r="F185" s="20" t="s">
        <v>537</v>
      </c>
      <c r="G185" s="20" t="s">
        <v>538</v>
      </c>
      <c r="H185" s="20" t="s">
        <v>529</v>
      </c>
      <c r="I185" s="19" t="s">
        <v>530</v>
      </c>
      <c r="J185" s="21" t="s">
        <v>531</v>
      </c>
      <c r="K185" s="20" t="s">
        <v>529</v>
      </c>
      <c r="L185" s="20" t="s">
        <v>33</v>
      </c>
      <c r="M185" s="20" t="s">
        <v>34</v>
      </c>
      <c r="N185" s="20" t="n">
        <v>11</v>
      </c>
      <c r="O185" s="20" t="s">
        <v>35</v>
      </c>
      <c r="P185" s="20" t="s">
        <v>53</v>
      </c>
      <c r="Q185" s="20" t="n">
        <v>2</v>
      </c>
      <c r="R185" s="22" t="s">
        <v>37</v>
      </c>
      <c r="S185" s="17" t="s">
        <v>38</v>
      </c>
      <c r="T185" s="20" t="s">
        <v>532</v>
      </c>
      <c r="U185" s="20" t="s">
        <v>40</v>
      </c>
      <c r="V185" s="28"/>
      <c r="W185" s="4"/>
      <c r="X185" s="4"/>
      <c r="Y185" s="4"/>
    </row>
    <row r="186" customFormat="false" ht="93" hidden="false" customHeight="true" outlineLevel="0" collapsed="false">
      <c r="A186" s="4"/>
      <c r="B186" s="17" t="n">
        <v>178</v>
      </c>
      <c r="C186" s="18" t="str">
        <f aca="false">CONCATENATE(F186,D186)</f>
        <v>B2-TT-44014-I6169</v>
      </c>
      <c r="D186" s="19" t="s">
        <v>539</v>
      </c>
      <c r="E186" s="19" t="s">
        <v>52</v>
      </c>
      <c r="F186" s="20" t="s">
        <v>540</v>
      </c>
      <c r="G186" s="20" t="s">
        <v>541</v>
      </c>
      <c r="H186" s="20" t="s">
        <v>529</v>
      </c>
      <c r="I186" s="19" t="s">
        <v>530</v>
      </c>
      <c r="J186" s="21" t="s">
        <v>531</v>
      </c>
      <c r="K186" s="20" t="s">
        <v>529</v>
      </c>
      <c r="L186" s="20" t="s">
        <v>33</v>
      </c>
      <c r="M186" s="20" t="s">
        <v>34</v>
      </c>
      <c r="N186" s="20" t="n">
        <v>11</v>
      </c>
      <c r="O186" s="20" t="s">
        <v>35</v>
      </c>
      <c r="P186" s="20" t="s">
        <v>53</v>
      </c>
      <c r="Q186" s="20" t="n">
        <v>6</v>
      </c>
      <c r="R186" s="22" t="s">
        <v>37</v>
      </c>
      <c r="S186" s="17" t="s">
        <v>38</v>
      </c>
      <c r="T186" s="20" t="s">
        <v>532</v>
      </c>
      <c r="U186" s="20" t="s">
        <v>40</v>
      </c>
      <c r="V186" s="28"/>
      <c r="W186" s="4"/>
      <c r="X186" s="4"/>
      <c r="Y186" s="4"/>
    </row>
    <row r="187" customFormat="false" ht="97.9" hidden="false" customHeight="true" outlineLevel="0" collapsed="false">
      <c r="A187" s="4"/>
      <c r="B187" s="17" t="n">
        <v>179</v>
      </c>
      <c r="C187" s="18" t="str">
        <f aca="false">CONCATENATE(F187,D187)</f>
        <v>B2-TT-44015-I6170</v>
      </c>
      <c r="D187" s="19" t="s">
        <v>542</v>
      </c>
      <c r="E187" s="19" t="s">
        <v>52</v>
      </c>
      <c r="F187" s="20" t="s">
        <v>543</v>
      </c>
      <c r="G187" s="20" t="s">
        <v>544</v>
      </c>
      <c r="H187" s="20" t="s">
        <v>529</v>
      </c>
      <c r="I187" s="19" t="s">
        <v>530</v>
      </c>
      <c r="J187" s="21" t="s">
        <v>531</v>
      </c>
      <c r="K187" s="20" t="s">
        <v>529</v>
      </c>
      <c r="L187" s="20" t="s">
        <v>33</v>
      </c>
      <c r="M187" s="20" t="s">
        <v>34</v>
      </c>
      <c r="N187" s="20" t="n">
        <v>11</v>
      </c>
      <c r="O187" s="20" t="s">
        <v>35</v>
      </c>
      <c r="P187" s="20" t="s">
        <v>53</v>
      </c>
      <c r="Q187" s="20" t="n">
        <v>8</v>
      </c>
      <c r="R187" s="22" t="s">
        <v>37</v>
      </c>
      <c r="S187" s="17" t="s">
        <v>38</v>
      </c>
      <c r="T187" s="20" t="s">
        <v>532</v>
      </c>
      <c r="U187" s="20" t="s">
        <v>40</v>
      </c>
      <c r="V187" s="28"/>
      <c r="W187" s="4"/>
      <c r="X187" s="4"/>
      <c r="Y187" s="4"/>
    </row>
    <row r="188" customFormat="false" ht="96" hidden="false" customHeight="true" outlineLevel="0" collapsed="false">
      <c r="A188" s="4"/>
      <c r="B188" s="17" t="n">
        <v>180</v>
      </c>
      <c r="C188" s="18" t="str">
        <f aca="false">CONCATENATE(F188,D188)</f>
        <v>B2-LS-44027A-I6171</v>
      </c>
      <c r="D188" s="19" t="s">
        <v>545</v>
      </c>
      <c r="E188" s="19" t="s">
        <v>55</v>
      </c>
      <c r="F188" s="20" t="s">
        <v>546</v>
      </c>
      <c r="G188" s="20" t="s">
        <v>547</v>
      </c>
      <c r="H188" s="20" t="s">
        <v>529</v>
      </c>
      <c r="I188" s="19" t="s">
        <v>530</v>
      </c>
      <c r="J188" s="21" t="s">
        <v>531</v>
      </c>
      <c r="K188" s="20" t="s">
        <v>529</v>
      </c>
      <c r="L188" s="20" t="s">
        <v>33</v>
      </c>
      <c r="M188" s="20" t="s">
        <v>34</v>
      </c>
      <c r="N188" s="20" t="n">
        <v>12.5</v>
      </c>
      <c r="O188" s="20" t="s">
        <v>35</v>
      </c>
      <c r="P188" s="20" t="s">
        <v>36</v>
      </c>
      <c r="Q188" s="20" t="n">
        <v>10</v>
      </c>
      <c r="R188" s="22" t="s">
        <v>37</v>
      </c>
      <c r="S188" s="17" t="s">
        <v>38</v>
      </c>
      <c r="T188" s="20" t="s">
        <v>532</v>
      </c>
      <c r="U188" s="20" t="s">
        <v>40</v>
      </c>
      <c r="V188" s="28"/>
      <c r="W188" s="4"/>
      <c r="X188" s="4"/>
      <c r="Y188" s="4"/>
    </row>
    <row r="189" customFormat="false" ht="102" hidden="false" customHeight="true" outlineLevel="0" collapsed="false">
      <c r="A189" s="4"/>
      <c r="B189" s="17" t="n">
        <v>181</v>
      </c>
      <c r="C189" s="18" t="str">
        <f aca="false">CONCATENATE(F189,D189)</f>
        <v>B2-LS-44027B-I6172</v>
      </c>
      <c r="D189" s="19" t="s">
        <v>548</v>
      </c>
      <c r="E189" s="19" t="s">
        <v>55</v>
      </c>
      <c r="F189" s="20" t="s">
        <v>549</v>
      </c>
      <c r="G189" s="20" t="s">
        <v>550</v>
      </c>
      <c r="H189" s="20" t="s">
        <v>529</v>
      </c>
      <c r="I189" s="19" t="s">
        <v>530</v>
      </c>
      <c r="J189" s="21" t="s">
        <v>531</v>
      </c>
      <c r="K189" s="20" t="s">
        <v>529</v>
      </c>
      <c r="L189" s="20" t="s">
        <v>33</v>
      </c>
      <c r="M189" s="20" t="s">
        <v>34</v>
      </c>
      <c r="N189" s="20" t="n">
        <v>12.5</v>
      </c>
      <c r="O189" s="20" t="s">
        <v>35</v>
      </c>
      <c r="P189" s="20" t="s">
        <v>36</v>
      </c>
      <c r="Q189" s="20" t="n">
        <v>10</v>
      </c>
      <c r="R189" s="22" t="s">
        <v>37</v>
      </c>
      <c r="S189" s="17" t="s">
        <v>38</v>
      </c>
      <c r="T189" s="20" t="s">
        <v>532</v>
      </c>
      <c r="U189" s="20" t="s">
        <v>40</v>
      </c>
      <c r="V189" s="28"/>
      <c r="W189" s="4"/>
      <c r="X189" s="4"/>
      <c r="Y189" s="4"/>
    </row>
    <row r="190" customFormat="false" ht="90.6" hidden="false" customHeight="true" outlineLevel="0" collapsed="false">
      <c r="A190" s="4"/>
      <c r="B190" s="17" t="n">
        <v>182</v>
      </c>
      <c r="C190" s="18" t="str">
        <f aca="false">CONCATENATE(F190,D190)</f>
        <v>B2-LS-44027C-I6173</v>
      </c>
      <c r="D190" s="19" t="s">
        <v>551</v>
      </c>
      <c r="E190" s="19" t="s">
        <v>55</v>
      </c>
      <c r="F190" s="20" t="s">
        <v>552</v>
      </c>
      <c r="G190" s="20" t="s">
        <v>553</v>
      </c>
      <c r="H190" s="20" t="s">
        <v>529</v>
      </c>
      <c r="I190" s="19" t="s">
        <v>530</v>
      </c>
      <c r="J190" s="21" t="s">
        <v>531</v>
      </c>
      <c r="K190" s="20" t="s">
        <v>529</v>
      </c>
      <c r="L190" s="20" t="s">
        <v>33</v>
      </c>
      <c r="M190" s="20" t="s">
        <v>34</v>
      </c>
      <c r="N190" s="20" t="n">
        <v>12.5</v>
      </c>
      <c r="O190" s="20" t="s">
        <v>35</v>
      </c>
      <c r="P190" s="20" t="s">
        <v>36</v>
      </c>
      <c r="Q190" s="20" t="n">
        <v>10</v>
      </c>
      <c r="R190" s="22" t="s">
        <v>37</v>
      </c>
      <c r="S190" s="17" t="s">
        <v>38</v>
      </c>
      <c r="T190" s="20" t="s">
        <v>532</v>
      </c>
      <c r="U190" s="20" t="s">
        <v>40</v>
      </c>
      <c r="V190" s="28"/>
      <c r="W190" s="4"/>
      <c r="X190" s="4"/>
      <c r="Y190" s="4"/>
    </row>
    <row r="191" customFormat="false" ht="90" hidden="false" customHeight="true" outlineLevel="0" collapsed="false">
      <c r="A191" s="4"/>
      <c r="B191" s="17" t="n">
        <v>183</v>
      </c>
      <c r="C191" s="18" t="str">
        <f aca="false">CONCATENATE(F191,D191)</f>
        <v>B2-XV-44073-I6174</v>
      </c>
      <c r="D191" s="19" t="s">
        <v>554</v>
      </c>
      <c r="E191" s="19" t="s">
        <v>55</v>
      </c>
      <c r="F191" s="20" t="s">
        <v>555</v>
      </c>
      <c r="G191" s="20" t="s">
        <v>556</v>
      </c>
      <c r="H191" s="20" t="s">
        <v>529</v>
      </c>
      <c r="I191" s="19" t="s">
        <v>530</v>
      </c>
      <c r="J191" s="21" t="s">
        <v>531</v>
      </c>
      <c r="K191" s="20" t="s">
        <v>529</v>
      </c>
      <c r="L191" s="20" t="s">
        <v>33</v>
      </c>
      <c r="M191" s="20" t="s">
        <v>34</v>
      </c>
      <c r="N191" s="20" t="n">
        <v>12.5</v>
      </c>
      <c r="O191" s="20" t="s">
        <v>35</v>
      </c>
      <c r="P191" s="20" t="s">
        <v>36</v>
      </c>
      <c r="Q191" s="20" t="n">
        <v>15</v>
      </c>
      <c r="R191" s="22" t="s">
        <v>37</v>
      </c>
      <c r="S191" s="17" t="s">
        <v>38</v>
      </c>
      <c r="T191" s="20" t="s">
        <v>532</v>
      </c>
      <c r="U191" s="20" t="s">
        <v>40</v>
      </c>
      <c r="V191" s="28"/>
      <c r="W191" s="4"/>
      <c r="X191" s="4"/>
      <c r="Y191" s="4"/>
    </row>
    <row r="192" customFormat="false" ht="100.9" hidden="false" customHeight="true" outlineLevel="0" collapsed="false">
      <c r="A192" s="4"/>
      <c r="B192" s="17" t="n">
        <v>184</v>
      </c>
      <c r="C192" s="18" t="str">
        <f aca="false">CONCATENATE(F192,D192)</f>
        <v>B2-XV-44073-I6175</v>
      </c>
      <c r="D192" s="19" t="s">
        <v>557</v>
      </c>
      <c r="E192" s="19" t="s">
        <v>26</v>
      </c>
      <c r="F192" s="20" t="s">
        <v>555</v>
      </c>
      <c r="G192" s="20" t="s">
        <v>556</v>
      </c>
      <c r="H192" s="20" t="s">
        <v>529</v>
      </c>
      <c r="I192" s="19" t="s">
        <v>530</v>
      </c>
      <c r="J192" s="21" t="s">
        <v>531</v>
      </c>
      <c r="K192" s="20" t="s">
        <v>529</v>
      </c>
      <c r="L192" s="20" t="s">
        <v>33</v>
      </c>
      <c r="M192" s="20" t="s">
        <v>34</v>
      </c>
      <c r="N192" s="20" t="n">
        <v>12</v>
      </c>
      <c r="O192" s="20" t="s">
        <v>35</v>
      </c>
      <c r="P192" s="20" t="s">
        <v>36</v>
      </c>
      <c r="Q192" s="20" t="n">
        <v>15</v>
      </c>
      <c r="R192" s="22" t="s">
        <v>37</v>
      </c>
      <c r="S192" s="17" t="s">
        <v>38</v>
      </c>
      <c r="T192" s="20" t="s">
        <v>532</v>
      </c>
      <c r="U192" s="20" t="s">
        <v>40</v>
      </c>
      <c r="V192" s="28"/>
      <c r="W192" s="4"/>
      <c r="X192" s="4"/>
      <c r="Y192" s="4"/>
    </row>
    <row r="193" customFormat="false" ht="99" hidden="false" customHeight="true" outlineLevel="0" collapsed="false">
      <c r="A193" s="4"/>
      <c r="B193" s="17" t="n">
        <v>185</v>
      </c>
      <c r="C193" s="17" t="s">
        <v>67</v>
      </c>
      <c r="D193" s="19"/>
      <c r="E193" s="19" t="s">
        <v>169</v>
      </c>
      <c r="F193" s="19" t="s">
        <v>558</v>
      </c>
      <c r="G193" s="21" t="s">
        <v>531</v>
      </c>
      <c r="H193" s="20" t="s">
        <v>529</v>
      </c>
      <c r="I193" s="19" t="s">
        <v>341</v>
      </c>
      <c r="J193" s="21" t="s">
        <v>342</v>
      </c>
      <c r="K193" s="20" t="s">
        <v>62</v>
      </c>
      <c r="L193" s="20" t="s">
        <v>33</v>
      </c>
      <c r="M193" s="20" t="s">
        <v>34</v>
      </c>
      <c r="N193" s="20" t="s">
        <v>68</v>
      </c>
      <c r="O193" s="20" t="s">
        <v>68</v>
      </c>
      <c r="P193" s="20" t="s">
        <v>68</v>
      </c>
      <c r="Q193" s="20" t="s">
        <v>68</v>
      </c>
      <c r="R193" s="22" t="s">
        <v>63</v>
      </c>
      <c r="S193" s="17" t="s">
        <v>38</v>
      </c>
      <c r="T193" s="20" t="s">
        <v>532</v>
      </c>
      <c r="U193" s="20" t="s">
        <v>70</v>
      </c>
      <c r="V193" s="28"/>
      <c r="W193" s="25"/>
      <c r="X193" s="25"/>
      <c r="Y193" s="25"/>
    </row>
    <row r="194" customFormat="false" ht="94.9" hidden="false" customHeight="true" outlineLevel="0" collapsed="false">
      <c r="A194" s="4"/>
      <c r="B194" s="17" t="n">
        <v>186</v>
      </c>
      <c r="C194" s="18" t="str">
        <f aca="false">CONCATENATE(F194,D194)</f>
        <v>B2-JB-4415-I6176</v>
      </c>
      <c r="D194" s="19" t="s">
        <v>559</v>
      </c>
      <c r="E194" s="19" t="s">
        <v>94</v>
      </c>
      <c r="F194" s="19" t="s">
        <v>530</v>
      </c>
      <c r="G194" s="21" t="s">
        <v>531</v>
      </c>
      <c r="H194" s="20" t="s">
        <v>529</v>
      </c>
      <c r="I194" s="19" t="s">
        <v>60</v>
      </c>
      <c r="J194" s="21" t="s">
        <v>61</v>
      </c>
      <c r="K194" s="20" t="s">
        <v>62</v>
      </c>
      <c r="L194" s="20" t="s">
        <v>33</v>
      </c>
      <c r="M194" s="20" t="s">
        <v>34</v>
      </c>
      <c r="N194" s="20" t="n">
        <v>20.5</v>
      </c>
      <c r="O194" s="20" t="s">
        <v>35</v>
      </c>
      <c r="P194" s="20" t="s">
        <v>53</v>
      </c>
      <c r="Q194" s="20" t="n">
        <v>300</v>
      </c>
      <c r="R194" s="22" t="s">
        <v>63</v>
      </c>
      <c r="S194" s="17" t="s">
        <v>38</v>
      </c>
      <c r="T194" s="20" t="s">
        <v>532</v>
      </c>
      <c r="U194" s="20" t="s">
        <v>40</v>
      </c>
      <c r="V194" s="28"/>
      <c r="W194" s="4"/>
      <c r="X194" s="4"/>
      <c r="Y194" s="4"/>
    </row>
    <row r="195" customFormat="false" ht="99" hidden="false" customHeight="true" outlineLevel="0" collapsed="false">
      <c r="A195" s="4"/>
      <c r="B195" s="17" t="n">
        <v>187</v>
      </c>
      <c r="C195" s="18" t="str">
        <f aca="false">CONCATENATE(F195,D195)</f>
        <v>B2-JB-4415-I6177</v>
      </c>
      <c r="D195" s="19" t="s">
        <v>560</v>
      </c>
      <c r="E195" s="19" t="s">
        <v>172</v>
      </c>
      <c r="F195" s="19" t="s">
        <v>530</v>
      </c>
      <c r="G195" s="21" t="s">
        <v>531</v>
      </c>
      <c r="H195" s="20" t="s">
        <v>529</v>
      </c>
      <c r="I195" s="19" t="s">
        <v>60</v>
      </c>
      <c r="J195" s="21" t="s">
        <v>61</v>
      </c>
      <c r="K195" s="20" t="s">
        <v>62</v>
      </c>
      <c r="L195" s="20" t="s">
        <v>33</v>
      </c>
      <c r="M195" s="20" t="s">
        <v>34</v>
      </c>
      <c r="N195" s="20" t="n">
        <v>21.5</v>
      </c>
      <c r="O195" s="20" t="s">
        <v>35</v>
      </c>
      <c r="P195" s="20" t="s">
        <v>36</v>
      </c>
      <c r="Q195" s="20" t="n">
        <v>300</v>
      </c>
      <c r="R195" s="22" t="s">
        <v>63</v>
      </c>
      <c r="S195" s="17" t="s">
        <v>38</v>
      </c>
      <c r="T195" s="20" t="s">
        <v>532</v>
      </c>
      <c r="U195" s="20" t="s">
        <v>40</v>
      </c>
      <c r="V195" s="28"/>
      <c r="W195" s="4"/>
      <c r="X195" s="4"/>
      <c r="Y195" s="4"/>
    </row>
    <row r="196" customFormat="false" ht="100.9" hidden="false" customHeight="true" outlineLevel="0" collapsed="false">
      <c r="A196" s="4"/>
      <c r="B196" s="17" t="n">
        <v>188</v>
      </c>
      <c r="C196" s="18" t="str">
        <f aca="false">CONCATENATE(F196,D196)</f>
        <v>B2-JB-4415-I6178</v>
      </c>
      <c r="D196" s="19" t="s">
        <v>561</v>
      </c>
      <c r="E196" s="19" t="s">
        <v>261</v>
      </c>
      <c r="F196" s="19" t="s">
        <v>530</v>
      </c>
      <c r="G196" s="21" t="s">
        <v>531</v>
      </c>
      <c r="H196" s="20" t="s">
        <v>529</v>
      </c>
      <c r="I196" s="19" t="s">
        <v>60</v>
      </c>
      <c r="J196" s="21" t="s">
        <v>61</v>
      </c>
      <c r="K196" s="20" t="s">
        <v>62</v>
      </c>
      <c r="L196" s="20" t="s">
        <v>33</v>
      </c>
      <c r="M196" s="20" t="s">
        <v>34</v>
      </c>
      <c r="N196" s="20" t="n">
        <v>13.5</v>
      </c>
      <c r="O196" s="20" t="s">
        <v>35</v>
      </c>
      <c r="P196" s="20" t="s">
        <v>36</v>
      </c>
      <c r="Q196" s="20" t="n">
        <v>300</v>
      </c>
      <c r="R196" s="22" t="s">
        <v>63</v>
      </c>
      <c r="S196" s="17" t="s">
        <v>38</v>
      </c>
      <c r="T196" s="20" t="s">
        <v>532</v>
      </c>
      <c r="U196" s="20" t="s">
        <v>40</v>
      </c>
      <c r="V196" s="28"/>
      <c r="W196" s="4"/>
      <c r="X196" s="4"/>
      <c r="Y196" s="4"/>
    </row>
    <row r="197" customFormat="false" ht="80.45" hidden="false" customHeight="true" outlineLevel="0" collapsed="false">
      <c r="A197" s="4"/>
      <c r="B197" s="17" t="n">
        <v>189</v>
      </c>
      <c r="C197" s="18" t="str">
        <f aca="false">CONCATENATE(F197,D197)</f>
        <v>B2-PDIT-44006-I6179</v>
      </c>
      <c r="D197" s="19" t="s">
        <v>562</v>
      </c>
      <c r="E197" s="19" t="s">
        <v>52</v>
      </c>
      <c r="F197" s="20" t="s">
        <v>563</v>
      </c>
      <c r="G197" s="20" t="s">
        <v>564</v>
      </c>
      <c r="H197" s="20" t="s">
        <v>565</v>
      </c>
      <c r="I197" s="19" t="s">
        <v>566</v>
      </c>
      <c r="J197" s="21" t="s">
        <v>567</v>
      </c>
      <c r="K197" s="20" t="s">
        <v>565</v>
      </c>
      <c r="L197" s="20" t="s">
        <v>33</v>
      </c>
      <c r="M197" s="20" t="s">
        <v>34</v>
      </c>
      <c r="N197" s="20" t="n">
        <v>11</v>
      </c>
      <c r="O197" s="20" t="s">
        <v>35</v>
      </c>
      <c r="P197" s="20" t="s">
        <v>53</v>
      </c>
      <c r="Q197" s="20" t="n">
        <v>2</v>
      </c>
      <c r="R197" s="22" t="s">
        <v>37</v>
      </c>
      <c r="S197" s="17" t="s">
        <v>38</v>
      </c>
      <c r="T197" s="20" t="s">
        <v>303</v>
      </c>
      <c r="U197" s="20" t="s">
        <v>40</v>
      </c>
      <c r="V197" s="28"/>
      <c r="W197" s="4"/>
      <c r="X197" s="4"/>
      <c r="Y197" s="4"/>
    </row>
    <row r="198" customFormat="false" ht="84" hidden="false" customHeight="true" outlineLevel="0" collapsed="false">
      <c r="A198" s="4"/>
      <c r="B198" s="17" t="n">
        <v>190</v>
      </c>
      <c r="C198" s="18" t="str">
        <f aca="false">CONCATENATE(F198,D198)</f>
        <v>B2-LS-44030A-I6180</v>
      </c>
      <c r="D198" s="19" t="s">
        <v>568</v>
      </c>
      <c r="E198" s="19" t="s">
        <v>55</v>
      </c>
      <c r="F198" s="20" t="s">
        <v>569</v>
      </c>
      <c r="G198" s="20" t="s">
        <v>570</v>
      </c>
      <c r="H198" s="20" t="s">
        <v>565</v>
      </c>
      <c r="I198" s="19" t="s">
        <v>566</v>
      </c>
      <c r="J198" s="21" t="s">
        <v>567</v>
      </c>
      <c r="K198" s="20" t="s">
        <v>565</v>
      </c>
      <c r="L198" s="20" t="s">
        <v>33</v>
      </c>
      <c r="M198" s="20" t="s">
        <v>34</v>
      </c>
      <c r="N198" s="20" t="n">
        <v>12.5</v>
      </c>
      <c r="O198" s="20" t="s">
        <v>35</v>
      </c>
      <c r="P198" s="20" t="s">
        <v>36</v>
      </c>
      <c r="Q198" s="20" t="n">
        <v>8</v>
      </c>
      <c r="R198" s="22" t="s">
        <v>37</v>
      </c>
      <c r="S198" s="17" t="s">
        <v>38</v>
      </c>
      <c r="T198" s="20" t="s">
        <v>303</v>
      </c>
      <c r="U198" s="20" t="s">
        <v>40</v>
      </c>
      <c r="V198" s="28"/>
      <c r="W198" s="4"/>
      <c r="X198" s="4"/>
      <c r="Y198" s="4"/>
    </row>
    <row r="199" customFormat="false" ht="87" hidden="false" customHeight="true" outlineLevel="0" collapsed="false">
      <c r="A199" s="4"/>
      <c r="B199" s="17" t="n">
        <v>191</v>
      </c>
      <c r="C199" s="18" t="str">
        <f aca="false">CONCATENATE(F199,D199)</f>
        <v>B2-LS-44030B-I6181</v>
      </c>
      <c r="D199" s="19" t="s">
        <v>571</v>
      </c>
      <c r="E199" s="19" t="s">
        <v>55</v>
      </c>
      <c r="F199" s="20" t="s">
        <v>572</v>
      </c>
      <c r="G199" s="20" t="s">
        <v>573</v>
      </c>
      <c r="H199" s="20" t="s">
        <v>565</v>
      </c>
      <c r="I199" s="19" t="s">
        <v>566</v>
      </c>
      <c r="J199" s="21" t="s">
        <v>567</v>
      </c>
      <c r="K199" s="20" t="s">
        <v>565</v>
      </c>
      <c r="L199" s="20" t="s">
        <v>33</v>
      </c>
      <c r="M199" s="20" t="s">
        <v>34</v>
      </c>
      <c r="N199" s="20" t="n">
        <v>12.5</v>
      </c>
      <c r="O199" s="20" t="s">
        <v>35</v>
      </c>
      <c r="P199" s="20" t="s">
        <v>36</v>
      </c>
      <c r="Q199" s="20" t="n">
        <v>8</v>
      </c>
      <c r="R199" s="22" t="s">
        <v>37</v>
      </c>
      <c r="S199" s="17" t="s">
        <v>38</v>
      </c>
      <c r="T199" s="20" t="s">
        <v>303</v>
      </c>
      <c r="U199" s="20" t="s">
        <v>40</v>
      </c>
      <c r="V199" s="28"/>
      <c r="W199" s="4"/>
      <c r="X199" s="4"/>
      <c r="Y199" s="4"/>
    </row>
    <row r="200" customFormat="false" ht="84" hidden="false" customHeight="true" outlineLevel="0" collapsed="false">
      <c r="A200" s="4"/>
      <c r="B200" s="17" t="n">
        <v>192</v>
      </c>
      <c r="C200" s="18" t="str">
        <f aca="false">CONCATENATE(F200,D200)</f>
        <v>B2-LS-44030C-I6182</v>
      </c>
      <c r="D200" s="19" t="s">
        <v>574</v>
      </c>
      <c r="E200" s="19" t="s">
        <v>55</v>
      </c>
      <c r="F200" s="20" t="s">
        <v>575</v>
      </c>
      <c r="G200" s="20" t="s">
        <v>576</v>
      </c>
      <c r="H200" s="20" t="s">
        <v>565</v>
      </c>
      <c r="I200" s="19" t="s">
        <v>566</v>
      </c>
      <c r="J200" s="21" t="s">
        <v>567</v>
      </c>
      <c r="K200" s="20" t="s">
        <v>565</v>
      </c>
      <c r="L200" s="20" t="s">
        <v>33</v>
      </c>
      <c r="M200" s="20" t="s">
        <v>34</v>
      </c>
      <c r="N200" s="20" t="n">
        <v>12.5</v>
      </c>
      <c r="O200" s="20" t="s">
        <v>35</v>
      </c>
      <c r="P200" s="20" t="s">
        <v>36</v>
      </c>
      <c r="Q200" s="20" t="n">
        <v>8</v>
      </c>
      <c r="R200" s="22" t="s">
        <v>37</v>
      </c>
      <c r="S200" s="17" t="s">
        <v>38</v>
      </c>
      <c r="T200" s="20" t="s">
        <v>303</v>
      </c>
      <c r="U200" s="20" t="s">
        <v>40</v>
      </c>
      <c r="V200" s="28"/>
      <c r="W200" s="4"/>
      <c r="X200" s="4"/>
      <c r="Y200" s="4"/>
    </row>
    <row r="201" customFormat="false" ht="96" hidden="false" customHeight="true" outlineLevel="0" collapsed="false">
      <c r="A201" s="4"/>
      <c r="B201" s="17" t="n">
        <v>193</v>
      </c>
      <c r="C201" s="18" t="str">
        <f aca="false">CONCATENATE(F201,D201)</f>
        <v>B2-LS-44033-I6183</v>
      </c>
      <c r="D201" s="19" t="s">
        <v>577</v>
      </c>
      <c r="E201" s="19" t="s">
        <v>55</v>
      </c>
      <c r="F201" s="20" t="s">
        <v>578</v>
      </c>
      <c r="G201" s="20" t="s">
        <v>579</v>
      </c>
      <c r="H201" s="20" t="s">
        <v>565</v>
      </c>
      <c r="I201" s="19" t="s">
        <v>566</v>
      </c>
      <c r="J201" s="21" t="s">
        <v>567</v>
      </c>
      <c r="K201" s="20" t="s">
        <v>565</v>
      </c>
      <c r="L201" s="20" t="s">
        <v>33</v>
      </c>
      <c r="M201" s="20" t="s">
        <v>34</v>
      </c>
      <c r="N201" s="20" t="n">
        <v>12.5</v>
      </c>
      <c r="O201" s="20" t="s">
        <v>35</v>
      </c>
      <c r="P201" s="20" t="s">
        <v>36</v>
      </c>
      <c r="Q201" s="20" t="n">
        <v>20</v>
      </c>
      <c r="R201" s="22" t="s">
        <v>37</v>
      </c>
      <c r="S201" s="17" t="s">
        <v>38</v>
      </c>
      <c r="T201" s="20" t="s">
        <v>303</v>
      </c>
      <c r="U201" s="20" t="s">
        <v>40</v>
      </c>
      <c r="V201" s="28"/>
      <c r="W201" s="4"/>
      <c r="X201" s="4"/>
      <c r="Y201" s="4"/>
    </row>
    <row r="202" customFormat="false" ht="93" hidden="false" customHeight="true" outlineLevel="0" collapsed="false">
      <c r="A202" s="4"/>
      <c r="B202" s="17" t="n">
        <v>194</v>
      </c>
      <c r="C202" s="18" t="str">
        <f aca="false">CONCATENATE(F202,D202)</f>
        <v>B2-XV-44074-I6184</v>
      </c>
      <c r="D202" s="19" t="s">
        <v>580</v>
      </c>
      <c r="E202" s="19" t="s">
        <v>55</v>
      </c>
      <c r="F202" s="20" t="s">
        <v>581</v>
      </c>
      <c r="G202" s="20" t="s">
        <v>582</v>
      </c>
      <c r="H202" s="20" t="s">
        <v>565</v>
      </c>
      <c r="I202" s="19" t="s">
        <v>566</v>
      </c>
      <c r="J202" s="21" t="s">
        <v>567</v>
      </c>
      <c r="K202" s="20" t="s">
        <v>565</v>
      </c>
      <c r="L202" s="20" t="s">
        <v>33</v>
      </c>
      <c r="M202" s="20" t="s">
        <v>34</v>
      </c>
      <c r="N202" s="20" t="n">
        <v>12.5</v>
      </c>
      <c r="O202" s="20" t="s">
        <v>35</v>
      </c>
      <c r="P202" s="20" t="s">
        <v>36</v>
      </c>
      <c r="Q202" s="20" t="n">
        <v>15</v>
      </c>
      <c r="R202" s="22" t="s">
        <v>37</v>
      </c>
      <c r="S202" s="17" t="s">
        <v>38</v>
      </c>
      <c r="T202" s="20" t="s">
        <v>303</v>
      </c>
      <c r="U202" s="20" t="s">
        <v>40</v>
      </c>
      <c r="V202" s="28"/>
      <c r="W202" s="4"/>
      <c r="X202" s="4"/>
      <c r="Y202" s="4"/>
    </row>
    <row r="203" customFormat="false" ht="93" hidden="false" customHeight="true" outlineLevel="0" collapsed="false">
      <c r="A203" s="4"/>
      <c r="B203" s="17" t="n">
        <v>195</v>
      </c>
      <c r="C203" s="18" t="str">
        <f aca="false">CONCATENATE(F203,D203)</f>
        <v>B2-XV-44074-I6185</v>
      </c>
      <c r="D203" s="19" t="s">
        <v>583</v>
      </c>
      <c r="E203" s="19" t="s">
        <v>26</v>
      </c>
      <c r="F203" s="20" t="s">
        <v>581</v>
      </c>
      <c r="G203" s="20" t="s">
        <v>582</v>
      </c>
      <c r="H203" s="20" t="s">
        <v>565</v>
      </c>
      <c r="I203" s="19" t="s">
        <v>566</v>
      </c>
      <c r="J203" s="21" t="s">
        <v>567</v>
      </c>
      <c r="K203" s="20" t="s">
        <v>565</v>
      </c>
      <c r="L203" s="20" t="s">
        <v>33</v>
      </c>
      <c r="M203" s="20" t="s">
        <v>34</v>
      </c>
      <c r="N203" s="20" t="n">
        <v>12</v>
      </c>
      <c r="O203" s="20" t="s">
        <v>35</v>
      </c>
      <c r="P203" s="20" t="s">
        <v>36</v>
      </c>
      <c r="Q203" s="20" t="n">
        <v>15</v>
      </c>
      <c r="R203" s="22" t="s">
        <v>37</v>
      </c>
      <c r="S203" s="17" t="s">
        <v>38</v>
      </c>
      <c r="T203" s="20" t="s">
        <v>303</v>
      </c>
      <c r="U203" s="20" t="s">
        <v>40</v>
      </c>
      <c r="V203" s="28"/>
      <c r="W203" s="4"/>
      <c r="X203" s="4"/>
      <c r="Y203" s="4"/>
    </row>
    <row r="204" customFormat="false" ht="82.9" hidden="false" customHeight="true" outlineLevel="0" collapsed="false">
      <c r="A204" s="4"/>
      <c r="B204" s="17" t="n">
        <v>196</v>
      </c>
      <c r="C204" s="18" t="str">
        <f aca="false">CONCATENATE(F204,D204)</f>
        <v>B2-JB-4416-I6186</v>
      </c>
      <c r="D204" s="19" t="s">
        <v>584</v>
      </c>
      <c r="E204" s="19" t="s">
        <v>169</v>
      </c>
      <c r="F204" s="19" t="s">
        <v>566</v>
      </c>
      <c r="G204" s="21" t="s">
        <v>567</v>
      </c>
      <c r="H204" s="20" t="s">
        <v>565</v>
      </c>
      <c r="I204" s="19" t="s">
        <v>60</v>
      </c>
      <c r="J204" s="21" t="s">
        <v>61</v>
      </c>
      <c r="K204" s="20" t="s">
        <v>62</v>
      </c>
      <c r="L204" s="20" t="s">
        <v>33</v>
      </c>
      <c r="M204" s="20" t="s">
        <v>34</v>
      </c>
      <c r="N204" s="20" t="n">
        <v>16.5</v>
      </c>
      <c r="O204" s="20" t="s">
        <v>35</v>
      </c>
      <c r="P204" s="20" t="s">
        <v>53</v>
      </c>
      <c r="Q204" s="20" t="n">
        <v>300</v>
      </c>
      <c r="R204" s="22" t="s">
        <v>63</v>
      </c>
      <c r="S204" s="17" t="s">
        <v>38</v>
      </c>
      <c r="T204" s="20" t="s">
        <v>303</v>
      </c>
      <c r="U204" s="20" t="s">
        <v>40</v>
      </c>
      <c r="V204" s="28"/>
      <c r="W204" s="4"/>
      <c r="X204" s="4"/>
      <c r="Y204" s="4"/>
    </row>
    <row r="205" customFormat="false" ht="81" hidden="false" customHeight="true" outlineLevel="0" collapsed="false">
      <c r="A205" s="4"/>
      <c r="B205" s="17" t="n">
        <v>197</v>
      </c>
      <c r="C205" s="18" t="str">
        <f aca="false">CONCATENATE(F205,D205)</f>
        <v>B2-JB-4416-I6187</v>
      </c>
      <c r="D205" s="19" t="s">
        <v>585</v>
      </c>
      <c r="E205" s="19" t="s">
        <v>74</v>
      </c>
      <c r="F205" s="19" t="s">
        <v>566</v>
      </c>
      <c r="G205" s="21" t="s">
        <v>567</v>
      </c>
      <c r="H205" s="20" t="s">
        <v>565</v>
      </c>
      <c r="I205" s="19" t="s">
        <v>60</v>
      </c>
      <c r="J205" s="21" t="s">
        <v>61</v>
      </c>
      <c r="K205" s="20" t="s">
        <v>62</v>
      </c>
      <c r="L205" s="20" t="s">
        <v>33</v>
      </c>
      <c r="M205" s="20" t="s">
        <v>34</v>
      </c>
      <c r="N205" s="20" t="n">
        <v>18</v>
      </c>
      <c r="O205" s="20" t="s">
        <v>35</v>
      </c>
      <c r="P205" s="20" t="s">
        <v>36</v>
      </c>
      <c r="Q205" s="20" t="n">
        <v>300</v>
      </c>
      <c r="R205" s="22" t="s">
        <v>63</v>
      </c>
      <c r="S205" s="17" t="s">
        <v>38</v>
      </c>
      <c r="T205" s="20" t="s">
        <v>303</v>
      </c>
      <c r="U205" s="20" t="s">
        <v>40</v>
      </c>
      <c r="V205" s="28"/>
      <c r="W205" s="4"/>
      <c r="X205" s="4"/>
      <c r="Y205" s="4"/>
    </row>
    <row r="206" customFormat="false" ht="82.9" hidden="false" customHeight="true" outlineLevel="0" collapsed="false">
      <c r="A206" s="4"/>
      <c r="B206" s="17" t="n">
        <v>198</v>
      </c>
      <c r="C206" s="18" t="str">
        <f aca="false">CONCATENATE(F206,D206)</f>
        <v>B2-JB-4416-I6188</v>
      </c>
      <c r="D206" s="19" t="s">
        <v>586</v>
      </c>
      <c r="E206" s="19" t="s">
        <v>74</v>
      </c>
      <c r="F206" s="19" t="s">
        <v>566</v>
      </c>
      <c r="G206" s="21" t="s">
        <v>567</v>
      </c>
      <c r="H206" s="20" t="s">
        <v>565</v>
      </c>
      <c r="I206" s="19" t="s">
        <v>60</v>
      </c>
      <c r="J206" s="21" t="s">
        <v>61</v>
      </c>
      <c r="K206" s="20" t="s">
        <v>62</v>
      </c>
      <c r="L206" s="20" t="s">
        <v>33</v>
      </c>
      <c r="M206" s="20" t="s">
        <v>34</v>
      </c>
      <c r="N206" s="20" t="n">
        <v>18</v>
      </c>
      <c r="O206" s="20" t="s">
        <v>35</v>
      </c>
      <c r="P206" s="20" t="s">
        <v>36</v>
      </c>
      <c r="Q206" s="20" t="n">
        <v>300</v>
      </c>
      <c r="R206" s="22" t="s">
        <v>63</v>
      </c>
      <c r="S206" s="17" t="s">
        <v>38</v>
      </c>
      <c r="T206" s="20" t="s">
        <v>303</v>
      </c>
      <c r="U206" s="20" t="s">
        <v>40</v>
      </c>
      <c r="V206" s="28"/>
      <c r="W206" s="4"/>
      <c r="X206" s="4"/>
      <c r="Y206" s="4"/>
    </row>
    <row r="207" customFormat="false" ht="88.9" hidden="false" customHeight="true" outlineLevel="0" collapsed="false">
      <c r="A207" s="4"/>
      <c r="B207" s="17" t="n">
        <v>199</v>
      </c>
      <c r="C207" s="18" t="str">
        <f aca="false">CONCATENATE(F207,D207)</f>
        <v>B2-JB-4416-I6189</v>
      </c>
      <c r="D207" s="19" t="s">
        <v>587</v>
      </c>
      <c r="E207" s="19" t="s">
        <v>261</v>
      </c>
      <c r="F207" s="19" t="s">
        <v>566</v>
      </c>
      <c r="G207" s="21" t="s">
        <v>567</v>
      </c>
      <c r="H207" s="20" t="s">
        <v>565</v>
      </c>
      <c r="I207" s="19" t="s">
        <v>60</v>
      </c>
      <c r="J207" s="21" t="s">
        <v>61</v>
      </c>
      <c r="K207" s="20" t="s">
        <v>62</v>
      </c>
      <c r="L207" s="20" t="s">
        <v>33</v>
      </c>
      <c r="M207" s="20" t="s">
        <v>34</v>
      </c>
      <c r="N207" s="20" t="n">
        <v>13.5</v>
      </c>
      <c r="O207" s="20" t="s">
        <v>35</v>
      </c>
      <c r="P207" s="20" t="s">
        <v>36</v>
      </c>
      <c r="Q207" s="20" t="n">
        <v>300</v>
      </c>
      <c r="R207" s="22" t="s">
        <v>63</v>
      </c>
      <c r="S207" s="17" t="s">
        <v>38</v>
      </c>
      <c r="T207" s="20" t="s">
        <v>303</v>
      </c>
      <c r="U207" s="20" t="s">
        <v>40</v>
      </c>
      <c r="V207" s="28"/>
      <c r="W207" s="4"/>
      <c r="X207" s="4"/>
      <c r="Y207" s="4"/>
    </row>
    <row r="208" customFormat="false" ht="124.9" hidden="false" customHeight="true" outlineLevel="0" collapsed="false">
      <c r="A208" s="4"/>
      <c r="B208" s="17" t="n">
        <v>200</v>
      </c>
      <c r="C208" s="18" t="str">
        <f aca="false">CONCATENATE(F208,D208)</f>
        <v>B2-GD-44010-I6190</v>
      </c>
      <c r="D208" s="19" t="s">
        <v>588</v>
      </c>
      <c r="E208" s="19" t="s">
        <v>45</v>
      </c>
      <c r="F208" s="19" t="s">
        <v>589</v>
      </c>
      <c r="G208" s="20" t="s">
        <v>590</v>
      </c>
      <c r="H208" s="29" t="s">
        <v>591</v>
      </c>
      <c r="I208" s="19" t="s">
        <v>99</v>
      </c>
      <c r="J208" s="21" t="s">
        <v>100</v>
      </c>
      <c r="K208" s="20" t="s">
        <v>62</v>
      </c>
      <c r="L208" s="20" t="s">
        <v>33</v>
      </c>
      <c r="M208" s="20" t="s">
        <v>34</v>
      </c>
      <c r="N208" s="20" t="n">
        <v>11.5</v>
      </c>
      <c r="O208" s="20" t="s">
        <v>35</v>
      </c>
      <c r="P208" s="20" t="s">
        <v>50</v>
      </c>
      <c r="Q208" s="20" t="n">
        <v>300</v>
      </c>
      <c r="R208" s="22" t="s">
        <v>63</v>
      </c>
      <c r="S208" s="17" t="s">
        <v>38</v>
      </c>
      <c r="T208" s="20" t="s">
        <v>592</v>
      </c>
      <c r="U208" s="20" t="s">
        <v>40</v>
      </c>
      <c r="V208" s="28"/>
      <c r="W208" s="4"/>
      <c r="X208" s="4"/>
      <c r="Y208" s="4"/>
    </row>
    <row r="209" customFormat="false" ht="139.15" hidden="false" customHeight="true" outlineLevel="0" collapsed="false">
      <c r="A209" s="4"/>
      <c r="B209" s="17" t="n">
        <v>201</v>
      </c>
      <c r="C209" s="18" t="str">
        <f aca="false">CONCATENATE(F209,D209)</f>
        <v>B2-LCP-4407-I6191</v>
      </c>
      <c r="D209" s="19" t="s">
        <v>593</v>
      </c>
      <c r="E209" s="19" t="s">
        <v>55</v>
      </c>
      <c r="F209" s="19" t="s">
        <v>594</v>
      </c>
      <c r="G209" s="20" t="s">
        <v>595</v>
      </c>
      <c r="H209" s="20" t="s">
        <v>596</v>
      </c>
      <c r="I209" s="19" t="s">
        <v>60</v>
      </c>
      <c r="J209" s="21" t="s">
        <v>61</v>
      </c>
      <c r="K209" s="20" t="s">
        <v>62</v>
      </c>
      <c r="L209" s="20" t="s">
        <v>33</v>
      </c>
      <c r="M209" s="20" t="s">
        <v>34</v>
      </c>
      <c r="N209" s="20" t="n">
        <v>12.5</v>
      </c>
      <c r="O209" s="20" t="s">
        <v>35</v>
      </c>
      <c r="P209" s="20" t="s">
        <v>36</v>
      </c>
      <c r="Q209" s="20" t="n">
        <v>300</v>
      </c>
      <c r="R209" s="22" t="s">
        <v>63</v>
      </c>
      <c r="S209" s="17" t="s">
        <v>38</v>
      </c>
      <c r="T209" s="20" t="s">
        <v>592</v>
      </c>
      <c r="U209" s="20" t="s">
        <v>40</v>
      </c>
      <c r="V209" s="28"/>
      <c r="W209" s="25"/>
      <c r="X209" s="25"/>
      <c r="Y209" s="25"/>
    </row>
    <row r="210" customFormat="false" ht="91.9" hidden="false" customHeight="true" outlineLevel="0" collapsed="false">
      <c r="A210" s="4"/>
      <c r="B210" s="17" t="n">
        <v>202</v>
      </c>
      <c r="C210" s="18" t="str">
        <f aca="false">CONCATENATE(F210,D210)</f>
        <v>B0-LCP-4401-I6290</v>
      </c>
      <c r="D210" s="19" t="s">
        <v>597</v>
      </c>
      <c r="E210" s="19" t="s">
        <v>598</v>
      </c>
      <c r="F210" s="19" t="s">
        <v>599</v>
      </c>
      <c r="G210" s="30" t="s">
        <v>600</v>
      </c>
      <c r="H210" s="31" t="s">
        <v>601</v>
      </c>
      <c r="I210" s="19" t="s">
        <v>60</v>
      </c>
      <c r="J210" s="21" t="s">
        <v>61</v>
      </c>
      <c r="K210" s="20" t="s">
        <v>62</v>
      </c>
      <c r="L210" s="20" t="s">
        <v>33</v>
      </c>
      <c r="M210" s="20" t="s">
        <v>34</v>
      </c>
      <c r="N210" s="20" t="n">
        <v>28</v>
      </c>
      <c r="O210" s="20" t="s">
        <v>35</v>
      </c>
      <c r="P210" s="20" t="s">
        <v>53</v>
      </c>
      <c r="Q210" s="20" t="n">
        <v>148</v>
      </c>
      <c r="R210" s="22" t="s">
        <v>63</v>
      </c>
      <c r="S210" s="17" t="s">
        <v>38</v>
      </c>
      <c r="T210" s="20" t="s">
        <v>602</v>
      </c>
      <c r="U210" s="20" t="s">
        <v>40</v>
      </c>
      <c r="V210" s="28"/>
      <c r="W210" s="25"/>
      <c r="X210" s="25"/>
      <c r="Y210" s="25"/>
    </row>
    <row r="211" customFormat="false" ht="87" hidden="false" customHeight="true" outlineLevel="0" collapsed="false">
      <c r="A211" s="4"/>
      <c r="B211" s="17" t="n">
        <v>203</v>
      </c>
      <c r="C211" s="18" t="str">
        <f aca="false">CONCATENATE(F211,D211)</f>
        <v>B0-LCP-4401-I6291</v>
      </c>
      <c r="D211" s="19" t="s">
        <v>603</v>
      </c>
      <c r="E211" s="19" t="s">
        <v>74</v>
      </c>
      <c r="F211" s="19" t="s">
        <v>599</v>
      </c>
      <c r="G211" s="30" t="s">
        <v>600</v>
      </c>
      <c r="H211" s="31" t="s">
        <v>601</v>
      </c>
      <c r="I211" s="19" t="s">
        <v>60</v>
      </c>
      <c r="J211" s="21" t="s">
        <v>61</v>
      </c>
      <c r="K211" s="20" t="s">
        <v>62</v>
      </c>
      <c r="L211" s="20" t="s">
        <v>33</v>
      </c>
      <c r="M211" s="20" t="s">
        <v>34</v>
      </c>
      <c r="N211" s="20" t="n">
        <v>18</v>
      </c>
      <c r="O211" s="20" t="s">
        <v>35</v>
      </c>
      <c r="P211" s="20" t="s">
        <v>36</v>
      </c>
      <c r="Q211" s="20" t="n">
        <v>148</v>
      </c>
      <c r="R211" s="22" t="s">
        <v>63</v>
      </c>
      <c r="S211" s="17" t="s">
        <v>38</v>
      </c>
      <c r="T211" s="20" t="s">
        <v>602</v>
      </c>
      <c r="U211" s="20" t="s">
        <v>40</v>
      </c>
      <c r="V211" s="28"/>
      <c r="W211" s="25"/>
      <c r="X211" s="25"/>
      <c r="Y211" s="25"/>
    </row>
    <row r="212" customFormat="false" ht="97.15" hidden="false" customHeight="true" outlineLevel="0" collapsed="false">
      <c r="A212" s="4"/>
      <c r="B212" s="17" t="n">
        <v>204</v>
      </c>
      <c r="C212" s="18" t="str">
        <f aca="false">CONCATENATE(F212,D212)</f>
        <v>B0-LCP-4401-I6292</v>
      </c>
      <c r="D212" s="19" t="s">
        <v>604</v>
      </c>
      <c r="E212" s="19" t="s">
        <v>172</v>
      </c>
      <c r="F212" s="19" t="s">
        <v>599</v>
      </c>
      <c r="G212" s="30" t="s">
        <v>600</v>
      </c>
      <c r="H212" s="31" t="s">
        <v>601</v>
      </c>
      <c r="I212" s="19" t="s">
        <v>60</v>
      </c>
      <c r="J212" s="21" t="s">
        <v>61</v>
      </c>
      <c r="K212" s="20" t="s">
        <v>62</v>
      </c>
      <c r="L212" s="20" t="s">
        <v>33</v>
      </c>
      <c r="M212" s="20" t="s">
        <v>34</v>
      </c>
      <c r="N212" s="20" t="n">
        <v>21.5</v>
      </c>
      <c r="O212" s="20" t="s">
        <v>35</v>
      </c>
      <c r="P212" s="20" t="s">
        <v>36</v>
      </c>
      <c r="Q212" s="20" t="n">
        <v>148</v>
      </c>
      <c r="R212" s="22" t="s">
        <v>63</v>
      </c>
      <c r="S212" s="17" t="s">
        <v>38</v>
      </c>
      <c r="T212" s="20" t="s">
        <v>602</v>
      </c>
      <c r="U212" s="20" t="s">
        <v>40</v>
      </c>
      <c r="V212" s="28"/>
      <c r="W212" s="25"/>
      <c r="X212" s="25"/>
      <c r="Y212" s="25"/>
    </row>
    <row r="213" customFormat="false" ht="111" hidden="false" customHeight="true" outlineLevel="0" collapsed="false">
      <c r="A213" s="4"/>
      <c r="B213" s="17" t="n">
        <v>205</v>
      </c>
      <c r="C213" s="18" t="str">
        <f aca="false">CONCATENATE(F213,D213)</f>
        <v>B0-LCP-4401-I6293</v>
      </c>
      <c r="D213" s="19" t="s">
        <v>605</v>
      </c>
      <c r="E213" s="19" t="s">
        <v>174</v>
      </c>
      <c r="F213" s="19" t="s">
        <v>599</v>
      </c>
      <c r="G213" s="30" t="s">
        <v>600</v>
      </c>
      <c r="H213" s="31" t="s">
        <v>601</v>
      </c>
      <c r="I213" s="19" t="s">
        <v>60</v>
      </c>
      <c r="J213" s="21" t="s">
        <v>61</v>
      </c>
      <c r="K213" s="20" t="s">
        <v>62</v>
      </c>
      <c r="L213" s="20" t="s">
        <v>33</v>
      </c>
      <c r="M213" s="20" t="s">
        <v>34</v>
      </c>
      <c r="N213" s="20" t="n">
        <v>20</v>
      </c>
      <c r="O213" s="20" t="s">
        <v>35</v>
      </c>
      <c r="P213" s="20" t="s">
        <v>36</v>
      </c>
      <c r="Q213" s="20" t="n">
        <v>148</v>
      </c>
      <c r="R213" s="22" t="s">
        <v>63</v>
      </c>
      <c r="S213" s="17" t="s">
        <v>38</v>
      </c>
      <c r="T213" s="20" t="s">
        <v>602</v>
      </c>
      <c r="U213" s="20" t="s">
        <v>40</v>
      </c>
      <c r="V213" s="28"/>
      <c r="W213" s="25"/>
      <c r="X213" s="25"/>
      <c r="Y213" s="25"/>
    </row>
    <row r="214" customFormat="false" ht="108" hidden="false" customHeight="true" outlineLevel="0" collapsed="false">
      <c r="A214" s="4"/>
      <c r="B214" s="17" t="n">
        <v>206</v>
      </c>
      <c r="C214" s="18" t="str">
        <f aca="false">CONCATENATE(F214,D214)</f>
        <v>B0-LCP-4402-I6294</v>
      </c>
      <c r="D214" s="19" t="s">
        <v>606</v>
      </c>
      <c r="E214" s="19" t="s">
        <v>598</v>
      </c>
      <c r="F214" s="19" t="s">
        <v>607</v>
      </c>
      <c r="G214" s="30" t="s">
        <v>608</v>
      </c>
      <c r="H214" s="31" t="s">
        <v>609</v>
      </c>
      <c r="I214" s="19" t="s">
        <v>60</v>
      </c>
      <c r="J214" s="21" t="s">
        <v>61</v>
      </c>
      <c r="K214" s="20" t="s">
        <v>62</v>
      </c>
      <c r="L214" s="20" t="s">
        <v>33</v>
      </c>
      <c r="M214" s="20" t="s">
        <v>34</v>
      </c>
      <c r="N214" s="20" t="n">
        <v>28</v>
      </c>
      <c r="O214" s="20" t="s">
        <v>35</v>
      </c>
      <c r="P214" s="20" t="s">
        <v>53</v>
      </c>
      <c r="Q214" s="20" t="n">
        <v>138</v>
      </c>
      <c r="R214" s="22" t="s">
        <v>63</v>
      </c>
      <c r="S214" s="17" t="s">
        <v>38</v>
      </c>
      <c r="T214" s="20" t="s">
        <v>610</v>
      </c>
      <c r="U214" s="20" t="s">
        <v>40</v>
      </c>
      <c r="V214" s="28"/>
      <c r="W214" s="25"/>
      <c r="X214" s="25"/>
      <c r="Y214" s="25"/>
    </row>
    <row r="215" customFormat="false" ht="109.9" hidden="false" customHeight="true" outlineLevel="0" collapsed="false">
      <c r="A215" s="4"/>
      <c r="B215" s="17" t="n">
        <v>207</v>
      </c>
      <c r="C215" s="18" t="str">
        <f aca="false">CONCATENATE(F215,D215)</f>
        <v>B0-LCP-4402-I6295</v>
      </c>
      <c r="D215" s="19" t="s">
        <v>611</v>
      </c>
      <c r="E215" s="19" t="s">
        <v>74</v>
      </c>
      <c r="F215" s="19" t="s">
        <v>607</v>
      </c>
      <c r="G215" s="30" t="s">
        <v>608</v>
      </c>
      <c r="H215" s="31" t="s">
        <v>609</v>
      </c>
      <c r="I215" s="19" t="s">
        <v>60</v>
      </c>
      <c r="J215" s="21" t="s">
        <v>61</v>
      </c>
      <c r="K215" s="20" t="s">
        <v>62</v>
      </c>
      <c r="L215" s="20" t="s">
        <v>33</v>
      </c>
      <c r="M215" s="20" t="s">
        <v>34</v>
      </c>
      <c r="N215" s="20" t="n">
        <v>18</v>
      </c>
      <c r="O215" s="20" t="s">
        <v>35</v>
      </c>
      <c r="P215" s="20" t="s">
        <v>36</v>
      </c>
      <c r="Q215" s="20" t="n">
        <v>138</v>
      </c>
      <c r="R215" s="22" t="s">
        <v>63</v>
      </c>
      <c r="S215" s="17" t="s">
        <v>38</v>
      </c>
      <c r="T215" s="20" t="s">
        <v>610</v>
      </c>
      <c r="U215" s="20" t="s">
        <v>40</v>
      </c>
      <c r="V215" s="28"/>
      <c r="W215" s="25"/>
      <c r="X215" s="25"/>
      <c r="Y215" s="25"/>
    </row>
    <row r="216" customFormat="false" ht="115.9" hidden="false" customHeight="true" outlineLevel="0" collapsed="false">
      <c r="A216" s="4"/>
      <c r="B216" s="17" t="n">
        <v>208</v>
      </c>
      <c r="C216" s="18" t="str">
        <f aca="false">CONCATENATE(F216,D216)</f>
        <v>B0-LCP-4402-I6296</v>
      </c>
      <c r="D216" s="19" t="s">
        <v>612</v>
      </c>
      <c r="E216" s="19" t="s">
        <v>172</v>
      </c>
      <c r="F216" s="19" t="s">
        <v>607</v>
      </c>
      <c r="G216" s="30" t="s">
        <v>608</v>
      </c>
      <c r="H216" s="31" t="s">
        <v>609</v>
      </c>
      <c r="I216" s="19" t="s">
        <v>60</v>
      </c>
      <c r="J216" s="21" t="s">
        <v>61</v>
      </c>
      <c r="K216" s="20" t="s">
        <v>62</v>
      </c>
      <c r="L216" s="20" t="s">
        <v>33</v>
      </c>
      <c r="M216" s="20" t="s">
        <v>34</v>
      </c>
      <c r="N216" s="20" t="n">
        <v>21.5</v>
      </c>
      <c r="O216" s="20" t="s">
        <v>35</v>
      </c>
      <c r="P216" s="20" t="s">
        <v>36</v>
      </c>
      <c r="Q216" s="20" t="n">
        <v>138</v>
      </c>
      <c r="R216" s="22" t="s">
        <v>63</v>
      </c>
      <c r="S216" s="17" t="s">
        <v>38</v>
      </c>
      <c r="T216" s="20" t="s">
        <v>610</v>
      </c>
      <c r="U216" s="20" t="s">
        <v>40</v>
      </c>
      <c r="V216" s="28"/>
      <c r="W216" s="25"/>
      <c r="X216" s="25"/>
      <c r="Y216" s="25"/>
    </row>
    <row r="217" customFormat="false" ht="112.9" hidden="false" customHeight="true" outlineLevel="0" collapsed="false">
      <c r="A217" s="4"/>
      <c r="B217" s="17" t="n">
        <v>209</v>
      </c>
      <c r="C217" s="18" t="str">
        <f aca="false">CONCATENATE(F217,D217)</f>
        <v>B0-LCP-4402-I6297</v>
      </c>
      <c r="D217" s="19" t="s">
        <v>613</v>
      </c>
      <c r="E217" s="19" t="s">
        <v>174</v>
      </c>
      <c r="F217" s="19" t="s">
        <v>607</v>
      </c>
      <c r="G217" s="30" t="s">
        <v>608</v>
      </c>
      <c r="H217" s="31" t="s">
        <v>609</v>
      </c>
      <c r="I217" s="19" t="s">
        <v>60</v>
      </c>
      <c r="J217" s="21" t="s">
        <v>61</v>
      </c>
      <c r="K217" s="20" t="s">
        <v>62</v>
      </c>
      <c r="L217" s="20" t="s">
        <v>33</v>
      </c>
      <c r="M217" s="20" t="s">
        <v>34</v>
      </c>
      <c r="N217" s="20" t="n">
        <v>20</v>
      </c>
      <c r="O217" s="20" t="s">
        <v>35</v>
      </c>
      <c r="P217" s="20" t="s">
        <v>36</v>
      </c>
      <c r="Q217" s="20" t="n">
        <v>138</v>
      </c>
      <c r="R217" s="22" t="s">
        <v>63</v>
      </c>
      <c r="S217" s="17" t="s">
        <v>38</v>
      </c>
      <c r="T217" s="20" t="s">
        <v>610</v>
      </c>
      <c r="U217" s="20" t="s">
        <v>40</v>
      </c>
      <c r="V217" s="28"/>
      <c r="W217" s="25"/>
      <c r="X217" s="25"/>
      <c r="Y217" s="25"/>
    </row>
    <row r="218" customFormat="false" ht="112.9" hidden="false" customHeight="true" outlineLevel="0" collapsed="false">
      <c r="A218" s="32"/>
      <c r="B218" s="26" t="n">
        <v>210</v>
      </c>
      <c r="C218" s="33" t="str">
        <f aca="false">CONCATENATE(F218,D218)</f>
        <v>B0-LCP-4401-I6298</v>
      </c>
      <c r="D218" s="34" t="s">
        <v>614</v>
      </c>
      <c r="E218" s="34" t="s">
        <v>45</v>
      </c>
      <c r="F218" s="34" t="s">
        <v>599</v>
      </c>
      <c r="G218" s="35" t="s">
        <v>600</v>
      </c>
      <c r="H218" s="36" t="s">
        <v>601</v>
      </c>
      <c r="I218" s="34" t="s">
        <v>99</v>
      </c>
      <c r="J218" s="37" t="s">
        <v>100</v>
      </c>
      <c r="K218" s="38" t="s">
        <v>62</v>
      </c>
      <c r="L218" s="38" t="s">
        <v>33</v>
      </c>
      <c r="M218" s="38" t="s">
        <v>34</v>
      </c>
      <c r="N218" s="38" t="n">
        <v>11.5</v>
      </c>
      <c r="O218" s="38" t="s">
        <v>35</v>
      </c>
      <c r="P218" s="38" t="s">
        <v>50</v>
      </c>
      <c r="Q218" s="38" t="n">
        <v>148</v>
      </c>
      <c r="R218" s="39" t="s">
        <v>63</v>
      </c>
      <c r="S218" s="26" t="s">
        <v>38</v>
      </c>
      <c r="T218" s="38" t="s">
        <v>602</v>
      </c>
      <c r="U218" s="38" t="s">
        <v>40</v>
      </c>
      <c r="V218" s="40" t="s">
        <v>615</v>
      </c>
      <c r="W218" s="41"/>
      <c r="X218" s="41"/>
      <c r="Y218" s="41"/>
    </row>
    <row r="219" customFormat="false" ht="112.9" hidden="false" customHeight="true" outlineLevel="0" collapsed="false">
      <c r="A219" s="32"/>
      <c r="B219" s="26" t="n">
        <v>211</v>
      </c>
      <c r="C219" s="33" t="str">
        <f aca="false">CONCATENATE(F219,D219)</f>
        <v>B0-LCP-4402-I6299</v>
      </c>
      <c r="D219" s="34" t="s">
        <v>616</v>
      </c>
      <c r="E219" s="34" t="s">
        <v>45</v>
      </c>
      <c r="F219" s="34" t="s">
        <v>607</v>
      </c>
      <c r="G219" s="35" t="s">
        <v>608</v>
      </c>
      <c r="H219" s="36" t="s">
        <v>609</v>
      </c>
      <c r="I219" s="34" t="s">
        <v>99</v>
      </c>
      <c r="J219" s="37" t="s">
        <v>100</v>
      </c>
      <c r="K219" s="38" t="s">
        <v>62</v>
      </c>
      <c r="L219" s="38" t="s">
        <v>33</v>
      </c>
      <c r="M219" s="38" t="s">
        <v>34</v>
      </c>
      <c r="N219" s="38" t="n">
        <v>11.5</v>
      </c>
      <c r="O219" s="38" t="s">
        <v>35</v>
      </c>
      <c r="P219" s="38" t="s">
        <v>50</v>
      </c>
      <c r="Q219" s="38" t="n">
        <v>138</v>
      </c>
      <c r="R219" s="39" t="s">
        <v>63</v>
      </c>
      <c r="S219" s="26" t="s">
        <v>38</v>
      </c>
      <c r="T219" s="38" t="s">
        <v>610</v>
      </c>
      <c r="U219" s="38" t="s">
        <v>40</v>
      </c>
      <c r="V219" s="40" t="s">
        <v>615</v>
      </c>
      <c r="W219" s="41"/>
      <c r="X219" s="41"/>
      <c r="Y219" s="41"/>
    </row>
    <row r="220" customFormat="false" ht="53.25" hidden="false" customHeight="true" outlineLevel="0" collapsed="false">
      <c r="B220" s="42" t="s">
        <v>617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</row>
    <row r="221" customFormat="false" ht="53.25" hidden="false" customHeight="true" outlineLevel="0" collapsed="false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</row>
    <row r="222" customFormat="false" ht="53.25" hidden="false" customHeight="true" outlineLevel="0" collapsed="false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</row>
    <row r="223" customFormat="false" ht="53.25" hidden="false" customHeight="true" outlineLevel="0" collapsed="false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</row>
    <row r="224" customFormat="false" ht="53.25" hidden="false" customHeight="true" outlineLevel="0" collapsed="false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</row>
    <row r="225" customFormat="false" ht="53.25" hidden="false" customHeight="true" outlineLevel="0" collapsed="false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</row>
    <row r="226" customFormat="false" ht="53.25" hidden="false" customHeight="true" outlineLevel="0" collapsed="false"/>
  </sheetData>
  <mergeCells count="22">
    <mergeCell ref="B1:Q3"/>
    <mergeCell ref="T1:V1"/>
    <mergeCell ref="T2:V2"/>
    <mergeCell ref="T3:V3"/>
    <mergeCell ref="B5:B6"/>
    <mergeCell ref="C5:C6"/>
    <mergeCell ref="D5:D6"/>
    <mergeCell ref="E5:E6"/>
    <mergeCell ref="F5:H5"/>
    <mergeCell ref="I5:K5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B220:V225"/>
  </mergeCells>
  <printOptions headings="false" gridLines="false" gridLinesSet="true" horizontalCentered="true" verticalCentered="false"/>
  <pageMargins left="0.0395833333333333" right="0.0395833333333333" top="0.0395833333333333" bottom="0.039583333333333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48" man="true" max="16383" min="0"/>
    <brk id="84" man="true" max="16383" min="0"/>
    <brk id="120" man="true" max="16383" min="0"/>
    <brk id="160" man="true" max="16383" min="0"/>
    <brk id="200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13"/>
  <sheetViews>
    <sheetView showFormulas="false" showGridLines="true" showRowColHeaders="true" showZeros="true" rightToLeft="false" tabSelected="false" showOutlineSymbols="true" defaultGridColor="true" view="pageBreakPreview" topLeftCell="G25" colorId="64" zoomScale="40" zoomScaleNormal="55" zoomScalePageLayoutView="40" workbookViewId="0">
      <selection pane="topLeft" activeCell="I12" activeCellId="0" sqref="I12"/>
    </sheetView>
  </sheetViews>
  <sheetFormatPr defaultColWidth="9.22265625" defaultRowHeight="12.75" customHeight="false" zeroHeight="false" outlineLevelRow="0" outlineLevelCol="0"/>
  <cols>
    <col collapsed="false" customWidth="false" hidden="false" outlineLevel="0" max="1" min="1" style="43" width="9.22"/>
    <col collapsed="false" customWidth="true" hidden="false" outlineLevel="0" max="2" min="2" style="44" width="17.29"/>
    <col collapsed="false" customWidth="true" hidden="false" outlineLevel="0" max="3" min="3" style="44" width="49.44"/>
    <col collapsed="false" customWidth="true" hidden="true" outlineLevel="0" max="4" min="4" style="44" width="49.44"/>
    <col collapsed="false" customWidth="true" hidden="false" outlineLevel="0" max="5" min="5" style="44" width="81.44"/>
    <col collapsed="false" customWidth="true" hidden="false" outlineLevel="0" max="6" min="6" style="44" width="46.12"/>
    <col collapsed="false" customWidth="true" hidden="false" outlineLevel="0" max="7" min="7" style="44" width="91.53"/>
    <col collapsed="false" customWidth="true" hidden="false" outlineLevel="0" max="8" min="8" style="44" width="56.21"/>
    <col collapsed="false" customWidth="true" hidden="false" outlineLevel="0" max="9" min="9" style="44" width="46.12"/>
    <col collapsed="false" customWidth="true" hidden="false" outlineLevel="0" max="10" min="10" style="44" width="81.44"/>
    <col collapsed="false" customWidth="true" hidden="false" outlineLevel="0" max="11" min="11" style="44" width="59.09"/>
    <col collapsed="false" customWidth="true" hidden="false" outlineLevel="0" max="12" min="12" style="44" width="25.93"/>
    <col collapsed="false" customWidth="true" hidden="false" outlineLevel="0" max="13" min="13" style="44" width="36.03"/>
    <col collapsed="false" customWidth="true" hidden="false" outlineLevel="0" max="15" min="14" style="44" width="30.98"/>
    <col collapsed="false" customWidth="true" hidden="false" outlineLevel="0" max="16" min="16" style="44" width="51.16"/>
    <col collapsed="false" customWidth="true" hidden="false" outlineLevel="0" max="18" min="17" style="44" width="25.93"/>
    <col collapsed="false" customWidth="true" hidden="false" outlineLevel="0" max="19" min="19" style="44" width="41.07"/>
    <col collapsed="false" customWidth="true" hidden="false" outlineLevel="0" max="20" min="20" style="43" width="141.98"/>
    <col collapsed="false" customWidth="true" hidden="false" outlineLevel="0" max="21" min="21" style="43" width="51.16"/>
    <col collapsed="false" customWidth="true" hidden="false" outlineLevel="0" max="22" min="22" style="43" width="71.35"/>
    <col collapsed="false" customWidth="false" hidden="false" outlineLevel="0" max="257" min="23" style="43" width="9.22"/>
  </cols>
  <sheetData>
    <row r="1" customFormat="false" ht="42" hidden="false" customHeight="true" outlineLevel="0" collapsed="false">
      <c r="B1" s="5" t="s">
        <v>618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7" t="s">
        <v>1</v>
      </c>
      <c r="T1" s="8" t="s">
        <v>2</v>
      </c>
      <c r="U1" s="8"/>
      <c r="V1" s="8"/>
    </row>
    <row r="2" customFormat="false" ht="42" hidden="false" customHeight="true" outlineLevel="0" collapsed="false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 t="s">
        <v>3</v>
      </c>
      <c r="T2" s="8" t="s">
        <v>4</v>
      </c>
      <c r="U2" s="8"/>
      <c r="V2" s="8"/>
    </row>
    <row r="3" customFormat="false" ht="42" hidden="false" customHeight="true" outlineLevel="0" collapsed="false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7" t="s">
        <v>5</v>
      </c>
      <c r="T3" s="11" t="n">
        <v>45727</v>
      </c>
      <c r="U3" s="11"/>
      <c r="V3" s="11"/>
    </row>
    <row r="4" customFormat="false" ht="30" hidden="false" customHeight="true" outlineLevel="0" collapsed="false">
      <c r="A4" s="14"/>
      <c r="B4" s="12" t="n">
        <v>1</v>
      </c>
      <c r="C4" s="12" t="n">
        <v>2</v>
      </c>
      <c r="D4" s="12"/>
      <c r="E4" s="12" t="n">
        <v>3</v>
      </c>
      <c r="F4" s="12" t="n">
        <v>4</v>
      </c>
      <c r="G4" s="12" t="n">
        <v>5</v>
      </c>
      <c r="H4" s="12" t="n">
        <v>6</v>
      </c>
      <c r="I4" s="12" t="n">
        <v>7</v>
      </c>
      <c r="J4" s="12" t="n">
        <v>8</v>
      </c>
      <c r="K4" s="12" t="n">
        <v>9</v>
      </c>
      <c r="L4" s="12" t="n">
        <v>10</v>
      </c>
      <c r="M4" s="12" t="n">
        <v>11</v>
      </c>
      <c r="N4" s="12" t="n">
        <v>12</v>
      </c>
      <c r="O4" s="12" t="n">
        <v>13</v>
      </c>
      <c r="P4" s="12" t="n">
        <v>14</v>
      </c>
      <c r="Q4" s="12" t="n">
        <v>15</v>
      </c>
      <c r="R4" s="12" t="n">
        <v>16</v>
      </c>
      <c r="S4" s="12" t="n">
        <v>17</v>
      </c>
      <c r="T4" s="12" t="n">
        <v>18</v>
      </c>
      <c r="U4" s="12" t="n">
        <v>19</v>
      </c>
      <c r="V4" s="12" t="n">
        <v>20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</row>
    <row r="5" customFormat="false" ht="53.25" hidden="false" customHeight="true" outlineLevel="0" collapsed="false">
      <c r="A5" s="16"/>
      <c r="B5" s="15" t="s">
        <v>6</v>
      </c>
      <c r="C5" s="15" t="s">
        <v>7</v>
      </c>
      <c r="D5" s="45"/>
      <c r="E5" s="15" t="s">
        <v>8</v>
      </c>
      <c r="F5" s="15" t="s">
        <v>9</v>
      </c>
      <c r="G5" s="15"/>
      <c r="H5" s="15"/>
      <c r="I5" s="15" t="s">
        <v>10</v>
      </c>
      <c r="J5" s="15"/>
      <c r="K5" s="15"/>
      <c r="L5" s="15" t="s">
        <v>11</v>
      </c>
      <c r="M5" s="15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5" t="s">
        <v>17</v>
      </c>
      <c r="S5" s="15" t="s">
        <v>18</v>
      </c>
      <c r="T5" s="15" t="s">
        <v>19</v>
      </c>
      <c r="U5" s="15" t="s">
        <v>20</v>
      </c>
      <c r="V5" s="15" t="s">
        <v>21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customFormat="false" ht="110.45" hidden="false" customHeight="true" outlineLevel="0" collapsed="false">
      <c r="A6" s="16"/>
      <c r="B6" s="15"/>
      <c r="C6" s="15"/>
      <c r="D6" s="46"/>
      <c r="E6" s="15"/>
      <c r="F6" s="15" t="s">
        <v>22</v>
      </c>
      <c r="G6" s="15" t="s">
        <v>23</v>
      </c>
      <c r="H6" s="15" t="s">
        <v>24</v>
      </c>
      <c r="I6" s="15" t="s">
        <v>22</v>
      </c>
      <c r="J6" s="15" t="s">
        <v>23</v>
      </c>
      <c r="K6" s="15" t="s">
        <v>24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53.25" hidden="false" customHeight="true" outlineLevel="0" collapsed="false">
      <c r="A7" s="47"/>
      <c r="B7" s="48" t="s">
        <v>619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</row>
    <row r="8" customFormat="false" ht="112.15" hidden="false" customHeight="true" outlineLevel="0" collapsed="false">
      <c r="A8" s="4"/>
      <c r="B8" s="17" t="n">
        <v>1</v>
      </c>
      <c r="C8" s="20" t="str">
        <f aca="false">CONCATENATE(F8,D8)</f>
        <v>B0-PP-44601-P2001</v>
      </c>
      <c r="D8" s="52" t="s">
        <v>620</v>
      </c>
      <c r="E8" s="34" t="s">
        <v>621</v>
      </c>
      <c r="F8" s="20" t="s">
        <v>622</v>
      </c>
      <c r="G8" s="20" t="s">
        <v>623</v>
      </c>
      <c r="H8" s="20" t="s">
        <v>624</v>
      </c>
      <c r="I8" s="20" t="s">
        <v>599</v>
      </c>
      <c r="J8" s="21" t="s">
        <v>625</v>
      </c>
      <c r="K8" s="20" t="s">
        <v>626</v>
      </c>
      <c r="L8" s="20" t="s">
        <v>627</v>
      </c>
      <c r="M8" s="20" t="s">
        <v>131</v>
      </c>
      <c r="N8" s="20" t="n">
        <v>32</v>
      </c>
      <c r="O8" s="20" t="s">
        <v>35</v>
      </c>
      <c r="P8" s="20" t="s">
        <v>628</v>
      </c>
      <c r="Q8" s="37" t="s">
        <v>629</v>
      </c>
      <c r="R8" s="21" t="s">
        <v>63</v>
      </c>
      <c r="S8" s="17" t="s">
        <v>38</v>
      </c>
      <c r="T8" s="20" t="s">
        <v>630</v>
      </c>
      <c r="U8" s="20" t="s">
        <v>40</v>
      </c>
      <c r="V8" s="28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customFormat="false" ht="122.45" hidden="false" customHeight="true" outlineLevel="0" collapsed="false">
      <c r="A9" s="4"/>
      <c r="B9" s="17" t="n">
        <v>2</v>
      </c>
      <c r="C9" s="20" t="str">
        <f aca="false">CONCATENATE(F9,D9)</f>
        <v>B0-PP-44601-P2002</v>
      </c>
      <c r="D9" s="52" t="s">
        <v>631</v>
      </c>
      <c r="E9" s="34" t="s">
        <v>621</v>
      </c>
      <c r="F9" s="20" t="s">
        <v>622</v>
      </c>
      <c r="G9" s="20" t="s">
        <v>623</v>
      </c>
      <c r="H9" s="20" t="s">
        <v>624</v>
      </c>
      <c r="I9" s="20" t="s">
        <v>607</v>
      </c>
      <c r="J9" s="21" t="s">
        <v>632</v>
      </c>
      <c r="K9" s="20" t="s">
        <v>633</v>
      </c>
      <c r="L9" s="20" t="s">
        <v>627</v>
      </c>
      <c r="M9" s="20" t="s">
        <v>131</v>
      </c>
      <c r="N9" s="20" t="n">
        <v>32</v>
      </c>
      <c r="O9" s="20" t="s">
        <v>35</v>
      </c>
      <c r="P9" s="20" t="s">
        <v>628</v>
      </c>
      <c r="Q9" s="37" t="s">
        <v>634</v>
      </c>
      <c r="R9" s="21" t="s">
        <v>63</v>
      </c>
      <c r="S9" s="17" t="s">
        <v>38</v>
      </c>
      <c r="T9" s="20" t="s">
        <v>630</v>
      </c>
      <c r="U9" s="20" t="s">
        <v>40</v>
      </c>
      <c r="V9" s="28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customFormat="false" ht="117" hidden="false" customHeight="true" outlineLevel="0" collapsed="false">
      <c r="A10" s="4"/>
      <c r="B10" s="17" t="n">
        <v>3</v>
      </c>
      <c r="C10" s="20" t="str">
        <f aca="false">CONCATENATE(F10,D10)</f>
        <v>B0-PP-44601-P2003</v>
      </c>
      <c r="D10" s="52" t="s">
        <v>635</v>
      </c>
      <c r="E10" s="34" t="s">
        <v>636</v>
      </c>
      <c r="F10" s="20" t="s">
        <v>622</v>
      </c>
      <c r="G10" s="20" t="s">
        <v>623</v>
      </c>
      <c r="H10" s="20" t="s">
        <v>624</v>
      </c>
      <c r="I10" s="20" t="s">
        <v>637</v>
      </c>
      <c r="J10" s="21" t="s">
        <v>638</v>
      </c>
      <c r="K10" s="20" t="s">
        <v>639</v>
      </c>
      <c r="L10" s="20" t="s">
        <v>640</v>
      </c>
      <c r="M10" s="20" t="s">
        <v>131</v>
      </c>
      <c r="N10" s="20" t="n">
        <v>41</v>
      </c>
      <c r="O10" s="20" t="s">
        <v>35</v>
      </c>
      <c r="P10" s="20" t="s">
        <v>641</v>
      </c>
      <c r="Q10" s="37" t="s">
        <v>642</v>
      </c>
      <c r="R10" s="21" t="s">
        <v>63</v>
      </c>
      <c r="S10" s="17" t="s">
        <v>38</v>
      </c>
      <c r="T10" s="20" t="s">
        <v>630</v>
      </c>
      <c r="U10" s="20" t="s">
        <v>40</v>
      </c>
      <c r="V10" s="28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</row>
    <row r="11" customFormat="false" ht="123" hidden="false" customHeight="true" outlineLevel="0" collapsed="false">
      <c r="A11" s="4"/>
      <c r="B11" s="17" t="n">
        <v>4</v>
      </c>
      <c r="C11" s="20" t="str">
        <f aca="false">CONCATENATE(F11,D11)</f>
        <v>B0-PP-44601-P2004</v>
      </c>
      <c r="D11" s="52" t="s">
        <v>643</v>
      </c>
      <c r="E11" s="34" t="s">
        <v>644</v>
      </c>
      <c r="F11" s="20" t="s">
        <v>622</v>
      </c>
      <c r="G11" s="20" t="s">
        <v>623</v>
      </c>
      <c r="H11" s="20" t="s">
        <v>624</v>
      </c>
      <c r="I11" s="20" t="s">
        <v>300</v>
      </c>
      <c r="J11" s="21" t="s">
        <v>645</v>
      </c>
      <c r="K11" s="20" t="s">
        <v>639</v>
      </c>
      <c r="L11" s="20" t="s">
        <v>627</v>
      </c>
      <c r="M11" s="20" t="s">
        <v>131</v>
      </c>
      <c r="N11" s="20" t="n">
        <v>23.8</v>
      </c>
      <c r="O11" s="20" t="s">
        <v>35</v>
      </c>
      <c r="P11" s="20" t="s">
        <v>641</v>
      </c>
      <c r="Q11" s="37" t="s">
        <v>646</v>
      </c>
      <c r="R11" s="21" t="s">
        <v>63</v>
      </c>
      <c r="S11" s="17" t="s">
        <v>38</v>
      </c>
      <c r="T11" s="20" t="s">
        <v>630</v>
      </c>
      <c r="U11" s="20" t="s">
        <v>40</v>
      </c>
      <c r="V11" s="28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</row>
    <row r="12" customFormat="false" ht="112.15" hidden="false" customHeight="true" outlineLevel="0" collapsed="false">
      <c r="A12" s="4"/>
      <c r="B12" s="17" t="n">
        <v>5</v>
      </c>
      <c r="C12" s="20" t="str">
        <f aca="false">CONCATENATE(F12,D12)</f>
        <v>B0-PP-44601-P2005</v>
      </c>
      <c r="D12" s="52" t="s">
        <v>647</v>
      </c>
      <c r="E12" s="34" t="s">
        <v>648</v>
      </c>
      <c r="F12" s="20" t="s">
        <v>622</v>
      </c>
      <c r="G12" s="20" t="s">
        <v>623</v>
      </c>
      <c r="H12" s="20" t="s">
        <v>624</v>
      </c>
      <c r="I12" s="20" t="s">
        <v>649</v>
      </c>
      <c r="J12" s="21" t="s">
        <v>650</v>
      </c>
      <c r="K12" s="20" t="s">
        <v>651</v>
      </c>
      <c r="L12" s="20" t="s">
        <v>640</v>
      </c>
      <c r="M12" s="20" t="s">
        <v>131</v>
      </c>
      <c r="N12" s="20" t="n">
        <v>14.5</v>
      </c>
      <c r="O12" s="20" t="s">
        <v>35</v>
      </c>
      <c r="P12" s="20" t="s">
        <v>652</v>
      </c>
      <c r="Q12" s="37" t="s">
        <v>653</v>
      </c>
      <c r="R12" s="21" t="s">
        <v>63</v>
      </c>
      <c r="S12" s="17" t="s">
        <v>38</v>
      </c>
      <c r="T12" s="20" t="s">
        <v>630</v>
      </c>
      <c r="U12" s="20" t="s">
        <v>40</v>
      </c>
      <c r="V12" s="28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</row>
    <row r="13" customFormat="false" ht="110.45" hidden="false" customHeight="true" outlineLevel="0" collapsed="false">
      <c r="A13" s="4"/>
      <c r="B13" s="17" t="n">
        <v>6</v>
      </c>
      <c r="C13" s="20" t="str">
        <f aca="false">CONCATENATE(F13,D13)</f>
        <v>B0-PP-44601-P2006</v>
      </c>
      <c r="D13" s="52" t="s">
        <v>654</v>
      </c>
      <c r="E13" s="34" t="s">
        <v>648</v>
      </c>
      <c r="F13" s="20" t="s">
        <v>622</v>
      </c>
      <c r="G13" s="20" t="s">
        <v>623</v>
      </c>
      <c r="H13" s="20" t="s">
        <v>624</v>
      </c>
      <c r="I13" s="20" t="s">
        <v>60</v>
      </c>
      <c r="J13" s="21" t="s">
        <v>61</v>
      </c>
      <c r="K13" s="20" t="s">
        <v>655</v>
      </c>
      <c r="L13" s="20" t="s">
        <v>640</v>
      </c>
      <c r="M13" s="20" t="s">
        <v>131</v>
      </c>
      <c r="N13" s="20" t="n">
        <v>14.5</v>
      </c>
      <c r="O13" s="20" t="s">
        <v>35</v>
      </c>
      <c r="P13" s="20" t="s">
        <v>652</v>
      </c>
      <c r="Q13" s="37" t="s">
        <v>656</v>
      </c>
      <c r="R13" s="21" t="s">
        <v>63</v>
      </c>
      <c r="S13" s="17" t="s">
        <v>38</v>
      </c>
      <c r="T13" s="20" t="s">
        <v>630</v>
      </c>
      <c r="U13" s="20" t="s">
        <v>40</v>
      </c>
      <c r="V13" s="28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</row>
    <row r="14" customFormat="false" ht="107.45" hidden="false" customHeight="true" outlineLevel="0" collapsed="false">
      <c r="A14" s="4"/>
      <c r="B14" s="17" t="n">
        <v>7</v>
      </c>
      <c r="C14" s="20" t="str">
        <f aca="false">CONCATENATE(F14,D14)</f>
        <v>B0-PP-44601-P2007</v>
      </c>
      <c r="D14" s="52" t="s">
        <v>657</v>
      </c>
      <c r="E14" s="34" t="s">
        <v>648</v>
      </c>
      <c r="F14" s="20" t="s">
        <v>622</v>
      </c>
      <c r="G14" s="20" t="s">
        <v>623</v>
      </c>
      <c r="H14" s="20" t="s">
        <v>624</v>
      </c>
      <c r="I14" s="20" t="s">
        <v>658</v>
      </c>
      <c r="J14" s="21" t="s">
        <v>659</v>
      </c>
      <c r="K14" s="20" t="s">
        <v>651</v>
      </c>
      <c r="L14" s="20" t="s">
        <v>640</v>
      </c>
      <c r="M14" s="20" t="s">
        <v>131</v>
      </c>
      <c r="N14" s="20" t="n">
        <v>14.5</v>
      </c>
      <c r="O14" s="20" t="s">
        <v>35</v>
      </c>
      <c r="P14" s="20" t="s">
        <v>652</v>
      </c>
      <c r="Q14" s="37" t="s">
        <v>660</v>
      </c>
      <c r="R14" s="21" t="s">
        <v>63</v>
      </c>
      <c r="S14" s="17" t="s">
        <v>38</v>
      </c>
      <c r="T14" s="20" t="s">
        <v>630</v>
      </c>
      <c r="U14" s="20" t="s">
        <v>40</v>
      </c>
      <c r="V14" s="28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</row>
    <row r="15" customFormat="false" ht="53.25" hidden="false" customHeight="true" outlineLevel="0" collapsed="false">
      <c r="A15" s="4"/>
      <c r="B15" s="17"/>
      <c r="C15" s="20" t="str">
        <f aca="false">CONCATENATE(F15,D15)</f>
        <v/>
      </c>
      <c r="D15" s="52"/>
      <c r="E15" s="20"/>
      <c r="F15" s="20"/>
      <c r="G15" s="21"/>
      <c r="H15" s="20"/>
      <c r="I15" s="20"/>
      <c r="J15" s="21"/>
      <c r="K15" s="20"/>
      <c r="L15" s="20"/>
      <c r="M15" s="20"/>
      <c r="N15" s="53"/>
      <c r="O15" s="53"/>
      <c r="P15" s="53"/>
      <c r="Q15" s="53"/>
      <c r="R15" s="53"/>
      <c r="S15" s="17"/>
      <c r="T15" s="20"/>
      <c r="U15" s="28"/>
      <c r="V15" s="28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</row>
    <row r="16" customFormat="false" ht="53.25" hidden="false" customHeight="true" outlineLevel="0" collapsed="false">
      <c r="A16" s="48"/>
      <c r="B16" s="48" t="s">
        <v>661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5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  <c r="IP16" s="56"/>
      <c r="IQ16" s="56"/>
      <c r="IR16" s="56"/>
      <c r="IS16" s="56"/>
      <c r="IT16" s="56"/>
      <c r="IU16" s="56"/>
      <c r="IV16" s="56"/>
      <c r="IW16" s="56"/>
    </row>
    <row r="17" customFormat="false" ht="96.6" hidden="false" customHeight="true" outlineLevel="0" collapsed="false">
      <c r="A17" s="4"/>
      <c r="B17" s="17" t="n">
        <v>1</v>
      </c>
      <c r="C17" s="20" t="str">
        <f aca="false">CONCATENATE(F17,D17)</f>
        <v>B0-UPSP-44701-P2021</v>
      </c>
      <c r="D17" s="52" t="s">
        <v>662</v>
      </c>
      <c r="E17" s="19" t="s">
        <v>648</v>
      </c>
      <c r="F17" s="20" t="s">
        <v>663</v>
      </c>
      <c r="G17" s="20" t="s">
        <v>664</v>
      </c>
      <c r="H17" s="20" t="s">
        <v>624</v>
      </c>
      <c r="I17" s="20" t="s">
        <v>599</v>
      </c>
      <c r="J17" s="21" t="s">
        <v>625</v>
      </c>
      <c r="K17" s="20" t="s">
        <v>626</v>
      </c>
      <c r="L17" s="20" t="s">
        <v>640</v>
      </c>
      <c r="M17" s="20" t="s">
        <v>131</v>
      </c>
      <c r="N17" s="20" t="n">
        <v>14.5</v>
      </c>
      <c r="O17" s="20" t="s">
        <v>35</v>
      </c>
      <c r="P17" s="20" t="s">
        <v>652</v>
      </c>
      <c r="Q17" s="37" t="s">
        <v>629</v>
      </c>
      <c r="R17" s="21" t="s">
        <v>63</v>
      </c>
      <c r="S17" s="17" t="s">
        <v>38</v>
      </c>
      <c r="T17" s="20" t="s">
        <v>630</v>
      </c>
      <c r="U17" s="20" t="s">
        <v>40</v>
      </c>
      <c r="V17" s="28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</row>
    <row r="18" customFormat="false" ht="94.15" hidden="false" customHeight="true" outlineLevel="0" collapsed="false">
      <c r="A18" s="4"/>
      <c r="B18" s="17" t="n">
        <v>2</v>
      </c>
      <c r="C18" s="20" t="str">
        <f aca="false">CONCATENATE(F18,D18)</f>
        <v>B0-UPSP-44701-P2022</v>
      </c>
      <c r="D18" s="52" t="s">
        <v>665</v>
      </c>
      <c r="E18" s="19" t="s">
        <v>648</v>
      </c>
      <c r="F18" s="20" t="s">
        <v>663</v>
      </c>
      <c r="G18" s="20" t="s">
        <v>664</v>
      </c>
      <c r="H18" s="20" t="s">
        <v>624</v>
      </c>
      <c r="I18" s="20" t="s">
        <v>607</v>
      </c>
      <c r="J18" s="21" t="s">
        <v>632</v>
      </c>
      <c r="K18" s="20" t="s">
        <v>633</v>
      </c>
      <c r="L18" s="20" t="s">
        <v>640</v>
      </c>
      <c r="M18" s="20" t="s">
        <v>131</v>
      </c>
      <c r="N18" s="20" t="n">
        <v>14.5</v>
      </c>
      <c r="O18" s="20" t="s">
        <v>35</v>
      </c>
      <c r="P18" s="20" t="s">
        <v>652</v>
      </c>
      <c r="Q18" s="37" t="s">
        <v>634</v>
      </c>
      <c r="R18" s="21" t="s">
        <v>63</v>
      </c>
      <c r="S18" s="17" t="s">
        <v>38</v>
      </c>
      <c r="T18" s="20" t="s">
        <v>630</v>
      </c>
      <c r="U18" s="20" t="s">
        <v>40</v>
      </c>
      <c r="V18" s="28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</row>
    <row r="19" customFormat="false" ht="96" hidden="false" customHeight="true" outlineLevel="0" collapsed="false">
      <c r="A19" s="4"/>
      <c r="B19" s="17" t="n">
        <v>3</v>
      </c>
      <c r="C19" s="20" t="str">
        <f aca="false">CONCATENATE(F19,D19)</f>
        <v>B0-UPSP-44701-P2023</v>
      </c>
      <c r="D19" s="52" t="s">
        <v>666</v>
      </c>
      <c r="E19" s="19" t="s">
        <v>648</v>
      </c>
      <c r="F19" s="20" t="s">
        <v>663</v>
      </c>
      <c r="G19" s="20" t="s">
        <v>664</v>
      </c>
      <c r="H19" s="20" t="s">
        <v>624</v>
      </c>
      <c r="I19" s="20" t="s">
        <v>128</v>
      </c>
      <c r="J19" s="21" t="s">
        <v>667</v>
      </c>
      <c r="K19" s="20" t="s">
        <v>105</v>
      </c>
      <c r="L19" s="20" t="s">
        <v>640</v>
      </c>
      <c r="M19" s="20" t="s">
        <v>131</v>
      </c>
      <c r="N19" s="20" t="n">
        <v>14.5</v>
      </c>
      <c r="O19" s="20" t="s">
        <v>35</v>
      </c>
      <c r="P19" s="20" t="s">
        <v>652</v>
      </c>
      <c r="Q19" s="37" t="s">
        <v>653</v>
      </c>
      <c r="R19" s="21" t="s">
        <v>63</v>
      </c>
      <c r="S19" s="17" t="s">
        <v>38</v>
      </c>
      <c r="T19" s="20" t="s">
        <v>630</v>
      </c>
      <c r="U19" s="20" t="s">
        <v>40</v>
      </c>
      <c r="V19" s="28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</row>
    <row r="20" customFormat="false" ht="90.6" hidden="false" customHeight="true" outlineLevel="0" collapsed="false">
      <c r="A20" s="4"/>
      <c r="B20" s="17" t="n">
        <v>4</v>
      </c>
      <c r="C20" s="20" t="str">
        <f aca="false">CONCATENATE(F20,D20)</f>
        <v>B0-UPSP-44701-P2024</v>
      </c>
      <c r="D20" s="52" t="s">
        <v>668</v>
      </c>
      <c r="E20" s="19" t="s">
        <v>648</v>
      </c>
      <c r="F20" s="20" t="s">
        <v>663</v>
      </c>
      <c r="G20" s="20" t="s">
        <v>664</v>
      </c>
      <c r="H20" s="20" t="s">
        <v>624</v>
      </c>
      <c r="I20" s="20" t="s">
        <v>30</v>
      </c>
      <c r="J20" s="21" t="s">
        <v>669</v>
      </c>
      <c r="K20" s="20" t="s">
        <v>83</v>
      </c>
      <c r="L20" s="20" t="s">
        <v>640</v>
      </c>
      <c r="M20" s="20" t="s">
        <v>131</v>
      </c>
      <c r="N20" s="20" t="n">
        <v>14.5</v>
      </c>
      <c r="O20" s="20" t="s">
        <v>35</v>
      </c>
      <c r="P20" s="20" t="s">
        <v>652</v>
      </c>
      <c r="Q20" s="37" t="s">
        <v>670</v>
      </c>
      <c r="R20" s="21" t="s">
        <v>63</v>
      </c>
      <c r="S20" s="17" t="s">
        <v>38</v>
      </c>
      <c r="T20" s="20" t="s">
        <v>630</v>
      </c>
      <c r="U20" s="20" t="s">
        <v>40</v>
      </c>
      <c r="V20" s="28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</row>
    <row r="21" customFormat="false" ht="106.9" hidden="false" customHeight="true" outlineLevel="0" collapsed="false">
      <c r="A21" s="4"/>
      <c r="B21" s="17" t="n">
        <v>5</v>
      </c>
      <c r="C21" s="20" t="str">
        <f aca="false">CONCATENATE(F21,D21)</f>
        <v>B0-UPSP-44701-P2025</v>
      </c>
      <c r="D21" s="52" t="s">
        <v>671</v>
      </c>
      <c r="E21" s="19" t="s">
        <v>648</v>
      </c>
      <c r="F21" s="20" t="s">
        <v>663</v>
      </c>
      <c r="G21" s="20" t="s">
        <v>664</v>
      </c>
      <c r="H21" s="20" t="s">
        <v>624</v>
      </c>
      <c r="I21" s="20" t="s">
        <v>99</v>
      </c>
      <c r="J21" s="21" t="s">
        <v>672</v>
      </c>
      <c r="K21" s="20" t="s">
        <v>655</v>
      </c>
      <c r="L21" s="20" t="s">
        <v>640</v>
      </c>
      <c r="M21" s="20" t="s">
        <v>131</v>
      </c>
      <c r="N21" s="20" t="n">
        <v>14.5</v>
      </c>
      <c r="O21" s="20" t="s">
        <v>35</v>
      </c>
      <c r="P21" s="20" t="s">
        <v>652</v>
      </c>
      <c r="Q21" s="37" t="s">
        <v>656</v>
      </c>
      <c r="R21" s="21" t="s">
        <v>63</v>
      </c>
      <c r="S21" s="17" t="s">
        <v>38</v>
      </c>
      <c r="T21" s="20" t="s">
        <v>630</v>
      </c>
      <c r="U21" s="20" t="s">
        <v>40</v>
      </c>
      <c r="V21" s="28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</row>
    <row r="22" customFormat="false" ht="53.25" hidden="false" customHeight="true" outlineLevel="0" collapsed="false">
      <c r="A22" s="4"/>
      <c r="B22" s="17"/>
      <c r="C22" s="20"/>
      <c r="D22" s="52"/>
      <c r="E22" s="19"/>
      <c r="F22" s="20"/>
      <c r="G22" s="20"/>
      <c r="H22" s="20"/>
      <c r="I22" s="20"/>
      <c r="J22" s="21"/>
      <c r="K22" s="20"/>
      <c r="L22" s="20"/>
      <c r="M22" s="20"/>
      <c r="N22" s="20"/>
      <c r="O22" s="20"/>
      <c r="P22" s="20"/>
      <c r="Q22" s="20"/>
      <c r="R22" s="20"/>
      <c r="S22" s="17"/>
      <c r="T22" s="20"/>
      <c r="U22" s="28"/>
      <c r="V22" s="28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</row>
    <row r="23" customFormat="false" ht="53.25" hidden="false" customHeight="true" outlineLevel="0" collapsed="false">
      <c r="A23" s="48"/>
      <c r="B23" s="48" t="s">
        <v>673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5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</row>
    <row r="24" customFormat="false" ht="139.15" hidden="false" customHeight="true" outlineLevel="0" collapsed="false">
      <c r="A24" s="4"/>
      <c r="B24" s="17" t="n">
        <v>1</v>
      </c>
      <c r="C24" s="20" t="str">
        <f aca="false">CONCATENATE(F24,D24)</f>
        <v>B0-EHT-4401-P2101</v>
      </c>
      <c r="D24" s="52" t="s">
        <v>674</v>
      </c>
      <c r="E24" s="34" t="s">
        <v>675</v>
      </c>
      <c r="F24" s="20" t="s">
        <v>637</v>
      </c>
      <c r="G24" s="21" t="s">
        <v>638</v>
      </c>
      <c r="H24" s="20" t="s">
        <v>676</v>
      </c>
      <c r="I24" s="20" t="s">
        <v>677</v>
      </c>
      <c r="J24" s="21" t="s">
        <v>678</v>
      </c>
      <c r="K24" s="20" t="s">
        <v>679</v>
      </c>
      <c r="L24" s="20" t="s">
        <v>640</v>
      </c>
      <c r="M24" s="20" t="s">
        <v>131</v>
      </c>
      <c r="N24" s="20" t="n">
        <v>13.5</v>
      </c>
      <c r="O24" s="20" t="s">
        <v>680</v>
      </c>
      <c r="P24" s="20" t="s">
        <v>680</v>
      </c>
      <c r="Q24" s="20" t="n">
        <v>30</v>
      </c>
      <c r="R24" s="20" t="s">
        <v>63</v>
      </c>
      <c r="S24" s="20" t="s">
        <v>680</v>
      </c>
      <c r="T24" s="20" t="s">
        <v>681</v>
      </c>
      <c r="U24" s="20" t="s">
        <v>40</v>
      </c>
      <c r="V24" s="28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</row>
    <row r="25" customFormat="false" ht="147" hidden="false" customHeight="true" outlineLevel="0" collapsed="false">
      <c r="A25" s="4"/>
      <c r="B25" s="17" t="n">
        <v>2</v>
      </c>
      <c r="C25" s="20" t="str">
        <f aca="false">CONCATENATE(F25,D25)</f>
        <v>B0-EHT-4401-P2102</v>
      </c>
      <c r="D25" s="52" t="s">
        <v>682</v>
      </c>
      <c r="E25" s="34" t="s">
        <v>675</v>
      </c>
      <c r="F25" s="20" t="s">
        <v>637</v>
      </c>
      <c r="G25" s="21" t="s">
        <v>638</v>
      </c>
      <c r="H25" s="20" t="s">
        <v>676</v>
      </c>
      <c r="I25" s="20" t="s">
        <v>683</v>
      </c>
      <c r="J25" s="21" t="s">
        <v>684</v>
      </c>
      <c r="K25" s="20" t="s">
        <v>685</v>
      </c>
      <c r="L25" s="20" t="s">
        <v>640</v>
      </c>
      <c r="M25" s="20" t="s">
        <v>131</v>
      </c>
      <c r="N25" s="20" t="n">
        <v>13.5</v>
      </c>
      <c r="O25" s="20" t="s">
        <v>680</v>
      </c>
      <c r="P25" s="20" t="s">
        <v>680</v>
      </c>
      <c r="Q25" s="20" t="n">
        <v>34</v>
      </c>
      <c r="R25" s="20" t="s">
        <v>63</v>
      </c>
      <c r="S25" s="20" t="s">
        <v>680</v>
      </c>
      <c r="T25" s="20" t="s">
        <v>681</v>
      </c>
      <c r="U25" s="20" t="s">
        <v>40</v>
      </c>
      <c r="V25" s="2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</row>
    <row r="26" customFormat="false" ht="135.6" hidden="false" customHeight="true" outlineLevel="0" collapsed="false">
      <c r="A26" s="4"/>
      <c r="B26" s="17" t="n">
        <v>3</v>
      </c>
      <c r="C26" s="20" t="str">
        <f aca="false">CONCATENATE(F26,D26)</f>
        <v>B0-EHT-4401-P2103</v>
      </c>
      <c r="D26" s="52" t="s">
        <v>686</v>
      </c>
      <c r="E26" s="34" t="s">
        <v>675</v>
      </c>
      <c r="F26" s="20" t="s">
        <v>637</v>
      </c>
      <c r="G26" s="21" t="s">
        <v>638</v>
      </c>
      <c r="H26" s="20" t="s">
        <v>676</v>
      </c>
      <c r="I26" s="20" t="s">
        <v>687</v>
      </c>
      <c r="J26" s="21" t="s">
        <v>688</v>
      </c>
      <c r="K26" s="20" t="s">
        <v>689</v>
      </c>
      <c r="L26" s="20" t="s">
        <v>640</v>
      </c>
      <c r="M26" s="20" t="s">
        <v>131</v>
      </c>
      <c r="N26" s="20" t="n">
        <v>13.5</v>
      </c>
      <c r="O26" s="20" t="s">
        <v>680</v>
      </c>
      <c r="P26" s="20" t="s">
        <v>680</v>
      </c>
      <c r="Q26" s="20" t="n">
        <v>33</v>
      </c>
      <c r="R26" s="20" t="s">
        <v>63</v>
      </c>
      <c r="S26" s="20" t="s">
        <v>680</v>
      </c>
      <c r="T26" s="20" t="s">
        <v>681</v>
      </c>
      <c r="U26" s="20" t="s">
        <v>40</v>
      </c>
      <c r="V26" s="28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</row>
    <row r="27" customFormat="false" ht="137.45" hidden="false" customHeight="true" outlineLevel="0" collapsed="false">
      <c r="A27" s="4"/>
      <c r="B27" s="17" t="n">
        <v>4</v>
      </c>
      <c r="C27" s="20" t="str">
        <f aca="false">CONCATENATE(F27,D27)</f>
        <v>B0-EHT-4401-P2104</v>
      </c>
      <c r="D27" s="52" t="s">
        <v>690</v>
      </c>
      <c r="E27" s="34" t="s">
        <v>675</v>
      </c>
      <c r="F27" s="20" t="s">
        <v>637</v>
      </c>
      <c r="G27" s="21" t="s">
        <v>638</v>
      </c>
      <c r="H27" s="20" t="s">
        <v>676</v>
      </c>
      <c r="I27" s="20" t="s">
        <v>691</v>
      </c>
      <c r="J27" s="21" t="s">
        <v>692</v>
      </c>
      <c r="K27" s="20" t="s">
        <v>693</v>
      </c>
      <c r="L27" s="20" t="s">
        <v>640</v>
      </c>
      <c r="M27" s="20" t="s">
        <v>131</v>
      </c>
      <c r="N27" s="20" t="n">
        <v>13.5</v>
      </c>
      <c r="O27" s="20" t="s">
        <v>680</v>
      </c>
      <c r="P27" s="20" t="s">
        <v>680</v>
      </c>
      <c r="Q27" s="20" t="n">
        <v>40</v>
      </c>
      <c r="R27" s="20" t="s">
        <v>63</v>
      </c>
      <c r="S27" s="20" t="s">
        <v>680</v>
      </c>
      <c r="T27" s="20" t="s">
        <v>681</v>
      </c>
      <c r="U27" s="20" t="s">
        <v>40</v>
      </c>
      <c r="V27" s="28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</row>
    <row r="28" customFormat="false" ht="131.45" hidden="false" customHeight="true" outlineLevel="0" collapsed="false">
      <c r="A28" s="4"/>
      <c r="B28" s="17" t="n">
        <v>5</v>
      </c>
      <c r="C28" s="20" t="str">
        <f aca="false">CONCATENATE(F28,D28)</f>
        <v>B0-EHT-4401-P2105</v>
      </c>
      <c r="D28" s="52" t="s">
        <v>694</v>
      </c>
      <c r="E28" s="34" t="s">
        <v>675</v>
      </c>
      <c r="F28" s="20" t="s">
        <v>637</v>
      </c>
      <c r="G28" s="21" t="s">
        <v>638</v>
      </c>
      <c r="H28" s="20" t="s">
        <v>676</v>
      </c>
      <c r="I28" s="20" t="s">
        <v>695</v>
      </c>
      <c r="J28" s="21" t="s">
        <v>696</v>
      </c>
      <c r="K28" s="20" t="s">
        <v>697</v>
      </c>
      <c r="L28" s="20" t="s">
        <v>640</v>
      </c>
      <c r="M28" s="20" t="s">
        <v>131</v>
      </c>
      <c r="N28" s="20" t="n">
        <v>13.5</v>
      </c>
      <c r="O28" s="20" t="s">
        <v>680</v>
      </c>
      <c r="P28" s="20" t="s">
        <v>680</v>
      </c>
      <c r="Q28" s="20" t="n">
        <v>40</v>
      </c>
      <c r="R28" s="20" t="s">
        <v>63</v>
      </c>
      <c r="S28" s="20" t="s">
        <v>680</v>
      </c>
      <c r="T28" s="20" t="s">
        <v>681</v>
      </c>
      <c r="U28" s="20" t="s">
        <v>40</v>
      </c>
      <c r="V28" s="28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customFormat="false" ht="139.9" hidden="false" customHeight="true" outlineLevel="0" collapsed="false">
      <c r="A29" s="4"/>
      <c r="B29" s="17" t="n">
        <v>6</v>
      </c>
      <c r="C29" s="20" t="str">
        <f aca="false">CONCATENATE(F29,D29)</f>
        <v>B0-EHT-4401-P2106</v>
      </c>
      <c r="D29" s="52" t="s">
        <v>698</v>
      </c>
      <c r="E29" s="34" t="s">
        <v>675</v>
      </c>
      <c r="F29" s="20" t="s">
        <v>637</v>
      </c>
      <c r="G29" s="21" t="s">
        <v>638</v>
      </c>
      <c r="H29" s="20" t="s">
        <v>676</v>
      </c>
      <c r="I29" s="20" t="s">
        <v>699</v>
      </c>
      <c r="J29" s="21" t="s">
        <v>700</v>
      </c>
      <c r="K29" s="20" t="s">
        <v>701</v>
      </c>
      <c r="L29" s="20" t="s">
        <v>640</v>
      </c>
      <c r="M29" s="20" t="s">
        <v>131</v>
      </c>
      <c r="N29" s="20" t="n">
        <v>13.5</v>
      </c>
      <c r="O29" s="20" t="s">
        <v>680</v>
      </c>
      <c r="P29" s="20" t="s">
        <v>680</v>
      </c>
      <c r="Q29" s="20" t="n">
        <v>29</v>
      </c>
      <c r="R29" s="20" t="s">
        <v>63</v>
      </c>
      <c r="S29" s="20" t="s">
        <v>680</v>
      </c>
      <c r="T29" s="20" t="s">
        <v>681</v>
      </c>
      <c r="U29" s="20" t="s">
        <v>40</v>
      </c>
      <c r="V29" s="28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</row>
    <row r="30" customFormat="false" ht="126" hidden="false" customHeight="true" outlineLevel="0" collapsed="false">
      <c r="A30" s="4"/>
      <c r="B30" s="17" t="n">
        <v>7</v>
      </c>
      <c r="C30" s="20" t="str">
        <f aca="false">CONCATENATE(F30,D30)</f>
        <v>B0-EHT-4401-P2107</v>
      </c>
      <c r="D30" s="52" t="s">
        <v>702</v>
      </c>
      <c r="E30" s="34" t="s">
        <v>675</v>
      </c>
      <c r="F30" s="20" t="s">
        <v>637</v>
      </c>
      <c r="G30" s="21" t="s">
        <v>638</v>
      </c>
      <c r="H30" s="20" t="s">
        <v>676</v>
      </c>
      <c r="I30" s="20" t="s">
        <v>703</v>
      </c>
      <c r="J30" s="21" t="s">
        <v>704</v>
      </c>
      <c r="K30" s="20" t="s">
        <v>701</v>
      </c>
      <c r="L30" s="20" t="s">
        <v>640</v>
      </c>
      <c r="M30" s="20" t="s">
        <v>131</v>
      </c>
      <c r="N30" s="20" t="n">
        <v>13.5</v>
      </c>
      <c r="O30" s="20" t="s">
        <v>680</v>
      </c>
      <c r="P30" s="20" t="s">
        <v>680</v>
      </c>
      <c r="Q30" s="20" t="n">
        <v>29</v>
      </c>
      <c r="R30" s="20" t="s">
        <v>63</v>
      </c>
      <c r="S30" s="20" t="s">
        <v>680</v>
      </c>
      <c r="T30" s="20" t="s">
        <v>681</v>
      </c>
      <c r="U30" s="20" t="s">
        <v>40</v>
      </c>
      <c r="V30" s="28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</row>
    <row r="31" customFormat="false" ht="145.15" hidden="false" customHeight="true" outlineLevel="0" collapsed="false">
      <c r="A31" s="4"/>
      <c r="B31" s="17" t="n">
        <v>8</v>
      </c>
      <c r="C31" s="20" t="str">
        <f aca="false">CONCATENATE(F31,D31)</f>
        <v>B0-EHT-4401-P2108</v>
      </c>
      <c r="D31" s="52" t="s">
        <v>705</v>
      </c>
      <c r="E31" s="34" t="s">
        <v>675</v>
      </c>
      <c r="F31" s="20" t="s">
        <v>637</v>
      </c>
      <c r="G31" s="21" t="s">
        <v>638</v>
      </c>
      <c r="H31" s="20" t="s">
        <v>676</v>
      </c>
      <c r="I31" s="20" t="s">
        <v>706</v>
      </c>
      <c r="J31" s="21" t="s">
        <v>707</v>
      </c>
      <c r="K31" s="20" t="s">
        <v>708</v>
      </c>
      <c r="L31" s="20" t="s">
        <v>640</v>
      </c>
      <c r="M31" s="20" t="s">
        <v>131</v>
      </c>
      <c r="N31" s="20" t="n">
        <v>13.5</v>
      </c>
      <c r="O31" s="20" t="s">
        <v>680</v>
      </c>
      <c r="P31" s="20" t="s">
        <v>680</v>
      </c>
      <c r="Q31" s="20" t="n">
        <v>38</v>
      </c>
      <c r="R31" s="20" t="s">
        <v>63</v>
      </c>
      <c r="S31" s="20" t="s">
        <v>680</v>
      </c>
      <c r="T31" s="20" t="s">
        <v>681</v>
      </c>
      <c r="U31" s="20" t="s">
        <v>40</v>
      </c>
      <c r="V31" s="28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</row>
    <row r="32" customFormat="false" ht="118.9" hidden="false" customHeight="true" outlineLevel="0" collapsed="false">
      <c r="A32" s="4"/>
      <c r="B32" s="17" t="n">
        <v>9</v>
      </c>
      <c r="C32" s="20" t="str">
        <f aca="false">CONCATENATE(F32,D32)</f>
        <v>B0-EHT-4401-P2109</v>
      </c>
      <c r="D32" s="52" t="s">
        <v>709</v>
      </c>
      <c r="E32" s="34" t="s">
        <v>675</v>
      </c>
      <c r="F32" s="20" t="s">
        <v>637</v>
      </c>
      <c r="G32" s="21" t="s">
        <v>638</v>
      </c>
      <c r="H32" s="20" t="s">
        <v>676</v>
      </c>
      <c r="I32" s="20" t="s">
        <v>710</v>
      </c>
      <c r="J32" s="21" t="s">
        <v>711</v>
      </c>
      <c r="K32" s="20" t="s">
        <v>708</v>
      </c>
      <c r="L32" s="20" t="s">
        <v>640</v>
      </c>
      <c r="M32" s="20" t="s">
        <v>131</v>
      </c>
      <c r="N32" s="20" t="n">
        <v>13.5</v>
      </c>
      <c r="O32" s="20" t="s">
        <v>680</v>
      </c>
      <c r="P32" s="20" t="s">
        <v>680</v>
      </c>
      <c r="Q32" s="20" t="n">
        <v>38</v>
      </c>
      <c r="R32" s="20" t="s">
        <v>63</v>
      </c>
      <c r="S32" s="20" t="s">
        <v>680</v>
      </c>
      <c r="T32" s="20" t="s">
        <v>681</v>
      </c>
      <c r="U32" s="20" t="s">
        <v>40</v>
      </c>
      <c r="V32" s="28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</row>
    <row r="33" customFormat="false" ht="136.9" hidden="false" customHeight="true" outlineLevel="0" collapsed="false">
      <c r="A33" s="4"/>
      <c r="B33" s="17" t="n">
        <v>10</v>
      </c>
      <c r="C33" s="20" t="str">
        <f aca="false">CONCATENATE(F33,D33)</f>
        <v>B0-EHT-4401-P2110</v>
      </c>
      <c r="D33" s="52" t="s">
        <v>712</v>
      </c>
      <c r="E33" s="34" t="s">
        <v>675</v>
      </c>
      <c r="F33" s="20" t="s">
        <v>637</v>
      </c>
      <c r="G33" s="21" t="s">
        <v>638</v>
      </c>
      <c r="H33" s="20" t="s">
        <v>676</v>
      </c>
      <c r="I33" s="20" t="s">
        <v>713</v>
      </c>
      <c r="J33" s="21" t="s">
        <v>714</v>
      </c>
      <c r="K33" s="20" t="s">
        <v>715</v>
      </c>
      <c r="L33" s="20" t="s">
        <v>640</v>
      </c>
      <c r="M33" s="20" t="s">
        <v>131</v>
      </c>
      <c r="N33" s="20" t="n">
        <v>13.5</v>
      </c>
      <c r="O33" s="20" t="s">
        <v>680</v>
      </c>
      <c r="P33" s="20" t="s">
        <v>680</v>
      </c>
      <c r="Q33" s="20" t="n">
        <v>52</v>
      </c>
      <c r="R33" s="20" t="s">
        <v>63</v>
      </c>
      <c r="S33" s="20" t="s">
        <v>680</v>
      </c>
      <c r="T33" s="20" t="s">
        <v>681</v>
      </c>
      <c r="U33" s="20" t="s">
        <v>40</v>
      </c>
      <c r="V33" s="28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</row>
    <row r="34" customFormat="false" ht="130.15" hidden="false" customHeight="true" outlineLevel="0" collapsed="false">
      <c r="A34" s="4"/>
      <c r="B34" s="17" t="n">
        <v>11</v>
      </c>
      <c r="C34" s="20" t="str">
        <f aca="false">CONCATENATE(F34,D34)</f>
        <v>B0-EHT-4401-P2111</v>
      </c>
      <c r="D34" s="52" t="s">
        <v>716</v>
      </c>
      <c r="E34" s="34" t="s">
        <v>675</v>
      </c>
      <c r="F34" s="20" t="s">
        <v>637</v>
      </c>
      <c r="G34" s="21" t="s">
        <v>638</v>
      </c>
      <c r="H34" s="20" t="s">
        <v>676</v>
      </c>
      <c r="I34" s="20" t="s">
        <v>717</v>
      </c>
      <c r="J34" s="21" t="s">
        <v>718</v>
      </c>
      <c r="K34" s="20" t="s">
        <v>719</v>
      </c>
      <c r="L34" s="20" t="s">
        <v>640</v>
      </c>
      <c r="M34" s="20" t="s">
        <v>131</v>
      </c>
      <c r="N34" s="20" t="n">
        <v>13.5</v>
      </c>
      <c r="O34" s="20" t="s">
        <v>680</v>
      </c>
      <c r="P34" s="20" t="s">
        <v>680</v>
      </c>
      <c r="Q34" s="20" t="n">
        <v>43</v>
      </c>
      <c r="R34" s="20" t="s">
        <v>63</v>
      </c>
      <c r="S34" s="20" t="s">
        <v>680</v>
      </c>
      <c r="T34" s="20" t="s">
        <v>681</v>
      </c>
      <c r="U34" s="20" t="s">
        <v>40</v>
      </c>
      <c r="V34" s="28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</row>
    <row r="35" customFormat="false" ht="124.15" hidden="false" customHeight="true" outlineLevel="0" collapsed="false">
      <c r="A35" s="4"/>
      <c r="B35" s="17" t="n">
        <v>12</v>
      </c>
      <c r="C35" s="20" t="str">
        <f aca="false">CONCATENATE(F35,D35)</f>
        <v>B0-EHT-4401-P2112</v>
      </c>
      <c r="D35" s="52" t="s">
        <v>720</v>
      </c>
      <c r="E35" s="34" t="s">
        <v>675</v>
      </c>
      <c r="F35" s="20" t="s">
        <v>637</v>
      </c>
      <c r="G35" s="21" t="s">
        <v>638</v>
      </c>
      <c r="H35" s="20" t="s">
        <v>676</v>
      </c>
      <c r="I35" s="20" t="s">
        <v>721</v>
      </c>
      <c r="J35" s="21" t="s">
        <v>722</v>
      </c>
      <c r="K35" s="20" t="s">
        <v>723</v>
      </c>
      <c r="L35" s="20" t="s">
        <v>640</v>
      </c>
      <c r="M35" s="20" t="s">
        <v>131</v>
      </c>
      <c r="N35" s="20" t="n">
        <v>13.5</v>
      </c>
      <c r="O35" s="20" t="s">
        <v>680</v>
      </c>
      <c r="P35" s="20" t="s">
        <v>680</v>
      </c>
      <c r="Q35" s="20" t="n">
        <v>42</v>
      </c>
      <c r="R35" s="20" t="s">
        <v>63</v>
      </c>
      <c r="S35" s="20" t="s">
        <v>680</v>
      </c>
      <c r="T35" s="20" t="s">
        <v>681</v>
      </c>
      <c r="U35" s="20" t="s">
        <v>40</v>
      </c>
      <c r="V35" s="28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</row>
    <row r="36" customFormat="false" ht="136.9" hidden="false" customHeight="true" outlineLevel="0" collapsed="false">
      <c r="A36" s="4"/>
      <c r="B36" s="17" t="n">
        <v>13</v>
      </c>
      <c r="C36" s="20" t="str">
        <f aca="false">CONCATENATE(F36,D36)</f>
        <v>B0-EHT-4401-P2113</v>
      </c>
      <c r="D36" s="52" t="s">
        <v>724</v>
      </c>
      <c r="E36" s="34" t="s">
        <v>675</v>
      </c>
      <c r="F36" s="20" t="s">
        <v>637</v>
      </c>
      <c r="G36" s="21" t="s">
        <v>638</v>
      </c>
      <c r="H36" s="20" t="s">
        <v>676</v>
      </c>
      <c r="I36" s="20" t="s">
        <v>725</v>
      </c>
      <c r="J36" s="21" t="s">
        <v>726</v>
      </c>
      <c r="K36" s="20" t="s">
        <v>727</v>
      </c>
      <c r="L36" s="20" t="s">
        <v>640</v>
      </c>
      <c r="M36" s="20" t="s">
        <v>131</v>
      </c>
      <c r="N36" s="20" t="n">
        <v>13.5</v>
      </c>
      <c r="O36" s="20" t="s">
        <v>680</v>
      </c>
      <c r="P36" s="20" t="s">
        <v>680</v>
      </c>
      <c r="Q36" s="20" t="n">
        <v>40</v>
      </c>
      <c r="R36" s="20" t="s">
        <v>63</v>
      </c>
      <c r="S36" s="20" t="s">
        <v>680</v>
      </c>
      <c r="T36" s="20" t="s">
        <v>681</v>
      </c>
      <c r="U36" s="20" t="s">
        <v>40</v>
      </c>
      <c r="V36" s="28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</row>
    <row r="37" customFormat="false" ht="135.6" hidden="false" customHeight="true" outlineLevel="0" collapsed="false">
      <c r="A37" s="4"/>
      <c r="B37" s="17" t="n">
        <v>14</v>
      </c>
      <c r="C37" s="20" t="str">
        <f aca="false">CONCATENATE(F37,D37)</f>
        <v>B0-EHT-4401-P2114</v>
      </c>
      <c r="D37" s="52" t="s">
        <v>728</v>
      </c>
      <c r="E37" s="34" t="s">
        <v>675</v>
      </c>
      <c r="F37" s="20" t="s">
        <v>637</v>
      </c>
      <c r="G37" s="21" t="s">
        <v>638</v>
      </c>
      <c r="H37" s="20" t="s">
        <v>676</v>
      </c>
      <c r="I37" s="20" t="s">
        <v>729</v>
      </c>
      <c r="J37" s="21" t="s">
        <v>730</v>
      </c>
      <c r="K37" s="20" t="s">
        <v>731</v>
      </c>
      <c r="L37" s="20" t="s">
        <v>640</v>
      </c>
      <c r="M37" s="20" t="s">
        <v>131</v>
      </c>
      <c r="N37" s="20" t="n">
        <v>13.5</v>
      </c>
      <c r="O37" s="20" t="s">
        <v>680</v>
      </c>
      <c r="P37" s="20" t="s">
        <v>680</v>
      </c>
      <c r="Q37" s="20" t="n">
        <v>41</v>
      </c>
      <c r="R37" s="20" t="s">
        <v>63</v>
      </c>
      <c r="S37" s="20" t="s">
        <v>680</v>
      </c>
      <c r="T37" s="20" t="s">
        <v>681</v>
      </c>
      <c r="U37" s="20" t="s">
        <v>40</v>
      </c>
      <c r="V37" s="28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customFormat="false" ht="121.9" hidden="false" customHeight="true" outlineLevel="0" collapsed="false">
      <c r="A38" s="4"/>
      <c r="B38" s="17" t="n">
        <v>15</v>
      </c>
      <c r="C38" s="20" t="str">
        <f aca="false">CONCATENATE(F38,D38)</f>
        <v>B0-EHT-4401-P2115</v>
      </c>
      <c r="D38" s="52" t="s">
        <v>732</v>
      </c>
      <c r="E38" s="34" t="s">
        <v>675</v>
      </c>
      <c r="F38" s="20" t="s">
        <v>637</v>
      </c>
      <c r="G38" s="21" t="s">
        <v>638</v>
      </c>
      <c r="H38" s="20" t="s">
        <v>676</v>
      </c>
      <c r="I38" s="20" t="s">
        <v>733</v>
      </c>
      <c r="J38" s="21" t="s">
        <v>734</v>
      </c>
      <c r="K38" s="20" t="s">
        <v>735</v>
      </c>
      <c r="L38" s="20" t="s">
        <v>640</v>
      </c>
      <c r="M38" s="20" t="s">
        <v>131</v>
      </c>
      <c r="N38" s="20" t="n">
        <v>13.5</v>
      </c>
      <c r="O38" s="20" t="s">
        <v>680</v>
      </c>
      <c r="P38" s="20" t="s">
        <v>680</v>
      </c>
      <c r="Q38" s="20" t="n">
        <v>39</v>
      </c>
      <c r="R38" s="20" t="s">
        <v>63</v>
      </c>
      <c r="S38" s="20" t="s">
        <v>680</v>
      </c>
      <c r="T38" s="20" t="s">
        <v>681</v>
      </c>
      <c r="U38" s="20" t="s">
        <v>40</v>
      </c>
      <c r="V38" s="28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</row>
    <row r="39" customFormat="false" ht="132.6" hidden="false" customHeight="true" outlineLevel="0" collapsed="false">
      <c r="A39" s="4"/>
      <c r="B39" s="17" t="n">
        <v>16</v>
      </c>
      <c r="C39" s="20" t="str">
        <f aca="false">CONCATENATE(F39,D39)</f>
        <v>B0-EHT-4401-P2116</v>
      </c>
      <c r="D39" s="52" t="s">
        <v>736</v>
      </c>
      <c r="E39" s="34" t="s">
        <v>675</v>
      </c>
      <c r="F39" s="20" t="s">
        <v>637</v>
      </c>
      <c r="G39" s="21" t="s">
        <v>638</v>
      </c>
      <c r="H39" s="20" t="s">
        <v>676</v>
      </c>
      <c r="I39" s="20" t="s">
        <v>737</v>
      </c>
      <c r="J39" s="21" t="s">
        <v>738</v>
      </c>
      <c r="K39" s="20" t="s">
        <v>739</v>
      </c>
      <c r="L39" s="20" t="s">
        <v>640</v>
      </c>
      <c r="M39" s="20" t="s">
        <v>131</v>
      </c>
      <c r="N39" s="20" t="n">
        <v>13.5</v>
      </c>
      <c r="O39" s="20" t="s">
        <v>680</v>
      </c>
      <c r="P39" s="20" t="s">
        <v>680</v>
      </c>
      <c r="Q39" s="20" t="n">
        <v>52</v>
      </c>
      <c r="R39" s="20" t="s">
        <v>63</v>
      </c>
      <c r="S39" s="20" t="s">
        <v>680</v>
      </c>
      <c r="T39" s="20" t="s">
        <v>681</v>
      </c>
      <c r="U39" s="20" t="s">
        <v>40</v>
      </c>
      <c r="V39" s="2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</row>
    <row r="40" customFormat="false" ht="132" hidden="false" customHeight="true" outlineLevel="0" collapsed="false">
      <c r="A40" s="4"/>
      <c r="B40" s="17" t="n">
        <v>17</v>
      </c>
      <c r="C40" s="20" t="str">
        <f aca="false">CONCATENATE(F40,D40)</f>
        <v>B0-EHT-4401-P2117</v>
      </c>
      <c r="D40" s="52" t="s">
        <v>740</v>
      </c>
      <c r="E40" s="34" t="s">
        <v>675</v>
      </c>
      <c r="F40" s="20" t="s">
        <v>637</v>
      </c>
      <c r="G40" s="21" t="s">
        <v>638</v>
      </c>
      <c r="H40" s="20" t="s">
        <v>676</v>
      </c>
      <c r="I40" s="20" t="s">
        <v>741</v>
      </c>
      <c r="J40" s="21" t="s">
        <v>742</v>
      </c>
      <c r="K40" s="20" t="s">
        <v>743</v>
      </c>
      <c r="L40" s="20" t="s">
        <v>640</v>
      </c>
      <c r="M40" s="20" t="s">
        <v>131</v>
      </c>
      <c r="N40" s="20" t="n">
        <v>13.5</v>
      </c>
      <c r="O40" s="20" t="s">
        <v>680</v>
      </c>
      <c r="P40" s="20" t="s">
        <v>680</v>
      </c>
      <c r="Q40" s="20" t="n">
        <v>52</v>
      </c>
      <c r="R40" s="20" t="s">
        <v>63</v>
      </c>
      <c r="S40" s="20" t="s">
        <v>680</v>
      </c>
      <c r="T40" s="20" t="s">
        <v>681</v>
      </c>
      <c r="U40" s="20" t="s">
        <v>40</v>
      </c>
      <c r="V40" s="28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</row>
    <row r="41" customFormat="false" ht="132.6" hidden="false" customHeight="true" outlineLevel="0" collapsed="false">
      <c r="A41" s="4"/>
      <c r="B41" s="17" t="n">
        <v>18</v>
      </c>
      <c r="C41" s="20" t="str">
        <f aca="false">CONCATENATE(F41,D41)</f>
        <v>B0-EHT-4401-P2118</v>
      </c>
      <c r="D41" s="52" t="s">
        <v>744</v>
      </c>
      <c r="E41" s="34" t="s">
        <v>675</v>
      </c>
      <c r="F41" s="20" t="s">
        <v>637</v>
      </c>
      <c r="G41" s="21" t="s">
        <v>638</v>
      </c>
      <c r="H41" s="20" t="s">
        <v>676</v>
      </c>
      <c r="I41" s="20" t="s">
        <v>745</v>
      </c>
      <c r="J41" s="21" t="s">
        <v>746</v>
      </c>
      <c r="K41" s="20" t="s">
        <v>747</v>
      </c>
      <c r="L41" s="20" t="s">
        <v>640</v>
      </c>
      <c r="M41" s="20" t="s">
        <v>131</v>
      </c>
      <c r="N41" s="20" t="n">
        <v>13.5</v>
      </c>
      <c r="O41" s="20" t="s">
        <v>680</v>
      </c>
      <c r="P41" s="20" t="s">
        <v>680</v>
      </c>
      <c r="Q41" s="20" t="n">
        <v>40</v>
      </c>
      <c r="R41" s="20" t="s">
        <v>63</v>
      </c>
      <c r="S41" s="20" t="s">
        <v>680</v>
      </c>
      <c r="T41" s="20" t="s">
        <v>681</v>
      </c>
      <c r="U41" s="20" t="s">
        <v>40</v>
      </c>
      <c r="V41" s="28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customFormat="false" ht="132.6" hidden="false" customHeight="true" outlineLevel="0" collapsed="false">
      <c r="A42" s="4"/>
      <c r="B42" s="17" t="n">
        <v>19</v>
      </c>
      <c r="C42" s="20" t="str">
        <f aca="false">CONCATENATE(F42,D42)</f>
        <v>B0-EHT-4401-P2119</v>
      </c>
      <c r="D42" s="52" t="s">
        <v>748</v>
      </c>
      <c r="E42" s="34" t="s">
        <v>675</v>
      </c>
      <c r="F42" s="20" t="s">
        <v>637</v>
      </c>
      <c r="G42" s="21" t="s">
        <v>638</v>
      </c>
      <c r="H42" s="20" t="s">
        <v>676</v>
      </c>
      <c r="I42" s="20" t="s">
        <v>749</v>
      </c>
      <c r="J42" s="21" t="s">
        <v>750</v>
      </c>
      <c r="K42" s="20" t="s">
        <v>751</v>
      </c>
      <c r="L42" s="20" t="s">
        <v>640</v>
      </c>
      <c r="M42" s="20" t="s">
        <v>131</v>
      </c>
      <c r="N42" s="20" t="n">
        <v>13.5</v>
      </c>
      <c r="O42" s="20" t="s">
        <v>680</v>
      </c>
      <c r="P42" s="20" t="s">
        <v>680</v>
      </c>
      <c r="Q42" s="20" t="n">
        <v>39</v>
      </c>
      <c r="R42" s="20" t="s">
        <v>63</v>
      </c>
      <c r="S42" s="20" t="s">
        <v>680</v>
      </c>
      <c r="T42" s="20" t="s">
        <v>681</v>
      </c>
      <c r="U42" s="20" t="s">
        <v>40</v>
      </c>
      <c r="V42" s="28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customFormat="false" ht="125.45" hidden="false" customHeight="true" outlineLevel="0" collapsed="false">
      <c r="A43" s="4"/>
      <c r="B43" s="17" t="n">
        <v>20</v>
      </c>
      <c r="C43" s="20" t="str">
        <f aca="false">CONCATENATE(F43,D43)</f>
        <v>B0-EHT-4401-P2120</v>
      </c>
      <c r="D43" s="52" t="s">
        <v>752</v>
      </c>
      <c r="E43" s="34" t="s">
        <v>675</v>
      </c>
      <c r="F43" s="20" t="s">
        <v>637</v>
      </c>
      <c r="G43" s="21" t="s">
        <v>638</v>
      </c>
      <c r="H43" s="20" t="s">
        <v>676</v>
      </c>
      <c r="I43" s="20" t="s">
        <v>753</v>
      </c>
      <c r="J43" s="20" t="s">
        <v>754</v>
      </c>
      <c r="K43" s="20" t="s">
        <v>755</v>
      </c>
      <c r="L43" s="20" t="s">
        <v>640</v>
      </c>
      <c r="M43" s="20" t="s">
        <v>131</v>
      </c>
      <c r="N43" s="20" t="n">
        <v>13.5</v>
      </c>
      <c r="O43" s="20" t="s">
        <v>680</v>
      </c>
      <c r="P43" s="20" t="s">
        <v>680</v>
      </c>
      <c r="Q43" s="20" t="n">
        <v>52</v>
      </c>
      <c r="R43" s="20" t="s">
        <v>63</v>
      </c>
      <c r="S43" s="20" t="s">
        <v>680</v>
      </c>
      <c r="T43" s="20" t="s">
        <v>681</v>
      </c>
      <c r="U43" s="20" t="s">
        <v>40</v>
      </c>
      <c r="V43" s="28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customFormat="false" ht="53.25" hidden="false" customHeight="true" outlineLevel="0" collapsed="false">
      <c r="A44" s="4"/>
      <c r="B44" s="17"/>
      <c r="C44" s="20"/>
      <c r="D44" s="57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customFormat="false" ht="53.25" hidden="false" customHeight="true" outlineLevel="0" collapsed="false">
      <c r="A45" s="48"/>
      <c r="B45" s="48" t="s">
        <v>756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5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  <c r="GP45" s="56"/>
      <c r="GQ45" s="56"/>
      <c r="GR45" s="56"/>
      <c r="GS45" s="56"/>
      <c r="GT45" s="56"/>
      <c r="GU45" s="56"/>
      <c r="GV45" s="56"/>
      <c r="GW45" s="56"/>
      <c r="GX45" s="56"/>
      <c r="GY45" s="56"/>
      <c r="GZ45" s="56"/>
      <c r="HA45" s="56"/>
      <c r="HB45" s="56"/>
      <c r="HC45" s="56"/>
      <c r="HD45" s="56"/>
      <c r="HE45" s="56"/>
      <c r="HF45" s="56"/>
      <c r="HG45" s="56"/>
      <c r="HH45" s="56"/>
      <c r="HI45" s="56"/>
      <c r="HJ45" s="56"/>
      <c r="HK45" s="56"/>
      <c r="HL45" s="56"/>
      <c r="HM45" s="56"/>
      <c r="HN45" s="56"/>
      <c r="HO45" s="56"/>
      <c r="HP45" s="56"/>
      <c r="HQ45" s="56"/>
      <c r="HR45" s="56"/>
      <c r="HS45" s="56"/>
      <c r="HT45" s="56"/>
      <c r="HU45" s="56"/>
      <c r="HV45" s="56"/>
      <c r="HW45" s="56"/>
      <c r="HX45" s="56"/>
      <c r="HY45" s="56"/>
      <c r="HZ45" s="56"/>
      <c r="IA45" s="56"/>
      <c r="IB45" s="56"/>
      <c r="IC45" s="56"/>
      <c r="ID45" s="56"/>
      <c r="IE45" s="56"/>
      <c r="IF45" s="56"/>
      <c r="IG45" s="56"/>
      <c r="IH45" s="56"/>
      <c r="II45" s="56"/>
      <c r="IJ45" s="56"/>
      <c r="IK45" s="56"/>
      <c r="IL45" s="56"/>
      <c r="IM45" s="56"/>
      <c r="IN45" s="56"/>
      <c r="IO45" s="56"/>
      <c r="IP45" s="56"/>
      <c r="IQ45" s="56"/>
      <c r="IR45" s="56"/>
      <c r="IS45" s="56"/>
      <c r="IT45" s="56"/>
      <c r="IU45" s="56"/>
      <c r="IV45" s="56"/>
      <c r="IW45" s="56"/>
    </row>
    <row r="46" customFormat="false" ht="102" hidden="false" customHeight="true" outlineLevel="0" collapsed="false">
      <c r="A46" s="4"/>
      <c r="B46" s="17" t="n">
        <v>1</v>
      </c>
      <c r="C46" s="20" t="str">
        <f aca="false">CONCATENATE(F46,D46)</f>
        <v>B0-JBP-4401-P2121</v>
      </c>
      <c r="D46" s="58" t="s">
        <v>757</v>
      </c>
      <c r="E46" s="34" t="s">
        <v>675</v>
      </c>
      <c r="F46" s="21" t="s">
        <v>649</v>
      </c>
      <c r="G46" s="21" t="s">
        <v>758</v>
      </c>
      <c r="H46" s="21" t="s">
        <v>105</v>
      </c>
      <c r="I46" s="21" t="s">
        <v>108</v>
      </c>
      <c r="J46" s="21" t="s">
        <v>759</v>
      </c>
      <c r="K46" s="21" t="s">
        <v>760</v>
      </c>
      <c r="L46" s="20" t="s">
        <v>640</v>
      </c>
      <c r="M46" s="20" t="s">
        <v>131</v>
      </c>
      <c r="N46" s="20" t="n">
        <v>13.5</v>
      </c>
      <c r="O46" s="20" t="s">
        <v>35</v>
      </c>
      <c r="P46" s="20" t="s">
        <v>652</v>
      </c>
      <c r="Q46" s="21" t="s">
        <v>761</v>
      </c>
      <c r="R46" s="21" t="s">
        <v>37</v>
      </c>
      <c r="S46" s="17" t="s">
        <v>38</v>
      </c>
      <c r="T46" s="20" t="s">
        <v>133</v>
      </c>
      <c r="U46" s="20" t="s">
        <v>40</v>
      </c>
      <c r="V46" s="21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</row>
    <row r="47" customFormat="false" ht="93.6" hidden="false" customHeight="true" outlineLevel="0" collapsed="false">
      <c r="A47" s="4"/>
      <c r="B47" s="17" t="n">
        <v>2</v>
      </c>
      <c r="C47" s="20" t="str">
        <f aca="false">CONCATENATE(F47,D47)</f>
        <v>B0-JBP-4401-P2122</v>
      </c>
      <c r="D47" s="58" t="s">
        <v>762</v>
      </c>
      <c r="E47" s="34" t="s">
        <v>675</v>
      </c>
      <c r="F47" s="21" t="s">
        <v>649</v>
      </c>
      <c r="G47" s="21" t="s">
        <v>758</v>
      </c>
      <c r="H47" s="21" t="s">
        <v>105</v>
      </c>
      <c r="I47" s="21" t="s">
        <v>108</v>
      </c>
      <c r="J47" s="21" t="s">
        <v>763</v>
      </c>
      <c r="K47" s="21" t="s">
        <v>760</v>
      </c>
      <c r="L47" s="20" t="s">
        <v>640</v>
      </c>
      <c r="M47" s="20" t="s">
        <v>131</v>
      </c>
      <c r="N47" s="20" t="n">
        <v>13.5</v>
      </c>
      <c r="O47" s="20" t="s">
        <v>35</v>
      </c>
      <c r="P47" s="20" t="s">
        <v>652</v>
      </c>
      <c r="Q47" s="21" t="s">
        <v>761</v>
      </c>
      <c r="R47" s="21" t="s">
        <v>37</v>
      </c>
      <c r="S47" s="17" t="s">
        <v>38</v>
      </c>
      <c r="T47" s="20" t="s">
        <v>133</v>
      </c>
      <c r="U47" s="20" t="s">
        <v>40</v>
      </c>
      <c r="V47" s="21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</row>
    <row r="48" customFormat="false" ht="99.6" hidden="false" customHeight="true" outlineLevel="0" collapsed="false">
      <c r="A48" s="4"/>
      <c r="B48" s="17" t="n">
        <v>3</v>
      </c>
      <c r="C48" s="20" t="str">
        <f aca="false">CONCATENATE(F48,D48)</f>
        <v>B0-JBP-4401-P2123</v>
      </c>
      <c r="D48" s="58" t="s">
        <v>764</v>
      </c>
      <c r="E48" s="34" t="s">
        <v>675</v>
      </c>
      <c r="F48" s="21" t="s">
        <v>649</v>
      </c>
      <c r="G48" s="21" t="s">
        <v>758</v>
      </c>
      <c r="H48" s="21" t="s">
        <v>105</v>
      </c>
      <c r="I48" s="21" t="s">
        <v>108</v>
      </c>
      <c r="J48" s="21" t="s">
        <v>765</v>
      </c>
      <c r="K48" s="21" t="s">
        <v>760</v>
      </c>
      <c r="L48" s="20" t="s">
        <v>640</v>
      </c>
      <c r="M48" s="20" t="s">
        <v>131</v>
      </c>
      <c r="N48" s="20" t="n">
        <v>13.5</v>
      </c>
      <c r="O48" s="20" t="s">
        <v>35</v>
      </c>
      <c r="P48" s="20" t="s">
        <v>652</v>
      </c>
      <c r="Q48" s="21" t="s">
        <v>761</v>
      </c>
      <c r="R48" s="21" t="s">
        <v>37</v>
      </c>
      <c r="S48" s="17" t="s">
        <v>38</v>
      </c>
      <c r="T48" s="20" t="s">
        <v>133</v>
      </c>
      <c r="U48" s="20" t="s">
        <v>40</v>
      </c>
      <c r="V48" s="21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</row>
    <row r="49" customFormat="false" ht="109.15" hidden="false" customHeight="true" outlineLevel="0" collapsed="false">
      <c r="A49" s="4"/>
      <c r="B49" s="17" t="n">
        <v>4</v>
      </c>
      <c r="C49" s="20" t="str">
        <f aca="false">CONCATENATE(F49,D49)</f>
        <v>B0-JBP-4401-P2124</v>
      </c>
      <c r="D49" s="58" t="s">
        <v>766</v>
      </c>
      <c r="E49" s="34" t="s">
        <v>675</v>
      </c>
      <c r="F49" s="21" t="s">
        <v>649</v>
      </c>
      <c r="G49" s="21" t="s">
        <v>758</v>
      </c>
      <c r="H49" s="21" t="s">
        <v>105</v>
      </c>
      <c r="I49" s="21" t="s">
        <v>108</v>
      </c>
      <c r="J49" s="21" t="s">
        <v>767</v>
      </c>
      <c r="K49" s="21" t="s">
        <v>760</v>
      </c>
      <c r="L49" s="20" t="s">
        <v>640</v>
      </c>
      <c r="M49" s="20" t="s">
        <v>131</v>
      </c>
      <c r="N49" s="20" t="n">
        <v>13.5</v>
      </c>
      <c r="O49" s="20" t="s">
        <v>35</v>
      </c>
      <c r="P49" s="20" t="s">
        <v>652</v>
      </c>
      <c r="Q49" s="21" t="s">
        <v>761</v>
      </c>
      <c r="R49" s="21" t="s">
        <v>37</v>
      </c>
      <c r="S49" s="17" t="s">
        <v>38</v>
      </c>
      <c r="T49" s="20" t="s">
        <v>133</v>
      </c>
      <c r="U49" s="20" t="s">
        <v>40</v>
      </c>
      <c r="V49" s="21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</row>
    <row r="50" customFormat="false" ht="91.15" hidden="false" customHeight="true" outlineLevel="0" collapsed="false">
      <c r="A50" s="4"/>
      <c r="B50" s="17" t="n">
        <v>5</v>
      </c>
      <c r="C50" s="20" t="str">
        <f aca="false">CONCATENATE(F50,D50)</f>
        <v>B0-JBP-4401-P2125</v>
      </c>
      <c r="D50" s="58" t="s">
        <v>768</v>
      </c>
      <c r="E50" s="34" t="s">
        <v>675</v>
      </c>
      <c r="F50" s="21" t="s">
        <v>649</v>
      </c>
      <c r="G50" s="21" t="s">
        <v>758</v>
      </c>
      <c r="H50" s="21" t="s">
        <v>105</v>
      </c>
      <c r="I50" s="21" t="s">
        <v>108</v>
      </c>
      <c r="J50" s="21" t="s">
        <v>769</v>
      </c>
      <c r="K50" s="21" t="s">
        <v>760</v>
      </c>
      <c r="L50" s="20" t="s">
        <v>640</v>
      </c>
      <c r="M50" s="20" t="s">
        <v>131</v>
      </c>
      <c r="N50" s="20" t="n">
        <v>13.5</v>
      </c>
      <c r="O50" s="20" t="s">
        <v>35</v>
      </c>
      <c r="P50" s="20" t="s">
        <v>652</v>
      </c>
      <c r="Q50" s="21" t="s">
        <v>761</v>
      </c>
      <c r="R50" s="21" t="s">
        <v>37</v>
      </c>
      <c r="S50" s="17" t="s">
        <v>38</v>
      </c>
      <c r="T50" s="20" t="s">
        <v>133</v>
      </c>
      <c r="U50" s="20" t="s">
        <v>40</v>
      </c>
      <c r="V50" s="21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</row>
    <row r="51" customFormat="false" ht="102" hidden="false" customHeight="true" outlineLevel="0" collapsed="false">
      <c r="A51" s="4"/>
      <c r="B51" s="17" t="n">
        <v>6</v>
      </c>
      <c r="C51" s="20" t="str">
        <f aca="false">CONCATENATE(F51,D51)</f>
        <v>B0-JBP-4401-P2126</v>
      </c>
      <c r="D51" s="58" t="s">
        <v>770</v>
      </c>
      <c r="E51" s="34" t="s">
        <v>675</v>
      </c>
      <c r="F51" s="21" t="s">
        <v>649</v>
      </c>
      <c r="G51" s="21" t="s">
        <v>758</v>
      </c>
      <c r="H51" s="21" t="s">
        <v>105</v>
      </c>
      <c r="I51" s="21" t="s">
        <v>108</v>
      </c>
      <c r="J51" s="21" t="s">
        <v>771</v>
      </c>
      <c r="K51" s="21" t="s">
        <v>760</v>
      </c>
      <c r="L51" s="20" t="s">
        <v>640</v>
      </c>
      <c r="M51" s="20" t="s">
        <v>131</v>
      </c>
      <c r="N51" s="20" t="n">
        <v>13.5</v>
      </c>
      <c r="O51" s="20" t="s">
        <v>35</v>
      </c>
      <c r="P51" s="20" t="s">
        <v>652</v>
      </c>
      <c r="Q51" s="21" t="s">
        <v>761</v>
      </c>
      <c r="R51" s="21" t="s">
        <v>37</v>
      </c>
      <c r="S51" s="17" t="s">
        <v>38</v>
      </c>
      <c r="T51" s="20" t="s">
        <v>133</v>
      </c>
      <c r="U51" s="20" t="s">
        <v>40</v>
      </c>
      <c r="V51" s="21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</row>
    <row r="52" customFormat="false" ht="108" hidden="false" customHeight="true" outlineLevel="0" collapsed="false">
      <c r="A52" s="4"/>
      <c r="B52" s="17" t="n">
        <v>7</v>
      </c>
      <c r="C52" s="20" t="str">
        <f aca="false">CONCATENATE(F52,D52)</f>
        <v>B0-JBP-4401-P2127</v>
      </c>
      <c r="D52" s="58" t="s">
        <v>772</v>
      </c>
      <c r="E52" s="34" t="s">
        <v>675</v>
      </c>
      <c r="F52" s="21" t="s">
        <v>649</v>
      </c>
      <c r="G52" s="21" t="s">
        <v>758</v>
      </c>
      <c r="H52" s="21" t="s">
        <v>105</v>
      </c>
      <c r="I52" s="21" t="s">
        <v>108</v>
      </c>
      <c r="J52" s="21" t="s">
        <v>773</v>
      </c>
      <c r="K52" s="21" t="s">
        <v>760</v>
      </c>
      <c r="L52" s="20" t="s">
        <v>640</v>
      </c>
      <c r="M52" s="20" t="s">
        <v>131</v>
      </c>
      <c r="N52" s="20" t="n">
        <v>13.5</v>
      </c>
      <c r="O52" s="20" t="s">
        <v>35</v>
      </c>
      <c r="P52" s="20" t="s">
        <v>652</v>
      </c>
      <c r="Q52" s="21" t="s">
        <v>761</v>
      </c>
      <c r="R52" s="21" t="s">
        <v>37</v>
      </c>
      <c r="S52" s="17" t="s">
        <v>38</v>
      </c>
      <c r="T52" s="20" t="s">
        <v>133</v>
      </c>
      <c r="U52" s="20" t="s">
        <v>40</v>
      </c>
      <c r="V52" s="21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53" customFormat="false" ht="93" hidden="false" customHeight="true" outlineLevel="0" collapsed="false">
      <c r="A53" s="4"/>
      <c r="B53" s="17" t="n">
        <v>8</v>
      </c>
      <c r="C53" s="20" t="str">
        <f aca="false">CONCATENATE(F53,D53)</f>
        <v>B0-JBP-4403-P2132</v>
      </c>
      <c r="D53" s="58" t="s">
        <v>774</v>
      </c>
      <c r="E53" s="34" t="s">
        <v>675</v>
      </c>
      <c r="F53" s="21" t="s">
        <v>658</v>
      </c>
      <c r="G53" s="21" t="s">
        <v>659</v>
      </c>
      <c r="H53" s="21" t="s">
        <v>775</v>
      </c>
      <c r="I53" s="21" t="s">
        <v>274</v>
      </c>
      <c r="J53" s="21" t="s">
        <v>776</v>
      </c>
      <c r="K53" s="21" t="s">
        <v>775</v>
      </c>
      <c r="L53" s="20" t="s">
        <v>640</v>
      </c>
      <c r="M53" s="20" t="s">
        <v>131</v>
      </c>
      <c r="N53" s="20" t="n">
        <v>13.5</v>
      </c>
      <c r="O53" s="20" t="s">
        <v>680</v>
      </c>
      <c r="P53" s="20" t="s">
        <v>680</v>
      </c>
      <c r="Q53" s="21" t="s">
        <v>777</v>
      </c>
      <c r="R53" s="21" t="s">
        <v>37</v>
      </c>
      <c r="S53" s="17" t="s">
        <v>38</v>
      </c>
      <c r="T53" s="20" t="s">
        <v>298</v>
      </c>
      <c r="U53" s="20" t="s">
        <v>40</v>
      </c>
      <c r="V53" s="21" t="s">
        <v>778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</row>
    <row r="54" customFormat="false" ht="99" hidden="false" customHeight="true" outlineLevel="0" collapsed="false">
      <c r="A54" s="4"/>
      <c r="B54" s="17" t="n">
        <v>9</v>
      </c>
      <c r="C54" s="20" t="str">
        <f aca="false">CONCATENATE(F54,D54)</f>
        <v>B0-JBP-4403-P2133</v>
      </c>
      <c r="D54" s="58" t="s">
        <v>779</v>
      </c>
      <c r="E54" s="34" t="s">
        <v>675</v>
      </c>
      <c r="F54" s="21" t="s">
        <v>658</v>
      </c>
      <c r="G54" s="21" t="s">
        <v>659</v>
      </c>
      <c r="H54" s="21" t="s">
        <v>775</v>
      </c>
      <c r="I54" s="21" t="s">
        <v>277</v>
      </c>
      <c r="J54" s="21" t="s">
        <v>780</v>
      </c>
      <c r="K54" s="21" t="s">
        <v>775</v>
      </c>
      <c r="L54" s="20" t="s">
        <v>640</v>
      </c>
      <c r="M54" s="20" t="s">
        <v>131</v>
      </c>
      <c r="N54" s="20" t="n">
        <v>13.5</v>
      </c>
      <c r="O54" s="20" t="s">
        <v>680</v>
      </c>
      <c r="P54" s="20" t="s">
        <v>680</v>
      </c>
      <c r="Q54" s="21" t="s">
        <v>656</v>
      </c>
      <c r="R54" s="21" t="s">
        <v>37</v>
      </c>
      <c r="S54" s="17" t="s">
        <v>38</v>
      </c>
      <c r="T54" s="20" t="s">
        <v>298</v>
      </c>
      <c r="U54" s="20" t="s">
        <v>40</v>
      </c>
      <c r="V54" s="21" t="s">
        <v>778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</row>
    <row r="55" customFormat="false" ht="93.6" hidden="false" customHeight="true" outlineLevel="0" collapsed="false">
      <c r="A55" s="4"/>
      <c r="B55" s="17" t="n">
        <v>10</v>
      </c>
      <c r="C55" s="20" t="str">
        <f aca="false">CONCATENATE(F55,D55)</f>
        <v>B0-JBP-4403-P2134</v>
      </c>
      <c r="D55" s="58" t="s">
        <v>781</v>
      </c>
      <c r="E55" s="34" t="s">
        <v>675</v>
      </c>
      <c r="F55" s="21" t="s">
        <v>658</v>
      </c>
      <c r="G55" s="21" t="s">
        <v>659</v>
      </c>
      <c r="H55" s="21" t="s">
        <v>775</v>
      </c>
      <c r="I55" s="21" t="s">
        <v>280</v>
      </c>
      <c r="J55" s="21" t="s">
        <v>782</v>
      </c>
      <c r="K55" s="21" t="s">
        <v>775</v>
      </c>
      <c r="L55" s="20" t="s">
        <v>640</v>
      </c>
      <c r="M55" s="20" t="s">
        <v>131</v>
      </c>
      <c r="N55" s="20" t="n">
        <v>13.5</v>
      </c>
      <c r="O55" s="20" t="s">
        <v>680</v>
      </c>
      <c r="P55" s="20" t="s">
        <v>680</v>
      </c>
      <c r="Q55" s="21" t="s">
        <v>777</v>
      </c>
      <c r="R55" s="21" t="s">
        <v>37</v>
      </c>
      <c r="S55" s="17" t="s">
        <v>38</v>
      </c>
      <c r="T55" s="20" t="s">
        <v>298</v>
      </c>
      <c r="U55" s="20" t="s">
        <v>40</v>
      </c>
      <c r="V55" s="21" t="s">
        <v>778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</row>
    <row r="56" customFormat="false" ht="95.45" hidden="false" customHeight="true" outlineLevel="0" collapsed="false">
      <c r="A56" s="4"/>
      <c r="B56" s="17" t="n">
        <v>11</v>
      </c>
      <c r="C56" s="20" t="str">
        <f aca="false">CONCATENATE(F56,D56)</f>
        <v>B0-JBP-4403-P2135</v>
      </c>
      <c r="D56" s="58" t="s">
        <v>783</v>
      </c>
      <c r="E56" s="34" t="s">
        <v>675</v>
      </c>
      <c r="F56" s="21" t="s">
        <v>658</v>
      </c>
      <c r="G56" s="21" t="s">
        <v>659</v>
      </c>
      <c r="H56" s="21" t="s">
        <v>775</v>
      </c>
      <c r="I56" s="21" t="s">
        <v>283</v>
      </c>
      <c r="J56" s="21" t="s">
        <v>784</v>
      </c>
      <c r="K56" s="21" t="s">
        <v>775</v>
      </c>
      <c r="L56" s="20" t="s">
        <v>640</v>
      </c>
      <c r="M56" s="20" t="s">
        <v>131</v>
      </c>
      <c r="N56" s="20" t="n">
        <v>13.5</v>
      </c>
      <c r="O56" s="20" t="s">
        <v>680</v>
      </c>
      <c r="P56" s="20" t="s">
        <v>680</v>
      </c>
      <c r="Q56" s="21" t="s">
        <v>656</v>
      </c>
      <c r="R56" s="21" t="s">
        <v>37</v>
      </c>
      <c r="S56" s="17" t="s">
        <v>38</v>
      </c>
      <c r="T56" s="20" t="s">
        <v>298</v>
      </c>
      <c r="U56" s="20" t="s">
        <v>40</v>
      </c>
      <c r="V56" s="21" t="s">
        <v>778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customFormat="false" ht="126" hidden="false" customHeight="true" outlineLevel="0" collapsed="false">
      <c r="A57" s="4"/>
      <c r="B57" s="17" t="n">
        <v>12</v>
      </c>
      <c r="C57" s="20" t="str">
        <f aca="false">CONCATENATE(F57,D57)</f>
        <v>B0-LCP-4403-P2136</v>
      </c>
      <c r="D57" s="58" t="s">
        <v>785</v>
      </c>
      <c r="E57" s="34" t="s">
        <v>786</v>
      </c>
      <c r="F57" s="21" t="s">
        <v>300</v>
      </c>
      <c r="G57" s="21" t="s">
        <v>787</v>
      </c>
      <c r="H57" s="21" t="s">
        <v>788</v>
      </c>
      <c r="I57" s="21" t="s">
        <v>789</v>
      </c>
      <c r="J57" s="21" t="s">
        <v>790</v>
      </c>
      <c r="K57" s="21" t="s">
        <v>788</v>
      </c>
      <c r="L57" s="20" t="s">
        <v>627</v>
      </c>
      <c r="M57" s="20" t="s">
        <v>131</v>
      </c>
      <c r="N57" s="20" t="n">
        <v>14.5</v>
      </c>
      <c r="O57" s="20" t="s">
        <v>35</v>
      </c>
      <c r="P57" s="20" t="s">
        <v>628</v>
      </c>
      <c r="Q57" s="20" t="n">
        <v>5</v>
      </c>
      <c r="R57" s="21" t="s">
        <v>37</v>
      </c>
      <c r="S57" s="17" t="s">
        <v>38</v>
      </c>
      <c r="T57" s="20" t="s">
        <v>307</v>
      </c>
      <c r="U57" s="20" t="s">
        <v>40</v>
      </c>
      <c r="V57" s="21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</row>
    <row r="58" customFormat="false" ht="105" hidden="false" customHeight="true" outlineLevel="0" collapsed="false">
      <c r="A58" s="4"/>
      <c r="B58" s="17" t="n">
        <v>13</v>
      </c>
      <c r="C58" s="38" t="str">
        <f aca="false">CONCATENATE(F58,D58)</f>
        <v>B1-LCP-4404-P2137</v>
      </c>
      <c r="D58" s="58" t="s">
        <v>791</v>
      </c>
      <c r="E58" s="34" t="s">
        <v>786</v>
      </c>
      <c r="F58" s="37" t="s">
        <v>379</v>
      </c>
      <c r="G58" s="38" t="s">
        <v>792</v>
      </c>
      <c r="H58" s="38" t="s">
        <v>793</v>
      </c>
      <c r="I58" s="21" t="s">
        <v>794</v>
      </c>
      <c r="J58" s="38" t="s">
        <v>795</v>
      </c>
      <c r="K58" s="38" t="s">
        <v>793</v>
      </c>
      <c r="L58" s="20" t="s">
        <v>627</v>
      </c>
      <c r="M58" s="20" t="s">
        <v>131</v>
      </c>
      <c r="N58" s="20" t="n">
        <v>14.5</v>
      </c>
      <c r="O58" s="20" t="s">
        <v>35</v>
      </c>
      <c r="P58" s="20" t="s">
        <v>628</v>
      </c>
      <c r="Q58" s="20" t="n">
        <v>8</v>
      </c>
      <c r="R58" s="21" t="s">
        <v>37</v>
      </c>
      <c r="S58" s="17" t="s">
        <v>38</v>
      </c>
      <c r="T58" s="20" t="s">
        <v>377</v>
      </c>
      <c r="U58" s="20" t="s">
        <v>40</v>
      </c>
      <c r="V58" s="21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</row>
    <row r="59" customFormat="false" ht="100.15" hidden="false" customHeight="true" outlineLevel="0" collapsed="false">
      <c r="A59" s="4"/>
      <c r="B59" s="17" t="n">
        <v>14</v>
      </c>
      <c r="C59" s="38" t="str">
        <f aca="false">CONCATENATE(F59,D59)</f>
        <v>B1-LCP-4405-P2138</v>
      </c>
      <c r="D59" s="58" t="s">
        <v>796</v>
      </c>
      <c r="E59" s="34" t="s">
        <v>786</v>
      </c>
      <c r="F59" s="37" t="s">
        <v>450</v>
      </c>
      <c r="G59" s="38" t="s">
        <v>451</v>
      </c>
      <c r="H59" s="38" t="s">
        <v>452</v>
      </c>
      <c r="I59" s="21" t="s">
        <v>797</v>
      </c>
      <c r="J59" s="38" t="s">
        <v>798</v>
      </c>
      <c r="K59" s="38" t="s">
        <v>452</v>
      </c>
      <c r="L59" s="20" t="s">
        <v>627</v>
      </c>
      <c r="M59" s="20" t="s">
        <v>131</v>
      </c>
      <c r="N59" s="20" t="n">
        <v>14.5</v>
      </c>
      <c r="O59" s="20" t="s">
        <v>35</v>
      </c>
      <c r="P59" s="20" t="s">
        <v>628</v>
      </c>
      <c r="Q59" s="20" t="n">
        <v>8</v>
      </c>
      <c r="R59" s="21" t="s">
        <v>37</v>
      </c>
      <c r="S59" s="17" t="s">
        <v>38</v>
      </c>
      <c r="T59" s="20" t="s">
        <v>448</v>
      </c>
      <c r="U59" s="20" t="s">
        <v>40</v>
      </c>
      <c r="V59" s="21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</row>
    <row r="60" customFormat="false" ht="105" hidden="false" customHeight="true" outlineLevel="0" collapsed="false">
      <c r="A60" s="4"/>
      <c r="B60" s="17" t="n">
        <v>15</v>
      </c>
      <c r="C60" s="38" t="str">
        <f aca="false">CONCATENATE(F60,D60)</f>
        <v>B2-LCP-4406-P2139</v>
      </c>
      <c r="D60" s="58" t="s">
        <v>799</v>
      </c>
      <c r="E60" s="34" t="s">
        <v>786</v>
      </c>
      <c r="F60" s="37" t="s">
        <v>523</v>
      </c>
      <c r="G60" s="38" t="s">
        <v>524</v>
      </c>
      <c r="H60" s="38" t="s">
        <v>525</v>
      </c>
      <c r="I60" s="21" t="s">
        <v>800</v>
      </c>
      <c r="J60" s="38" t="s">
        <v>801</v>
      </c>
      <c r="K60" s="38" t="s">
        <v>525</v>
      </c>
      <c r="L60" s="20" t="s">
        <v>627</v>
      </c>
      <c r="M60" s="20" t="s">
        <v>131</v>
      </c>
      <c r="N60" s="20" t="n">
        <v>14.5</v>
      </c>
      <c r="O60" s="20" t="s">
        <v>35</v>
      </c>
      <c r="P60" s="20" t="s">
        <v>628</v>
      </c>
      <c r="Q60" s="20" t="n">
        <v>8</v>
      </c>
      <c r="R60" s="21" t="s">
        <v>37</v>
      </c>
      <c r="S60" s="17" t="s">
        <v>38</v>
      </c>
      <c r="T60" s="20" t="s">
        <v>521</v>
      </c>
      <c r="U60" s="20" t="s">
        <v>40</v>
      </c>
      <c r="V60" s="21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</row>
    <row r="61" customFormat="false" ht="97.9" hidden="false" customHeight="true" outlineLevel="0" collapsed="false">
      <c r="A61" s="4"/>
      <c r="B61" s="17" t="n">
        <v>16</v>
      </c>
      <c r="C61" s="38" t="str">
        <f aca="false">CONCATENATE(F61,D61)</f>
        <v>B2-LCP-4407-P2140</v>
      </c>
      <c r="D61" s="58" t="s">
        <v>802</v>
      </c>
      <c r="E61" s="34" t="s">
        <v>786</v>
      </c>
      <c r="F61" s="37" t="s">
        <v>594</v>
      </c>
      <c r="G61" s="59" t="s">
        <v>595</v>
      </c>
      <c r="H61" s="38" t="s">
        <v>596</v>
      </c>
      <c r="I61" s="21" t="s">
        <v>803</v>
      </c>
      <c r="J61" s="38" t="s">
        <v>804</v>
      </c>
      <c r="K61" s="38" t="s">
        <v>596</v>
      </c>
      <c r="L61" s="20" t="s">
        <v>627</v>
      </c>
      <c r="M61" s="20" t="s">
        <v>131</v>
      </c>
      <c r="N61" s="20" t="n">
        <v>14.5</v>
      </c>
      <c r="O61" s="20" t="s">
        <v>35</v>
      </c>
      <c r="P61" s="20" t="s">
        <v>628</v>
      </c>
      <c r="Q61" s="20" t="n">
        <v>8</v>
      </c>
      <c r="R61" s="21" t="s">
        <v>37</v>
      </c>
      <c r="S61" s="17" t="s">
        <v>38</v>
      </c>
      <c r="T61" s="20" t="s">
        <v>592</v>
      </c>
      <c r="U61" s="20" t="s">
        <v>40</v>
      </c>
      <c r="V61" s="21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</row>
    <row r="62" customFormat="false" ht="53.25" hidden="false" customHeight="true" outlineLevel="0" collapsed="false">
      <c r="A62" s="4"/>
      <c r="B62" s="17"/>
      <c r="C62" s="20"/>
      <c r="D62" s="58"/>
      <c r="E62" s="19"/>
      <c r="F62" s="21"/>
      <c r="G62" s="21"/>
      <c r="H62" s="20"/>
      <c r="I62" s="21"/>
      <c r="J62" s="21"/>
      <c r="K62" s="20"/>
      <c r="L62" s="20"/>
      <c r="M62" s="20"/>
      <c r="N62" s="21"/>
      <c r="O62" s="21"/>
      <c r="P62" s="21"/>
      <c r="Q62" s="21"/>
      <c r="R62" s="21"/>
      <c r="S62" s="17"/>
      <c r="T62" s="21"/>
      <c r="U62" s="21"/>
      <c r="V62" s="21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</row>
    <row r="63" customFormat="false" ht="53.25" hidden="false" customHeight="true" outlineLevel="0" collapsed="false">
      <c r="A63" s="48"/>
      <c r="B63" s="48" t="s">
        <v>805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5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  <c r="FK63" s="56"/>
      <c r="FL63" s="56"/>
      <c r="FM63" s="56"/>
      <c r="FN63" s="56"/>
      <c r="FO63" s="56"/>
      <c r="FP63" s="56"/>
      <c r="FQ63" s="56"/>
      <c r="FR63" s="56"/>
      <c r="FS63" s="56"/>
      <c r="FT63" s="56"/>
      <c r="FU63" s="56"/>
      <c r="FV63" s="56"/>
      <c r="FW63" s="56"/>
      <c r="FX63" s="56"/>
      <c r="FY63" s="56"/>
      <c r="FZ63" s="56"/>
      <c r="GA63" s="56"/>
      <c r="GB63" s="56"/>
      <c r="GC63" s="56"/>
      <c r="GD63" s="56"/>
      <c r="GE63" s="56"/>
      <c r="GF63" s="56"/>
      <c r="GG63" s="56"/>
      <c r="GH63" s="56"/>
      <c r="GI63" s="56"/>
      <c r="GJ63" s="56"/>
      <c r="GK63" s="56"/>
      <c r="GL63" s="56"/>
      <c r="GM63" s="56"/>
      <c r="GN63" s="56"/>
      <c r="GO63" s="56"/>
      <c r="GP63" s="56"/>
      <c r="GQ63" s="56"/>
      <c r="GR63" s="56"/>
      <c r="GS63" s="56"/>
      <c r="GT63" s="56"/>
      <c r="GU63" s="56"/>
      <c r="GV63" s="56"/>
      <c r="GW63" s="56"/>
      <c r="GX63" s="56"/>
      <c r="GY63" s="56"/>
      <c r="GZ63" s="56"/>
      <c r="HA63" s="56"/>
      <c r="HB63" s="56"/>
      <c r="HC63" s="56"/>
      <c r="HD63" s="56"/>
      <c r="HE63" s="56"/>
      <c r="HF63" s="56"/>
      <c r="HG63" s="56"/>
      <c r="HH63" s="56"/>
      <c r="HI63" s="56"/>
      <c r="HJ63" s="56"/>
      <c r="HK63" s="56"/>
      <c r="HL63" s="56"/>
      <c r="HM63" s="56"/>
      <c r="HN63" s="56"/>
      <c r="HO63" s="56"/>
      <c r="HP63" s="56"/>
      <c r="HQ63" s="56"/>
      <c r="HR63" s="56"/>
      <c r="HS63" s="56"/>
      <c r="HT63" s="56"/>
      <c r="HU63" s="56"/>
      <c r="HV63" s="56"/>
      <c r="HW63" s="56"/>
      <c r="HX63" s="56"/>
      <c r="HY63" s="56"/>
      <c r="HZ63" s="56"/>
      <c r="IA63" s="56"/>
      <c r="IB63" s="56"/>
      <c r="IC63" s="56"/>
      <c r="ID63" s="56"/>
      <c r="IE63" s="56"/>
      <c r="IF63" s="56"/>
      <c r="IG63" s="56"/>
      <c r="IH63" s="56"/>
      <c r="II63" s="56"/>
      <c r="IJ63" s="56"/>
      <c r="IK63" s="56"/>
      <c r="IL63" s="56"/>
      <c r="IM63" s="56"/>
      <c r="IN63" s="56"/>
      <c r="IO63" s="56"/>
      <c r="IP63" s="56"/>
      <c r="IQ63" s="56"/>
      <c r="IR63" s="56"/>
      <c r="IS63" s="56"/>
      <c r="IT63" s="56"/>
      <c r="IU63" s="56"/>
      <c r="IV63" s="56"/>
      <c r="IW63" s="56"/>
    </row>
    <row r="64" customFormat="false" ht="100.9" hidden="false" customHeight="true" outlineLevel="0" collapsed="false">
      <c r="A64" s="4"/>
      <c r="B64" s="21" t="s">
        <v>806</v>
      </c>
      <c r="C64" s="21" t="s">
        <v>807</v>
      </c>
      <c r="D64" s="52"/>
      <c r="E64" s="34" t="s">
        <v>808</v>
      </c>
      <c r="F64" s="21" t="s">
        <v>809</v>
      </c>
      <c r="G64" s="21" t="s">
        <v>810</v>
      </c>
      <c r="H64" s="21" t="s">
        <v>807</v>
      </c>
      <c r="I64" s="20" t="s">
        <v>622</v>
      </c>
      <c r="J64" s="20" t="s">
        <v>811</v>
      </c>
      <c r="K64" s="20" t="s">
        <v>655</v>
      </c>
      <c r="L64" s="21" t="s">
        <v>812</v>
      </c>
      <c r="M64" s="20" t="s">
        <v>131</v>
      </c>
      <c r="N64" s="21" t="s">
        <v>68</v>
      </c>
      <c r="O64" s="21" t="s">
        <v>68</v>
      </c>
      <c r="P64" s="21" t="s">
        <v>813</v>
      </c>
      <c r="Q64" s="21" t="s">
        <v>68</v>
      </c>
      <c r="R64" s="21" t="s">
        <v>68</v>
      </c>
      <c r="S64" s="21" t="s">
        <v>68</v>
      </c>
      <c r="T64" s="20" t="s">
        <v>630</v>
      </c>
      <c r="U64" s="21" t="s">
        <v>70</v>
      </c>
      <c r="V64" s="21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</row>
    <row r="65" customFormat="false" ht="53.25" hidden="false" customHeight="true" outlineLevel="0" collapsed="false">
      <c r="A65" s="4"/>
      <c r="B65" s="21"/>
      <c r="C65" s="21"/>
      <c r="D65" s="52"/>
      <c r="E65" s="19"/>
      <c r="F65" s="21"/>
      <c r="G65" s="21"/>
      <c r="H65" s="20"/>
      <c r="I65" s="20"/>
      <c r="J65" s="20"/>
      <c r="K65" s="20"/>
      <c r="L65" s="20"/>
      <c r="M65" s="20"/>
      <c r="N65" s="21"/>
      <c r="O65" s="21"/>
      <c r="P65" s="21"/>
      <c r="Q65" s="21"/>
      <c r="R65" s="21"/>
      <c r="S65" s="21"/>
      <c r="T65" s="20"/>
      <c r="U65" s="21"/>
      <c r="V65" s="21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</row>
    <row r="66" customFormat="false" ht="53.25" hidden="false" customHeight="true" outlineLevel="0" collapsed="false">
      <c r="A66" s="48"/>
      <c r="B66" s="48" t="s">
        <v>814</v>
      </c>
      <c r="C66" s="54"/>
      <c r="D66" s="60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5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  <c r="CZ66" s="56"/>
      <c r="DA66" s="56"/>
      <c r="DB66" s="56"/>
      <c r="DC66" s="56"/>
      <c r="DD66" s="56"/>
      <c r="DE66" s="56"/>
      <c r="DF66" s="56"/>
      <c r="DG66" s="56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  <c r="FK66" s="56"/>
      <c r="FL66" s="56"/>
      <c r="FM66" s="56"/>
      <c r="FN66" s="56"/>
      <c r="FO66" s="56"/>
      <c r="FP66" s="56"/>
      <c r="FQ66" s="56"/>
      <c r="FR66" s="56"/>
      <c r="FS66" s="56"/>
      <c r="FT66" s="56"/>
      <c r="FU66" s="56"/>
      <c r="FV66" s="56"/>
      <c r="FW66" s="56"/>
      <c r="FX66" s="56"/>
      <c r="FY66" s="56"/>
      <c r="FZ66" s="56"/>
      <c r="GA66" s="56"/>
      <c r="GB66" s="56"/>
      <c r="GC66" s="56"/>
      <c r="GD66" s="56"/>
      <c r="GE66" s="56"/>
      <c r="GF66" s="56"/>
      <c r="GG66" s="56"/>
      <c r="GH66" s="56"/>
      <c r="GI66" s="56"/>
      <c r="GJ66" s="56"/>
      <c r="GK66" s="56"/>
      <c r="GL66" s="56"/>
      <c r="GM66" s="56"/>
      <c r="GN66" s="56"/>
      <c r="GO66" s="56"/>
      <c r="GP66" s="56"/>
      <c r="GQ66" s="56"/>
      <c r="GR66" s="56"/>
      <c r="GS66" s="56"/>
      <c r="GT66" s="56"/>
      <c r="GU66" s="56"/>
      <c r="GV66" s="56"/>
      <c r="GW66" s="56"/>
      <c r="GX66" s="56"/>
      <c r="GY66" s="56"/>
      <c r="GZ66" s="56"/>
      <c r="HA66" s="56"/>
      <c r="HB66" s="56"/>
      <c r="HC66" s="56"/>
      <c r="HD66" s="56"/>
      <c r="HE66" s="56"/>
      <c r="HF66" s="56"/>
      <c r="HG66" s="56"/>
      <c r="HH66" s="56"/>
      <c r="HI66" s="56"/>
      <c r="HJ66" s="56"/>
      <c r="HK66" s="56"/>
      <c r="HL66" s="56"/>
      <c r="HM66" s="56"/>
      <c r="HN66" s="56"/>
      <c r="HO66" s="56"/>
      <c r="HP66" s="56"/>
      <c r="HQ66" s="56"/>
      <c r="HR66" s="56"/>
      <c r="HS66" s="56"/>
      <c r="HT66" s="56"/>
      <c r="HU66" s="56"/>
      <c r="HV66" s="56"/>
      <c r="HW66" s="56"/>
      <c r="HX66" s="56"/>
      <c r="HY66" s="56"/>
      <c r="HZ66" s="56"/>
      <c r="IA66" s="56"/>
      <c r="IB66" s="56"/>
      <c r="IC66" s="56"/>
      <c r="ID66" s="56"/>
      <c r="IE66" s="56"/>
      <c r="IF66" s="56"/>
      <c r="IG66" s="56"/>
      <c r="IH66" s="56"/>
      <c r="II66" s="56"/>
      <c r="IJ66" s="56"/>
      <c r="IK66" s="56"/>
      <c r="IL66" s="56"/>
      <c r="IM66" s="56"/>
      <c r="IN66" s="56"/>
      <c r="IO66" s="56"/>
      <c r="IP66" s="56"/>
      <c r="IQ66" s="56"/>
      <c r="IR66" s="56"/>
      <c r="IS66" s="56"/>
      <c r="IT66" s="56"/>
      <c r="IU66" s="56"/>
      <c r="IV66" s="56"/>
      <c r="IW66" s="56"/>
    </row>
    <row r="67" customFormat="false" ht="114" hidden="false" customHeight="true" outlineLevel="0" collapsed="false">
      <c r="A67" s="4"/>
      <c r="B67" s="21" t="s">
        <v>806</v>
      </c>
      <c r="C67" s="21" t="s">
        <v>807</v>
      </c>
      <c r="D67" s="52"/>
      <c r="E67" s="37" t="s">
        <v>815</v>
      </c>
      <c r="F67" s="37" t="s">
        <v>816</v>
      </c>
      <c r="G67" s="21" t="s">
        <v>817</v>
      </c>
      <c r="H67" s="21" t="s">
        <v>807</v>
      </c>
      <c r="I67" s="20" t="s">
        <v>60</v>
      </c>
      <c r="J67" s="20" t="s">
        <v>61</v>
      </c>
      <c r="K67" s="20" t="s">
        <v>655</v>
      </c>
      <c r="L67" s="20" t="s">
        <v>640</v>
      </c>
      <c r="M67" s="20" t="s">
        <v>131</v>
      </c>
      <c r="N67" s="21" t="s">
        <v>68</v>
      </c>
      <c r="O67" s="21" t="s">
        <v>68</v>
      </c>
      <c r="P67" s="21" t="s">
        <v>813</v>
      </c>
      <c r="Q67" s="21" t="s">
        <v>68</v>
      </c>
      <c r="R67" s="21" t="s">
        <v>68</v>
      </c>
      <c r="S67" s="21" t="s">
        <v>68</v>
      </c>
      <c r="T67" s="21" t="s">
        <v>807</v>
      </c>
      <c r="U67" s="21" t="s">
        <v>70</v>
      </c>
      <c r="V67" s="21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</row>
    <row r="68" customFormat="false" ht="102" hidden="false" customHeight="true" outlineLevel="0" collapsed="false">
      <c r="A68" s="4"/>
      <c r="B68" s="21" t="s">
        <v>818</v>
      </c>
      <c r="C68" s="21" t="s">
        <v>807</v>
      </c>
      <c r="D68" s="52"/>
      <c r="E68" s="37" t="s">
        <v>815</v>
      </c>
      <c r="F68" s="21" t="s">
        <v>819</v>
      </c>
      <c r="G68" s="21" t="s">
        <v>817</v>
      </c>
      <c r="H68" s="21" t="s">
        <v>807</v>
      </c>
      <c r="I68" s="20" t="s">
        <v>60</v>
      </c>
      <c r="J68" s="20" t="s">
        <v>820</v>
      </c>
      <c r="K68" s="20" t="s">
        <v>655</v>
      </c>
      <c r="L68" s="20" t="s">
        <v>640</v>
      </c>
      <c r="M68" s="20" t="s">
        <v>131</v>
      </c>
      <c r="N68" s="21" t="s">
        <v>68</v>
      </c>
      <c r="O68" s="21" t="s">
        <v>68</v>
      </c>
      <c r="P68" s="21" t="s">
        <v>813</v>
      </c>
      <c r="Q68" s="21" t="s">
        <v>68</v>
      </c>
      <c r="R68" s="21" t="s">
        <v>68</v>
      </c>
      <c r="S68" s="21" t="s">
        <v>68</v>
      </c>
      <c r="T68" s="21" t="s">
        <v>807</v>
      </c>
      <c r="U68" s="21" t="s">
        <v>70</v>
      </c>
      <c r="V68" s="21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</row>
    <row r="69" customFormat="false" ht="104.45" hidden="false" customHeight="true" outlineLevel="0" collapsed="false">
      <c r="A69" s="4"/>
      <c r="B69" s="21" t="s">
        <v>821</v>
      </c>
      <c r="C69" s="21" t="s">
        <v>807</v>
      </c>
      <c r="D69" s="52"/>
      <c r="E69" s="34" t="s">
        <v>822</v>
      </c>
      <c r="F69" s="21" t="s">
        <v>819</v>
      </c>
      <c r="G69" s="21" t="s">
        <v>817</v>
      </c>
      <c r="H69" s="21" t="s">
        <v>807</v>
      </c>
      <c r="I69" s="20" t="s">
        <v>663</v>
      </c>
      <c r="J69" s="20" t="s">
        <v>664</v>
      </c>
      <c r="K69" s="20" t="s">
        <v>655</v>
      </c>
      <c r="L69" s="20" t="s">
        <v>640</v>
      </c>
      <c r="M69" s="20" t="s">
        <v>131</v>
      </c>
      <c r="N69" s="21" t="s">
        <v>68</v>
      </c>
      <c r="O69" s="21" t="s">
        <v>68</v>
      </c>
      <c r="P69" s="21" t="s">
        <v>813</v>
      </c>
      <c r="Q69" s="21" t="s">
        <v>68</v>
      </c>
      <c r="R69" s="21" t="s">
        <v>68</v>
      </c>
      <c r="S69" s="21" t="s">
        <v>68</v>
      </c>
      <c r="T69" s="20" t="s">
        <v>630</v>
      </c>
      <c r="U69" s="21" t="s">
        <v>70</v>
      </c>
      <c r="V69" s="21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</row>
    <row r="70" customFormat="false" ht="53.25" hidden="false" customHeight="true" outlineLevel="0" collapsed="false">
      <c r="A70" s="4"/>
      <c r="B70" s="21"/>
      <c r="C70" s="21"/>
      <c r="D70" s="52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0"/>
      <c r="U70" s="21"/>
      <c r="V70" s="21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</row>
    <row r="71" customFormat="false" ht="53.25" hidden="false" customHeight="true" outlineLevel="0" collapsed="false">
      <c r="A71" s="48"/>
      <c r="B71" s="48" t="s">
        <v>823</v>
      </c>
      <c r="C71" s="54"/>
      <c r="D71" s="60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5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  <c r="FK71" s="56"/>
      <c r="FL71" s="56"/>
      <c r="FM71" s="56"/>
      <c r="FN71" s="56"/>
      <c r="FO71" s="56"/>
      <c r="FP71" s="56"/>
      <c r="FQ71" s="56"/>
      <c r="FR71" s="56"/>
      <c r="FS71" s="56"/>
      <c r="FT71" s="56"/>
      <c r="FU71" s="56"/>
      <c r="FV71" s="56"/>
      <c r="FW71" s="56"/>
      <c r="FX71" s="56"/>
      <c r="FY71" s="56"/>
      <c r="FZ71" s="56"/>
      <c r="GA71" s="56"/>
      <c r="GB71" s="56"/>
      <c r="GC71" s="56"/>
      <c r="GD71" s="56"/>
      <c r="GE71" s="56"/>
      <c r="GF71" s="56"/>
      <c r="GG71" s="56"/>
      <c r="GH71" s="56"/>
      <c r="GI71" s="56"/>
      <c r="GJ71" s="56"/>
      <c r="GK71" s="56"/>
      <c r="GL71" s="56"/>
      <c r="GM71" s="56"/>
      <c r="GN71" s="56"/>
      <c r="GO71" s="56"/>
      <c r="GP71" s="56"/>
      <c r="GQ71" s="56"/>
      <c r="GR71" s="56"/>
      <c r="GS71" s="56"/>
      <c r="GT71" s="56"/>
      <c r="GU71" s="56"/>
      <c r="GV71" s="56"/>
      <c r="GW71" s="56"/>
      <c r="GX71" s="56"/>
      <c r="GY71" s="56"/>
      <c r="GZ71" s="56"/>
      <c r="HA71" s="56"/>
      <c r="HB71" s="56"/>
      <c r="HC71" s="56"/>
      <c r="HD71" s="56"/>
      <c r="HE71" s="56"/>
      <c r="HF71" s="56"/>
      <c r="HG71" s="56"/>
      <c r="HH71" s="56"/>
      <c r="HI71" s="56"/>
      <c r="HJ71" s="56"/>
      <c r="HK71" s="56"/>
      <c r="HL71" s="56"/>
      <c r="HM71" s="56"/>
      <c r="HN71" s="56"/>
      <c r="HO71" s="56"/>
      <c r="HP71" s="56"/>
      <c r="HQ71" s="56"/>
      <c r="HR71" s="56"/>
      <c r="HS71" s="56"/>
      <c r="HT71" s="56"/>
      <c r="HU71" s="56"/>
      <c r="HV71" s="56"/>
      <c r="HW71" s="56"/>
      <c r="HX71" s="56"/>
      <c r="HY71" s="56"/>
      <c r="HZ71" s="56"/>
      <c r="IA71" s="56"/>
      <c r="IB71" s="56"/>
      <c r="IC71" s="56"/>
      <c r="ID71" s="56"/>
      <c r="IE71" s="56"/>
      <c r="IF71" s="56"/>
      <c r="IG71" s="56"/>
      <c r="IH71" s="56"/>
      <c r="II71" s="56"/>
      <c r="IJ71" s="56"/>
      <c r="IK71" s="56"/>
      <c r="IL71" s="56"/>
      <c r="IM71" s="56"/>
      <c r="IN71" s="56"/>
      <c r="IO71" s="56"/>
      <c r="IP71" s="56"/>
      <c r="IQ71" s="56"/>
      <c r="IR71" s="56"/>
      <c r="IS71" s="56"/>
      <c r="IT71" s="56"/>
      <c r="IU71" s="56"/>
      <c r="IV71" s="56"/>
      <c r="IW71" s="56"/>
    </row>
    <row r="72" customFormat="false" ht="120" hidden="false" customHeight="true" outlineLevel="0" collapsed="false">
      <c r="A72" s="4"/>
      <c r="B72" s="21" t="s">
        <v>806</v>
      </c>
      <c r="C72" s="21" t="s">
        <v>807</v>
      </c>
      <c r="D72" s="52"/>
      <c r="E72" s="34" t="s">
        <v>644</v>
      </c>
      <c r="F72" s="37" t="s">
        <v>824</v>
      </c>
      <c r="G72" s="37" t="s">
        <v>825</v>
      </c>
      <c r="H72" s="21" t="s">
        <v>807</v>
      </c>
      <c r="I72" s="20" t="s">
        <v>379</v>
      </c>
      <c r="J72" s="38" t="s">
        <v>792</v>
      </c>
      <c r="K72" s="38" t="s">
        <v>826</v>
      </c>
      <c r="L72" s="20" t="s">
        <v>640</v>
      </c>
      <c r="M72" s="20" t="s">
        <v>131</v>
      </c>
      <c r="N72" s="21" t="s">
        <v>68</v>
      </c>
      <c r="O72" s="21" t="s">
        <v>68</v>
      </c>
      <c r="P72" s="21" t="s">
        <v>813</v>
      </c>
      <c r="Q72" s="21" t="s">
        <v>68</v>
      </c>
      <c r="R72" s="21" t="s">
        <v>68</v>
      </c>
      <c r="S72" s="21" t="s">
        <v>68</v>
      </c>
      <c r="T72" s="21" t="s">
        <v>807</v>
      </c>
      <c r="U72" s="21" t="s">
        <v>70</v>
      </c>
      <c r="V72" s="28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</row>
    <row r="73" customFormat="false" ht="102.6" hidden="false" customHeight="true" outlineLevel="0" collapsed="false">
      <c r="A73" s="4"/>
      <c r="B73" s="21" t="s">
        <v>818</v>
      </c>
      <c r="C73" s="21" t="s">
        <v>807</v>
      </c>
      <c r="D73" s="52"/>
      <c r="E73" s="34" t="s">
        <v>644</v>
      </c>
      <c r="F73" s="37" t="s">
        <v>827</v>
      </c>
      <c r="G73" s="37" t="s">
        <v>828</v>
      </c>
      <c r="H73" s="21" t="s">
        <v>807</v>
      </c>
      <c r="I73" s="20" t="s">
        <v>450</v>
      </c>
      <c r="J73" s="38" t="s">
        <v>451</v>
      </c>
      <c r="K73" s="38" t="s">
        <v>829</v>
      </c>
      <c r="L73" s="20" t="s">
        <v>640</v>
      </c>
      <c r="M73" s="20" t="s">
        <v>131</v>
      </c>
      <c r="N73" s="21" t="s">
        <v>68</v>
      </c>
      <c r="O73" s="21" t="s">
        <v>68</v>
      </c>
      <c r="P73" s="21" t="s">
        <v>813</v>
      </c>
      <c r="Q73" s="21" t="s">
        <v>68</v>
      </c>
      <c r="R73" s="21" t="s">
        <v>68</v>
      </c>
      <c r="S73" s="21" t="s">
        <v>68</v>
      </c>
      <c r="T73" s="21" t="s">
        <v>807</v>
      </c>
      <c r="U73" s="21" t="s">
        <v>70</v>
      </c>
      <c r="V73" s="28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</row>
    <row r="74" customFormat="false" ht="96.6" hidden="false" customHeight="true" outlineLevel="0" collapsed="false">
      <c r="A74" s="4"/>
      <c r="B74" s="21" t="s">
        <v>821</v>
      </c>
      <c r="C74" s="21" t="s">
        <v>807</v>
      </c>
      <c r="D74" s="52"/>
      <c r="E74" s="34" t="s">
        <v>644</v>
      </c>
      <c r="F74" s="37" t="s">
        <v>830</v>
      </c>
      <c r="G74" s="37" t="s">
        <v>831</v>
      </c>
      <c r="H74" s="21" t="s">
        <v>807</v>
      </c>
      <c r="I74" s="21" t="s">
        <v>523</v>
      </c>
      <c r="J74" s="38" t="s">
        <v>524</v>
      </c>
      <c r="K74" s="38" t="s">
        <v>832</v>
      </c>
      <c r="L74" s="20" t="s">
        <v>640</v>
      </c>
      <c r="M74" s="20" t="s">
        <v>131</v>
      </c>
      <c r="N74" s="21" t="s">
        <v>68</v>
      </c>
      <c r="O74" s="21" t="s">
        <v>68</v>
      </c>
      <c r="P74" s="21" t="s">
        <v>813</v>
      </c>
      <c r="Q74" s="21" t="s">
        <v>68</v>
      </c>
      <c r="R74" s="21" t="s">
        <v>68</v>
      </c>
      <c r="S74" s="21" t="s">
        <v>68</v>
      </c>
      <c r="T74" s="21" t="s">
        <v>807</v>
      </c>
      <c r="U74" s="21" t="s">
        <v>70</v>
      </c>
      <c r="V74" s="28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</row>
    <row r="75" customFormat="false" ht="106.9" hidden="false" customHeight="true" outlineLevel="0" collapsed="false">
      <c r="A75" s="4"/>
      <c r="B75" s="21" t="s">
        <v>833</v>
      </c>
      <c r="C75" s="61" t="s">
        <v>807</v>
      </c>
      <c r="D75" s="52"/>
      <c r="E75" s="62" t="s">
        <v>644</v>
      </c>
      <c r="F75" s="63" t="s">
        <v>834</v>
      </c>
      <c r="G75" s="63" t="s">
        <v>835</v>
      </c>
      <c r="H75" s="61" t="s">
        <v>807</v>
      </c>
      <c r="I75" s="61" t="s">
        <v>594</v>
      </c>
      <c r="J75" s="59" t="s">
        <v>595</v>
      </c>
      <c r="K75" s="59" t="s">
        <v>836</v>
      </c>
      <c r="L75" s="64" t="s">
        <v>640</v>
      </c>
      <c r="M75" s="20" t="s">
        <v>131</v>
      </c>
      <c r="N75" s="21" t="s">
        <v>68</v>
      </c>
      <c r="O75" s="21" t="s">
        <v>68</v>
      </c>
      <c r="P75" s="21" t="s">
        <v>813</v>
      </c>
      <c r="Q75" s="21" t="s">
        <v>68</v>
      </c>
      <c r="R75" s="21" t="s">
        <v>68</v>
      </c>
      <c r="S75" s="21" t="s">
        <v>68</v>
      </c>
      <c r="T75" s="61" t="s">
        <v>807</v>
      </c>
      <c r="U75" s="21" t="s">
        <v>70</v>
      </c>
      <c r="V75" s="28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</row>
    <row r="76" customFormat="false" ht="53.25" hidden="false" customHeight="true" outlineLevel="0" collapsed="false">
      <c r="B76" s="42" t="s">
        <v>617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customFormat="false" ht="53.25" hidden="false" customHeight="true" outlineLevel="0" collapsed="false"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customFormat="false" ht="53.25" hidden="false" customHeight="true" outlineLevel="0" collapsed="false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customFormat="false" ht="53.25" hidden="false" customHeight="true" outlineLevel="0" collapsed="false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customFormat="false" ht="53.25" hidden="false" customHeight="true" outlineLevel="0" collapsed="false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customFormat="false" ht="53.25" hidden="false" customHeight="true" outlineLevel="0" collapsed="false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customFormat="false" ht="53.25" hidden="false" customHeight="true" outlineLevel="0" collapsed="false"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6"/>
      <c r="V82" s="66"/>
    </row>
    <row r="83" customFormat="false" ht="53.25" hidden="false" customHeight="true" outlineLevel="0" collapsed="false"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6"/>
      <c r="V83" s="66"/>
    </row>
    <row r="84" customFormat="false" ht="53.25" hidden="false" customHeight="true" outlineLevel="0" collapsed="false"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6"/>
      <c r="V84" s="66"/>
    </row>
    <row r="85" customFormat="false" ht="53.25" hidden="false" customHeight="true" outlineLevel="0" collapsed="false"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6"/>
      <c r="V85" s="66"/>
    </row>
    <row r="86" customFormat="false" ht="53.25" hidden="false" customHeight="true" outlineLevel="0" collapsed="false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6"/>
      <c r="V86" s="66"/>
    </row>
    <row r="87" customFormat="false" ht="53.25" hidden="false" customHeight="true" outlineLevel="0" collapsed="false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6"/>
      <c r="V87" s="66"/>
    </row>
    <row r="88" customFormat="false" ht="53.25" hidden="false" customHeight="true" outlineLevel="0" collapsed="false"/>
    <row r="89" customFormat="false" ht="53.25" hidden="false" customHeight="true" outlineLevel="0" collapsed="false"/>
    <row r="90" customFormat="false" ht="53.25" hidden="false" customHeight="true" outlineLevel="0" collapsed="false"/>
    <row r="91" customFormat="false" ht="53.25" hidden="false" customHeight="true" outlineLevel="0" collapsed="false"/>
    <row r="92" customFormat="false" ht="53.25" hidden="false" customHeight="true" outlineLevel="0" collapsed="false"/>
    <row r="93" customFormat="false" ht="53.25" hidden="false" customHeight="true" outlineLevel="0" collapsed="false"/>
    <row r="94" customFormat="false" ht="53.25" hidden="false" customHeight="true" outlineLevel="0" collapsed="false"/>
    <row r="95" customFormat="false" ht="53.25" hidden="false" customHeight="true" outlineLevel="0" collapsed="false"/>
    <row r="96" customFormat="false" ht="53.25" hidden="false" customHeight="true" outlineLevel="0" collapsed="false"/>
    <row r="97" customFormat="false" ht="53.25" hidden="false" customHeight="true" outlineLevel="0" collapsed="false"/>
    <row r="98" customFormat="false" ht="53.25" hidden="false" customHeight="true" outlineLevel="0" collapsed="false"/>
    <row r="99" customFormat="false" ht="53.25" hidden="false" customHeight="true" outlineLevel="0" collapsed="false"/>
    <row r="100" customFormat="false" ht="53.25" hidden="false" customHeight="true" outlineLevel="0" collapsed="false"/>
    <row r="101" customFormat="false" ht="53.25" hidden="false" customHeight="true" outlineLevel="0" collapsed="false"/>
    <row r="102" customFormat="false" ht="53.25" hidden="false" customHeight="true" outlineLevel="0" collapsed="false"/>
    <row r="103" customFormat="false" ht="53.25" hidden="false" customHeight="true" outlineLevel="0" collapsed="false"/>
    <row r="104" customFormat="false" ht="53.25" hidden="false" customHeight="true" outlineLevel="0" collapsed="false"/>
    <row r="105" customFormat="false" ht="53.25" hidden="false" customHeight="true" outlineLevel="0" collapsed="false"/>
    <row r="106" customFormat="false" ht="53.25" hidden="false" customHeight="true" outlineLevel="0" collapsed="false"/>
    <row r="107" customFormat="false" ht="53.25" hidden="false" customHeight="true" outlineLevel="0" collapsed="false"/>
    <row r="108" customFormat="false" ht="53.25" hidden="false" customHeight="true" outlineLevel="0" collapsed="false"/>
    <row r="109" customFormat="false" ht="53.25" hidden="false" customHeight="true" outlineLevel="0" collapsed="false"/>
    <row r="110" customFormat="false" ht="53.25" hidden="false" customHeight="true" outlineLevel="0" collapsed="false"/>
    <row r="111" customFormat="false" ht="53.25" hidden="false" customHeight="true" outlineLevel="0" collapsed="false"/>
    <row r="112" customFormat="false" ht="53.25" hidden="false" customHeight="true" outlineLevel="0" collapsed="false"/>
    <row r="113" customFormat="false" ht="53.25" hidden="false" customHeight="true" outlineLevel="0" collapsed="false">
      <c r="A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  <c r="IW113" s="44"/>
    </row>
  </sheetData>
  <mergeCells count="21">
    <mergeCell ref="B1:R3"/>
    <mergeCell ref="T1:V1"/>
    <mergeCell ref="T2:V2"/>
    <mergeCell ref="T3:V3"/>
    <mergeCell ref="B5:B6"/>
    <mergeCell ref="C5:C6"/>
    <mergeCell ref="E5:E6"/>
    <mergeCell ref="F5:H5"/>
    <mergeCell ref="I5:K5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B76:V81"/>
  </mergeCells>
  <printOptions headings="false" gridLines="false" gridLinesSet="true" horizontalCentered="true" verticalCentered="false"/>
  <pageMargins left="0.0395833333333333" right="0.0395833333333333" top="0.0395833333333333" bottom="0.039583333333333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79"/>
  <sheetViews>
    <sheetView showFormulas="false" showGridLines="true" showRowColHeaders="true" showZeros="true" rightToLeft="false" tabSelected="false" showOutlineSymbols="true" defaultGridColor="true" view="pageBreakPreview" topLeftCell="A1" colorId="64" zoomScale="40" zoomScaleNormal="40" zoomScalePageLayoutView="40" workbookViewId="0">
      <pane xSplit="1" ySplit="0" topLeftCell="B1" activePane="topRight" state="frozen"/>
      <selection pane="topLeft" activeCell="A1" activeCellId="0" sqref="A1"/>
      <selection pane="topRight" activeCell="I12" activeCellId="0" sqref="I12"/>
    </sheetView>
  </sheetViews>
  <sheetFormatPr defaultColWidth="9.140625" defaultRowHeight="12.75" customHeight="false" zeroHeight="false" outlineLevelRow="0" outlineLevelCol="1"/>
  <cols>
    <col collapsed="false" customWidth="true" hidden="false" outlineLevel="0" max="1" min="1" style="0" width="17.57"/>
    <col collapsed="false" customWidth="true" hidden="false" outlineLevel="0" max="2" min="2" style="1" width="17.29"/>
    <col collapsed="false" customWidth="true" hidden="false" outlineLevel="0" max="3" min="3" style="1" width="48.57"/>
    <col collapsed="false" customWidth="true" hidden="true" outlineLevel="1" max="4" min="4" style="1" width="45.11"/>
    <col collapsed="false" customWidth="true" hidden="false" outlineLevel="0" max="5" min="5" style="1" width="81.44"/>
    <col collapsed="false" customWidth="true" hidden="false" outlineLevel="0" max="6" min="6" style="1" width="46.12"/>
    <col collapsed="false" customWidth="true" hidden="false" outlineLevel="0" max="7" min="7" style="2" width="91.53"/>
    <col collapsed="false" customWidth="true" hidden="false" outlineLevel="0" max="8" min="8" style="2" width="56.21"/>
    <col collapsed="false" customWidth="true" hidden="false" outlineLevel="0" max="9" min="9" style="1" width="46.12"/>
    <col collapsed="false" customWidth="true" hidden="false" outlineLevel="0" max="10" min="10" style="2" width="81.44"/>
    <col collapsed="false" customWidth="true" hidden="false" outlineLevel="0" max="11" min="11" style="2" width="56.21"/>
    <col collapsed="false" customWidth="true" hidden="false" outlineLevel="0" max="12" min="12" style="1" width="25.93"/>
    <col collapsed="false" customWidth="true" hidden="false" outlineLevel="0" max="13" min="13" style="2" width="36.03"/>
    <col collapsed="false" customWidth="true" hidden="false" outlineLevel="0" max="15" min="14" style="2" width="30.98"/>
    <col collapsed="false" customWidth="true" hidden="false" outlineLevel="0" max="16" min="16" style="2" width="51.16"/>
    <col collapsed="false" customWidth="true" hidden="false" outlineLevel="0" max="17" min="17" style="2" width="25.93"/>
    <col collapsed="false" customWidth="true" hidden="false" outlineLevel="0" max="18" min="18" style="1" width="25.93"/>
    <col collapsed="false" customWidth="true" hidden="false" outlineLevel="0" max="19" min="19" style="1" width="41.07"/>
    <col collapsed="false" customWidth="true" hidden="false" outlineLevel="0" max="20" min="20" style="0" width="141.98"/>
    <col collapsed="false" customWidth="true" hidden="false" outlineLevel="0" max="21" min="21" style="3" width="51.16"/>
    <col collapsed="false" customWidth="true" hidden="false" outlineLevel="0" max="22" min="22" style="3" width="71.35"/>
    <col collapsed="false" customWidth="true" hidden="false" outlineLevel="0" max="25" min="23" style="0" width="22.48"/>
  </cols>
  <sheetData>
    <row r="1" customFormat="false" ht="42" hidden="false" customHeight="true" outlineLevel="0" collapsed="false">
      <c r="A1" s="67"/>
      <c r="B1" s="68" t="s">
        <v>837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70" t="s">
        <v>1</v>
      </c>
      <c r="T1" s="71" t="s">
        <v>2</v>
      </c>
      <c r="U1" s="71"/>
      <c r="V1" s="71"/>
    </row>
    <row r="2" customFormat="false" ht="42" hidden="false" customHeight="true" outlineLevel="0" collapsed="false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72"/>
      <c r="S2" s="70" t="s">
        <v>3</v>
      </c>
      <c r="T2" s="71" t="s">
        <v>4</v>
      </c>
      <c r="U2" s="71"/>
      <c r="V2" s="71"/>
    </row>
    <row r="3" customFormat="false" ht="33" hidden="false" customHeight="true" outlineLevel="0" collapsed="false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73"/>
      <c r="S3" s="70" t="s">
        <v>5</v>
      </c>
      <c r="T3" s="74" t="n">
        <v>45727</v>
      </c>
      <c r="U3" s="74"/>
      <c r="V3" s="74"/>
    </row>
    <row r="4" customFormat="false" ht="30" hidden="false" customHeight="true" outlineLevel="0" collapsed="false">
      <c r="A4" s="67"/>
      <c r="B4" s="75" t="n">
        <v>1</v>
      </c>
      <c r="C4" s="75" t="n">
        <v>2</v>
      </c>
      <c r="D4" s="76" t="n">
        <v>3</v>
      </c>
      <c r="E4" s="75" t="n">
        <v>3</v>
      </c>
      <c r="F4" s="76" t="n">
        <v>4</v>
      </c>
      <c r="G4" s="75" t="n">
        <v>5</v>
      </c>
      <c r="H4" s="76" t="n">
        <v>6</v>
      </c>
      <c r="I4" s="75" t="n">
        <v>7</v>
      </c>
      <c r="J4" s="76" t="n">
        <v>8</v>
      </c>
      <c r="K4" s="75" t="n">
        <v>9</v>
      </c>
      <c r="L4" s="76" t="n">
        <v>10</v>
      </c>
      <c r="M4" s="75" t="n">
        <v>11</v>
      </c>
      <c r="N4" s="76" t="n">
        <v>12</v>
      </c>
      <c r="O4" s="75" t="n">
        <v>13</v>
      </c>
      <c r="P4" s="76" t="n">
        <v>14</v>
      </c>
      <c r="Q4" s="75" t="n">
        <v>15</v>
      </c>
      <c r="R4" s="76" t="n">
        <v>16</v>
      </c>
      <c r="S4" s="75" t="n">
        <v>17</v>
      </c>
      <c r="T4" s="76" t="n">
        <v>18</v>
      </c>
      <c r="U4" s="75" t="n">
        <v>19</v>
      </c>
      <c r="V4" s="76" t="n">
        <v>20</v>
      </c>
      <c r="W4" s="14"/>
      <c r="X4" s="14"/>
      <c r="Y4" s="14"/>
    </row>
    <row r="5" customFormat="false" ht="24.6" hidden="false" customHeight="true" outlineLevel="0" collapsed="false">
      <c r="A5" s="67"/>
      <c r="B5" s="77" t="s">
        <v>6</v>
      </c>
      <c r="C5" s="77" t="s">
        <v>7</v>
      </c>
      <c r="D5" s="77"/>
      <c r="E5" s="77" t="s">
        <v>8</v>
      </c>
      <c r="F5" s="77" t="s">
        <v>9</v>
      </c>
      <c r="G5" s="77"/>
      <c r="H5" s="77"/>
      <c r="I5" s="77" t="s">
        <v>10</v>
      </c>
      <c r="J5" s="77"/>
      <c r="K5" s="77"/>
      <c r="L5" s="77" t="s">
        <v>11</v>
      </c>
      <c r="M5" s="77" t="s">
        <v>12</v>
      </c>
      <c r="N5" s="77" t="s">
        <v>13</v>
      </c>
      <c r="O5" s="77" t="s">
        <v>14</v>
      </c>
      <c r="P5" s="77" t="s">
        <v>15</v>
      </c>
      <c r="Q5" s="77" t="s">
        <v>16</v>
      </c>
      <c r="R5" s="77" t="s">
        <v>17</v>
      </c>
      <c r="S5" s="77" t="s">
        <v>18</v>
      </c>
      <c r="T5" s="77" t="s">
        <v>19</v>
      </c>
      <c r="U5" s="77" t="s">
        <v>20</v>
      </c>
      <c r="V5" s="77" t="s">
        <v>21</v>
      </c>
      <c r="W5" s="16"/>
      <c r="X5" s="16"/>
      <c r="Y5" s="16"/>
    </row>
    <row r="6" customFormat="false" ht="150" hidden="false" customHeight="true" outlineLevel="0" collapsed="false">
      <c r="A6" s="67"/>
      <c r="B6" s="77"/>
      <c r="C6" s="77"/>
      <c r="D6" s="77"/>
      <c r="E6" s="77"/>
      <c r="F6" s="77" t="s">
        <v>22</v>
      </c>
      <c r="G6" s="77" t="s">
        <v>23</v>
      </c>
      <c r="H6" s="77" t="s">
        <v>24</v>
      </c>
      <c r="I6" s="77" t="s">
        <v>22</v>
      </c>
      <c r="J6" s="77" t="s">
        <v>23</v>
      </c>
      <c r="K6" s="77" t="s">
        <v>24</v>
      </c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16"/>
      <c r="X6" s="16"/>
      <c r="Y6" s="16"/>
    </row>
    <row r="7" customFormat="false" ht="108.75" hidden="false" customHeight="true" outlineLevel="0" collapsed="false">
      <c r="A7" s="4"/>
      <c r="B7" s="26" t="n">
        <v>1</v>
      </c>
      <c r="C7" s="38" t="str">
        <f aca="false">CONCATENATE(F7,D7)</f>
        <v>B0-BZ-44101-I6201</v>
      </c>
      <c r="D7" s="78" t="s">
        <v>838</v>
      </c>
      <c r="E7" s="79" t="s">
        <v>169</v>
      </c>
      <c r="F7" s="38" t="s">
        <v>839</v>
      </c>
      <c r="G7" s="38" t="s">
        <v>840</v>
      </c>
      <c r="H7" s="38" t="s">
        <v>841</v>
      </c>
      <c r="I7" s="34" t="s">
        <v>842</v>
      </c>
      <c r="J7" s="37" t="s">
        <v>843</v>
      </c>
      <c r="K7" s="80" t="s">
        <v>601</v>
      </c>
      <c r="L7" s="38" t="s">
        <v>33</v>
      </c>
      <c r="M7" s="38" t="s">
        <v>34</v>
      </c>
      <c r="N7" s="38" t="n">
        <v>16.5</v>
      </c>
      <c r="O7" s="38" t="s">
        <v>35</v>
      </c>
      <c r="P7" s="38" t="s">
        <v>53</v>
      </c>
      <c r="Q7" s="38" t="n">
        <v>5</v>
      </c>
      <c r="R7" s="39" t="s">
        <v>63</v>
      </c>
      <c r="S7" s="26" t="s">
        <v>38</v>
      </c>
      <c r="T7" s="38" t="s">
        <v>844</v>
      </c>
      <c r="U7" s="38" t="s">
        <v>40</v>
      </c>
      <c r="V7" s="40"/>
      <c r="W7" s="4"/>
      <c r="X7" s="4"/>
      <c r="Y7" s="4"/>
    </row>
    <row r="8" customFormat="false" ht="108.75" hidden="false" customHeight="true" outlineLevel="0" collapsed="false">
      <c r="A8" s="4"/>
      <c r="B8" s="26" t="n">
        <v>2</v>
      </c>
      <c r="C8" s="38" t="str">
        <f aca="false">CONCATENATE(F8,D8)</f>
        <v>B0-BE-44101-I6202</v>
      </c>
      <c r="D8" s="78" t="s">
        <v>845</v>
      </c>
      <c r="E8" s="79" t="s">
        <v>52</v>
      </c>
      <c r="F8" s="38" t="s">
        <v>846</v>
      </c>
      <c r="G8" s="38" t="s">
        <v>847</v>
      </c>
      <c r="H8" s="38" t="s">
        <v>841</v>
      </c>
      <c r="I8" s="34" t="s">
        <v>842</v>
      </c>
      <c r="J8" s="37" t="s">
        <v>843</v>
      </c>
      <c r="K8" s="80" t="s">
        <v>601</v>
      </c>
      <c r="L8" s="38" t="s">
        <v>33</v>
      </c>
      <c r="M8" s="38" t="s">
        <v>34</v>
      </c>
      <c r="N8" s="38" t="n">
        <v>11</v>
      </c>
      <c r="O8" s="38" t="s">
        <v>35</v>
      </c>
      <c r="P8" s="38" t="s">
        <v>53</v>
      </c>
      <c r="Q8" s="38" t="n">
        <v>5</v>
      </c>
      <c r="R8" s="39" t="s">
        <v>63</v>
      </c>
      <c r="S8" s="26" t="s">
        <v>38</v>
      </c>
      <c r="T8" s="38" t="s">
        <v>844</v>
      </c>
      <c r="U8" s="38" t="s">
        <v>40</v>
      </c>
      <c r="V8" s="40"/>
      <c r="W8" s="4"/>
      <c r="X8" s="4"/>
      <c r="Y8" s="4"/>
    </row>
    <row r="9" customFormat="false" ht="108.75" hidden="false" customHeight="true" outlineLevel="0" collapsed="false">
      <c r="A9" s="4"/>
      <c r="B9" s="26" t="n">
        <v>3</v>
      </c>
      <c r="C9" s="38" t="str">
        <f aca="false">CONCATENATE(F9,D9)</f>
        <v>B0-GD-44004-I6203</v>
      </c>
      <c r="D9" s="78" t="s">
        <v>848</v>
      </c>
      <c r="E9" s="79" t="s">
        <v>169</v>
      </c>
      <c r="F9" s="38" t="s">
        <v>849</v>
      </c>
      <c r="G9" s="38" t="s">
        <v>850</v>
      </c>
      <c r="H9" s="38" t="s">
        <v>841</v>
      </c>
      <c r="I9" s="34" t="s">
        <v>842</v>
      </c>
      <c r="J9" s="37" t="s">
        <v>843</v>
      </c>
      <c r="K9" s="80" t="s">
        <v>601</v>
      </c>
      <c r="L9" s="38" t="s">
        <v>33</v>
      </c>
      <c r="M9" s="38" t="s">
        <v>34</v>
      </c>
      <c r="N9" s="38" t="n">
        <v>16.5</v>
      </c>
      <c r="O9" s="38" t="s">
        <v>35</v>
      </c>
      <c r="P9" s="38" t="s">
        <v>53</v>
      </c>
      <c r="Q9" s="38" t="n">
        <v>5</v>
      </c>
      <c r="R9" s="39" t="s">
        <v>63</v>
      </c>
      <c r="S9" s="26" t="s">
        <v>38</v>
      </c>
      <c r="T9" s="38" t="s">
        <v>844</v>
      </c>
      <c r="U9" s="38" t="s">
        <v>40</v>
      </c>
      <c r="V9" s="40"/>
      <c r="W9" s="4"/>
      <c r="X9" s="4"/>
      <c r="Y9" s="4"/>
    </row>
    <row r="10" customFormat="false" ht="108.75" hidden="false" customHeight="true" outlineLevel="0" collapsed="false">
      <c r="A10" s="4"/>
      <c r="B10" s="26" t="n">
        <v>4</v>
      </c>
      <c r="C10" s="38" t="str">
        <f aca="false">CONCATENATE(F10,D10)</f>
        <v>B0-PSH-44105-I6204</v>
      </c>
      <c r="D10" s="78" t="s">
        <v>851</v>
      </c>
      <c r="E10" s="34" t="s">
        <v>59</v>
      </c>
      <c r="F10" s="38" t="s">
        <v>852</v>
      </c>
      <c r="G10" s="38" t="s">
        <v>853</v>
      </c>
      <c r="H10" s="38" t="s">
        <v>841</v>
      </c>
      <c r="I10" s="34" t="s">
        <v>842</v>
      </c>
      <c r="J10" s="37" t="s">
        <v>843</v>
      </c>
      <c r="K10" s="80" t="s">
        <v>601</v>
      </c>
      <c r="L10" s="38" t="s">
        <v>33</v>
      </c>
      <c r="M10" s="38" t="s">
        <v>34</v>
      </c>
      <c r="N10" s="38" t="n">
        <v>11.5</v>
      </c>
      <c r="O10" s="38" t="s">
        <v>35</v>
      </c>
      <c r="P10" s="38" t="s">
        <v>36</v>
      </c>
      <c r="Q10" s="38" t="n">
        <v>5</v>
      </c>
      <c r="R10" s="39" t="s">
        <v>63</v>
      </c>
      <c r="S10" s="26" t="s">
        <v>38</v>
      </c>
      <c r="T10" s="38" t="s">
        <v>844</v>
      </c>
      <c r="U10" s="38" t="s">
        <v>40</v>
      </c>
      <c r="V10" s="40"/>
      <c r="W10" s="4"/>
      <c r="X10" s="4"/>
      <c r="Y10" s="4"/>
    </row>
    <row r="11" customFormat="false" ht="108.75" hidden="false" customHeight="true" outlineLevel="0" collapsed="false">
      <c r="A11" s="4"/>
      <c r="B11" s="26" t="n">
        <v>5</v>
      </c>
      <c r="C11" s="38" t="str">
        <f aca="false">CONCATENATE(F11,D11)</f>
        <v>B0-PSL-44103-I6205</v>
      </c>
      <c r="D11" s="78" t="s">
        <v>854</v>
      </c>
      <c r="E11" s="34" t="s">
        <v>59</v>
      </c>
      <c r="F11" s="38" t="s">
        <v>855</v>
      </c>
      <c r="G11" s="38" t="s">
        <v>856</v>
      </c>
      <c r="H11" s="38" t="s">
        <v>841</v>
      </c>
      <c r="I11" s="34" t="s">
        <v>842</v>
      </c>
      <c r="J11" s="37" t="s">
        <v>843</v>
      </c>
      <c r="K11" s="80" t="s">
        <v>601</v>
      </c>
      <c r="L11" s="38" t="s">
        <v>33</v>
      </c>
      <c r="M11" s="38" t="s">
        <v>34</v>
      </c>
      <c r="N11" s="38" t="n">
        <v>11.5</v>
      </c>
      <c r="O11" s="38" t="s">
        <v>35</v>
      </c>
      <c r="P11" s="38" t="s">
        <v>36</v>
      </c>
      <c r="Q11" s="38" t="n">
        <v>5</v>
      </c>
      <c r="R11" s="39" t="s">
        <v>63</v>
      </c>
      <c r="S11" s="26" t="s">
        <v>38</v>
      </c>
      <c r="T11" s="38" t="s">
        <v>844</v>
      </c>
      <c r="U11" s="38" t="s">
        <v>40</v>
      </c>
      <c r="V11" s="40"/>
      <c r="W11" s="4"/>
      <c r="X11" s="4"/>
      <c r="Y11" s="4"/>
    </row>
    <row r="12" customFormat="false" ht="108.75" hidden="false" customHeight="true" outlineLevel="0" collapsed="false">
      <c r="A12" s="4"/>
      <c r="B12" s="26" t="n">
        <v>6</v>
      </c>
      <c r="C12" s="38" t="str">
        <f aca="false">CONCATENATE(F12,D12)</f>
        <v>B0-PSLH-44104-I6206</v>
      </c>
      <c r="D12" s="78" t="s">
        <v>857</v>
      </c>
      <c r="E12" s="34" t="s">
        <v>59</v>
      </c>
      <c r="F12" s="38" t="s">
        <v>858</v>
      </c>
      <c r="G12" s="38" t="s">
        <v>859</v>
      </c>
      <c r="H12" s="38" t="s">
        <v>841</v>
      </c>
      <c r="I12" s="34" t="s">
        <v>842</v>
      </c>
      <c r="J12" s="37" t="s">
        <v>843</v>
      </c>
      <c r="K12" s="80" t="s">
        <v>601</v>
      </c>
      <c r="L12" s="38" t="s">
        <v>33</v>
      </c>
      <c r="M12" s="38" t="s">
        <v>34</v>
      </c>
      <c r="N12" s="38" t="n">
        <v>11.5</v>
      </c>
      <c r="O12" s="38" t="s">
        <v>35</v>
      </c>
      <c r="P12" s="38" t="s">
        <v>36</v>
      </c>
      <c r="Q12" s="38" t="n">
        <v>5</v>
      </c>
      <c r="R12" s="39" t="s">
        <v>63</v>
      </c>
      <c r="S12" s="26" t="s">
        <v>38</v>
      </c>
      <c r="T12" s="38" t="s">
        <v>844</v>
      </c>
      <c r="U12" s="38" t="s">
        <v>40</v>
      </c>
      <c r="V12" s="40"/>
      <c r="W12" s="4"/>
      <c r="X12" s="4"/>
      <c r="Y12" s="4"/>
    </row>
    <row r="13" customFormat="false" ht="108.75" hidden="false" customHeight="true" outlineLevel="0" collapsed="false">
      <c r="A13" s="25"/>
      <c r="B13" s="26" t="n">
        <v>7</v>
      </c>
      <c r="C13" s="38" t="str">
        <f aca="false">CONCATENATE(F13,D13)</f>
        <v>B0-PSL-44106-I6207</v>
      </c>
      <c r="D13" s="78" t="s">
        <v>860</v>
      </c>
      <c r="E13" s="34" t="s">
        <v>59</v>
      </c>
      <c r="F13" s="38" t="s">
        <v>861</v>
      </c>
      <c r="G13" s="38" t="s">
        <v>862</v>
      </c>
      <c r="H13" s="38" t="s">
        <v>841</v>
      </c>
      <c r="I13" s="34" t="s">
        <v>842</v>
      </c>
      <c r="J13" s="37" t="s">
        <v>843</v>
      </c>
      <c r="K13" s="80" t="s">
        <v>601</v>
      </c>
      <c r="L13" s="38" t="s">
        <v>33</v>
      </c>
      <c r="M13" s="38" t="s">
        <v>34</v>
      </c>
      <c r="N13" s="38" t="n">
        <v>11.5</v>
      </c>
      <c r="O13" s="38" t="s">
        <v>35</v>
      </c>
      <c r="P13" s="38" t="s">
        <v>36</v>
      </c>
      <c r="Q13" s="38" t="n">
        <v>5</v>
      </c>
      <c r="R13" s="39" t="s">
        <v>63</v>
      </c>
      <c r="S13" s="26" t="s">
        <v>38</v>
      </c>
      <c r="T13" s="38" t="s">
        <v>844</v>
      </c>
      <c r="U13" s="38" t="s">
        <v>40</v>
      </c>
      <c r="V13" s="40"/>
      <c r="W13" s="25"/>
      <c r="X13" s="25"/>
      <c r="Y13" s="25"/>
    </row>
    <row r="14" customFormat="false" ht="108.75" hidden="false" customHeight="true" outlineLevel="0" collapsed="false">
      <c r="A14" s="25"/>
      <c r="B14" s="26" t="n">
        <v>8</v>
      </c>
      <c r="C14" s="38" t="str">
        <f aca="false">CONCATENATE(F14,D14)</f>
        <v>B0-BZ-44101-I6208</v>
      </c>
      <c r="D14" s="78" t="s">
        <v>863</v>
      </c>
      <c r="E14" s="34" t="s">
        <v>74</v>
      </c>
      <c r="F14" s="38" t="s">
        <v>839</v>
      </c>
      <c r="G14" s="38" t="s">
        <v>840</v>
      </c>
      <c r="H14" s="38" t="s">
        <v>841</v>
      </c>
      <c r="I14" s="34" t="s">
        <v>842</v>
      </c>
      <c r="J14" s="37" t="s">
        <v>843</v>
      </c>
      <c r="K14" s="80" t="s">
        <v>601</v>
      </c>
      <c r="L14" s="38" t="s">
        <v>33</v>
      </c>
      <c r="M14" s="38" t="s">
        <v>34</v>
      </c>
      <c r="N14" s="38" t="n">
        <v>18</v>
      </c>
      <c r="O14" s="38" t="s">
        <v>35</v>
      </c>
      <c r="P14" s="38" t="s">
        <v>36</v>
      </c>
      <c r="Q14" s="38" t="n">
        <v>5</v>
      </c>
      <c r="R14" s="39" t="s">
        <v>63</v>
      </c>
      <c r="S14" s="26" t="s">
        <v>38</v>
      </c>
      <c r="T14" s="38" t="s">
        <v>844</v>
      </c>
      <c r="U14" s="38" t="s">
        <v>40</v>
      </c>
      <c r="V14" s="40"/>
      <c r="W14" s="25"/>
      <c r="X14" s="25"/>
      <c r="Y14" s="25"/>
    </row>
    <row r="15" customFormat="false" ht="108.75" hidden="false" customHeight="true" outlineLevel="0" collapsed="false">
      <c r="A15" s="4"/>
      <c r="B15" s="26" t="n">
        <v>9</v>
      </c>
      <c r="C15" s="38" t="s">
        <v>864</v>
      </c>
      <c r="D15" s="78" t="s">
        <v>865</v>
      </c>
      <c r="E15" s="79" t="s">
        <v>598</v>
      </c>
      <c r="F15" s="38" t="s">
        <v>842</v>
      </c>
      <c r="G15" s="37" t="s">
        <v>843</v>
      </c>
      <c r="H15" s="36" t="s">
        <v>866</v>
      </c>
      <c r="I15" s="79" t="s">
        <v>599</v>
      </c>
      <c r="J15" s="35" t="s">
        <v>600</v>
      </c>
      <c r="K15" s="80" t="s">
        <v>601</v>
      </c>
      <c r="L15" s="38" t="s">
        <v>33</v>
      </c>
      <c r="M15" s="38" t="s">
        <v>34</v>
      </c>
      <c r="N15" s="38" t="n">
        <v>28</v>
      </c>
      <c r="O15" s="38" t="s">
        <v>35</v>
      </c>
      <c r="P15" s="38" t="s">
        <v>53</v>
      </c>
      <c r="Q15" s="38" t="n">
        <v>20</v>
      </c>
      <c r="R15" s="39" t="s">
        <v>37</v>
      </c>
      <c r="S15" s="26" t="s">
        <v>38</v>
      </c>
      <c r="T15" s="38" t="s">
        <v>844</v>
      </c>
      <c r="U15" s="38" t="s">
        <v>40</v>
      </c>
      <c r="V15" s="40"/>
      <c r="W15" s="4"/>
      <c r="X15" s="4"/>
      <c r="Y15" s="4"/>
    </row>
    <row r="16" customFormat="false" ht="108.75" hidden="false" customHeight="true" outlineLevel="0" collapsed="false">
      <c r="A16" s="4"/>
      <c r="B16" s="26" t="n">
        <v>10</v>
      </c>
      <c r="C16" s="38" t="s">
        <v>867</v>
      </c>
      <c r="D16" s="78" t="s">
        <v>868</v>
      </c>
      <c r="E16" s="34" t="s">
        <v>172</v>
      </c>
      <c r="F16" s="38" t="s">
        <v>842</v>
      </c>
      <c r="G16" s="37" t="s">
        <v>843</v>
      </c>
      <c r="H16" s="36" t="s">
        <v>866</v>
      </c>
      <c r="I16" s="79" t="s">
        <v>599</v>
      </c>
      <c r="J16" s="35" t="s">
        <v>600</v>
      </c>
      <c r="K16" s="80" t="s">
        <v>601</v>
      </c>
      <c r="L16" s="38" t="s">
        <v>33</v>
      </c>
      <c r="M16" s="38" t="s">
        <v>34</v>
      </c>
      <c r="N16" s="38" t="n">
        <v>21.5</v>
      </c>
      <c r="O16" s="38" t="s">
        <v>35</v>
      </c>
      <c r="P16" s="38" t="s">
        <v>36</v>
      </c>
      <c r="Q16" s="38" t="n">
        <v>20</v>
      </c>
      <c r="R16" s="39" t="s">
        <v>37</v>
      </c>
      <c r="S16" s="26" t="s">
        <v>38</v>
      </c>
      <c r="T16" s="38" t="s">
        <v>844</v>
      </c>
      <c r="U16" s="38" t="s">
        <v>40</v>
      </c>
      <c r="V16" s="40"/>
      <c r="W16" s="4"/>
      <c r="X16" s="4"/>
      <c r="Y16" s="4"/>
    </row>
    <row r="17" customFormat="false" ht="108.75" hidden="false" customHeight="true" outlineLevel="0" collapsed="false">
      <c r="A17" s="25"/>
      <c r="B17" s="26" t="n">
        <v>11</v>
      </c>
      <c r="C17" s="38" t="str">
        <f aca="false">CONCATENATE(F17,D17)</f>
        <v>B0-IG-44101-I6211</v>
      </c>
      <c r="D17" s="78" t="s">
        <v>869</v>
      </c>
      <c r="E17" s="34" t="s">
        <v>26</v>
      </c>
      <c r="F17" s="38" t="s">
        <v>870</v>
      </c>
      <c r="G17" s="38" t="s">
        <v>871</v>
      </c>
      <c r="H17" s="38" t="s">
        <v>841</v>
      </c>
      <c r="I17" s="62" t="s">
        <v>872</v>
      </c>
      <c r="J17" s="37" t="s">
        <v>873</v>
      </c>
      <c r="K17" s="80" t="s">
        <v>601</v>
      </c>
      <c r="L17" s="38" t="s">
        <v>33</v>
      </c>
      <c r="M17" s="38" t="s">
        <v>34</v>
      </c>
      <c r="N17" s="38" t="n">
        <v>12</v>
      </c>
      <c r="O17" s="38" t="s">
        <v>35</v>
      </c>
      <c r="P17" s="38" t="s">
        <v>36</v>
      </c>
      <c r="Q17" s="38" t="n">
        <v>5</v>
      </c>
      <c r="R17" s="39" t="s">
        <v>63</v>
      </c>
      <c r="S17" s="26" t="s">
        <v>38</v>
      </c>
      <c r="T17" s="38" t="s">
        <v>844</v>
      </c>
      <c r="U17" s="38" t="s">
        <v>40</v>
      </c>
      <c r="V17" s="40"/>
      <c r="W17" s="25"/>
      <c r="X17" s="25"/>
      <c r="Y17" s="25"/>
    </row>
    <row r="18" customFormat="false" ht="108.75" hidden="false" customHeight="true" outlineLevel="0" collapsed="false">
      <c r="A18" s="4"/>
      <c r="B18" s="26" t="n">
        <v>12</v>
      </c>
      <c r="C18" s="38" t="str">
        <f aca="false">CONCATENATE(F18,D18)</f>
        <v>B0-PYV-44106-I6212</v>
      </c>
      <c r="D18" s="78" t="s">
        <v>874</v>
      </c>
      <c r="E18" s="34" t="s">
        <v>26</v>
      </c>
      <c r="F18" s="38" t="s">
        <v>875</v>
      </c>
      <c r="G18" s="38" t="s">
        <v>876</v>
      </c>
      <c r="H18" s="38" t="s">
        <v>841</v>
      </c>
      <c r="I18" s="62" t="s">
        <v>872</v>
      </c>
      <c r="J18" s="37" t="s">
        <v>873</v>
      </c>
      <c r="K18" s="80" t="s">
        <v>601</v>
      </c>
      <c r="L18" s="38" t="s">
        <v>33</v>
      </c>
      <c r="M18" s="38" t="s">
        <v>34</v>
      </c>
      <c r="N18" s="38" t="n">
        <v>12</v>
      </c>
      <c r="O18" s="38" t="s">
        <v>35</v>
      </c>
      <c r="P18" s="38" t="s">
        <v>36</v>
      </c>
      <c r="Q18" s="38" t="n">
        <v>5</v>
      </c>
      <c r="R18" s="39" t="s">
        <v>63</v>
      </c>
      <c r="S18" s="26" t="s">
        <v>38</v>
      </c>
      <c r="T18" s="38" t="s">
        <v>844</v>
      </c>
      <c r="U18" s="38" t="s">
        <v>40</v>
      </c>
      <c r="V18" s="40"/>
      <c r="W18" s="4"/>
      <c r="X18" s="4"/>
      <c r="Y18" s="4"/>
    </row>
    <row r="19" customFormat="false" ht="108.75" hidden="false" customHeight="true" outlineLevel="0" collapsed="false">
      <c r="A19" s="4"/>
      <c r="B19" s="26" t="n">
        <v>13</v>
      </c>
      <c r="C19" s="38" t="str">
        <f aca="false">CONCATENATE(F19,D19)</f>
        <v>B0-PYV-44107-I6213</v>
      </c>
      <c r="D19" s="78" t="s">
        <v>877</v>
      </c>
      <c r="E19" s="34" t="s">
        <v>26</v>
      </c>
      <c r="F19" s="38" t="s">
        <v>878</v>
      </c>
      <c r="G19" s="38" t="s">
        <v>876</v>
      </c>
      <c r="H19" s="38" t="s">
        <v>841</v>
      </c>
      <c r="I19" s="62" t="s">
        <v>872</v>
      </c>
      <c r="J19" s="37" t="s">
        <v>873</v>
      </c>
      <c r="K19" s="80" t="s">
        <v>601</v>
      </c>
      <c r="L19" s="38" t="s">
        <v>33</v>
      </c>
      <c r="M19" s="38" t="s">
        <v>34</v>
      </c>
      <c r="N19" s="38" t="n">
        <v>12</v>
      </c>
      <c r="O19" s="38" t="s">
        <v>35</v>
      </c>
      <c r="P19" s="38" t="s">
        <v>36</v>
      </c>
      <c r="Q19" s="38" t="n">
        <v>5</v>
      </c>
      <c r="R19" s="39" t="s">
        <v>63</v>
      </c>
      <c r="S19" s="26" t="s">
        <v>38</v>
      </c>
      <c r="T19" s="38" t="s">
        <v>844</v>
      </c>
      <c r="U19" s="38" t="s">
        <v>40</v>
      </c>
      <c r="V19" s="40"/>
      <c r="W19" s="4"/>
      <c r="X19" s="4"/>
      <c r="Y19" s="4"/>
    </row>
    <row r="20" customFormat="false" ht="87" hidden="false" customHeight="true" outlineLevel="0" collapsed="false">
      <c r="A20" s="4"/>
      <c r="B20" s="26" t="n">
        <v>14</v>
      </c>
      <c r="C20" s="38" t="str">
        <f aca="false">CONCATENATE(F20,D20)</f>
        <v>B0-PYV-44101-I6214</v>
      </c>
      <c r="D20" s="78" t="s">
        <v>879</v>
      </c>
      <c r="E20" s="34" t="s">
        <v>26</v>
      </c>
      <c r="F20" s="34" t="s">
        <v>880</v>
      </c>
      <c r="G20" s="37" t="s">
        <v>881</v>
      </c>
      <c r="H20" s="38" t="s">
        <v>841</v>
      </c>
      <c r="I20" s="62" t="s">
        <v>872</v>
      </c>
      <c r="J20" s="37" t="s">
        <v>873</v>
      </c>
      <c r="K20" s="80" t="s">
        <v>601</v>
      </c>
      <c r="L20" s="38" t="s">
        <v>33</v>
      </c>
      <c r="M20" s="38" t="s">
        <v>34</v>
      </c>
      <c r="N20" s="38" t="n">
        <v>12</v>
      </c>
      <c r="O20" s="38" t="s">
        <v>35</v>
      </c>
      <c r="P20" s="38" t="s">
        <v>36</v>
      </c>
      <c r="Q20" s="38" t="n">
        <v>5</v>
      </c>
      <c r="R20" s="39" t="s">
        <v>63</v>
      </c>
      <c r="S20" s="26" t="s">
        <v>38</v>
      </c>
      <c r="T20" s="38" t="s">
        <v>844</v>
      </c>
      <c r="U20" s="38" t="s">
        <v>40</v>
      </c>
      <c r="V20" s="40"/>
      <c r="W20" s="4"/>
      <c r="X20" s="4"/>
      <c r="Y20" s="4"/>
    </row>
    <row r="21" customFormat="false" ht="81" hidden="false" customHeight="true" outlineLevel="0" collapsed="false">
      <c r="A21" s="4"/>
      <c r="B21" s="26" t="n">
        <v>15</v>
      </c>
      <c r="C21" s="38" t="str">
        <f aca="false">CONCATENATE(F21,D21)</f>
        <v>B0-PYV-44102-I6215</v>
      </c>
      <c r="D21" s="78" t="s">
        <v>882</v>
      </c>
      <c r="E21" s="34" t="s">
        <v>26</v>
      </c>
      <c r="F21" s="34" t="s">
        <v>883</v>
      </c>
      <c r="G21" s="37" t="s">
        <v>881</v>
      </c>
      <c r="H21" s="38" t="s">
        <v>841</v>
      </c>
      <c r="I21" s="62" t="s">
        <v>872</v>
      </c>
      <c r="J21" s="37" t="s">
        <v>873</v>
      </c>
      <c r="K21" s="80" t="s">
        <v>601</v>
      </c>
      <c r="L21" s="38" t="s">
        <v>33</v>
      </c>
      <c r="M21" s="38" t="s">
        <v>34</v>
      </c>
      <c r="N21" s="38" t="n">
        <v>12</v>
      </c>
      <c r="O21" s="38" t="s">
        <v>35</v>
      </c>
      <c r="P21" s="38" t="s">
        <v>36</v>
      </c>
      <c r="Q21" s="38" t="n">
        <v>5</v>
      </c>
      <c r="R21" s="39" t="s">
        <v>63</v>
      </c>
      <c r="S21" s="26" t="s">
        <v>38</v>
      </c>
      <c r="T21" s="38" t="s">
        <v>844</v>
      </c>
      <c r="U21" s="38" t="s">
        <v>40</v>
      </c>
      <c r="V21" s="40"/>
      <c r="W21" s="4"/>
      <c r="X21" s="4"/>
      <c r="Y21" s="4"/>
    </row>
    <row r="22" customFormat="false" ht="87" hidden="false" customHeight="true" outlineLevel="0" collapsed="false">
      <c r="A22" s="4"/>
      <c r="B22" s="26" t="n">
        <v>16</v>
      </c>
      <c r="C22" s="38" t="str">
        <f aca="false">CONCATENATE(F22,D22)</f>
        <v>B0-PYV-44103-I6216</v>
      </c>
      <c r="D22" s="78" t="s">
        <v>884</v>
      </c>
      <c r="E22" s="34" t="s">
        <v>26</v>
      </c>
      <c r="F22" s="34" t="s">
        <v>885</v>
      </c>
      <c r="G22" s="37" t="s">
        <v>881</v>
      </c>
      <c r="H22" s="38" t="s">
        <v>841</v>
      </c>
      <c r="I22" s="62" t="s">
        <v>872</v>
      </c>
      <c r="J22" s="37" t="s">
        <v>873</v>
      </c>
      <c r="K22" s="80" t="s">
        <v>601</v>
      </c>
      <c r="L22" s="38" t="s">
        <v>33</v>
      </c>
      <c r="M22" s="38" t="s">
        <v>34</v>
      </c>
      <c r="N22" s="38" t="n">
        <v>12</v>
      </c>
      <c r="O22" s="38" t="s">
        <v>35</v>
      </c>
      <c r="P22" s="38" t="s">
        <v>36</v>
      </c>
      <c r="Q22" s="38" t="n">
        <v>5</v>
      </c>
      <c r="R22" s="39" t="s">
        <v>63</v>
      </c>
      <c r="S22" s="26" t="s">
        <v>38</v>
      </c>
      <c r="T22" s="38" t="s">
        <v>844</v>
      </c>
      <c r="U22" s="38" t="s">
        <v>40</v>
      </c>
      <c r="V22" s="40"/>
      <c r="W22" s="4"/>
      <c r="X22" s="4"/>
      <c r="Y22" s="4"/>
    </row>
    <row r="23" customFormat="false" ht="81" hidden="false" customHeight="true" outlineLevel="0" collapsed="false">
      <c r="A23" s="4"/>
      <c r="B23" s="26" t="n">
        <v>17</v>
      </c>
      <c r="C23" s="38" t="str">
        <f aca="false">CONCATENATE(F23,D23)</f>
        <v>B0-PYV-44104-I6217</v>
      </c>
      <c r="D23" s="78" t="s">
        <v>886</v>
      </c>
      <c r="E23" s="34" t="s">
        <v>26</v>
      </c>
      <c r="F23" s="34" t="s">
        <v>887</v>
      </c>
      <c r="G23" s="37" t="s">
        <v>881</v>
      </c>
      <c r="H23" s="38" t="s">
        <v>841</v>
      </c>
      <c r="I23" s="62" t="s">
        <v>872</v>
      </c>
      <c r="J23" s="37" t="s">
        <v>873</v>
      </c>
      <c r="K23" s="80" t="s">
        <v>601</v>
      </c>
      <c r="L23" s="38" t="s">
        <v>33</v>
      </c>
      <c r="M23" s="38" t="s">
        <v>34</v>
      </c>
      <c r="N23" s="38" t="n">
        <v>12</v>
      </c>
      <c r="O23" s="38" t="s">
        <v>35</v>
      </c>
      <c r="P23" s="38" t="s">
        <v>36</v>
      </c>
      <c r="Q23" s="38" t="n">
        <v>5</v>
      </c>
      <c r="R23" s="39" t="s">
        <v>63</v>
      </c>
      <c r="S23" s="26" t="s">
        <v>38</v>
      </c>
      <c r="T23" s="38" t="s">
        <v>844</v>
      </c>
      <c r="U23" s="38" t="s">
        <v>40</v>
      </c>
      <c r="V23" s="40"/>
      <c r="W23" s="4"/>
      <c r="X23" s="4"/>
      <c r="Y23" s="4"/>
    </row>
    <row r="24" customFormat="false" ht="87" hidden="false" customHeight="true" outlineLevel="0" collapsed="false">
      <c r="A24" s="4"/>
      <c r="B24" s="26" t="n">
        <v>18</v>
      </c>
      <c r="C24" s="38" t="str">
        <f aca="false">CONCATENATE(F24,D24)</f>
        <v>B0-PYV-44105-I6218</v>
      </c>
      <c r="D24" s="78" t="s">
        <v>888</v>
      </c>
      <c r="E24" s="34" t="s">
        <v>26</v>
      </c>
      <c r="F24" s="38" t="s">
        <v>889</v>
      </c>
      <c r="G24" s="38" t="s">
        <v>890</v>
      </c>
      <c r="H24" s="38" t="s">
        <v>841</v>
      </c>
      <c r="I24" s="62" t="s">
        <v>872</v>
      </c>
      <c r="J24" s="37" t="s">
        <v>873</v>
      </c>
      <c r="K24" s="80" t="s">
        <v>601</v>
      </c>
      <c r="L24" s="38" t="s">
        <v>33</v>
      </c>
      <c r="M24" s="38" t="s">
        <v>34</v>
      </c>
      <c r="N24" s="38" t="n">
        <v>12</v>
      </c>
      <c r="O24" s="38" t="s">
        <v>35</v>
      </c>
      <c r="P24" s="38" t="s">
        <v>36</v>
      </c>
      <c r="Q24" s="38" t="n">
        <v>5</v>
      </c>
      <c r="R24" s="39" t="s">
        <v>63</v>
      </c>
      <c r="S24" s="26" t="s">
        <v>38</v>
      </c>
      <c r="T24" s="38" t="s">
        <v>844</v>
      </c>
      <c r="U24" s="38" t="s">
        <v>40</v>
      </c>
      <c r="V24" s="40"/>
      <c r="W24" s="4"/>
      <c r="X24" s="4"/>
      <c r="Y24" s="4"/>
    </row>
    <row r="25" customFormat="false" ht="108.75" hidden="false" customHeight="true" outlineLevel="0" collapsed="false">
      <c r="A25" s="67"/>
      <c r="B25" s="26" t="n">
        <v>19</v>
      </c>
      <c r="C25" s="36" t="s">
        <v>891</v>
      </c>
      <c r="D25" s="78" t="s">
        <v>892</v>
      </c>
      <c r="E25" s="34" t="s">
        <v>174</v>
      </c>
      <c r="F25" s="36" t="s">
        <v>872</v>
      </c>
      <c r="G25" s="37" t="s">
        <v>873</v>
      </c>
      <c r="H25" s="36" t="s">
        <v>866</v>
      </c>
      <c r="I25" s="79" t="s">
        <v>599</v>
      </c>
      <c r="J25" s="35" t="s">
        <v>600</v>
      </c>
      <c r="K25" s="80" t="s">
        <v>601</v>
      </c>
      <c r="L25" s="38" t="s">
        <v>33</v>
      </c>
      <c r="M25" s="38" t="s">
        <v>34</v>
      </c>
      <c r="N25" s="36" t="n">
        <v>20</v>
      </c>
      <c r="O25" s="38" t="s">
        <v>35</v>
      </c>
      <c r="P25" s="38" t="s">
        <v>36</v>
      </c>
      <c r="Q25" s="36" t="n">
        <v>20</v>
      </c>
      <c r="R25" s="81" t="s">
        <v>37</v>
      </c>
      <c r="S25" s="26" t="s">
        <v>38</v>
      </c>
      <c r="T25" s="38" t="s">
        <v>844</v>
      </c>
      <c r="U25" s="38" t="s">
        <v>40</v>
      </c>
      <c r="V25" s="82"/>
      <c r="W25" s="24"/>
      <c r="X25" s="24"/>
      <c r="Y25" s="24"/>
    </row>
    <row r="26" customFormat="false" ht="108.75" hidden="false" customHeight="true" outlineLevel="0" collapsed="false">
      <c r="A26" s="67"/>
      <c r="B26" s="26" t="n">
        <v>20</v>
      </c>
      <c r="C26" s="36" t="s">
        <v>891</v>
      </c>
      <c r="D26" s="78" t="s">
        <v>893</v>
      </c>
      <c r="E26" s="34" t="s">
        <v>174</v>
      </c>
      <c r="F26" s="36" t="s">
        <v>872</v>
      </c>
      <c r="G26" s="37" t="s">
        <v>873</v>
      </c>
      <c r="H26" s="36" t="s">
        <v>866</v>
      </c>
      <c r="I26" s="79" t="s">
        <v>599</v>
      </c>
      <c r="J26" s="35" t="s">
        <v>600</v>
      </c>
      <c r="K26" s="80" t="s">
        <v>601</v>
      </c>
      <c r="L26" s="38" t="s">
        <v>33</v>
      </c>
      <c r="M26" s="38" t="s">
        <v>34</v>
      </c>
      <c r="N26" s="36" t="n">
        <v>20</v>
      </c>
      <c r="O26" s="38" t="s">
        <v>35</v>
      </c>
      <c r="P26" s="38" t="s">
        <v>36</v>
      </c>
      <c r="Q26" s="36" t="n">
        <v>20</v>
      </c>
      <c r="R26" s="81" t="s">
        <v>37</v>
      </c>
      <c r="S26" s="26" t="s">
        <v>38</v>
      </c>
      <c r="T26" s="38" t="s">
        <v>844</v>
      </c>
      <c r="U26" s="38" t="s">
        <v>40</v>
      </c>
      <c r="V26" s="82"/>
      <c r="W26" s="24"/>
      <c r="X26" s="24"/>
      <c r="Y26" s="24"/>
    </row>
    <row r="27" customFormat="false" ht="75" hidden="false" customHeight="true" outlineLevel="0" collapsed="false">
      <c r="A27" s="4"/>
      <c r="B27" s="26" t="n">
        <v>21</v>
      </c>
      <c r="C27" s="38" t="str">
        <f aca="false">CONCATENATE(F27,D27)</f>
        <v>B0-TE-44101-I6221</v>
      </c>
      <c r="D27" s="78" t="s">
        <v>894</v>
      </c>
      <c r="E27" s="79" t="s">
        <v>45</v>
      </c>
      <c r="F27" s="38" t="s">
        <v>895</v>
      </c>
      <c r="G27" s="38" t="s">
        <v>896</v>
      </c>
      <c r="H27" s="38" t="s">
        <v>841</v>
      </c>
      <c r="I27" s="79" t="s">
        <v>897</v>
      </c>
      <c r="J27" s="35" t="s">
        <v>898</v>
      </c>
      <c r="K27" s="80" t="s">
        <v>601</v>
      </c>
      <c r="L27" s="38" t="s">
        <v>33</v>
      </c>
      <c r="M27" s="38" t="s">
        <v>34</v>
      </c>
      <c r="N27" s="38" t="n">
        <v>11.5</v>
      </c>
      <c r="O27" s="38" t="s">
        <v>35</v>
      </c>
      <c r="P27" s="38" t="s">
        <v>50</v>
      </c>
      <c r="Q27" s="38" t="n">
        <v>10</v>
      </c>
      <c r="R27" s="39" t="s">
        <v>63</v>
      </c>
      <c r="S27" s="26" t="s">
        <v>38</v>
      </c>
      <c r="T27" s="38" t="s">
        <v>899</v>
      </c>
      <c r="U27" s="38" t="s">
        <v>40</v>
      </c>
      <c r="V27" s="40"/>
      <c r="W27" s="4"/>
      <c r="X27" s="4"/>
      <c r="Y27" s="4"/>
    </row>
    <row r="28" customFormat="false" ht="84" hidden="false" customHeight="true" outlineLevel="0" collapsed="false">
      <c r="A28" s="4"/>
      <c r="B28" s="26" t="n">
        <v>22</v>
      </c>
      <c r="C28" s="38" t="str">
        <f aca="false">CONCATENATE(F28,D28)</f>
        <v>B0-TE-44102-I6222</v>
      </c>
      <c r="D28" s="78" t="s">
        <v>900</v>
      </c>
      <c r="E28" s="79" t="s">
        <v>45</v>
      </c>
      <c r="F28" s="38" t="s">
        <v>901</v>
      </c>
      <c r="G28" s="38" t="s">
        <v>896</v>
      </c>
      <c r="H28" s="38" t="s">
        <v>841</v>
      </c>
      <c r="I28" s="79" t="s">
        <v>897</v>
      </c>
      <c r="J28" s="35" t="s">
        <v>898</v>
      </c>
      <c r="K28" s="80" t="s">
        <v>601</v>
      </c>
      <c r="L28" s="38" t="s">
        <v>33</v>
      </c>
      <c r="M28" s="38" t="s">
        <v>34</v>
      </c>
      <c r="N28" s="38" t="n">
        <v>11.5</v>
      </c>
      <c r="O28" s="38" t="s">
        <v>35</v>
      </c>
      <c r="P28" s="38" t="s">
        <v>50</v>
      </c>
      <c r="Q28" s="38" t="n">
        <v>10</v>
      </c>
      <c r="R28" s="39" t="s">
        <v>63</v>
      </c>
      <c r="S28" s="26" t="s">
        <v>38</v>
      </c>
      <c r="T28" s="38" t="s">
        <v>899</v>
      </c>
      <c r="U28" s="38" t="s">
        <v>40</v>
      </c>
      <c r="V28" s="40"/>
      <c r="W28" s="4"/>
      <c r="X28" s="4"/>
      <c r="Y28" s="4"/>
    </row>
    <row r="29" customFormat="false" ht="84.6" hidden="false" customHeight="true" outlineLevel="0" collapsed="false">
      <c r="A29" s="67"/>
      <c r="B29" s="26" t="n">
        <v>23</v>
      </c>
      <c r="C29" s="36" t="str">
        <f aca="false">CONCATENATE(F29,D29)</f>
        <v>B0-TE-44103-I6223</v>
      </c>
      <c r="D29" s="78" t="s">
        <v>902</v>
      </c>
      <c r="E29" s="79" t="s">
        <v>45</v>
      </c>
      <c r="F29" s="36" t="s">
        <v>903</v>
      </c>
      <c r="G29" s="36" t="s">
        <v>896</v>
      </c>
      <c r="H29" s="36" t="s">
        <v>841</v>
      </c>
      <c r="I29" s="79" t="s">
        <v>897</v>
      </c>
      <c r="J29" s="35" t="s">
        <v>898</v>
      </c>
      <c r="K29" s="80" t="s">
        <v>601</v>
      </c>
      <c r="L29" s="38" t="s">
        <v>33</v>
      </c>
      <c r="M29" s="38" t="s">
        <v>34</v>
      </c>
      <c r="N29" s="38" t="n">
        <v>11.5</v>
      </c>
      <c r="O29" s="38" t="s">
        <v>35</v>
      </c>
      <c r="P29" s="38" t="s">
        <v>50</v>
      </c>
      <c r="Q29" s="36" t="n">
        <v>10</v>
      </c>
      <c r="R29" s="81" t="s">
        <v>63</v>
      </c>
      <c r="S29" s="26" t="s">
        <v>38</v>
      </c>
      <c r="T29" s="38" t="s">
        <v>899</v>
      </c>
      <c r="U29" s="38" t="s">
        <v>40</v>
      </c>
      <c r="V29" s="82"/>
      <c r="W29" s="67"/>
      <c r="X29" s="67"/>
      <c r="Y29" s="67"/>
    </row>
    <row r="30" customFormat="false" ht="90" hidden="false" customHeight="true" outlineLevel="0" collapsed="false">
      <c r="A30" s="67"/>
      <c r="B30" s="26" t="n">
        <v>24</v>
      </c>
      <c r="C30" s="36" t="str">
        <f aca="false">CONCATENATE(F30,D30)</f>
        <v>B0-TE-44104-I6224</v>
      </c>
      <c r="D30" s="78" t="s">
        <v>904</v>
      </c>
      <c r="E30" s="79" t="s">
        <v>45</v>
      </c>
      <c r="F30" s="36" t="s">
        <v>905</v>
      </c>
      <c r="G30" s="36" t="s">
        <v>906</v>
      </c>
      <c r="H30" s="36" t="s">
        <v>841</v>
      </c>
      <c r="I30" s="79" t="s">
        <v>897</v>
      </c>
      <c r="J30" s="35" t="s">
        <v>898</v>
      </c>
      <c r="K30" s="80" t="s">
        <v>601</v>
      </c>
      <c r="L30" s="38" t="s">
        <v>33</v>
      </c>
      <c r="M30" s="38" t="s">
        <v>34</v>
      </c>
      <c r="N30" s="38" t="n">
        <v>11.5</v>
      </c>
      <c r="O30" s="38" t="s">
        <v>35</v>
      </c>
      <c r="P30" s="38" t="s">
        <v>50</v>
      </c>
      <c r="Q30" s="36" t="n">
        <v>10</v>
      </c>
      <c r="R30" s="81" t="s">
        <v>63</v>
      </c>
      <c r="S30" s="26" t="s">
        <v>38</v>
      </c>
      <c r="T30" s="38" t="s">
        <v>899</v>
      </c>
      <c r="U30" s="38" t="s">
        <v>40</v>
      </c>
      <c r="V30" s="82"/>
      <c r="W30" s="67"/>
      <c r="X30" s="67"/>
      <c r="Y30" s="67"/>
    </row>
    <row r="31" customFormat="false" ht="90" hidden="false" customHeight="true" outlineLevel="0" collapsed="false">
      <c r="A31" s="67"/>
      <c r="B31" s="26" t="n">
        <v>25</v>
      </c>
      <c r="C31" s="36" t="str">
        <f aca="false">CONCATENATE(F31,D31)</f>
        <v>B0-LT-44101-I6225</v>
      </c>
      <c r="D31" s="78" t="s">
        <v>907</v>
      </c>
      <c r="E31" s="79" t="s">
        <v>52</v>
      </c>
      <c r="F31" s="36" t="s">
        <v>908</v>
      </c>
      <c r="G31" s="36" t="s">
        <v>909</v>
      </c>
      <c r="H31" s="36" t="s">
        <v>841</v>
      </c>
      <c r="I31" s="79" t="s">
        <v>897</v>
      </c>
      <c r="J31" s="35" t="s">
        <v>898</v>
      </c>
      <c r="K31" s="80" t="s">
        <v>601</v>
      </c>
      <c r="L31" s="38" t="s">
        <v>33</v>
      </c>
      <c r="M31" s="38" t="s">
        <v>34</v>
      </c>
      <c r="N31" s="36" t="n">
        <v>11</v>
      </c>
      <c r="O31" s="38" t="s">
        <v>35</v>
      </c>
      <c r="P31" s="38" t="s">
        <v>53</v>
      </c>
      <c r="Q31" s="36" t="n">
        <v>10</v>
      </c>
      <c r="R31" s="81" t="s">
        <v>63</v>
      </c>
      <c r="S31" s="26" t="s">
        <v>38</v>
      </c>
      <c r="T31" s="38" t="s">
        <v>899</v>
      </c>
      <c r="U31" s="38" t="s">
        <v>40</v>
      </c>
      <c r="V31" s="82"/>
      <c r="W31" s="67"/>
      <c r="X31" s="67"/>
      <c r="Y31" s="67"/>
    </row>
    <row r="32" customFormat="false" ht="98.45" hidden="false" customHeight="true" outlineLevel="0" collapsed="false">
      <c r="A32" s="67"/>
      <c r="B32" s="26" t="n">
        <v>26</v>
      </c>
      <c r="C32" s="36" t="str">
        <f aca="false">CONCATENATE(F32,D32)</f>
        <v>B0-LSLL-44101-I6226</v>
      </c>
      <c r="D32" s="78" t="s">
        <v>910</v>
      </c>
      <c r="E32" s="34" t="s">
        <v>59</v>
      </c>
      <c r="F32" s="36" t="s">
        <v>911</v>
      </c>
      <c r="G32" s="36" t="s">
        <v>912</v>
      </c>
      <c r="H32" s="36" t="s">
        <v>841</v>
      </c>
      <c r="I32" s="79" t="s">
        <v>897</v>
      </c>
      <c r="J32" s="35" t="s">
        <v>898</v>
      </c>
      <c r="K32" s="80" t="s">
        <v>601</v>
      </c>
      <c r="L32" s="38" t="s">
        <v>33</v>
      </c>
      <c r="M32" s="38" t="s">
        <v>34</v>
      </c>
      <c r="N32" s="38" t="n">
        <v>11.5</v>
      </c>
      <c r="O32" s="38" t="s">
        <v>35</v>
      </c>
      <c r="P32" s="38" t="s">
        <v>36</v>
      </c>
      <c r="Q32" s="36" t="n">
        <v>10</v>
      </c>
      <c r="R32" s="81" t="s">
        <v>63</v>
      </c>
      <c r="S32" s="26" t="s">
        <v>38</v>
      </c>
      <c r="T32" s="38" t="s">
        <v>899</v>
      </c>
      <c r="U32" s="38" t="s">
        <v>40</v>
      </c>
      <c r="V32" s="82"/>
      <c r="W32" s="67"/>
      <c r="X32" s="67"/>
      <c r="Y32" s="67"/>
    </row>
    <row r="33" customFormat="false" ht="108.75" hidden="false" customHeight="true" outlineLevel="0" collapsed="false">
      <c r="A33" s="67"/>
      <c r="B33" s="26" t="n">
        <v>27</v>
      </c>
      <c r="C33" s="36" t="s">
        <v>913</v>
      </c>
      <c r="D33" s="78" t="s">
        <v>914</v>
      </c>
      <c r="E33" s="79" t="s">
        <v>598</v>
      </c>
      <c r="F33" s="36" t="s">
        <v>897</v>
      </c>
      <c r="G33" s="35" t="s">
        <v>898</v>
      </c>
      <c r="H33" s="36" t="s">
        <v>866</v>
      </c>
      <c r="I33" s="79" t="s">
        <v>599</v>
      </c>
      <c r="J33" s="35" t="s">
        <v>600</v>
      </c>
      <c r="K33" s="80" t="s">
        <v>601</v>
      </c>
      <c r="L33" s="38" t="s">
        <v>33</v>
      </c>
      <c r="M33" s="38" t="s">
        <v>34</v>
      </c>
      <c r="N33" s="36" t="n">
        <v>28</v>
      </c>
      <c r="O33" s="38" t="s">
        <v>35</v>
      </c>
      <c r="P33" s="38" t="s">
        <v>53</v>
      </c>
      <c r="Q33" s="36" t="n">
        <v>40</v>
      </c>
      <c r="R33" s="81" t="s">
        <v>37</v>
      </c>
      <c r="S33" s="26" t="s">
        <v>38</v>
      </c>
      <c r="T33" s="38" t="s">
        <v>899</v>
      </c>
      <c r="U33" s="38" t="s">
        <v>40</v>
      </c>
      <c r="V33" s="82"/>
      <c r="W33" s="24"/>
      <c r="X33" s="24"/>
      <c r="Y33" s="24"/>
    </row>
    <row r="34" customFormat="false" ht="108.75" hidden="false" customHeight="true" outlineLevel="0" collapsed="false">
      <c r="A34" s="67"/>
      <c r="B34" s="26" t="n">
        <v>28</v>
      </c>
      <c r="C34" s="36" t="s">
        <v>915</v>
      </c>
      <c r="D34" s="78" t="s">
        <v>916</v>
      </c>
      <c r="E34" s="34" t="s">
        <v>55</v>
      </c>
      <c r="F34" s="36" t="s">
        <v>897</v>
      </c>
      <c r="G34" s="35" t="s">
        <v>898</v>
      </c>
      <c r="H34" s="36" t="s">
        <v>866</v>
      </c>
      <c r="I34" s="79" t="s">
        <v>599</v>
      </c>
      <c r="J34" s="35" t="s">
        <v>600</v>
      </c>
      <c r="K34" s="80" t="s">
        <v>601</v>
      </c>
      <c r="L34" s="38" t="s">
        <v>33</v>
      </c>
      <c r="M34" s="38" t="s">
        <v>34</v>
      </c>
      <c r="N34" s="36" t="n">
        <v>12.5</v>
      </c>
      <c r="O34" s="38" t="s">
        <v>35</v>
      </c>
      <c r="P34" s="38" t="s">
        <v>36</v>
      </c>
      <c r="Q34" s="36" t="n">
        <v>40</v>
      </c>
      <c r="R34" s="81" t="s">
        <v>37</v>
      </c>
      <c r="S34" s="26" t="s">
        <v>38</v>
      </c>
      <c r="T34" s="38" t="s">
        <v>899</v>
      </c>
      <c r="U34" s="38" t="s">
        <v>40</v>
      </c>
      <c r="V34" s="82"/>
      <c r="W34" s="24"/>
      <c r="X34" s="24"/>
      <c r="Y34" s="24"/>
    </row>
    <row r="35" customFormat="false" ht="108.75" hidden="false" customHeight="true" outlineLevel="0" collapsed="false">
      <c r="B35" s="26" t="n">
        <v>29</v>
      </c>
      <c r="C35" s="83" t="str">
        <f aca="false">CONCATENATE(F35,D35)</f>
        <v>B0-PSHH-44101-I6229</v>
      </c>
      <c r="D35" s="78" t="s">
        <v>917</v>
      </c>
      <c r="E35" s="34" t="s">
        <v>59</v>
      </c>
      <c r="F35" s="36" t="s">
        <v>918</v>
      </c>
      <c r="G35" s="35" t="s">
        <v>919</v>
      </c>
      <c r="H35" s="36" t="s">
        <v>841</v>
      </c>
      <c r="I35" s="79" t="s">
        <v>920</v>
      </c>
      <c r="J35" s="35" t="s">
        <v>921</v>
      </c>
      <c r="K35" s="80" t="s">
        <v>601</v>
      </c>
      <c r="L35" s="38" t="s">
        <v>33</v>
      </c>
      <c r="M35" s="38" t="s">
        <v>34</v>
      </c>
      <c r="N35" s="38" t="n">
        <v>11.5</v>
      </c>
      <c r="O35" s="38" t="s">
        <v>35</v>
      </c>
      <c r="P35" s="38" t="s">
        <v>36</v>
      </c>
      <c r="Q35" s="36" t="n">
        <v>5</v>
      </c>
      <c r="R35" s="81" t="s">
        <v>63</v>
      </c>
      <c r="S35" s="26" t="s">
        <v>38</v>
      </c>
      <c r="T35" s="38" t="s">
        <v>899</v>
      </c>
      <c r="U35" s="38" t="s">
        <v>40</v>
      </c>
      <c r="V35" s="82"/>
    </row>
    <row r="36" customFormat="false" ht="108.75" hidden="false" customHeight="true" outlineLevel="0" collapsed="false">
      <c r="B36" s="26" t="n">
        <v>30</v>
      </c>
      <c r="C36" s="83" t="str">
        <f aca="false">CONCATENATE(F36,D36)</f>
        <v>B0-PSH-44102-I6230</v>
      </c>
      <c r="D36" s="78" t="s">
        <v>922</v>
      </c>
      <c r="E36" s="34" t="s">
        <v>59</v>
      </c>
      <c r="F36" s="36" t="s">
        <v>923</v>
      </c>
      <c r="G36" s="35" t="s">
        <v>924</v>
      </c>
      <c r="H36" s="36" t="s">
        <v>841</v>
      </c>
      <c r="I36" s="79" t="s">
        <v>920</v>
      </c>
      <c r="J36" s="35" t="s">
        <v>921</v>
      </c>
      <c r="K36" s="80" t="s">
        <v>601</v>
      </c>
      <c r="L36" s="38" t="s">
        <v>33</v>
      </c>
      <c r="M36" s="38" t="s">
        <v>34</v>
      </c>
      <c r="N36" s="38" t="n">
        <v>11.5</v>
      </c>
      <c r="O36" s="38" t="s">
        <v>35</v>
      </c>
      <c r="P36" s="38" t="s">
        <v>36</v>
      </c>
      <c r="Q36" s="36" t="n">
        <v>5</v>
      </c>
      <c r="R36" s="81" t="s">
        <v>63</v>
      </c>
      <c r="S36" s="26" t="s">
        <v>38</v>
      </c>
      <c r="T36" s="38" t="s">
        <v>899</v>
      </c>
      <c r="U36" s="38" t="s">
        <v>40</v>
      </c>
      <c r="V36" s="82"/>
    </row>
    <row r="37" customFormat="false" ht="98.45" hidden="false" customHeight="true" outlineLevel="0" collapsed="false">
      <c r="B37" s="26" t="n">
        <v>31</v>
      </c>
      <c r="C37" s="83" t="str">
        <f aca="false">CONCATENATE(F37,D37)</f>
        <v>B0-FQIT-44101-I6231</v>
      </c>
      <c r="D37" s="78" t="s">
        <v>925</v>
      </c>
      <c r="E37" s="34" t="s">
        <v>59</v>
      </c>
      <c r="F37" s="36" t="s">
        <v>926</v>
      </c>
      <c r="G37" s="35" t="s">
        <v>927</v>
      </c>
      <c r="H37" s="36" t="s">
        <v>841</v>
      </c>
      <c r="I37" s="79" t="s">
        <v>920</v>
      </c>
      <c r="J37" s="35" t="s">
        <v>921</v>
      </c>
      <c r="K37" s="80" t="s">
        <v>601</v>
      </c>
      <c r="L37" s="38" t="s">
        <v>33</v>
      </c>
      <c r="M37" s="38" t="s">
        <v>34</v>
      </c>
      <c r="N37" s="38" t="n">
        <v>11.5</v>
      </c>
      <c r="O37" s="38" t="s">
        <v>35</v>
      </c>
      <c r="P37" s="38" t="s">
        <v>36</v>
      </c>
      <c r="Q37" s="36" t="n">
        <v>5</v>
      </c>
      <c r="R37" s="81" t="s">
        <v>63</v>
      </c>
      <c r="S37" s="26" t="s">
        <v>38</v>
      </c>
      <c r="T37" s="38" t="s">
        <v>899</v>
      </c>
      <c r="U37" s="38" t="s">
        <v>40</v>
      </c>
      <c r="V37" s="82"/>
    </row>
    <row r="38" customFormat="false" ht="108.75" hidden="false" customHeight="true" outlineLevel="0" collapsed="false">
      <c r="A38" s="67"/>
      <c r="B38" s="26" t="n">
        <v>32</v>
      </c>
      <c r="C38" s="36" t="s">
        <v>928</v>
      </c>
      <c r="D38" s="78" t="s">
        <v>929</v>
      </c>
      <c r="E38" s="34" t="s">
        <v>74</v>
      </c>
      <c r="F38" s="36" t="s">
        <v>920</v>
      </c>
      <c r="G38" s="35" t="s">
        <v>921</v>
      </c>
      <c r="H38" s="36" t="s">
        <v>866</v>
      </c>
      <c r="I38" s="79" t="s">
        <v>599</v>
      </c>
      <c r="J38" s="35" t="s">
        <v>600</v>
      </c>
      <c r="K38" s="36" t="s">
        <v>601</v>
      </c>
      <c r="L38" s="38" t="s">
        <v>33</v>
      </c>
      <c r="M38" s="38" t="s">
        <v>34</v>
      </c>
      <c r="N38" s="36" t="n">
        <v>18</v>
      </c>
      <c r="O38" s="38" t="s">
        <v>35</v>
      </c>
      <c r="P38" s="38" t="s">
        <v>36</v>
      </c>
      <c r="Q38" s="36" t="n">
        <v>20</v>
      </c>
      <c r="R38" s="81" t="s">
        <v>37</v>
      </c>
      <c r="S38" s="26" t="s">
        <v>38</v>
      </c>
      <c r="T38" s="38" t="s">
        <v>899</v>
      </c>
      <c r="U38" s="38" t="s">
        <v>40</v>
      </c>
      <c r="V38" s="82"/>
      <c r="W38" s="67"/>
      <c r="X38" s="67"/>
      <c r="Y38" s="67"/>
    </row>
    <row r="39" customFormat="false" ht="108.75" hidden="false" customHeight="true" outlineLevel="0" collapsed="false">
      <c r="A39" s="67"/>
      <c r="B39" s="26" t="n">
        <v>33</v>
      </c>
      <c r="C39" s="36" t="str">
        <f aca="false">CONCATENATE(F39,D39)</f>
        <v>B0-BZ-44201-I6233</v>
      </c>
      <c r="D39" s="78" t="s">
        <v>930</v>
      </c>
      <c r="E39" s="79" t="s">
        <v>169</v>
      </c>
      <c r="F39" s="36" t="s">
        <v>931</v>
      </c>
      <c r="G39" s="36" t="s">
        <v>840</v>
      </c>
      <c r="H39" s="36" t="s">
        <v>932</v>
      </c>
      <c r="I39" s="79" t="s">
        <v>933</v>
      </c>
      <c r="J39" s="37" t="s">
        <v>843</v>
      </c>
      <c r="K39" s="36" t="s">
        <v>609</v>
      </c>
      <c r="L39" s="38" t="s">
        <v>33</v>
      </c>
      <c r="M39" s="38" t="s">
        <v>34</v>
      </c>
      <c r="N39" s="38" t="n">
        <v>16.5</v>
      </c>
      <c r="O39" s="38" t="s">
        <v>35</v>
      </c>
      <c r="P39" s="38" t="s">
        <v>53</v>
      </c>
      <c r="Q39" s="36" t="n">
        <v>5</v>
      </c>
      <c r="R39" s="81" t="s">
        <v>63</v>
      </c>
      <c r="S39" s="26" t="s">
        <v>38</v>
      </c>
      <c r="T39" s="38" t="s">
        <v>934</v>
      </c>
      <c r="U39" s="38" t="s">
        <v>40</v>
      </c>
      <c r="V39" s="82"/>
      <c r="W39" s="24"/>
      <c r="X39" s="24"/>
      <c r="Y39" s="24"/>
    </row>
    <row r="40" customFormat="false" ht="108.75" hidden="false" customHeight="true" outlineLevel="0" collapsed="false">
      <c r="A40" s="67"/>
      <c r="B40" s="26" t="n">
        <v>34</v>
      </c>
      <c r="C40" s="36" t="str">
        <f aca="false">CONCATENATE(F40,D40)</f>
        <v>B0-BE-44201-I6234</v>
      </c>
      <c r="D40" s="78" t="s">
        <v>935</v>
      </c>
      <c r="E40" s="79" t="s">
        <v>52</v>
      </c>
      <c r="F40" s="36" t="s">
        <v>936</v>
      </c>
      <c r="G40" s="36" t="s">
        <v>847</v>
      </c>
      <c r="H40" s="36" t="s">
        <v>932</v>
      </c>
      <c r="I40" s="79" t="s">
        <v>933</v>
      </c>
      <c r="J40" s="37" t="s">
        <v>843</v>
      </c>
      <c r="K40" s="36" t="s">
        <v>609</v>
      </c>
      <c r="L40" s="38" t="s">
        <v>33</v>
      </c>
      <c r="M40" s="38" t="s">
        <v>34</v>
      </c>
      <c r="N40" s="36" t="n">
        <v>11</v>
      </c>
      <c r="O40" s="38" t="s">
        <v>35</v>
      </c>
      <c r="P40" s="38" t="s">
        <v>53</v>
      </c>
      <c r="Q40" s="36" t="n">
        <v>5</v>
      </c>
      <c r="R40" s="81" t="s">
        <v>63</v>
      </c>
      <c r="S40" s="26" t="s">
        <v>38</v>
      </c>
      <c r="T40" s="38" t="s">
        <v>934</v>
      </c>
      <c r="U40" s="38" t="s">
        <v>40</v>
      </c>
      <c r="V40" s="82"/>
      <c r="W40" s="24"/>
      <c r="X40" s="24"/>
      <c r="Y40" s="24"/>
    </row>
    <row r="41" customFormat="false" ht="108.75" hidden="false" customHeight="true" outlineLevel="0" collapsed="false">
      <c r="A41" s="67"/>
      <c r="B41" s="26" t="n">
        <v>35</v>
      </c>
      <c r="C41" s="36" t="str">
        <f aca="false">CONCATENATE(F41,D41)</f>
        <v>B0-GD-44005-I6235</v>
      </c>
      <c r="D41" s="78" t="s">
        <v>937</v>
      </c>
      <c r="E41" s="79" t="s">
        <v>169</v>
      </c>
      <c r="F41" s="36" t="s">
        <v>938</v>
      </c>
      <c r="G41" s="36" t="s">
        <v>850</v>
      </c>
      <c r="H41" s="36" t="s">
        <v>932</v>
      </c>
      <c r="I41" s="79" t="s">
        <v>933</v>
      </c>
      <c r="J41" s="37" t="s">
        <v>843</v>
      </c>
      <c r="K41" s="36" t="s">
        <v>609</v>
      </c>
      <c r="L41" s="38" t="s">
        <v>33</v>
      </c>
      <c r="M41" s="38" t="s">
        <v>34</v>
      </c>
      <c r="N41" s="38" t="n">
        <v>16.5</v>
      </c>
      <c r="O41" s="38" t="s">
        <v>35</v>
      </c>
      <c r="P41" s="38" t="s">
        <v>53</v>
      </c>
      <c r="Q41" s="36" t="n">
        <v>5</v>
      </c>
      <c r="R41" s="81" t="s">
        <v>63</v>
      </c>
      <c r="S41" s="26" t="s">
        <v>38</v>
      </c>
      <c r="T41" s="38" t="s">
        <v>934</v>
      </c>
      <c r="U41" s="38" t="s">
        <v>40</v>
      </c>
      <c r="V41" s="82"/>
      <c r="W41" s="24"/>
      <c r="X41" s="24"/>
      <c r="Y41" s="24"/>
    </row>
    <row r="42" customFormat="false" ht="108.75" hidden="false" customHeight="true" outlineLevel="0" collapsed="false">
      <c r="A42" s="67"/>
      <c r="B42" s="26" t="n">
        <v>36</v>
      </c>
      <c r="C42" s="36" t="str">
        <f aca="false">CONCATENATE(F42,D42)</f>
        <v>B0-PSH-44205-I6236</v>
      </c>
      <c r="D42" s="78" t="s">
        <v>939</v>
      </c>
      <c r="E42" s="34" t="s">
        <v>59</v>
      </c>
      <c r="F42" s="36" t="s">
        <v>940</v>
      </c>
      <c r="G42" s="36" t="s">
        <v>853</v>
      </c>
      <c r="H42" s="36" t="s">
        <v>932</v>
      </c>
      <c r="I42" s="79" t="s">
        <v>933</v>
      </c>
      <c r="J42" s="37" t="s">
        <v>843</v>
      </c>
      <c r="K42" s="36" t="s">
        <v>609</v>
      </c>
      <c r="L42" s="38" t="s">
        <v>33</v>
      </c>
      <c r="M42" s="38" t="s">
        <v>34</v>
      </c>
      <c r="N42" s="38" t="n">
        <v>11.5</v>
      </c>
      <c r="O42" s="38" t="s">
        <v>35</v>
      </c>
      <c r="P42" s="38" t="s">
        <v>36</v>
      </c>
      <c r="Q42" s="36" t="n">
        <v>5</v>
      </c>
      <c r="R42" s="81" t="s">
        <v>63</v>
      </c>
      <c r="S42" s="26" t="s">
        <v>38</v>
      </c>
      <c r="T42" s="38" t="s">
        <v>934</v>
      </c>
      <c r="U42" s="38" t="s">
        <v>40</v>
      </c>
      <c r="V42" s="82"/>
      <c r="W42" s="24"/>
      <c r="X42" s="24"/>
      <c r="Y42" s="24"/>
    </row>
    <row r="43" customFormat="false" ht="108.75" hidden="false" customHeight="true" outlineLevel="0" collapsed="false">
      <c r="A43" s="67"/>
      <c r="B43" s="26" t="n">
        <v>37</v>
      </c>
      <c r="C43" s="36" t="str">
        <f aca="false">CONCATENATE(F43,D43)</f>
        <v>B0-PSL-44203-I6237</v>
      </c>
      <c r="D43" s="78" t="s">
        <v>941</v>
      </c>
      <c r="E43" s="34" t="s">
        <v>59</v>
      </c>
      <c r="F43" s="36" t="s">
        <v>942</v>
      </c>
      <c r="G43" s="36" t="s">
        <v>856</v>
      </c>
      <c r="H43" s="36" t="s">
        <v>932</v>
      </c>
      <c r="I43" s="79" t="s">
        <v>933</v>
      </c>
      <c r="J43" s="37" t="s">
        <v>843</v>
      </c>
      <c r="K43" s="36" t="s">
        <v>609</v>
      </c>
      <c r="L43" s="38" t="s">
        <v>33</v>
      </c>
      <c r="M43" s="38" t="s">
        <v>34</v>
      </c>
      <c r="N43" s="38" t="n">
        <v>11.5</v>
      </c>
      <c r="O43" s="38" t="s">
        <v>35</v>
      </c>
      <c r="P43" s="38" t="s">
        <v>36</v>
      </c>
      <c r="Q43" s="36" t="n">
        <v>5</v>
      </c>
      <c r="R43" s="81" t="s">
        <v>63</v>
      </c>
      <c r="S43" s="26" t="s">
        <v>38</v>
      </c>
      <c r="T43" s="38" t="s">
        <v>934</v>
      </c>
      <c r="U43" s="38" t="s">
        <v>40</v>
      </c>
      <c r="V43" s="82"/>
      <c r="W43" s="24"/>
      <c r="X43" s="24"/>
      <c r="Y43" s="24"/>
    </row>
    <row r="44" customFormat="false" ht="108.75" hidden="false" customHeight="true" outlineLevel="0" collapsed="false">
      <c r="A44" s="67"/>
      <c r="B44" s="26" t="n">
        <v>38</v>
      </c>
      <c r="C44" s="36" t="str">
        <f aca="false">CONCATENATE(F44,D44)</f>
        <v>B0-PSLH-44204-I6238</v>
      </c>
      <c r="D44" s="78" t="s">
        <v>943</v>
      </c>
      <c r="E44" s="34" t="s">
        <v>59</v>
      </c>
      <c r="F44" s="36" t="s">
        <v>944</v>
      </c>
      <c r="G44" s="36" t="s">
        <v>859</v>
      </c>
      <c r="H44" s="36" t="s">
        <v>932</v>
      </c>
      <c r="I44" s="79" t="s">
        <v>933</v>
      </c>
      <c r="J44" s="37" t="s">
        <v>843</v>
      </c>
      <c r="K44" s="36" t="s">
        <v>609</v>
      </c>
      <c r="L44" s="38" t="s">
        <v>33</v>
      </c>
      <c r="M44" s="38" t="s">
        <v>34</v>
      </c>
      <c r="N44" s="38" t="n">
        <v>11.5</v>
      </c>
      <c r="O44" s="38" t="s">
        <v>35</v>
      </c>
      <c r="P44" s="38" t="s">
        <v>36</v>
      </c>
      <c r="Q44" s="36" t="n">
        <v>5</v>
      </c>
      <c r="R44" s="81" t="s">
        <v>63</v>
      </c>
      <c r="S44" s="26" t="s">
        <v>38</v>
      </c>
      <c r="T44" s="38" t="s">
        <v>934</v>
      </c>
      <c r="U44" s="38" t="s">
        <v>40</v>
      </c>
      <c r="V44" s="82"/>
      <c r="W44" s="67"/>
      <c r="X44" s="67"/>
      <c r="Y44" s="67"/>
    </row>
    <row r="45" customFormat="false" ht="108.75" hidden="false" customHeight="true" outlineLevel="0" collapsed="false">
      <c r="B45" s="26" t="n">
        <v>39</v>
      </c>
      <c r="C45" s="36" t="str">
        <f aca="false">CONCATENATE(F45,D45)</f>
        <v>B0-PSL-44206-I6239</v>
      </c>
      <c r="D45" s="78" t="s">
        <v>945</v>
      </c>
      <c r="E45" s="34" t="s">
        <v>59</v>
      </c>
      <c r="F45" s="36" t="s">
        <v>946</v>
      </c>
      <c r="G45" s="36" t="s">
        <v>862</v>
      </c>
      <c r="H45" s="36" t="s">
        <v>932</v>
      </c>
      <c r="I45" s="79" t="s">
        <v>933</v>
      </c>
      <c r="J45" s="37" t="s">
        <v>843</v>
      </c>
      <c r="K45" s="36" t="s">
        <v>609</v>
      </c>
      <c r="L45" s="38" t="s">
        <v>33</v>
      </c>
      <c r="M45" s="38" t="s">
        <v>34</v>
      </c>
      <c r="N45" s="38" t="n">
        <v>11.5</v>
      </c>
      <c r="O45" s="38" t="s">
        <v>35</v>
      </c>
      <c r="P45" s="38" t="s">
        <v>36</v>
      </c>
      <c r="Q45" s="36" t="n">
        <v>5</v>
      </c>
      <c r="R45" s="81" t="s">
        <v>63</v>
      </c>
      <c r="S45" s="26" t="s">
        <v>38</v>
      </c>
      <c r="T45" s="38" t="s">
        <v>934</v>
      </c>
      <c r="U45" s="38" t="s">
        <v>40</v>
      </c>
      <c r="V45" s="82"/>
    </row>
    <row r="46" customFormat="false" ht="108.75" hidden="false" customHeight="true" outlineLevel="0" collapsed="false">
      <c r="B46" s="26" t="n">
        <v>40</v>
      </c>
      <c r="C46" s="36" t="str">
        <f aca="false">CONCATENATE(F46,D46)</f>
        <v>B0-BZ-44201-I6240</v>
      </c>
      <c r="D46" s="78" t="s">
        <v>947</v>
      </c>
      <c r="E46" s="34" t="s">
        <v>59</v>
      </c>
      <c r="F46" s="36" t="s">
        <v>931</v>
      </c>
      <c r="G46" s="36" t="s">
        <v>840</v>
      </c>
      <c r="H46" s="36" t="s">
        <v>932</v>
      </c>
      <c r="I46" s="79" t="s">
        <v>933</v>
      </c>
      <c r="J46" s="37" t="s">
        <v>843</v>
      </c>
      <c r="K46" s="36" t="s">
        <v>609</v>
      </c>
      <c r="L46" s="38" t="s">
        <v>33</v>
      </c>
      <c r="M46" s="38" t="s">
        <v>34</v>
      </c>
      <c r="N46" s="38" t="n">
        <v>11.5</v>
      </c>
      <c r="O46" s="38" t="s">
        <v>35</v>
      </c>
      <c r="P46" s="38" t="s">
        <v>36</v>
      </c>
      <c r="Q46" s="36" t="n">
        <v>5</v>
      </c>
      <c r="R46" s="81" t="s">
        <v>63</v>
      </c>
      <c r="S46" s="26" t="s">
        <v>38</v>
      </c>
      <c r="T46" s="38" t="s">
        <v>934</v>
      </c>
      <c r="U46" s="38" t="s">
        <v>40</v>
      </c>
      <c r="V46" s="82"/>
    </row>
    <row r="47" customFormat="false" ht="108.75" hidden="false" customHeight="true" outlineLevel="0" collapsed="false">
      <c r="B47" s="26" t="n">
        <v>41</v>
      </c>
      <c r="C47" s="36" t="s">
        <v>948</v>
      </c>
      <c r="D47" s="78" t="s">
        <v>949</v>
      </c>
      <c r="E47" s="79" t="s">
        <v>598</v>
      </c>
      <c r="F47" s="36" t="s">
        <v>933</v>
      </c>
      <c r="G47" s="37" t="s">
        <v>843</v>
      </c>
      <c r="H47" s="36" t="s">
        <v>950</v>
      </c>
      <c r="I47" s="79" t="s">
        <v>607</v>
      </c>
      <c r="J47" s="35" t="s">
        <v>608</v>
      </c>
      <c r="K47" s="36" t="s">
        <v>609</v>
      </c>
      <c r="L47" s="38" t="s">
        <v>33</v>
      </c>
      <c r="M47" s="38" t="s">
        <v>34</v>
      </c>
      <c r="N47" s="36" t="n">
        <v>28</v>
      </c>
      <c r="O47" s="38" t="s">
        <v>35</v>
      </c>
      <c r="P47" s="38" t="s">
        <v>53</v>
      </c>
      <c r="Q47" s="36" t="n">
        <v>20</v>
      </c>
      <c r="R47" s="81" t="s">
        <v>37</v>
      </c>
      <c r="S47" s="26" t="s">
        <v>38</v>
      </c>
      <c r="T47" s="38" t="s">
        <v>934</v>
      </c>
      <c r="U47" s="38" t="s">
        <v>40</v>
      </c>
      <c r="V47" s="82"/>
    </row>
    <row r="48" customFormat="false" ht="108.75" hidden="false" customHeight="true" outlineLevel="0" collapsed="false">
      <c r="B48" s="26" t="n">
        <v>42</v>
      </c>
      <c r="C48" s="36" t="s">
        <v>951</v>
      </c>
      <c r="D48" s="78" t="s">
        <v>952</v>
      </c>
      <c r="E48" s="34" t="s">
        <v>172</v>
      </c>
      <c r="F48" s="36" t="s">
        <v>933</v>
      </c>
      <c r="G48" s="37" t="s">
        <v>843</v>
      </c>
      <c r="H48" s="36" t="s">
        <v>950</v>
      </c>
      <c r="I48" s="79" t="s">
        <v>607</v>
      </c>
      <c r="J48" s="35" t="s">
        <v>608</v>
      </c>
      <c r="K48" s="36" t="s">
        <v>609</v>
      </c>
      <c r="L48" s="38" t="s">
        <v>33</v>
      </c>
      <c r="M48" s="38" t="s">
        <v>34</v>
      </c>
      <c r="N48" s="38" t="n">
        <v>21.5</v>
      </c>
      <c r="O48" s="38" t="s">
        <v>35</v>
      </c>
      <c r="P48" s="38" t="s">
        <v>36</v>
      </c>
      <c r="Q48" s="36" t="n">
        <v>20</v>
      </c>
      <c r="R48" s="81" t="s">
        <v>37</v>
      </c>
      <c r="S48" s="26" t="s">
        <v>38</v>
      </c>
      <c r="T48" s="38" t="s">
        <v>934</v>
      </c>
      <c r="U48" s="38" t="s">
        <v>40</v>
      </c>
      <c r="V48" s="82"/>
    </row>
    <row r="49" customFormat="false" ht="108.75" hidden="false" customHeight="true" outlineLevel="0" collapsed="false">
      <c r="B49" s="26" t="n">
        <v>43</v>
      </c>
      <c r="C49" s="36" t="str">
        <f aca="false">CONCATENATE(F49,D49)</f>
        <v>B0-IG-44201-I6243</v>
      </c>
      <c r="D49" s="78" t="s">
        <v>953</v>
      </c>
      <c r="E49" s="34" t="s">
        <v>26</v>
      </c>
      <c r="F49" s="36" t="s">
        <v>954</v>
      </c>
      <c r="G49" s="36" t="s">
        <v>871</v>
      </c>
      <c r="H49" s="36" t="s">
        <v>932</v>
      </c>
      <c r="I49" s="79" t="s">
        <v>955</v>
      </c>
      <c r="J49" s="37" t="s">
        <v>873</v>
      </c>
      <c r="K49" s="36" t="s">
        <v>609</v>
      </c>
      <c r="L49" s="38" t="s">
        <v>33</v>
      </c>
      <c r="M49" s="38" t="s">
        <v>34</v>
      </c>
      <c r="N49" s="38" t="n">
        <v>12</v>
      </c>
      <c r="O49" s="38" t="s">
        <v>35</v>
      </c>
      <c r="P49" s="38" t="s">
        <v>36</v>
      </c>
      <c r="Q49" s="36" t="n">
        <v>5</v>
      </c>
      <c r="R49" s="81" t="s">
        <v>63</v>
      </c>
      <c r="S49" s="26" t="s">
        <v>38</v>
      </c>
      <c r="T49" s="38" t="s">
        <v>934</v>
      </c>
      <c r="U49" s="38" t="s">
        <v>40</v>
      </c>
      <c r="V49" s="82"/>
    </row>
    <row r="50" customFormat="false" ht="108.75" hidden="false" customHeight="true" outlineLevel="0" collapsed="false">
      <c r="A50" s="67"/>
      <c r="B50" s="26" t="n">
        <v>44</v>
      </c>
      <c r="C50" s="36" t="str">
        <f aca="false">CONCATENATE(F50,D50)</f>
        <v>B0-PYV-44206-I6244</v>
      </c>
      <c r="D50" s="78" t="s">
        <v>956</v>
      </c>
      <c r="E50" s="34" t="s">
        <v>26</v>
      </c>
      <c r="F50" s="36" t="s">
        <v>957</v>
      </c>
      <c r="G50" s="36" t="s">
        <v>876</v>
      </c>
      <c r="H50" s="36" t="s">
        <v>932</v>
      </c>
      <c r="I50" s="79" t="s">
        <v>955</v>
      </c>
      <c r="J50" s="37" t="s">
        <v>873</v>
      </c>
      <c r="K50" s="36" t="s">
        <v>609</v>
      </c>
      <c r="L50" s="38" t="s">
        <v>33</v>
      </c>
      <c r="M50" s="38" t="s">
        <v>34</v>
      </c>
      <c r="N50" s="38" t="n">
        <v>12</v>
      </c>
      <c r="O50" s="38" t="s">
        <v>35</v>
      </c>
      <c r="P50" s="38" t="s">
        <v>36</v>
      </c>
      <c r="Q50" s="36" t="n">
        <v>5</v>
      </c>
      <c r="R50" s="81" t="s">
        <v>63</v>
      </c>
      <c r="S50" s="26" t="s">
        <v>38</v>
      </c>
      <c r="T50" s="38" t="s">
        <v>934</v>
      </c>
      <c r="U50" s="38" t="s">
        <v>40</v>
      </c>
      <c r="V50" s="82"/>
      <c r="W50" s="67"/>
      <c r="X50" s="67"/>
      <c r="Y50" s="67"/>
    </row>
    <row r="51" customFormat="false" ht="108.75" hidden="false" customHeight="true" outlineLevel="0" collapsed="false">
      <c r="A51" s="67"/>
      <c r="B51" s="26" t="n">
        <v>45</v>
      </c>
      <c r="C51" s="36" t="str">
        <f aca="false">CONCATENATE(F51,D51)</f>
        <v>B0-PYV-44207-I6245</v>
      </c>
      <c r="D51" s="78" t="s">
        <v>958</v>
      </c>
      <c r="E51" s="34" t="s">
        <v>26</v>
      </c>
      <c r="F51" s="36" t="s">
        <v>959</v>
      </c>
      <c r="G51" s="36" t="s">
        <v>876</v>
      </c>
      <c r="H51" s="36" t="s">
        <v>932</v>
      </c>
      <c r="I51" s="79" t="s">
        <v>955</v>
      </c>
      <c r="J51" s="37" t="s">
        <v>873</v>
      </c>
      <c r="K51" s="36" t="s">
        <v>609</v>
      </c>
      <c r="L51" s="38" t="s">
        <v>33</v>
      </c>
      <c r="M51" s="38" t="s">
        <v>34</v>
      </c>
      <c r="N51" s="38" t="n">
        <v>12</v>
      </c>
      <c r="O51" s="38" t="s">
        <v>35</v>
      </c>
      <c r="P51" s="38" t="s">
        <v>36</v>
      </c>
      <c r="Q51" s="36" t="n">
        <v>5</v>
      </c>
      <c r="R51" s="81" t="s">
        <v>63</v>
      </c>
      <c r="S51" s="26" t="s">
        <v>38</v>
      </c>
      <c r="T51" s="38" t="s">
        <v>934</v>
      </c>
      <c r="U51" s="38" t="s">
        <v>40</v>
      </c>
      <c r="V51" s="82"/>
      <c r="W51" s="67"/>
      <c r="X51" s="67"/>
      <c r="Y51" s="67"/>
    </row>
    <row r="52" customFormat="false" ht="87" hidden="false" customHeight="true" outlineLevel="0" collapsed="false">
      <c r="A52" s="67"/>
      <c r="B52" s="26" t="n">
        <v>46</v>
      </c>
      <c r="C52" s="36" t="str">
        <f aca="false">CONCATENATE(F52,D52)</f>
        <v>B0-PYV-44201-I6246</v>
      </c>
      <c r="D52" s="78" t="s">
        <v>960</v>
      </c>
      <c r="E52" s="34" t="s">
        <v>26</v>
      </c>
      <c r="F52" s="79" t="s">
        <v>961</v>
      </c>
      <c r="G52" s="35" t="s">
        <v>881</v>
      </c>
      <c r="H52" s="36" t="s">
        <v>932</v>
      </c>
      <c r="I52" s="79" t="s">
        <v>955</v>
      </c>
      <c r="J52" s="37" t="s">
        <v>873</v>
      </c>
      <c r="K52" s="36" t="s">
        <v>609</v>
      </c>
      <c r="L52" s="38" t="s">
        <v>33</v>
      </c>
      <c r="M52" s="38" t="s">
        <v>34</v>
      </c>
      <c r="N52" s="38" t="n">
        <v>12</v>
      </c>
      <c r="O52" s="38" t="s">
        <v>35</v>
      </c>
      <c r="P52" s="38" t="s">
        <v>36</v>
      </c>
      <c r="Q52" s="36" t="n">
        <v>5</v>
      </c>
      <c r="R52" s="81" t="s">
        <v>63</v>
      </c>
      <c r="S52" s="26" t="s">
        <v>38</v>
      </c>
      <c r="T52" s="38" t="s">
        <v>934</v>
      </c>
      <c r="U52" s="38" t="s">
        <v>40</v>
      </c>
      <c r="V52" s="82"/>
      <c r="W52" s="67"/>
      <c r="X52" s="67"/>
      <c r="Y52" s="67"/>
    </row>
    <row r="53" customFormat="false" ht="81" hidden="false" customHeight="true" outlineLevel="0" collapsed="false">
      <c r="A53" s="67"/>
      <c r="B53" s="26" t="n">
        <v>47</v>
      </c>
      <c r="C53" s="36" t="str">
        <f aca="false">CONCATENATE(F53,D53)</f>
        <v>B0-PYV-44202-I6247</v>
      </c>
      <c r="D53" s="78" t="s">
        <v>962</v>
      </c>
      <c r="E53" s="34" t="s">
        <v>26</v>
      </c>
      <c r="F53" s="79" t="s">
        <v>963</v>
      </c>
      <c r="G53" s="35" t="s">
        <v>881</v>
      </c>
      <c r="H53" s="36" t="s">
        <v>932</v>
      </c>
      <c r="I53" s="79" t="s">
        <v>955</v>
      </c>
      <c r="J53" s="37" t="s">
        <v>873</v>
      </c>
      <c r="K53" s="36" t="s">
        <v>609</v>
      </c>
      <c r="L53" s="38" t="s">
        <v>33</v>
      </c>
      <c r="M53" s="38" t="s">
        <v>34</v>
      </c>
      <c r="N53" s="38" t="n">
        <v>12</v>
      </c>
      <c r="O53" s="38" t="s">
        <v>35</v>
      </c>
      <c r="P53" s="38" t="s">
        <v>36</v>
      </c>
      <c r="Q53" s="36" t="n">
        <v>5</v>
      </c>
      <c r="R53" s="81" t="s">
        <v>63</v>
      </c>
      <c r="S53" s="26" t="s">
        <v>38</v>
      </c>
      <c r="T53" s="38" t="s">
        <v>934</v>
      </c>
      <c r="U53" s="38" t="s">
        <v>40</v>
      </c>
      <c r="V53" s="82"/>
      <c r="W53" s="67"/>
      <c r="X53" s="67"/>
      <c r="Y53" s="67"/>
    </row>
    <row r="54" customFormat="false" ht="87" hidden="false" customHeight="true" outlineLevel="0" collapsed="false">
      <c r="A54" s="67"/>
      <c r="B54" s="26" t="n">
        <v>48</v>
      </c>
      <c r="C54" s="36" t="str">
        <f aca="false">CONCATENATE(F54,D54)</f>
        <v>B0-PYV-44203-I6248</v>
      </c>
      <c r="D54" s="78" t="s">
        <v>964</v>
      </c>
      <c r="E54" s="34" t="s">
        <v>26</v>
      </c>
      <c r="F54" s="79" t="s">
        <v>965</v>
      </c>
      <c r="G54" s="35" t="s">
        <v>881</v>
      </c>
      <c r="H54" s="36" t="s">
        <v>932</v>
      </c>
      <c r="I54" s="79" t="s">
        <v>955</v>
      </c>
      <c r="J54" s="37" t="s">
        <v>873</v>
      </c>
      <c r="K54" s="36" t="s">
        <v>609</v>
      </c>
      <c r="L54" s="38" t="s">
        <v>33</v>
      </c>
      <c r="M54" s="38" t="s">
        <v>34</v>
      </c>
      <c r="N54" s="38" t="n">
        <v>12</v>
      </c>
      <c r="O54" s="38" t="s">
        <v>35</v>
      </c>
      <c r="P54" s="38" t="s">
        <v>36</v>
      </c>
      <c r="Q54" s="36" t="n">
        <v>5</v>
      </c>
      <c r="R54" s="81" t="s">
        <v>63</v>
      </c>
      <c r="S54" s="26" t="s">
        <v>38</v>
      </c>
      <c r="T54" s="38" t="s">
        <v>934</v>
      </c>
      <c r="U54" s="38" t="s">
        <v>40</v>
      </c>
      <c r="V54" s="82"/>
      <c r="W54" s="67"/>
      <c r="X54" s="67"/>
      <c r="Y54" s="67"/>
    </row>
    <row r="55" customFormat="false" ht="81" hidden="false" customHeight="true" outlineLevel="0" collapsed="false">
      <c r="A55" s="67"/>
      <c r="B55" s="26" t="n">
        <v>49</v>
      </c>
      <c r="C55" s="36" t="str">
        <f aca="false">CONCATENATE(F55,D55)</f>
        <v>B0-PYV-44204-I6249</v>
      </c>
      <c r="D55" s="78" t="s">
        <v>966</v>
      </c>
      <c r="E55" s="34" t="s">
        <v>26</v>
      </c>
      <c r="F55" s="79" t="s">
        <v>967</v>
      </c>
      <c r="G55" s="35" t="s">
        <v>881</v>
      </c>
      <c r="H55" s="36" t="s">
        <v>932</v>
      </c>
      <c r="I55" s="79" t="s">
        <v>955</v>
      </c>
      <c r="J55" s="37" t="s">
        <v>873</v>
      </c>
      <c r="K55" s="36" t="s">
        <v>609</v>
      </c>
      <c r="L55" s="38" t="s">
        <v>33</v>
      </c>
      <c r="M55" s="38" t="s">
        <v>34</v>
      </c>
      <c r="N55" s="38" t="n">
        <v>12</v>
      </c>
      <c r="O55" s="38" t="s">
        <v>35</v>
      </c>
      <c r="P55" s="38" t="s">
        <v>36</v>
      </c>
      <c r="Q55" s="36" t="n">
        <v>5</v>
      </c>
      <c r="R55" s="81" t="s">
        <v>63</v>
      </c>
      <c r="S55" s="26" t="s">
        <v>38</v>
      </c>
      <c r="T55" s="38" t="s">
        <v>934</v>
      </c>
      <c r="U55" s="38" t="s">
        <v>40</v>
      </c>
      <c r="V55" s="82"/>
      <c r="W55" s="67"/>
      <c r="X55" s="67"/>
      <c r="Y55" s="67"/>
    </row>
    <row r="56" customFormat="false" ht="87" hidden="false" customHeight="true" outlineLevel="0" collapsed="false">
      <c r="A56" s="67"/>
      <c r="B56" s="26" t="n">
        <v>50</v>
      </c>
      <c r="C56" s="36" t="str">
        <f aca="false">CONCATENATE(F56,D56)</f>
        <v>B0-PYV-44205-I6250</v>
      </c>
      <c r="D56" s="78" t="s">
        <v>968</v>
      </c>
      <c r="E56" s="34" t="s">
        <v>26</v>
      </c>
      <c r="F56" s="36" t="s">
        <v>969</v>
      </c>
      <c r="G56" s="36" t="s">
        <v>890</v>
      </c>
      <c r="H56" s="36" t="s">
        <v>932</v>
      </c>
      <c r="I56" s="79" t="s">
        <v>955</v>
      </c>
      <c r="J56" s="37" t="s">
        <v>873</v>
      </c>
      <c r="K56" s="36" t="s">
        <v>609</v>
      </c>
      <c r="L56" s="38" t="s">
        <v>33</v>
      </c>
      <c r="M56" s="38" t="s">
        <v>34</v>
      </c>
      <c r="N56" s="38" t="n">
        <v>12</v>
      </c>
      <c r="O56" s="38" t="s">
        <v>35</v>
      </c>
      <c r="P56" s="38" t="s">
        <v>36</v>
      </c>
      <c r="Q56" s="36" t="n">
        <v>5</v>
      </c>
      <c r="R56" s="81" t="s">
        <v>63</v>
      </c>
      <c r="S56" s="26" t="s">
        <v>38</v>
      </c>
      <c r="T56" s="38" t="s">
        <v>934</v>
      </c>
      <c r="U56" s="38" t="s">
        <v>40</v>
      </c>
      <c r="V56" s="82"/>
      <c r="W56" s="67"/>
      <c r="X56" s="67"/>
      <c r="Y56" s="67"/>
    </row>
    <row r="57" customFormat="false" ht="108.75" hidden="false" customHeight="true" outlineLevel="0" collapsed="false">
      <c r="B57" s="26" t="n">
        <v>51</v>
      </c>
      <c r="C57" s="36" t="s">
        <v>970</v>
      </c>
      <c r="D57" s="78" t="s">
        <v>971</v>
      </c>
      <c r="E57" s="34" t="s">
        <v>174</v>
      </c>
      <c r="F57" s="36" t="s">
        <v>955</v>
      </c>
      <c r="G57" s="37" t="s">
        <v>873</v>
      </c>
      <c r="H57" s="36" t="s">
        <v>950</v>
      </c>
      <c r="I57" s="79" t="s">
        <v>607</v>
      </c>
      <c r="J57" s="35" t="s">
        <v>608</v>
      </c>
      <c r="K57" s="36" t="s">
        <v>609</v>
      </c>
      <c r="L57" s="38" t="s">
        <v>33</v>
      </c>
      <c r="M57" s="38" t="s">
        <v>34</v>
      </c>
      <c r="N57" s="36" t="n">
        <v>20</v>
      </c>
      <c r="O57" s="38" t="s">
        <v>35</v>
      </c>
      <c r="P57" s="38" t="s">
        <v>36</v>
      </c>
      <c r="Q57" s="36" t="n">
        <v>20</v>
      </c>
      <c r="R57" s="81" t="s">
        <v>37</v>
      </c>
      <c r="S57" s="26" t="s">
        <v>38</v>
      </c>
      <c r="T57" s="38" t="s">
        <v>934</v>
      </c>
      <c r="U57" s="38" t="s">
        <v>40</v>
      </c>
      <c r="V57" s="82"/>
    </row>
    <row r="58" customFormat="false" ht="108.75" hidden="false" customHeight="true" outlineLevel="0" collapsed="false">
      <c r="B58" s="26" t="n">
        <v>52</v>
      </c>
      <c r="C58" s="36" t="s">
        <v>970</v>
      </c>
      <c r="D58" s="78" t="s">
        <v>972</v>
      </c>
      <c r="E58" s="34" t="s">
        <v>174</v>
      </c>
      <c r="F58" s="36" t="s">
        <v>955</v>
      </c>
      <c r="G58" s="37" t="s">
        <v>873</v>
      </c>
      <c r="H58" s="36" t="s">
        <v>950</v>
      </c>
      <c r="I58" s="79" t="s">
        <v>607</v>
      </c>
      <c r="J58" s="35" t="s">
        <v>608</v>
      </c>
      <c r="K58" s="36" t="s">
        <v>609</v>
      </c>
      <c r="L58" s="38" t="s">
        <v>33</v>
      </c>
      <c r="M58" s="38" t="s">
        <v>34</v>
      </c>
      <c r="N58" s="36" t="n">
        <v>20</v>
      </c>
      <c r="O58" s="38" t="s">
        <v>35</v>
      </c>
      <c r="P58" s="38" t="s">
        <v>36</v>
      </c>
      <c r="Q58" s="36" t="n">
        <v>20</v>
      </c>
      <c r="R58" s="81" t="s">
        <v>37</v>
      </c>
      <c r="S58" s="26" t="s">
        <v>38</v>
      </c>
      <c r="T58" s="38" t="s">
        <v>934</v>
      </c>
      <c r="U58" s="38" t="s">
        <v>40</v>
      </c>
      <c r="V58" s="82"/>
    </row>
    <row r="59" customFormat="false" ht="75" hidden="false" customHeight="true" outlineLevel="0" collapsed="false">
      <c r="A59" s="67"/>
      <c r="B59" s="26" t="n">
        <v>53</v>
      </c>
      <c r="C59" s="36" t="str">
        <f aca="false">CONCATENATE(F59,D59)</f>
        <v>B0-TE-44201-I6253</v>
      </c>
      <c r="D59" s="78" t="s">
        <v>973</v>
      </c>
      <c r="E59" s="79" t="s">
        <v>45</v>
      </c>
      <c r="F59" s="36" t="s">
        <v>974</v>
      </c>
      <c r="G59" s="36" t="s">
        <v>896</v>
      </c>
      <c r="H59" s="36" t="s">
        <v>932</v>
      </c>
      <c r="I59" s="79" t="s">
        <v>975</v>
      </c>
      <c r="J59" s="35" t="s">
        <v>898</v>
      </c>
      <c r="K59" s="36" t="s">
        <v>609</v>
      </c>
      <c r="L59" s="38" t="s">
        <v>33</v>
      </c>
      <c r="M59" s="38" t="s">
        <v>34</v>
      </c>
      <c r="N59" s="38" t="n">
        <v>11.5</v>
      </c>
      <c r="O59" s="38" t="s">
        <v>35</v>
      </c>
      <c r="P59" s="38" t="s">
        <v>50</v>
      </c>
      <c r="Q59" s="36" t="n">
        <v>10</v>
      </c>
      <c r="R59" s="81" t="s">
        <v>63</v>
      </c>
      <c r="S59" s="26" t="s">
        <v>38</v>
      </c>
      <c r="T59" s="38" t="s">
        <v>976</v>
      </c>
      <c r="U59" s="38" t="s">
        <v>40</v>
      </c>
      <c r="V59" s="82"/>
      <c r="W59" s="67"/>
      <c r="X59" s="67"/>
      <c r="Y59" s="67"/>
    </row>
    <row r="60" customFormat="false" ht="84" hidden="false" customHeight="true" outlineLevel="0" collapsed="false">
      <c r="A60" s="67"/>
      <c r="B60" s="26" t="n">
        <v>54</v>
      </c>
      <c r="C60" s="36" t="str">
        <f aca="false">CONCATENATE(F60,D60)</f>
        <v>B0-TE-44202-I6254</v>
      </c>
      <c r="D60" s="78" t="s">
        <v>977</v>
      </c>
      <c r="E60" s="79" t="s">
        <v>45</v>
      </c>
      <c r="F60" s="36" t="s">
        <v>978</v>
      </c>
      <c r="G60" s="36" t="s">
        <v>896</v>
      </c>
      <c r="H60" s="36" t="s">
        <v>932</v>
      </c>
      <c r="I60" s="79" t="s">
        <v>975</v>
      </c>
      <c r="J60" s="35" t="s">
        <v>898</v>
      </c>
      <c r="K60" s="36" t="s">
        <v>609</v>
      </c>
      <c r="L60" s="38" t="s">
        <v>33</v>
      </c>
      <c r="M60" s="38" t="s">
        <v>34</v>
      </c>
      <c r="N60" s="38" t="n">
        <v>11.5</v>
      </c>
      <c r="O60" s="38" t="s">
        <v>35</v>
      </c>
      <c r="P60" s="38" t="s">
        <v>50</v>
      </c>
      <c r="Q60" s="36" t="n">
        <v>10</v>
      </c>
      <c r="R60" s="81" t="s">
        <v>63</v>
      </c>
      <c r="S60" s="26" t="s">
        <v>38</v>
      </c>
      <c r="T60" s="38" t="s">
        <v>976</v>
      </c>
      <c r="U60" s="38" t="s">
        <v>40</v>
      </c>
      <c r="V60" s="82"/>
      <c r="W60" s="67"/>
      <c r="X60" s="67"/>
      <c r="Y60" s="67"/>
    </row>
    <row r="61" customFormat="false" ht="84.6" hidden="false" customHeight="true" outlineLevel="0" collapsed="false">
      <c r="A61" s="67"/>
      <c r="B61" s="26" t="n">
        <v>55</v>
      </c>
      <c r="C61" s="36" t="str">
        <f aca="false">CONCATENATE(F61,D61)</f>
        <v>B0-TE-44203-I6255</v>
      </c>
      <c r="D61" s="78" t="s">
        <v>979</v>
      </c>
      <c r="E61" s="79" t="s">
        <v>45</v>
      </c>
      <c r="F61" s="36" t="s">
        <v>980</v>
      </c>
      <c r="G61" s="36" t="s">
        <v>896</v>
      </c>
      <c r="H61" s="36" t="s">
        <v>932</v>
      </c>
      <c r="I61" s="79" t="s">
        <v>975</v>
      </c>
      <c r="J61" s="35" t="s">
        <v>898</v>
      </c>
      <c r="K61" s="36" t="s">
        <v>609</v>
      </c>
      <c r="L61" s="38" t="s">
        <v>33</v>
      </c>
      <c r="M61" s="38" t="s">
        <v>34</v>
      </c>
      <c r="N61" s="38" t="n">
        <v>11.5</v>
      </c>
      <c r="O61" s="38" t="s">
        <v>35</v>
      </c>
      <c r="P61" s="38" t="s">
        <v>50</v>
      </c>
      <c r="Q61" s="36" t="n">
        <v>10</v>
      </c>
      <c r="R61" s="81" t="s">
        <v>63</v>
      </c>
      <c r="S61" s="26" t="s">
        <v>38</v>
      </c>
      <c r="T61" s="38" t="s">
        <v>976</v>
      </c>
      <c r="U61" s="38" t="s">
        <v>40</v>
      </c>
      <c r="V61" s="82"/>
      <c r="W61" s="67"/>
      <c r="X61" s="67"/>
      <c r="Y61" s="67"/>
    </row>
    <row r="62" customFormat="false" ht="90" hidden="false" customHeight="true" outlineLevel="0" collapsed="false">
      <c r="A62" s="67"/>
      <c r="B62" s="26" t="n">
        <v>56</v>
      </c>
      <c r="C62" s="36" t="str">
        <f aca="false">CONCATENATE(F62,D62)</f>
        <v>B0-TE-44204-I6256</v>
      </c>
      <c r="D62" s="78" t="s">
        <v>981</v>
      </c>
      <c r="E62" s="79" t="s">
        <v>45</v>
      </c>
      <c r="F62" s="36" t="s">
        <v>982</v>
      </c>
      <c r="G62" s="36" t="s">
        <v>906</v>
      </c>
      <c r="H62" s="36" t="s">
        <v>932</v>
      </c>
      <c r="I62" s="79" t="s">
        <v>975</v>
      </c>
      <c r="J62" s="35" t="s">
        <v>898</v>
      </c>
      <c r="K62" s="36" t="s">
        <v>609</v>
      </c>
      <c r="L62" s="38" t="s">
        <v>33</v>
      </c>
      <c r="M62" s="38" t="s">
        <v>34</v>
      </c>
      <c r="N62" s="38" t="n">
        <v>11.5</v>
      </c>
      <c r="O62" s="38" t="s">
        <v>35</v>
      </c>
      <c r="P62" s="38" t="s">
        <v>50</v>
      </c>
      <c r="Q62" s="36" t="n">
        <v>10</v>
      </c>
      <c r="R62" s="81" t="s">
        <v>63</v>
      </c>
      <c r="S62" s="26" t="s">
        <v>38</v>
      </c>
      <c r="T62" s="38" t="s">
        <v>976</v>
      </c>
      <c r="U62" s="38" t="s">
        <v>40</v>
      </c>
      <c r="V62" s="82"/>
      <c r="W62" s="67"/>
      <c r="X62" s="67"/>
      <c r="Y62" s="67"/>
    </row>
    <row r="63" customFormat="false" ht="90" hidden="false" customHeight="true" outlineLevel="0" collapsed="false">
      <c r="A63" s="67"/>
      <c r="B63" s="26" t="n">
        <v>57</v>
      </c>
      <c r="C63" s="36" t="str">
        <f aca="false">CONCATENATE(F63,D63)</f>
        <v>B0-LT-44201-I6257</v>
      </c>
      <c r="D63" s="78" t="s">
        <v>983</v>
      </c>
      <c r="E63" s="79" t="s">
        <v>52</v>
      </c>
      <c r="F63" s="36" t="s">
        <v>984</v>
      </c>
      <c r="G63" s="36" t="s">
        <v>909</v>
      </c>
      <c r="H63" s="36" t="s">
        <v>932</v>
      </c>
      <c r="I63" s="79" t="s">
        <v>975</v>
      </c>
      <c r="J63" s="35" t="s">
        <v>898</v>
      </c>
      <c r="K63" s="36" t="s">
        <v>609</v>
      </c>
      <c r="L63" s="38" t="s">
        <v>33</v>
      </c>
      <c r="M63" s="38" t="s">
        <v>34</v>
      </c>
      <c r="N63" s="36" t="n">
        <v>11</v>
      </c>
      <c r="O63" s="38" t="s">
        <v>35</v>
      </c>
      <c r="P63" s="38" t="s">
        <v>53</v>
      </c>
      <c r="Q63" s="36" t="n">
        <v>10</v>
      </c>
      <c r="R63" s="81" t="s">
        <v>63</v>
      </c>
      <c r="S63" s="26" t="s">
        <v>38</v>
      </c>
      <c r="T63" s="38" t="s">
        <v>976</v>
      </c>
      <c r="U63" s="38" t="s">
        <v>40</v>
      </c>
      <c r="V63" s="82"/>
      <c r="W63" s="67"/>
      <c r="X63" s="67"/>
      <c r="Y63" s="67"/>
    </row>
    <row r="64" customFormat="false" ht="98.45" hidden="false" customHeight="true" outlineLevel="0" collapsed="false">
      <c r="A64" s="67"/>
      <c r="B64" s="26" t="n">
        <v>58</v>
      </c>
      <c r="C64" s="36" t="str">
        <f aca="false">CONCATENATE(F64,D64)</f>
        <v>B0-LSLL-44201-I6258</v>
      </c>
      <c r="D64" s="78" t="s">
        <v>985</v>
      </c>
      <c r="E64" s="34" t="s">
        <v>59</v>
      </c>
      <c r="F64" s="36" t="s">
        <v>986</v>
      </c>
      <c r="G64" s="36" t="s">
        <v>912</v>
      </c>
      <c r="H64" s="36" t="s">
        <v>932</v>
      </c>
      <c r="I64" s="79" t="s">
        <v>975</v>
      </c>
      <c r="J64" s="35" t="s">
        <v>898</v>
      </c>
      <c r="K64" s="36" t="s">
        <v>609</v>
      </c>
      <c r="L64" s="38" t="s">
        <v>33</v>
      </c>
      <c r="M64" s="38" t="s">
        <v>34</v>
      </c>
      <c r="N64" s="38" t="n">
        <v>11.5</v>
      </c>
      <c r="O64" s="38" t="s">
        <v>35</v>
      </c>
      <c r="P64" s="38" t="s">
        <v>53</v>
      </c>
      <c r="Q64" s="36" t="n">
        <v>10</v>
      </c>
      <c r="R64" s="81" t="s">
        <v>63</v>
      </c>
      <c r="S64" s="26" t="s">
        <v>38</v>
      </c>
      <c r="T64" s="38" t="s">
        <v>976</v>
      </c>
      <c r="U64" s="38" t="s">
        <v>40</v>
      </c>
      <c r="V64" s="82"/>
      <c r="W64" s="67"/>
      <c r="X64" s="67"/>
      <c r="Y64" s="67"/>
    </row>
    <row r="65" customFormat="false" ht="108.75" hidden="false" customHeight="true" outlineLevel="0" collapsed="false">
      <c r="A65" s="67"/>
      <c r="B65" s="26" t="n">
        <v>59</v>
      </c>
      <c r="C65" s="36" t="s">
        <v>987</v>
      </c>
      <c r="D65" s="78" t="s">
        <v>988</v>
      </c>
      <c r="E65" s="79" t="s">
        <v>598</v>
      </c>
      <c r="F65" s="36" t="s">
        <v>975</v>
      </c>
      <c r="G65" s="35" t="s">
        <v>898</v>
      </c>
      <c r="H65" s="36" t="s">
        <v>950</v>
      </c>
      <c r="I65" s="79" t="s">
        <v>607</v>
      </c>
      <c r="J65" s="35" t="s">
        <v>608</v>
      </c>
      <c r="K65" s="36" t="s">
        <v>609</v>
      </c>
      <c r="L65" s="38" t="s">
        <v>33</v>
      </c>
      <c r="M65" s="38" t="s">
        <v>34</v>
      </c>
      <c r="N65" s="36" t="n">
        <v>28</v>
      </c>
      <c r="O65" s="38" t="s">
        <v>35</v>
      </c>
      <c r="P65" s="38" t="s">
        <v>53</v>
      </c>
      <c r="Q65" s="36" t="n">
        <v>40</v>
      </c>
      <c r="R65" s="81" t="s">
        <v>37</v>
      </c>
      <c r="S65" s="26" t="s">
        <v>38</v>
      </c>
      <c r="T65" s="38" t="s">
        <v>976</v>
      </c>
      <c r="U65" s="38" t="s">
        <v>40</v>
      </c>
      <c r="V65" s="82"/>
      <c r="W65" s="67"/>
      <c r="X65" s="67"/>
      <c r="Y65" s="67"/>
    </row>
    <row r="66" customFormat="false" ht="108.75" hidden="false" customHeight="true" outlineLevel="0" collapsed="false">
      <c r="A66" s="67"/>
      <c r="B66" s="26" t="n">
        <v>60</v>
      </c>
      <c r="C66" s="36" t="s">
        <v>989</v>
      </c>
      <c r="D66" s="78" t="s">
        <v>990</v>
      </c>
      <c r="E66" s="34" t="s">
        <v>55</v>
      </c>
      <c r="F66" s="36" t="s">
        <v>975</v>
      </c>
      <c r="G66" s="35" t="s">
        <v>898</v>
      </c>
      <c r="H66" s="36" t="s">
        <v>950</v>
      </c>
      <c r="I66" s="79" t="s">
        <v>607</v>
      </c>
      <c r="J66" s="35" t="s">
        <v>608</v>
      </c>
      <c r="K66" s="36" t="s">
        <v>609</v>
      </c>
      <c r="L66" s="38" t="s">
        <v>33</v>
      </c>
      <c r="M66" s="38" t="s">
        <v>34</v>
      </c>
      <c r="N66" s="36" t="n">
        <v>12.5</v>
      </c>
      <c r="O66" s="38" t="s">
        <v>35</v>
      </c>
      <c r="P66" s="38" t="s">
        <v>53</v>
      </c>
      <c r="Q66" s="36" t="n">
        <v>40</v>
      </c>
      <c r="R66" s="81" t="s">
        <v>37</v>
      </c>
      <c r="S66" s="26" t="s">
        <v>38</v>
      </c>
      <c r="T66" s="38" t="s">
        <v>976</v>
      </c>
      <c r="U66" s="38" t="s">
        <v>40</v>
      </c>
      <c r="V66" s="82"/>
      <c r="W66" s="67"/>
      <c r="X66" s="67"/>
      <c r="Y66" s="67"/>
    </row>
    <row r="67" customFormat="false" ht="98.45" hidden="false" customHeight="true" outlineLevel="0" collapsed="false">
      <c r="B67" s="26" t="n">
        <v>61</v>
      </c>
      <c r="C67" s="83" t="str">
        <f aca="false">CONCATENATE(F67,D67)</f>
        <v>B0-PSHH-44201-I6261</v>
      </c>
      <c r="D67" s="78" t="s">
        <v>991</v>
      </c>
      <c r="E67" s="34" t="s">
        <v>59</v>
      </c>
      <c r="F67" s="36" t="s">
        <v>992</v>
      </c>
      <c r="G67" s="35" t="s">
        <v>919</v>
      </c>
      <c r="H67" s="36" t="s">
        <v>932</v>
      </c>
      <c r="I67" s="79" t="s">
        <v>993</v>
      </c>
      <c r="J67" s="35" t="s">
        <v>921</v>
      </c>
      <c r="K67" s="36" t="s">
        <v>609</v>
      </c>
      <c r="L67" s="38" t="s">
        <v>33</v>
      </c>
      <c r="M67" s="38" t="s">
        <v>34</v>
      </c>
      <c r="N67" s="38" t="n">
        <v>11.5</v>
      </c>
      <c r="O67" s="38" t="s">
        <v>35</v>
      </c>
      <c r="P67" s="38" t="s">
        <v>36</v>
      </c>
      <c r="Q67" s="36" t="n">
        <v>5</v>
      </c>
      <c r="R67" s="81" t="s">
        <v>63</v>
      </c>
      <c r="S67" s="26" t="s">
        <v>38</v>
      </c>
      <c r="T67" s="38" t="s">
        <v>976</v>
      </c>
      <c r="U67" s="38" t="s">
        <v>40</v>
      </c>
      <c r="V67" s="82"/>
    </row>
    <row r="68" customFormat="false" ht="98.45" hidden="false" customHeight="true" outlineLevel="0" collapsed="false">
      <c r="B68" s="26" t="n">
        <v>62</v>
      </c>
      <c r="C68" s="83" t="str">
        <f aca="false">CONCATENATE(F68,D68)</f>
        <v>B0-PSH-44202-I6262</v>
      </c>
      <c r="D68" s="78" t="s">
        <v>994</v>
      </c>
      <c r="E68" s="34" t="s">
        <v>59</v>
      </c>
      <c r="F68" s="36" t="s">
        <v>995</v>
      </c>
      <c r="G68" s="35" t="s">
        <v>924</v>
      </c>
      <c r="H68" s="36" t="s">
        <v>932</v>
      </c>
      <c r="I68" s="79" t="s">
        <v>993</v>
      </c>
      <c r="J68" s="35" t="s">
        <v>921</v>
      </c>
      <c r="K68" s="36" t="s">
        <v>609</v>
      </c>
      <c r="L68" s="38" t="s">
        <v>33</v>
      </c>
      <c r="M68" s="38" t="s">
        <v>34</v>
      </c>
      <c r="N68" s="38" t="n">
        <v>11.5</v>
      </c>
      <c r="O68" s="38" t="s">
        <v>35</v>
      </c>
      <c r="P68" s="38" t="s">
        <v>36</v>
      </c>
      <c r="Q68" s="36" t="n">
        <v>5</v>
      </c>
      <c r="R68" s="81" t="s">
        <v>63</v>
      </c>
      <c r="S68" s="26" t="s">
        <v>38</v>
      </c>
      <c r="T68" s="38" t="s">
        <v>976</v>
      </c>
      <c r="U68" s="38" t="s">
        <v>40</v>
      </c>
      <c r="V68" s="82"/>
    </row>
    <row r="69" customFormat="false" ht="98.45" hidden="false" customHeight="true" outlineLevel="0" collapsed="false">
      <c r="B69" s="26" t="n">
        <v>63</v>
      </c>
      <c r="C69" s="83" t="str">
        <f aca="false">CONCATENATE(F69,D69)</f>
        <v>B0-FQIT-44201-I6263</v>
      </c>
      <c r="D69" s="78" t="s">
        <v>996</v>
      </c>
      <c r="E69" s="34" t="s">
        <v>59</v>
      </c>
      <c r="F69" s="36" t="s">
        <v>997</v>
      </c>
      <c r="G69" s="35" t="s">
        <v>927</v>
      </c>
      <c r="H69" s="36" t="s">
        <v>932</v>
      </c>
      <c r="I69" s="79" t="s">
        <v>993</v>
      </c>
      <c r="J69" s="35" t="s">
        <v>921</v>
      </c>
      <c r="K69" s="36" t="s">
        <v>609</v>
      </c>
      <c r="L69" s="38" t="s">
        <v>33</v>
      </c>
      <c r="M69" s="38" t="s">
        <v>34</v>
      </c>
      <c r="N69" s="38" t="n">
        <v>11.5</v>
      </c>
      <c r="O69" s="38" t="s">
        <v>35</v>
      </c>
      <c r="P69" s="38" t="s">
        <v>36</v>
      </c>
      <c r="Q69" s="36" t="n">
        <v>5</v>
      </c>
      <c r="R69" s="81" t="s">
        <v>63</v>
      </c>
      <c r="S69" s="26" t="s">
        <v>38</v>
      </c>
      <c r="T69" s="38" t="s">
        <v>976</v>
      </c>
      <c r="U69" s="38" t="s">
        <v>40</v>
      </c>
      <c r="V69" s="82"/>
    </row>
    <row r="70" customFormat="false" ht="87" hidden="false" customHeight="true" outlineLevel="0" collapsed="false">
      <c r="A70" s="67"/>
      <c r="B70" s="26" t="n">
        <v>64</v>
      </c>
      <c r="C70" s="83" t="str">
        <f aca="false">CONCATENATE(F70,D70)</f>
        <v>B0-JB-4425-I6264</v>
      </c>
      <c r="D70" s="78" t="s">
        <v>998</v>
      </c>
      <c r="E70" s="79" t="s">
        <v>74</v>
      </c>
      <c r="F70" s="36" t="s">
        <v>993</v>
      </c>
      <c r="G70" s="35" t="s">
        <v>921</v>
      </c>
      <c r="H70" s="36" t="s">
        <v>950</v>
      </c>
      <c r="I70" s="79" t="s">
        <v>607</v>
      </c>
      <c r="J70" s="35" t="s">
        <v>608</v>
      </c>
      <c r="K70" s="36" t="s">
        <v>609</v>
      </c>
      <c r="L70" s="38" t="s">
        <v>33</v>
      </c>
      <c r="M70" s="38" t="s">
        <v>34</v>
      </c>
      <c r="N70" s="36" t="n">
        <v>18</v>
      </c>
      <c r="O70" s="38" t="s">
        <v>35</v>
      </c>
      <c r="P70" s="38" t="s">
        <v>36</v>
      </c>
      <c r="Q70" s="36" t="n">
        <v>20</v>
      </c>
      <c r="R70" s="81" t="s">
        <v>37</v>
      </c>
      <c r="S70" s="26" t="s">
        <v>38</v>
      </c>
      <c r="T70" s="38" t="s">
        <v>976</v>
      </c>
      <c r="U70" s="36" t="s">
        <v>40</v>
      </c>
      <c r="V70" s="82"/>
      <c r="W70" s="67"/>
      <c r="X70" s="67"/>
      <c r="Y70" s="67"/>
    </row>
    <row r="71" customFormat="false" ht="57" hidden="false" customHeight="true" outlineLevel="0" collapsed="false">
      <c r="A71" s="67"/>
      <c r="B71" s="84" t="s">
        <v>999</v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67"/>
      <c r="X71" s="67"/>
      <c r="Y71" s="67"/>
    </row>
    <row r="72" customFormat="false" ht="87" hidden="false" customHeight="true" outlineLevel="0" collapsed="false">
      <c r="A72" s="4"/>
      <c r="B72" s="26" t="n">
        <v>65</v>
      </c>
      <c r="C72" s="26" t="str">
        <f aca="false">CONCATENATE(F72,D72)</f>
        <v>B0-LCP-4401-P6201</v>
      </c>
      <c r="D72" s="34" t="s">
        <v>1000</v>
      </c>
      <c r="E72" s="34" t="s">
        <v>1001</v>
      </c>
      <c r="F72" s="34" t="s">
        <v>599</v>
      </c>
      <c r="G72" s="37" t="s">
        <v>600</v>
      </c>
      <c r="H72" s="59" t="s">
        <v>601</v>
      </c>
      <c r="I72" s="34" t="s">
        <v>1002</v>
      </c>
      <c r="J72" s="37" t="s">
        <v>1003</v>
      </c>
      <c r="K72" s="38" t="s">
        <v>866</v>
      </c>
      <c r="L72" s="38" t="s">
        <v>1004</v>
      </c>
      <c r="M72" s="38" t="s">
        <v>131</v>
      </c>
      <c r="N72" s="38" t="n">
        <v>25.5</v>
      </c>
      <c r="O72" s="38" t="s">
        <v>35</v>
      </c>
      <c r="P72" s="38" t="s">
        <v>641</v>
      </c>
      <c r="Q72" s="38" t="n">
        <v>20</v>
      </c>
      <c r="R72" s="39" t="s">
        <v>63</v>
      </c>
      <c r="S72" s="26" t="s">
        <v>38</v>
      </c>
      <c r="T72" s="38" t="s">
        <v>1005</v>
      </c>
      <c r="U72" s="38" t="s">
        <v>40</v>
      </c>
      <c r="V72" s="40"/>
      <c r="W72" s="4"/>
      <c r="X72" s="4"/>
      <c r="Y72" s="4"/>
    </row>
    <row r="73" customFormat="false" ht="87" hidden="false" customHeight="true" outlineLevel="0" collapsed="false">
      <c r="A73" s="4"/>
      <c r="B73" s="26" t="n">
        <v>66</v>
      </c>
      <c r="C73" s="26" t="str">
        <f aca="false">CONCATENATE(F73,D73)</f>
        <v>B0-LCP-4402-P6202</v>
      </c>
      <c r="D73" s="34" t="s">
        <v>1006</v>
      </c>
      <c r="E73" s="34" t="s">
        <v>1001</v>
      </c>
      <c r="F73" s="34" t="s">
        <v>607</v>
      </c>
      <c r="G73" s="37" t="s">
        <v>608</v>
      </c>
      <c r="H73" s="38" t="s">
        <v>609</v>
      </c>
      <c r="I73" s="34" t="s">
        <v>1007</v>
      </c>
      <c r="J73" s="37" t="s">
        <v>1008</v>
      </c>
      <c r="K73" s="38" t="s">
        <v>950</v>
      </c>
      <c r="L73" s="38" t="s">
        <v>1004</v>
      </c>
      <c r="M73" s="38" t="s">
        <v>131</v>
      </c>
      <c r="N73" s="38" t="n">
        <v>25.5</v>
      </c>
      <c r="O73" s="38" t="s">
        <v>35</v>
      </c>
      <c r="P73" s="38" t="s">
        <v>641</v>
      </c>
      <c r="Q73" s="38" t="n">
        <v>20</v>
      </c>
      <c r="R73" s="39" t="s">
        <v>63</v>
      </c>
      <c r="S73" s="26" t="s">
        <v>38</v>
      </c>
      <c r="T73" s="38" t="s">
        <v>1005</v>
      </c>
      <c r="U73" s="38" t="s">
        <v>40</v>
      </c>
      <c r="V73" s="40"/>
      <c r="W73" s="4"/>
      <c r="X73" s="4"/>
      <c r="Y73" s="4"/>
    </row>
    <row r="74" customFormat="false" ht="53.25" hidden="false" customHeight="true" outlineLevel="0" collapsed="false">
      <c r="B74" s="42" t="s">
        <v>1009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customFormat="false" ht="53.25" hidden="false" customHeight="true" outlineLevel="0" collapsed="false"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customFormat="false" ht="12.75" hidden="false" customHeight="false" outlineLevel="0" collapsed="false"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customFormat="false" ht="12.75" hidden="false" customHeight="false" outlineLevel="0" collapsed="false"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customFormat="false" ht="12.75" hidden="false" customHeight="false" outlineLevel="0" collapsed="false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customFormat="false" ht="12.75" hidden="false" customHeight="false" outlineLevel="0" collapsed="false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</sheetData>
  <mergeCells count="23">
    <mergeCell ref="B1:Q3"/>
    <mergeCell ref="T1:V1"/>
    <mergeCell ref="T2:V2"/>
    <mergeCell ref="T3:V3"/>
    <mergeCell ref="B5:B6"/>
    <mergeCell ref="C5:C6"/>
    <mergeCell ref="D5:D6"/>
    <mergeCell ref="E5:E6"/>
    <mergeCell ref="F5:H5"/>
    <mergeCell ref="I5:K5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B71:V71"/>
    <mergeCell ref="B74:V79"/>
  </mergeCells>
  <printOptions headings="false" gridLines="false" gridLinesSet="true" horizontalCentered="true" verticalCentered="false"/>
  <pageMargins left="0.0395833333333333" right="0.0395833333333333" top="0.0395833333333333" bottom="0.039583333333333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2008-11-22T09:34:45Z</dcterms:created>
  <dc:creator>akshat-d</dc:creator>
  <dc:description/>
  <dc:language>ko-KR</dc:language>
  <cp:lastModifiedBy>Adnan Qureshi</cp:lastModifiedBy>
  <cp:lastPrinted>2025-03-11T08:30:49Z</cp:lastPrinted>
  <dcterms:modified xsi:type="dcterms:W3CDTF">2025-03-11T08:31:24Z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0x010100324B0F980B74BB438C4A129DD689A5BB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Sign-off status">
    <vt:lpwstr/>
  </property>
  <property fmtid="{D5CDD505-2E9C-101B-9397-08002B2CF9AE}" pid="6" name="TaxCatchAll">
    <vt:lpwstr/>
  </property>
  <property fmtid="{D5CDD505-2E9C-101B-9397-08002B2CF9AE}" pid="7" name="_dlc_DocId">
    <vt:lpwstr>KHR63S3F2KT6-1918440425-1248240</vt:lpwstr>
  </property>
  <property fmtid="{D5CDD505-2E9C-101B-9397-08002B2CF9AE}" pid="8" name="_dlc_DocIdItemGuid">
    <vt:lpwstr>95c20dc3-38be-4c06-85e8-b3a3b3df4d6f</vt:lpwstr>
  </property>
  <property fmtid="{D5CDD505-2E9C-101B-9397-08002B2CF9AE}" pid="9" name="_dlc_DocIdUrl">
    <vt:lpwstr>https://doosankor.sharepoint.com/sites/0900.REQTEAMS.1708/_layouts/15/DocIdRedir.aspx?ID=KHR63S3F2KT6-1918440425-1248240, KHR63S3F2KT6-1918440425-1248240</vt:lpwstr>
  </property>
  <property fmtid="{D5CDD505-2E9C-101B-9397-08002B2CF9AE}" pid="10" name="lcf76f155ced4ddcb4097134ff3c332f">
    <vt:lpwstr/>
  </property>
  <property fmtid="{D5CDD505-2E9C-101B-9397-08002B2CF9AE}" pid="11" name="코디">
    <vt:lpwstr/>
  </property>
  <property fmtid="{D5CDD505-2E9C-101B-9397-08002B2CF9AE}" pid="12" name="하이퍼링크">
    <vt:lpwstr>, </vt:lpwstr>
  </property>
</Properties>
</file>