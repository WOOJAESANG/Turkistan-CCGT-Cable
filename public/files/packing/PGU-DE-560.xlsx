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urkistan\15. Cable\Packing List\"/>
    </mc:Choice>
  </mc:AlternateContent>
  <xr:revisionPtr revIDLastSave="0" documentId="8_{1FA93B6D-51CB-4EE1-8739-5F8AC43EE4F2}" xr6:coauthVersionLast="47" xr6:coauthVersionMax="47" xr10:uidLastSave="{00000000-0000-0000-0000-000000000000}"/>
  <bookViews>
    <workbookView xWindow="-108" yWindow="-108" windowWidth="23256" windowHeight="12576" firstSheet="3" activeTab="4" xr2:uid="{00000000-000D-0000-FFFF-FFFF00000000}"/>
  </bookViews>
  <sheets>
    <sheet name="CI" sheetId="1" state="hidden" r:id="rId1"/>
    <sheet name="CI_BD" sheetId="6" state="hidden" r:id="rId2"/>
    <sheet name="PL" sheetId="2" r:id="rId3"/>
    <sheet name="Summary PL" sheetId="3" r:id="rId4"/>
    <sheet name="Detail PL" sheetId="4" r:id="rId5"/>
    <sheet name="Marking" sheetId="5" state="hidden" r:id="rId6"/>
  </sheets>
  <definedNames>
    <definedName name="_xlnm._FilterDatabase" localSheetId="1" hidden="1">CI_BD!$B$8:$J$10</definedName>
    <definedName name="_xlnm._FilterDatabase" localSheetId="4" hidden="1">'Detail PL'!$A$12:$Q$13</definedName>
    <definedName name="_xlnm._FilterDatabase" localSheetId="3" hidden="1">'Summary PL'!$A$12:$P$13</definedName>
    <definedName name="AnnullaInseriscidata" localSheetId="1">#REF!</definedName>
    <definedName name="AnnullaInseriscidata">#REF!</definedName>
    <definedName name="InserisciData" localSheetId="1">#REF!</definedName>
    <definedName name="InserisciData">#REF!</definedName>
    <definedName name="_xlnm.Print_Area" localSheetId="0">CI!$A$1:$AC$59</definedName>
    <definedName name="_xlnm.Print_Area" localSheetId="1">CI_BD!$A$1:$J$10</definedName>
    <definedName name="_xlnm.Print_Area" localSheetId="4">'Detail PL'!$A$1:$Q$18</definedName>
    <definedName name="_xlnm.Print_Area" localSheetId="5">Marking!$A$1:$N$37</definedName>
    <definedName name="_xlnm.Print_Area" localSheetId="2">PL!$A$1:$AC$59</definedName>
    <definedName name="_xlnm.Print_Area" localSheetId="3">'Summary PL'!$A$1:$P$15</definedName>
    <definedName name="_xlnm.Print_Titles" localSheetId="4">'Detail PL'!$12:$12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2" i="1" l="1"/>
  <c r="B43" i="1"/>
  <c r="B42" i="2" l="1"/>
  <c r="AC42" i="1"/>
  <c r="H9" i="6"/>
  <c r="K16" i="4"/>
  <c r="L16" i="4" l="1"/>
  <c r="L17" i="4" s="1"/>
  <c r="K17" i="4"/>
  <c r="M14" i="3"/>
  <c r="G25" i="5" l="1"/>
  <c r="G22" i="5"/>
  <c r="G19" i="5"/>
  <c r="G16" i="5"/>
  <c r="B14" i="4"/>
  <c r="B15" i="4" s="1"/>
  <c r="Y32" i="1" l="1"/>
  <c r="R42" i="2"/>
  <c r="H10" i="6" l="1"/>
  <c r="B9" i="6"/>
  <c r="B7" i="6"/>
  <c r="K14" i="3" l="1"/>
  <c r="G28" i="5" s="1"/>
  <c r="J16" i="4" l="1"/>
  <c r="B9" i="4"/>
  <c r="P17" i="4"/>
  <c r="B9" i="3"/>
  <c r="G13" i="5" s="1"/>
  <c r="M15" i="3"/>
  <c r="L15" i="3"/>
  <c r="K15" i="3"/>
  <c r="AA45" i="1"/>
  <c r="Y35" i="2" l="1"/>
  <c r="Y35" i="1"/>
  <c r="Y33" i="1"/>
  <c r="Y33" i="2"/>
  <c r="Y34" i="2"/>
  <c r="Y34" i="1"/>
  <c r="AC42" i="2"/>
  <c r="AC45" i="2" s="1"/>
  <c r="U42" i="2"/>
  <c r="U45" i="2" s="1"/>
  <c r="Y42" i="2"/>
  <c r="Y45" i="2" s="1"/>
  <c r="J17" i="4"/>
</calcChain>
</file>

<file path=xl/sharedStrings.xml><?xml version="1.0" encoding="utf-8"?>
<sst xmlns="http://schemas.openxmlformats.org/spreadsheetml/2006/main" count="331" uniqueCount="206">
  <si>
    <t>HEAD OFFICE &amp; CHANGWON PLANT</t>
  </si>
  <si>
    <t>22, DoosanVolvo-ro, Seongsan-gu, Changwon-Si,</t>
    <phoneticPr fontId="6" type="noConversion"/>
  </si>
  <si>
    <t>Gyeongsangnam-do, Korea</t>
    <phoneticPr fontId="6" type="noConversion"/>
  </si>
  <si>
    <t>(P.O.BOX 77, Changwon, Korea)</t>
    <phoneticPr fontId="6" type="noConversion"/>
  </si>
  <si>
    <t>TEL:(055)278-6114,7114 FAX:(055)264-5551/2</t>
  </si>
  <si>
    <t>INVOICE
ИНВОЙС</t>
    <phoneticPr fontId="6" type="noConversion"/>
  </si>
  <si>
    <t>1. Shipper / Грузоотправитель</t>
    <phoneticPr fontId="6" type="noConversion"/>
  </si>
  <si>
    <r>
      <t xml:space="preserve">11. Invoice </t>
    </r>
    <r>
      <rPr>
        <b/>
        <sz val="10"/>
        <rFont val="Calibri"/>
        <family val="2"/>
      </rPr>
      <t>№</t>
    </r>
    <r>
      <rPr>
        <b/>
        <sz val="11"/>
        <rFont val="Calibri"/>
        <family val="2"/>
      </rPr>
      <t xml:space="preserve"> :  </t>
    </r>
    <phoneticPr fontId="6" type="noConversion"/>
  </si>
  <si>
    <t>PGU-DE-0560</t>
    <phoneticPr fontId="6" type="noConversion"/>
  </si>
  <si>
    <t>Doosan Enerbility Co., Ltd (DOOSAN)</t>
    <phoneticPr fontId="6" type="noConversion"/>
  </si>
  <si>
    <r>
      <t xml:space="preserve">Инвойс </t>
    </r>
    <r>
      <rPr>
        <b/>
        <sz val="9"/>
        <rFont val="Calibri"/>
        <family val="2"/>
      </rPr>
      <t>№</t>
    </r>
    <phoneticPr fontId="6" type="noConversion"/>
  </si>
  <si>
    <t xml:space="preserve">22, DoosanVolvo-ro, Seongsan-gu, Changwon-si, Gyeongsangnam-do, </t>
    <phoneticPr fontId="6" type="noConversion"/>
  </si>
  <si>
    <t xml:space="preserve">12. Date : </t>
    <phoneticPr fontId="6" type="noConversion"/>
  </si>
  <si>
    <t>Republic of Korea</t>
    <phoneticPr fontId="6" type="noConversion"/>
  </si>
  <si>
    <t xml:space="preserve">Дата </t>
    <phoneticPr fontId="6" type="noConversion"/>
  </si>
  <si>
    <t>2. Consignee / Грузополучатель</t>
    <phoneticPr fontId="6" type="noConversion"/>
  </si>
  <si>
    <t>13. Remarks / Примечания</t>
    <phoneticPr fontId="6" type="noConversion"/>
  </si>
  <si>
    <t>Branch of JSC "Doosan Enerbility" in the Turkestan region</t>
    <phoneticPr fontId="6" type="noConversion"/>
  </si>
  <si>
    <t>321 Tauke Khan Avenue, Turkestan region, Turkestan, Kazakhstan, 161200</t>
    <phoneticPr fontId="6" type="noConversion"/>
  </si>
  <si>
    <t>*Project Name / Название Проекта</t>
    <phoneticPr fontId="6" type="noConversion"/>
  </si>
  <si>
    <t>BIN: 230741006561</t>
    <phoneticPr fontId="6" type="noConversion"/>
  </si>
  <si>
    <t>Construction of a 1000 MW CCGT Power Plant in the Sairam District of</t>
    <phoneticPr fontId="6" type="noConversion"/>
  </si>
  <si>
    <t>Turkistan Region, Main Site. Without External Engineering Networks</t>
    <phoneticPr fontId="6" type="noConversion"/>
  </si>
  <si>
    <t>*MANUFACTURER'S NAME / НАЗВАНИЕ ПРОИЗВОДИТЕЛЯ</t>
    <phoneticPr fontId="6" type="noConversion"/>
  </si>
  <si>
    <t>DTS</t>
    <phoneticPr fontId="5" type="noConversion"/>
  </si>
  <si>
    <t>3. Notify party / Уведомляемая сторона</t>
    <phoneticPr fontId="6" type="noConversion"/>
  </si>
  <si>
    <t>*MANUFACTURE YEAR / ГОД ИЗГОТОВЛЕНИЯ</t>
    <phoneticPr fontId="6" type="noConversion"/>
  </si>
  <si>
    <t>Wise Logistics</t>
  </si>
  <si>
    <t xml:space="preserve">ATTAN: MS. Aliya </t>
  </si>
  <si>
    <t>*COUNTRY OF ORIGIN / СТРАНА ПРОИСХОЖДЕНИЯ</t>
    <phoneticPr fontId="6" type="noConversion"/>
  </si>
  <si>
    <t>(E): a.kipshakbayeva@wiselogistics.kz</t>
  </si>
  <si>
    <t>Republic of Korea</t>
    <phoneticPr fontId="5" type="noConversion"/>
  </si>
  <si>
    <t>(T): +7 701 512 19 69</t>
  </si>
  <si>
    <t>*INCOTERMS / УСЛОВИЯ ПОСТАВКИ СОГЛАСНО ИНКОТЕРМС</t>
    <phoneticPr fontId="6" type="noConversion"/>
  </si>
  <si>
    <t>DAP Sairam district</t>
    <phoneticPr fontId="6" type="noConversion"/>
  </si>
  <si>
    <t>* CONTRACT NO. / НОМЕР КОНТРАКТ</t>
    <phoneticPr fontId="6" type="noConversion"/>
  </si>
  <si>
    <t>4. Port of Loading / Порт погрузки</t>
    <phoneticPr fontId="6" type="noConversion"/>
  </si>
  <si>
    <t>5. Carrier / Перевозчик</t>
    <phoneticPr fontId="6" type="noConversion"/>
  </si>
  <si>
    <t>0123-ПГУТ-8Д date 14.03.2023</t>
    <phoneticPr fontId="6" type="noConversion"/>
  </si>
  <si>
    <t>Busan, Korea</t>
    <phoneticPr fontId="5" type="noConversion"/>
  </si>
  <si>
    <t>Later</t>
    <phoneticPr fontId="5" type="noConversion"/>
  </si>
  <si>
    <t>6. Port of Unloading / Порт разгрузки</t>
    <phoneticPr fontId="6" type="noConversion"/>
  </si>
  <si>
    <t>7. Final Destination / Конечный пункт назначения</t>
    <phoneticPr fontId="6" type="noConversion"/>
  </si>
  <si>
    <t>14. Mark and Numbers of PKGS / Маркировка и количество упаковок</t>
    <phoneticPr fontId="6" type="noConversion"/>
  </si>
  <si>
    <t>Lianyungang, China</t>
    <phoneticPr fontId="5" type="noConversion"/>
  </si>
  <si>
    <t>Turkestan region, Sairam district</t>
    <phoneticPr fontId="5" type="noConversion"/>
  </si>
  <si>
    <t>PKG No.</t>
    <phoneticPr fontId="6" type="noConversion"/>
  </si>
  <si>
    <t>:</t>
    <phoneticPr fontId="6" type="noConversion"/>
  </si>
  <si>
    <t>PGU-DE-0560-FFC-CAB-001</t>
    <phoneticPr fontId="5" type="noConversion"/>
  </si>
  <si>
    <t>Q-ty of Package</t>
    <phoneticPr fontId="6" type="noConversion"/>
  </si>
  <si>
    <t>PKGS</t>
    <phoneticPr fontId="6" type="noConversion"/>
  </si>
  <si>
    <r>
      <t xml:space="preserve">8. Voyage No / Рейс </t>
    </r>
    <r>
      <rPr>
        <b/>
        <sz val="10"/>
        <rFont val="Calibri"/>
        <family val="2"/>
      </rPr>
      <t>№</t>
    </r>
    <phoneticPr fontId="6" type="noConversion"/>
  </si>
  <si>
    <t>9. Sailing on or about / Дата или
ожидаемая дата</t>
    <phoneticPr fontId="6" type="noConversion"/>
  </si>
  <si>
    <t>Net Weight (kg)</t>
    <phoneticPr fontId="6" type="noConversion"/>
  </si>
  <si>
    <t>KG</t>
    <phoneticPr fontId="6" type="noConversion"/>
  </si>
  <si>
    <t>Gross Weight (kg)</t>
    <phoneticPr fontId="6" type="noConversion"/>
  </si>
  <si>
    <t>FU TU LIAN XING 2630W</t>
    <phoneticPr fontId="5" type="noConversion"/>
  </si>
  <si>
    <t>Dimension (m3)</t>
    <phoneticPr fontId="6" type="noConversion"/>
  </si>
  <si>
    <r>
      <t>m</t>
    </r>
    <r>
      <rPr>
        <vertAlign val="superscript"/>
        <sz val="11"/>
        <rFont val="Calibri"/>
        <family val="2"/>
      </rPr>
      <t>3</t>
    </r>
    <phoneticPr fontId="6" type="noConversion"/>
  </si>
  <si>
    <t>10. Customs Place / Место таможенного оформления</t>
    <phoneticPr fontId="5" type="noConversion"/>
  </si>
  <si>
    <t>15. Description of Goods / Описание товара</t>
    <phoneticPr fontId="6" type="noConversion"/>
  </si>
  <si>
    <t>16. HS CODE /</t>
    <phoneticPr fontId="6" type="noConversion"/>
  </si>
  <si>
    <t>17. Quantity /</t>
    <phoneticPr fontId="6" type="noConversion"/>
  </si>
  <si>
    <t>18. Total Price (USD)</t>
    <phoneticPr fontId="6" type="noConversion"/>
  </si>
  <si>
    <t>Код ТН ВЭД</t>
    <phoneticPr fontId="6" type="noConversion"/>
  </si>
  <si>
    <t>Количество</t>
    <phoneticPr fontId="6" type="noConversion"/>
  </si>
  <si>
    <t>Общая сумма (Дол. США)</t>
    <phoneticPr fontId="6" type="noConversion"/>
  </si>
  <si>
    <t>Cable</t>
    <phoneticPr fontId="5" type="noConversion"/>
  </si>
  <si>
    <r>
      <rPr>
        <sz val="11"/>
        <color rgb="FF3333FF"/>
        <rFont val="Segoe UI Symbol"/>
        <family val="2"/>
      </rPr>
      <t>★</t>
    </r>
    <r>
      <rPr>
        <sz val="11"/>
        <color rgb="FF3333FF"/>
        <rFont val="Calibri"/>
        <family val="2"/>
      </rPr>
      <t xml:space="preserve"> CD - Electrical System</t>
    </r>
    <phoneticPr fontId="5" type="noConversion"/>
  </si>
  <si>
    <t>/ комплект</t>
    <phoneticPr fontId="5" type="noConversion"/>
  </si>
  <si>
    <t>Total (DAP Value)</t>
    <phoneticPr fontId="6" type="noConversion"/>
  </si>
  <si>
    <t>Signed by</t>
  </si>
  <si>
    <t>Doosan Enerbility Co., Ltd</t>
    <phoneticPr fontId="6" type="noConversion"/>
  </si>
  <si>
    <t>155, Jeongjail-ro, Bundang-gu, Seongnam-si, Gyeonggi-do, Korea</t>
    <phoneticPr fontId="6" type="noConversion"/>
  </si>
  <si>
    <t>Tel. +82 31 5179 2045</t>
    <phoneticPr fontId="6" type="noConversion"/>
  </si>
  <si>
    <t xml:space="preserve"> Gihun Bek / Project Director</t>
    <phoneticPr fontId="13" type="noConversion"/>
  </si>
  <si>
    <t>Fax. +82 31 5179 2197</t>
    <phoneticPr fontId="6" type="noConversion"/>
  </si>
  <si>
    <t>Doosan Enerbility Co., Ltd.</t>
    <phoneticPr fontId="6" type="noConversion"/>
  </si>
  <si>
    <t>INVOICE (Break-down)</t>
    <phoneticPr fontId="6" type="noConversion"/>
  </si>
  <si>
    <t xml:space="preserve">Invoice № :  </t>
    <phoneticPr fontId="6" type="noConversion"/>
  </si>
  <si>
    <t>№</t>
    <phoneticPr fontId="6" type="noConversion"/>
  </si>
  <si>
    <t>№ Package</t>
    <phoneticPr fontId="6" type="noConversion"/>
  </si>
  <si>
    <t>Description of Goods Specification</t>
    <phoneticPr fontId="6" type="noConversion"/>
  </si>
  <si>
    <t>HS CODE</t>
    <phoneticPr fontId="6" type="noConversion"/>
  </si>
  <si>
    <t>Quantity</t>
    <phoneticPr fontId="6" type="noConversion"/>
  </si>
  <si>
    <t>Unit</t>
    <phoneticPr fontId="6" type="noConversion"/>
  </si>
  <si>
    <t>U/Price
(USD)</t>
    <phoneticPr fontId="5" type="noConversion"/>
  </si>
  <si>
    <t>Amount
(USD)</t>
    <phoneticPr fontId="5" type="noConversion"/>
  </si>
  <si>
    <t>Country of
Origin</t>
    <phoneticPr fontId="6" type="noConversion"/>
  </si>
  <si>
    <t>Remark</t>
    <phoneticPr fontId="6" type="noConversion"/>
  </si>
  <si>
    <t>Power Cable</t>
  </si>
  <si>
    <t>8544.49-2012</t>
    <phoneticPr fontId="5" type="noConversion"/>
  </si>
  <si>
    <t>SET</t>
    <phoneticPr fontId="5" type="noConversion"/>
  </si>
  <si>
    <t>TOTAL</t>
    <phoneticPr fontId="6" type="noConversion"/>
  </si>
  <si>
    <t>PACKING LIST
УПАКОВОЧНЫЙ ЛИСТ</t>
    <phoneticPr fontId="6" type="noConversion"/>
  </si>
  <si>
    <r>
      <t xml:space="preserve">11. Invoice </t>
    </r>
    <r>
      <rPr>
        <b/>
        <sz val="10"/>
        <rFont val="Calibri"/>
        <family val="2"/>
        <charset val="204"/>
      </rPr>
      <t xml:space="preserve">№ :  </t>
    </r>
    <phoneticPr fontId="6" type="noConversion"/>
  </si>
  <si>
    <t>PGU-DE-0560</t>
  </si>
  <si>
    <r>
      <t xml:space="preserve">Инвойс </t>
    </r>
    <r>
      <rPr>
        <b/>
        <sz val="9"/>
        <rFont val="Calibri"/>
        <family val="2"/>
        <charset val="204"/>
      </rPr>
      <t>№</t>
    </r>
    <phoneticPr fontId="6" type="noConversion"/>
  </si>
  <si>
    <t>DAP Sairam district</t>
    <phoneticPr fontId="5" type="noConversion"/>
  </si>
  <si>
    <t>Turkestan region, Sairam district, Karamurt rural district, quarter 171</t>
    <phoneticPr fontId="5" type="noConversion"/>
  </si>
  <si>
    <r>
      <t>m</t>
    </r>
    <r>
      <rPr>
        <vertAlign val="superscript"/>
        <sz val="11"/>
        <rFont val="Calibri"/>
        <family val="2"/>
        <charset val="204"/>
      </rPr>
      <t>3</t>
    </r>
    <phoneticPr fontId="6" type="noConversion"/>
  </si>
  <si>
    <t>16. Q-ty</t>
    <phoneticPr fontId="5" type="noConversion"/>
  </si>
  <si>
    <t>17. Net Weight</t>
    <phoneticPr fontId="5" type="noConversion"/>
  </si>
  <si>
    <t>18. Gross Weight</t>
    <phoneticPr fontId="5" type="noConversion"/>
  </si>
  <si>
    <t>19. Measurement</t>
    <phoneticPr fontId="5" type="noConversion"/>
  </si>
  <si>
    <t>(EA)</t>
    <phoneticPr fontId="5" type="noConversion"/>
  </si>
  <si>
    <t>(kg)</t>
    <phoneticPr fontId="5" type="noConversion"/>
  </si>
  <si>
    <t>(CBM)</t>
    <phoneticPr fontId="5" type="noConversion"/>
  </si>
  <si>
    <t>Силовые кабели и кабели управления</t>
    <phoneticPr fontId="5" type="noConversion"/>
  </si>
  <si>
    <r>
      <rPr>
        <sz val="11"/>
        <color rgb="FF3333FF"/>
        <rFont val="Segoe UI Symbol"/>
        <family val="2"/>
      </rPr>
      <t>★</t>
    </r>
    <r>
      <rPr>
        <sz val="11"/>
        <color rgb="FF3333FF"/>
        <rFont val="맑은 고딕"/>
        <family val="2"/>
        <charset val="129"/>
      </rPr>
      <t xml:space="preserve"> </t>
    </r>
    <r>
      <rPr>
        <sz val="11"/>
        <color rgb="FF3333FF"/>
        <rFont val="Calibri"/>
        <family val="2"/>
        <charset val="204"/>
      </rPr>
      <t>CD - Electrical System</t>
    </r>
    <phoneticPr fontId="5" type="noConversion"/>
  </si>
  <si>
    <t>Tel. +82 31 5179 2041</t>
    <phoneticPr fontId="6" type="noConversion"/>
  </si>
  <si>
    <t>Note&gt;</t>
    <phoneticPr fontId="5" type="noConversion"/>
  </si>
  <si>
    <t>Storage Classification "A" :</t>
    <phoneticPr fontId="6" type="noConversion"/>
  </si>
  <si>
    <t>Indoor with Air-conditioning</t>
    <phoneticPr fontId="6" type="noConversion"/>
  </si>
  <si>
    <t>Storage Classification "B" :</t>
    <phoneticPr fontId="6" type="noConversion"/>
  </si>
  <si>
    <t>Indoor without Air-conditioning</t>
    <phoneticPr fontId="6" type="noConversion"/>
  </si>
  <si>
    <t>Storage Classification "C" :</t>
    <phoneticPr fontId="6" type="noConversion"/>
  </si>
  <si>
    <t>Outdoor with Waterproofing</t>
    <phoneticPr fontId="6" type="noConversion"/>
  </si>
  <si>
    <t>Storage Classification "D" :</t>
    <phoneticPr fontId="6" type="noConversion"/>
  </si>
  <si>
    <t>Outdoor without Waterproofing</t>
    <phoneticPr fontId="6" type="noConversion"/>
  </si>
  <si>
    <t>SUMMARY PACKING LIST
CВОДНЫЙ УПАКОВОЧНЫЙ ЛИСТ</t>
    <phoneticPr fontId="6" type="noConversion"/>
  </si>
  <si>
    <t>Project Name:</t>
    <phoneticPr fontId="6" type="noConversion"/>
  </si>
  <si>
    <t>Construction of a 1000 MW CCGT Power Plant in the Sairam District of the Turkistan Region</t>
    <phoneticPr fontId="5" type="noConversion"/>
  </si>
  <si>
    <t>Main Site. Without External Engineering Networks</t>
    <phoneticPr fontId="5" type="noConversion"/>
  </si>
  <si>
    <t xml:space="preserve">Invoice №: </t>
    <phoneticPr fontId="6" type="noConversion"/>
  </si>
  <si>
    <t xml:space="preserve">Name of Consignee: </t>
    <phoneticPr fontId="5" type="noConversion"/>
  </si>
  <si>
    <t>Branch of JSC "Doosan Enerbility" in the Turkestan region</t>
  </si>
  <si>
    <t xml:space="preserve">Consignee address: </t>
    <phoneticPr fontId="5" type="noConversion"/>
  </si>
  <si>
    <t>321 Tauke Khan Avenue, Turkestan region, Turkestan, Kazakhstan, 161200</t>
    <phoneticPr fontId="5" type="noConversion"/>
  </si>
  <si>
    <t>№</t>
  </si>
  <si>
    <t>CNTR No. / Seal No. / 
№ контейнера / 
№ пломбы</t>
    <phoneticPr fontId="5" type="noConversion"/>
  </si>
  <si>
    <t>Package No. / 
№ упаковки</t>
    <phoneticPr fontId="6" type="noConversion"/>
  </si>
  <si>
    <t>Description / 
Описание</t>
    <phoneticPr fontId="6" type="noConversion"/>
  </si>
  <si>
    <t>Packing Style / 
Вид упаковки</t>
    <phoneticPr fontId="6" type="noConversion"/>
  </si>
  <si>
    <t>Quantity / Количество</t>
    <phoneticPr fontId="6" type="noConversion"/>
  </si>
  <si>
    <t>Shipping Dimension / Отгрузочные параметры</t>
    <phoneticPr fontId="5" type="noConversion"/>
  </si>
  <si>
    <t>Net Weight (kg) / 
Вес нетто (кг)</t>
    <phoneticPr fontId="6" type="noConversion"/>
  </si>
  <si>
    <t>Gross Weight (kg) / 
Вес брутто (кг)</t>
    <phoneticPr fontId="6" type="noConversion"/>
  </si>
  <si>
    <t xml:space="preserve">Hazardous Material 
(UN Number) </t>
    <phoneticPr fontId="6" type="noConversion"/>
  </si>
  <si>
    <t>Storage Class /
Класс хранения</t>
    <phoneticPr fontId="6" type="noConversion"/>
  </si>
  <si>
    <t>Stackable / 
Штабелируемый</t>
    <phoneticPr fontId="6" type="noConversion"/>
  </si>
  <si>
    <t>Q'ty / 
Количество</t>
    <phoneticPr fontId="6" type="noConversion"/>
  </si>
  <si>
    <t>Unit / 
Ед.изм.</t>
    <phoneticPr fontId="6" type="noConversion"/>
  </si>
  <si>
    <t>L (cm) /
Д (см)</t>
    <phoneticPr fontId="5" type="noConversion"/>
  </si>
  <si>
    <t>W (cm) / 
Ш (см)</t>
    <phoneticPr fontId="6" type="noConversion"/>
  </si>
  <si>
    <t>H (cm) / 
В (см)</t>
    <phoneticPr fontId="6" type="noConversion"/>
  </si>
  <si>
    <t>CBM (m3) /
Объем (м3)</t>
    <phoneticPr fontId="6" type="noConversion"/>
  </si>
  <si>
    <r>
      <t>PGU-DE-0560-FFC-CAB</t>
    </r>
    <r>
      <rPr>
        <b/>
        <sz val="12"/>
        <rFont val="Calibri"/>
        <family val="2"/>
        <charset val="204"/>
      </rPr>
      <t>-001</t>
    </r>
    <phoneticPr fontId="5" type="noConversion"/>
  </si>
  <si>
    <r>
      <t xml:space="preserve">Power Cable / </t>
    </r>
    <r>
      <rPr>
        <sz val="12"/>
        <color rgb="FF0000FF"/>
        <rFont val="Calibri"/>
        <family val="2"/>
      </rPr>
      <t>Силовой кабель</t>
    </r>
    <phoneticPr fontId="5" type="noConversion"/>
  </si>
  <si>
    <t>Wooden Box</t>
  </si>
  <si>
    <t>N</t>
    <phoneticPr fontId="5" type="noConversion"/>
  </si>
  <si>
    <t>B</t>
  </si>
  <si>
    <t>N</t>
  </si>
  <si>
    <t>TOTAL / ИТОГО</t>
    <phoneticPr fontId="6" type="noConversion"/>
  </si>
  <si>
    <t>HEAD OFFICE &amp; CHANGWON PLANT</t>
    <phoneticPr fontId="5" type="noConversion"/>
  </si>
  <si>
    <t>DETAILED PACKING LIST 
ПОДРОБНЫЙ УПАКОВОЧНЫЙ ЛИСТ</t>
    <phoneticPr fontId="6" type="noConversion"/>
  </si>
  <si>
    <t>321 Tauke Khan Avenue, Turkestan region, Turkestan, Kazakhstan, 161200</t>
  </si>
  <si>
    <r>
      <t>Package No./ 
Номер</t>
    </r>
    <r>
      <rPr>
        <sz val="13"/>
        <rFont val="맑은 고딕"/>
        <family val="2"/>
        <charset val="129"/>
      </rPr>
      <t xml:space="preserve"> </t>
    </r>
    <r>
      <rPr>
        <sz val="13"/>
        <rFont val="Calibri"/>
        <family val="2"/>
      </rPr>
      <t>упаковки</t>
    </r>
    <phoneticPr fontId="6" type="noConversion"/>
  </si>
  <si>
    <t>HS Code / 
Код ТН ВЭД</t>
    <phoneticPr fontId="5" type="noConversion"/>
  </si>
  <si>
    <t>Drawing No. / 
№ чертежа</t>
    <phoneticPr fontId="5" type="noConversion"/>
  </si>
  <si>
    <t>Tag No. / 
№ Тег</t>
    <phoneticPr fontId="5" type="noConversion"/>
  </si>
  <si>
    <t>Unit Price (US$) / 
Цена за единицу</t>
    <phoneticPr fontId="6" type="noConversion"/>
  </si>
  <si>
    <t>Total Price (US$) / 
Общая цена</t>
    <phoneticPr fontId="6" type="noConversion"/>
  </si>
  <si>
    <t>Remark / 
Примечания</t>
    <phoneticPr fontId="6" type="noConversion"/>
  </si>
  <si>
    <t>Q'ty / 
Кол-во</t>
    <phoneticPr fontId="6" type="noConversion"/>
  </si>
  <si>
    <t>Unit / 
Ед. изм.</t>
    <phoneticPr fontId="6" type="noConversion"/>
  </si>
  <si>
    <t>Cable 0.6/1KV CU/XLPE/LSZH 2Cx4SQ  Common</t>
    <phoneticPr fontId="5" type="noConversion"/>
  </si>
  <si>
    <r>
      <rPr>
        <sz val="12"/>
        <rFont val="Calibri"/>
        <family val="2"/>
      </rPr>
      <t>8544.49</t>
    </r>
    <r>
      <rPr>
        <sz val="12"/>
        <rFont val="맑은 고딕"/>
        <family val="2"/>
        <charset val="129"/>
      </rPr>
      <t>-</t>
    </r>
    <r>
      <rPr>
        <sz val="12"/>
        <rFont val="Calibri"/>
        <family val="2"/>
      </rPr>
      <t>2012</t>
    </r>
    <phoneticPr fontId="5" type="noConversion"/>
  </si>
  <si>
    <t>EA/ШТ.</t>
    <phoneticPr fontId="5" type="noConversion"/>
  </si>
  <si>
    <t>CCP-W-B182-09-ME-H05-0002</t>
  </si>
  <si>
    <t>refer to document</t>
  </si>
  <si>
    <t>Cable 0.6/1KV CU/XLPE/LSZH 2Cx4SQ  Common</t>
  </si>
  <si>
    <t>TOTAL/ ИТОГО</t>
    <phoneticPr fontId="6" type="noConversion"/>
  </si>
  <si>
    <t>SHIPPING MARK
ГРУЗОВАЯ МАРКИРОВКА</t>
    <phoneticPr fontId="42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</si>
  <si>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  <phoneticPr fontId="42" type="noConversion"/>
  </si>
  <si>
    <t xml:space="preserve">: </t>
    <phoneticPr fontId="42" type="noConversion"/>
  </si>
  <si>
    <t>Construction of a 1000 MW CCGT Power Plant in the Sairam District of the Turkistan Region, Main Site. Without External Engineering Networks</t>
  </si>
  <si>
    <t xml:space="preserve">    НАЗВАНИЕ ПРОЕКТА</t>
    <phoneticPr fontId="42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</si>
  <si>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  <phoneticPr fontId="42" type="noConversion"/>
  </si>
  <si>
    <t xml:space="preserve">: </t>
    <phoneticPr fontId="5" type="noConversion"/>
  </si>
  <si>
    <t>Branch of JSC "Doosan Enerbility" in the Turkistan region</t>
  </si>
  <si>
    <t xml:space="preserve">    ГРУЗОПОЛУЧАТЕЛЬ</t>
    <phoneticPr fontId="42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</si>
  <si>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Shipper/Exporter</t>
    </r>
    <phoneticPr fontId="42" type="noConversion"/>
  </si>
  <si>
    <t>: Doosan Enerbility Co., LTD</t>
    <phoneticPr fontId="42" type="noConversion"/>
  </si>
  <si>
    <t xml:space="preserve">     Грузоотправитель/Экспортер</t>
    <phoneticPr fontId="42" type="noConversion"/>
  </si>
  <si>
    <t xml:space="preserve">  22, Doosan Volvo-ro, Sengsan-gu, Changwon, Gyeongnam, South Korea</t>
    <phoneticPr fontId="42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</si>
  <si>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  <phoneticPr fontId="42" type="noConversion"/>
  </si>
  <si>
    <t>:</t>
    <phoneticPr fontId="42" type="noConversion"/>
  </si>
  <si>
    <t xml:space="preserve">    № инвойса</t>
    <phoneticPr fontId="42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</si>
  <si>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  <phoneticPr fontId="5" type="noConversion"/>
  </si>
  <si>
    <t xml:space="preserve">    ОПИСАНИЕ ГРУЗА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</si>
  <si>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</si>
  <si>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>:</t>
    <phoneticPr fontId="5" type="noConversion"/>
  </si>
  <si>
    <t xml:space="preserve">    УПАКОВОЧНЫЙ НОМЕР 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</si>
  <si>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  <phoneticPr fontId="42" type="noConversion"/>
  </si>
  <si>
    <t>Kg</t>
    <phoneticPr fontId="42" type="noConversion"/>
  </si>
  <si>
    <t xml:space="preserve">    ВЕС НЕТТО</t>
    <phoneticPr fontId="42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</si>
  <si>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  <phoneticPr fontId="42" type="noConversion"/>
  </si>
  <si>
    <t xml:space="preserve">    ВЕС БРУТТО</t>
    <phoneticPr fontId="42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</si>
  <si>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  <phoneticPr fontId="42" type="noConversion"/>
  </si>
  <si>
    <t>m3</t>
    <phoneticPr fontId="5" type="noConversion"/>
  </si>
  <si>
    <t xml:space="preserve">    РАЗМЕРЫ</t>
    <phoneticPr fontId="42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</si>
  <si>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</si>
  <si>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Turkestan region, Sairam district, Karamurt rural district, quarter 171, Republic of Kazakhstan </t>
  </si>
  <si>
    <t xml:space="preserve">    КОНЕЧНЫЙ ПУНКТ НАЗНАЧЕНИЯ</t>
  </si>
  <si>
    <t>Doosan Enerbility</t>
    <phoneticPr fontId="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</si>
</sst>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_-* #,##0.00_-;\-* #,##0.00_-;_-* &quot;-&quot;_-;_-@_-"/>
    <numFmt numFmtId="177" formatCode="_-* #,##0.000_-;\-* #,##0.000_-;_-* &quot;-&quot;_-;_-@_-"/>
    <numFmt numFmtId="178" formatCode="#,##0\ &quot;EA&quot;"/>
    <numFmt numFmtId="179" formatCode="#,##0.00_ "/>
    <numFmt numFmtId="180" formatCode="0_);[Red]\(0\)"/>
    <numFmt numFmtId="181" formatCode="0.000_);[Red]\(0.000\)"/>
    <numFmt numFmtId="182" formatCode="_(* #,##0_);_(* \(#,##0\);_(* &quot;-&quot;??_);_(@_)"/>
    <numFmt numFmtId="183" formatCode="#,##0_ "/>
    <numFmt numFmtId="184" formatCode="#,##0.000;[Red]\-#,##0.000"/>
    <numFmt numFmtId="185" formatCode="#,##0\ &quot;SET&quot;"/>
    <numFmt numFmtId="186" formatCode="[$-409]d/mmm/yyyy;@"/>
  </numFmts>
  <fonts count="8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Calibri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6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name val="Arial"/>
      <family val="2"/>
    </font>
    <font>
      <sz val="8"/>
      <name val="돋움"/>
      <family val="3"/>
    </font>
    <font>
      <sz val="8"/>
      <name val="Calibri"/>
      <family val="2"/>
    </font>
    <font>
      <sz val="9"/>
      <name val="Arial"/>
      <family val="2"/>
    </font>
    <font>
      <sz val="12"/>
      <color theme="0"/>
      <name val="Calibri"/>
      <family val="2"/>
    </font>
    <font>
      <sz val="12"/>
      <name val="Arial"/>
      <family val="2"/>
    </font>
    <font>
      <b/>
      <sz val="13"/>
      <color theme="0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2"/>
      <name val="Calibri"/>
      <family val="2"/>
    </font>
    <font>
      <b/>
      <i/>
      <sz val="12"/>
      <color rgb="FF0000CC"/>
      <name val="Calibri"/>
      <family val="2"/>
    </font>
    <font>
      <sz val="12"/>
      <name val="Calibri"/>
      <family val="2"/>
    </font>
    <font>
      <b/>
      <sz val="11.5"/>
      <name val="Calibri"/>
      <family val="2"/>
    </font>
    <font>
      <b/>
      <i/>
      <sz val="11.5"/>
      <color rgb="FF0000CC"/>
      <name val="Calibri"/>
      <family val="2"/>
    </font>
    <font>
      <sz val="11.5"/>
      <name val="Calibri"/>
      <family val="2"/>
    </font>
    <font>
      <sz val="13"/>
      <name val="Calibri"/>
      <family val="2"/>
    </font>
    <font>
      <sz val="11"/>
      <name val="굴림체"/>
      <family val="3"/>
      <charset val="129"/>
    </font>
    <font>
      <b/>
      <sz val="12"/>
      <color theme="0"/>
      <name val="Calibri"/>
      <family val="2"/>
    </font>
    <font>
      <i/>
      <sz val="12"/>
      <name val="Calibri"/>
      <family val="2"/>
    </font>
    <font>
      <b/>
      <sz val="10"/>
      <name val="Arial"/>
      <family val="2"/>
    </font>
    <font>
      <sz val="9"/>
      <color indexed="8"/>
      <name val="Calibri"/>
      <family val="2"/>
    </font>
    <font>
      <sz val="1"/>
      <color indexed="8"/>
      <name val="Courier"/>
      <family val="3"/>
    </font>
    <font>
      <b/>
      <i/>
      <sz val="9"/>
      <name val="Calibri"/>
      <family val="2"/>
    </font>
    <font>
      <sz val="13"/>
      <name val="맑은 고딕"/>
      <family val="2"/>
      <charset val="129"/>
    </font>
    <font>
      <sz val="12"/>
      <color theme="1"/>
      <name val="Calibri"/>
      <family val="2"/>
    </font>
    <font>
      <b/>
      <i/>
      <sz val="12"/>
      <name val="Calibri"/>
      <family val="2"/>
    </font>
    <font>
      <sz val="9"/>
      <name val="맑은 고딕"/>
      <family val="2"/>
      <charset val="129"/>
    </font>
    <font>
      <sz val="14"/>
      <name val="Calibri"/>
      <family val="2"/>
    </font>
    <font>
      <sz val="16"/>
      <name val="Calibri"/>
      <family val="2"/>
    </font>
    <font>
      <b/>
      <sz val="24"/>
      <name val="Calibri"/>
      <family val="2"/>
    </font>
    <font>
      <sz val="8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6"/>
      <name val="맑은 고딕"/>
      <family val="3"/>
      <charset val="129"/>
    </font>
    <font>
      <b/>
      <sz val="16"/>
      <name val="Calibri"/>
      <family val="3"/>
    </font>
    <font>
      <b/>
      <sz val="16"/>
      <name val="Segoe UI Symbol"/>
      <family val="3"/>
    </font>
    <font>
      <sz val="16"/>
      <name val="맑은 고딕"/>
      <family val="2"/>
      <charset val="129"/>
      <scheme val="minor"/>
    </font>
    <font>
      <b/>
      <sz val="14"/>
      <name val="Calibri"/>
      <family val="2"/>
    </font>
    <font>
      <sz val="14"/>
      <name val="Arial"/>
      <family val="2"/>
    </font>
    <font>
      <sz val="9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6"/>
      <name val="Calibri"/>
      <family val="2"/>
      <charset val="204"/>
    </font>
    <font>
      <b/>
      <sz val="10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9"/>
      <name val="Calibri"/>
      <family val="2"/>
      <charset val="204"/>
    </font>
    <font>
      <sz val="10.5"/>
      <color theme="1"/>
      <name val="Calibri"/>
      <family val="2"/>
      <charset val="204"/>
    </font>
    <font>
      <strike/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indexed="10"/>
      <name val="Calibri"/>
      <family val="2"/>
      <charset val="204"/>
    </font>
    <font>
      <vertAlign val="superscript"/>
      <sz val="11"/>
      <name val="Calibri"/>
      <family val="2"/>
      <charset val="204"/>
    </font>
    <font>
      <sz val="12"/>
      <color theme="0"/>
      <name val="Calibri"/>
      <family val="2"/>
      <charset val="204"/>
    </font>
    <font>
      <sz val="12"/>
      <name val="Calibri"/>
      <family val="2"/>
      <charset val="204"/>
    </font>
    <font>
      <b/>
      <sz val="13"/>
      <color theme="0"/>
      <name val="Calibri"/>
      <family val="2"/>
      <charset val="204"/>
    </font>
    <font>
      <sz val="10"/>
      <name val="Calibri"/>
      <family val="2"/>
      <charset val="204"/>
    </font>
    <font>
      <b/>
      <sz val="12"/>
      <name val="Calibri"/>
      <family val="2"/>
      <charset val="204"/>
    </font>
    <font>
      <b/>
      <i/>
      <sz val="12"/>
      <color rgb="FF0000CC"/>
      <name val="Calibri"/>
      <family val="2"/>
      <charset val="204"/>
    </font>
    <font>
      <b/>
      <sz val="11.5"/>
      <name val="Calibri"/>
      <family val="2"/>
      <charset val="204"/>
    </font>
    <font>
      <b/>
      <i/>
      <sz val="11.5"/>
      <color rgb="FF0000CC"/>
      <name val="Calibri"/>
      <family val="2"/>
      <charset val="204"/>
    </font>
    <font>
      <sz val="11.5"/>
      <name val="Calibri"/>
      <family val="2"/>
      <charset val="204"/>
    </font>
    <font>
      <sz val="13"/>
      <name val="Calibri"/>
      <family val="2"/>
      <charset val="204"/>
    </font>
    <font>
      <b/>
      <sz val="12"/>
      <color theme="0"/>
      <name val="Calibri"/>
      <family val="2"/>
      <charset val="204"/>
    </font>
    <font>
      <sz val="12"/>
      <name val="맑은 고딕"/>
      <family val="2"/>
      <charset val="129"/>
    </font>
    <font>
      <sz val="11"/>
      <color rgb="FF3333FF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rgb="FF3333FF"/>
      <name val="맑은 고딕"/>
      <family val="2"/>
      <charset val="129"/>
    </font>
    <font>
      <sz val="11"/>
      <color rgb="FF3333FF"/>
      <name val="Segoe UI Symbol"/>
      <family val="2"/>
    </font>
    <font>
      <sz val="11"/>
      <color theme="1"/>
      <name val="Calibri"/>
      <family val="2"/>
    </font>
    <font>
      <sz val="10.5"/>
      <color theme="1"/>
      <name val="Calibri"/>
      <family val="2"/>
    </font>
    <font>
      <u/>
      <sz val="11"/>
      <name val="Calibri"/>
      <family val="2"/>
    </font>
    <font>
      <strike/>
      <sz val="11"/>
      <name val="Calibri"/>
      <family val="2"/>
    </font>
    <font>
      <sz val="11"/>
      <color rgb="FF000000"/>
      <name val="Calibri"/>
      <family val="2"/>
    </font>
    <font>
      <sz val="11"/>
      <color indexed="10"/>
      <name val="Calibri"/>
      <family val="2"/>
    </font>
    <font>
      <vertAlign val="superscript"/>
      <sz val="11"/>
      <name val="Calibri"/>
      <family val="2"/>
    </font>
    <font>
      <sz val="11"/>
      <color rgb="FF3333FF"/>
      <name val="Calibri"/>
      <family val="2"/>
    </font>
    <font>
      <sz val="12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8" fillId="0" borderId="0"/>
    <xf numFmtId="4" fontId="33" fillId="0" borderId="0">
      <protection locked="0"/>
    </xf>
    <xf numFmtId="41" fontId="1" fillId="0" borderId="0" applyFont="0" applyFill="0" applyBorder="0" applyAlignment="0" applyProtection="0">
      <alignment vertical="center"/>
    </xf>
  </cellStyleXfs>
  <cellXfs count="549">
    <xf numFmtId="0" fontId="0" fillId="0" borderId="0" xfId="0">
      <alignment vertical="center"/>
    </xf>
    <xf numFmtId="0" fontId="4" fillId="0" borderId="1" xfId="3" applyFont="1" applyBorder="1">
      <alignment vertical="center"/>
    </xf>
    <xf numFmtId="0" fontId="4" fillId="0" borderId="2" xfId="3" applyFont="1" applyBorder="1">
      <alignment vertical="center"/>
    </xf>
    <xf numFmtId="0" fontId="4" fillId="0" borderId="0" xfId="3" applyFont="1">
      <alignment vertical="center"/>
    </xf>
    <xf numFmtId="0" fontId="10" fillId="0" borderId="0" xfId="3" applyFont="1">
      <alignment vertical="center"/>
    </xf>
    <xf numFmtId="0" fontId="12" fillId="0" borderId="0" xfId="3" applyFont="1">
      <alignment vertical="center"/>
    </xf>
    <xf numFmtId="0" fontId="9" fillId="0" borderId="18" xfId="3" applyFont="1" applyBorder="1">
      <alignment vertical="center"/>
    </xf>
    <xf numFmtId="0" fontId="10" fillId="0" borderId="0" xfId="3" applyFont="1" applyAlignment="1">
      <alignment horizontal="center" vertical="center"/>
    </xf>
    <xf numFmtId="0" fontId="4" fillId="0" borderId="0" xfId="3" applyFont="1" applyAlignment="1">
      <alignment vertical="center" wrapText="1"/>
    </xf>
    <xf numFmtId="0" fontId="4" fillId="0" borderId="0" xfId="3" applyFont="1" applyAlignment="1">
      <alignment horizontal="center" vertical="center"/>
    </xf>
    <xf numFmtId="176" fontId="1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0" fontId="15" fillId="0" borderId="0" xfId="3" applyFont="1">
      <alignment vertical="center"/>
    </xf>
    <xf numFmtId="0" fontId="4" fillId="0" borderId="0" xfId="3" applyFont="1" applyAlignment="1">
      <alignment horizontal="left" vertical="center"/>
    </xf>
    <xf numFmtId="0" fontId="15" fillId="0" borderId="0" xfId="3" applyFont="1" applyAlignment="1">
      <alignment horizontal="left" vertical="center"/>
    </xf>
    <xf numFmtId="0" fontId="17" fillId="0" borderId="0" xfId="3" applyFont="1" applyAlignment="1">
      <alignment vertical="center" wrapText="1"/>
    </xf>
    <xf numFmtId="0" fontId="17" fillId="0" borderId="0" xfId="3" applyFont="1">
      <alignment vertical="center"/>
    </xf>
    <xf numFmtId="0" fontId="16" fillId="0" borderId="0" xfId="3" applyFont="1" applyAlignment="1">
      <alignment vertical="center" wrapText="1"/>
    </xf>
    <xf numFmtId="0" fontId="7" fillId="0" borderId="0" xfId="3" applyFont="1" applyAlignment="1">
      <alignment horizontal="center" vertical="center"/>
    </xf>
    <xf numFmtId="0" fontId="18" fillId="0" borderId="0" xfId="3" applyFont="1">
      <alignment vertical="center"/>
    </xf>
    <xf numFmtId="0" fontId="19" fillId="0" borderId="0" xfId="3" applyFont="1" applyAlignment="1">
      <alignment vertical="center" wrapText="1"/>
    </xf>
    <xf numFmtId="0" fontId="20" fillId="0" borderId="0" xfId="3" applyFont="1" applyAlignment="1">
      <alignment vertical="center" wrapText="1"/>
    </xf>
    <xf numFmtId="0" fontId="20" fillId="0" borderId="0" xfId="3" applyFont="1">
      <alignment vertical="center"/>
    </xf>
    <xf numFmtId="0" fontId="21" fillId="0" borderId="0" xfId="3" applyFont="1">
      <alignment vertical="center"/>
    </xf>
    <xf numFmtId="0" fontId="21" fillId="0" borderId="0" xfId="3" applyFont="1" applyAlignment="1">
      <alignment horizontal="center" vertical="center"/>
    </xf>
    <xf numFmtId="0" fontId="16" fillId="0" borderId="0" xfId="3" applyFont="1">
      <alignment vertical="center"/>
    </xf>
    <xf numFmtId="0" fontId="22" fillId="0" borderId="0" xfId="3" applyFont="1">
      <alignment vertical="center"/>
    </xf>
    <xf numFmtId="0" fontId="23" fillId="0" borderId="0" xfId="3" applyFont="1" applyAlignment="1">
      <alignment vertical="center" wrapText="1"/>
    </xf>
    <xf numFmtId="176" fontId="10" fillId="0" borderId="0" xfId="1" applyNumberFormat="1" applyFont="1">
      <alignment vertical="center"/>
    </xf>
    <xf numFmtId="176" fontId="10" fillId="0" borderId="0" xfId="1" applyNumberFormat="1" applyFont="1" applyAlignment="1">
      <alignment horizontal="center" vertical="center"/>
    </xf>
    <xf numFmtId="176" fontId="10" fillId="0" borderId="0" xfId="4" applyNumberFormat="1" applyFont="1">
      <alignment vertical="center"/>
    </xf>
    <xf numFmtId="181" fontId="4" fillId="0" borderId="0" xfId="3" applyNumberFormat="1" applyFont="1" applyAlignment="1">
      <alignment horizontal="left" vertical="center"/>
    </xf>
    <xf numFmtId="0" fontId="21" fillId="0" borderId="2" xfId="3" applyFont="1" applyBorder="1">
      <alignment vertical="center"/>
    </xf>
    <xf numFmtId="0" fontId="24" fillId="0" borderId="0" xfId="3" applyFont="1">
      <alignment vertical="center"/>
    </xf>
    <xf numFmtId="0" fontId="27" fillId="0" borderId="0" xfId="3" applyFont="1">
      <alignment vertical="center"/>
    </xf>
    <xf numFmtId="0" fontId="27" fillId="0" borderId="0" xfId="3" applyFont="1" applyAlignment="1">
      <alignment vertical="center" wrapText="1"/>
    </xf>
    <xf numFmtId="0" fontId="23" fillId="3" borderId="30" xfId="3" applyFont="1" applyFill="1" applyBorder="1" applyAlignment="1">
      <alignment horizontal="center" vertical="center"/>
    </xf>
    <xf numFmtId="0" fontId="23" fillId="3" borderId="31" xfId="3" applyFont="1" applyFill="1" applyBorder="1" applyAlignment="1">
      <alignment horizontal="center" vertical="center"/>
    </xf>
    <xf numFmtId="0" fontId="21" fillId="3" borderId="31" xfId="5" applyFont="1" applyFill="1" applyBorder="1" applyAlignment="1">
      <alignment horizontal="center" vertical="center"/>
    </xf>
    <xf numFmtId="40" fontId="23" fillId="0" borderId="31" xfId="4" applyNumberFormat="1" applyFont="1" applyFill="1" applyBorder="1" applyAlignment="1">
      <alignment horizontal="center" vertical="center"/>
    </xf>
    <xf numFmtId="176" fontId="23" fillId="3" borderId="31" xfId="1" applyNumberFormat="1" applyFont="1" applyFill="1" applyBorder="1" applyAlignment="1">
      <alignment horizontal="right" vertical="center"/>
    </xf>
    <xf numFmtId="176" fontId="23" fillId="3" borderId="31" xfId="4" applyNumberFormat="1" applyFont="1" applyFill="1" applyBorder="1" applyAlignment="1">
      <alignment horizontal="center" vertical="center"/>
    </xf>
    <xf numFmtId="0" fontId="29" fillId="0" borderId="0" xfId="3" applyFont="1">
      <alignment vertical="center"/>
    </xf>
    <xf numFmtId="0" fontId="30" fillId="0" borderId="0" xfId="3" applyFont="1" applyAlignment="1">
      <alignment vertical="center" wrapText="1"/>
    </xf>
    <xf numFmtId="0" fontId="30" fillId="0" borderId="0" xfId="3" applyFont="1">
      <alignment vertical="center"/>
    </xf>
    <xf numFmtId="40" fontId="21" fillId="0" borderId="34" xfId="4" applyNumberFormat="1" applyFont="1" applyFill="1" applyBorder="1" applyAlignment="1">
      <alignment horizontal="right" vertical="center"/>
    </xf>
    <xf numFmtId="181" fontId="21" fillId="0" borderId="35" xfId="4" applyNumberFormat="1" applyFont="1" applyBorder="1" applyAlignment="1">
      <alignment horizontal="left" vertical="center"/>
    </xf>
    <xf numFmtId="0" fontId="11" fillId="0" borderId="0" xfId="3" applyFont="1" applyAlignment="1">
      <alignment horizontal="left" vertical="center" wrapText="1"/>
    </xf>
    <xf numFmtId="0" fontId="31" fillId="0" borderId="0" xfId="3" applyFont="1" applyAlignment="1">
      <alignment vertical="center" wrapText="1"/>
    </xf>
    <xf numFmtId="0" fontId="31" fillId="0" borderId="0" xfId="3" applyFont="1">
      <alignment vertical="center"/>
    </xf>
    <xf numFmtId="0" fontId="32" fillId="0" borderId="0" xfId="3" applyFont="1" applyAlignment="1">
      <alignment horizontal="left" vertical="center" wrapText="1"/>
    </xf>
    <xf numFmtId="176" fontId="4" fillId="0" borderId="0" xfId="1" applyNumberFormat="1" applyFont="1" applyBorder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38" fontId="4" fillId="0" borderId="0" xfId="4" applyNumberFormat="1" applyFont="1" applyBorder="1" applyAlignment="1">
      <alignment horizontal="center" vertical="center"/>
    </xf>
    <xf numFmtId="181" fontId="4" fillId="0" borderId="0" xfId="3" applyNumberFormat="1" applyFont="1" applyAlignment="1">
      <alignment horizontal="center" vertical="center"/>
    </xf>
    <xf numFmtId="182" fontId="4" fillId="0" borderId="0" xfId="6" applyNumberFormat="1" applyFont="1" applyAlignment="1">
      <alignment horizontal="center" vertical="center"/>
      <protection locked="0"/>
    </xf>
    <xf numFmtId="176" fontId="4" fillId="0" borderId="0" xfId="1" applyNumberFormat="1" applyFont="1" applyBorder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38" fontId="4" fillId="0" borderId="0" xfId="4" applyNumberFormat="1" applyFont="1" applyBorder="1" applyAlignment="1">
      <alignment horizontal="left" vertical="center"/>
    </xf>
    <xf numFmtId="176" fontId="34" fillId="0" borderId="0" xfId="1" applyNumberFormat="1" applyFont="1" applyAlignment="1">
      <alignment horizontal="center" vertical="center"/>
    </xf>
    <xf numFmtId="183" fontId="4" fillId="0" borderId="0" xfId="3" applyNumberFormat="1" applyFont="1" applyAlignment="1">
      <alignment horizontal="center" vertical="center"/>
    </xf>
    <xf numFmtId="181" fontId="34" fillId="0" borderId="0" xfId="3" applyNumberFormat="1" applyFont="1" applyAlignment="1">
      <alignment horizontal="center" vertical="center"/>
    </xf>
    <xf numFmtId="181" fontId="34" fillId="0" borderId="0" xfId="3" applyNumberFormat="1" applyFont="1" applyAlignment="1">
      <alignment horizontal="left" vertical="center"/>
    </xf>
    <xf numFmtId="0" fontId="19" fillId="0" borderId="0" xfId="3" applyFont="1">
      <alignment vertical="center"/>
    </xf>
    <xf numFmtId="0" fontId="19" fillId="0" borderId="0" xfId="3" applyFont="1" applyAlignment="1">
      <alignment horizontal="center" vertical="center"/>
    </xf>
    <xf numFmtId="176" fontId="19" fillId="0" borderId="0" xfId="1" applyNumberFormat="1" applyFont="1" applyBorder="1">
      <alignment vertical="center"/>
    </xf>
    <xf numFmtId="176" fontId="19" fillId="0" borderId="0" xfId="1" applyNumberFormat="1" applyFont="1">
      <alignment vertical="center"/>
    </xf>
    <xf numFmtId="176" fontId="19" fillId="0" borderId="0" xfId="4" applyNumberFormat="1" applyFont="1" applyBorder="1">
      <alignment vertical="center"/>
    </xf>
    <xf numFmtId="181" fontId="19" fillId="0" borderId="0" xfId="3" applyNumberFormat="1" applyFont="1">
      <alignment vertical="center"/>
    </xf>
    <xf numFmtId="181" fontId="19" fillId="0" borderId="0" xfId="3" applyNumberFormat="1" applyFont="1" applyAlignment="1">
      <alignment horizontal="left" vertical="center"/>
    </xf>
    <xf numFmtId="176" fontId="19" fillId="0" borderId="0" xfId="4" applyNumberFormat="1" applyFont="1">
      <alignment vertical="center"/>
    </xf>
    <xf numFmtId="0" fontId="15" fillId="0" borderId="0" xfId="3" applyFont="1" applyAlignment="1">
      <alignment vertical="center" wrapText="1"/>
    </xf>
    <xf numFmtId="0" fontId="10" fillId="0" borderId="0" xfId="3" applyFont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3" applyFont="1" applyAlignment="1">
      <alignment vertical="center" wrapText="1"/>
    </xf>
    <xf numFmtId="41" fontId="23" fillId="0" borderId="0" xfId="4" applyFont="1">
      <alignment vertical="center"/>
    </xf>
    <xf numFmtId="0" fontId="12" fillId="0" borderId="0" xfId="3" applyFont="1" applyAlignment="1">
      <alignment vertical="center" wrapText="1"/>
    </xf>
    <xf numFmtId="0" fontId="24" fillId="0" borderId="1" xfId="3" applyFont="1" applyBorder="1">
      <alignment vertical="center"/>
    </xf>
    <xf numFmtId="0" fontId="22" fillId="0" borderId="3" xfId="3" applyFont="1" applyBorder="1">
      <alignment vertical="center"/>
    </xf>
    <xf numFmtId="41" fontId="23" fillId="0" borderId="0" xfId="4" applyFont="1" applyFill="1" applyBorder="1">
      <alignment vertical="center"/>
    </xf>
    <xf numFmtId="0" fontId="24" fillId="0" borderId="6" xfId="3" applyFont="1" applyBorder="1">
      <alignment vertical="center"/>
    </xf>
    <xf numFmtId="0" fontId="25" fillId="0" borderId="5" xfId="3" applyFont="1" applyBorder="1">
      <alignment vertical="center"/>
    </xf>
    <xf numFmtId="41" fontId="26" fillId="0" borderId="0" xfId="4" applyFont="1" applyFill="1" applyBorder="1">
      <alignment vertical="center"/>
    </xf>
    <xf numFmtId="0" fontId="27" fillId="0" borderId="31" xfId="3" applyFont="1" applyBorder="1" applyAlignment="1">
      <alignment horizontal="center" vertical="center" wrapText="1"/>
    </xf>
    <xf numFmtId="176" fontId="27" fillId="0" borderId="31" xfId="1" applyNumberFormat="1" applyFont="1" applyBorder="1" applyAlignment="1">
      <alignment horizontal="center" vertical="center" wrapText="1"/>
    </xf>
    <xf numFmtId="0" fontId="23" fillId="3" borderId="31" xfId="5" applyFont="1" applyFill="1" applyBorder="1" applyAlignment="1">
      <alignment horizontal="center" vertical="center"/>
    </xf>
    <xf numFmtId="176" fontId="23" fillId="0" borderId="31" xfId="1" applyNumberFormat="1" applyFont="1" applyBorder="1">
      <alignment vertical="center"/>
    </xf>
    <xf numFmtId="176" fontId="23" fillId="3" borderId="32" xfId="1" applyNumberFormat="1" applyFont="1" applyFill="1" applyBorder="1" applyAlignment="1">
      <alignment horizontal="left" vertical="center"/>
    </xf>
    <xf numFmtId="0" fontId="23" fillId="0" borderId="0" xfId="3" applyFont="1" applyAlignment="1">
      <alignment horizontal="left" vertical="center" wrapText="1"/>
    </xf>
    <xf numFmtId="0" fontId="21" fillId="4" borderId="30" xfId="3" applyFont="1" applyFill="1" applyBorder="1" applyAlignment="1">
      <alignment horizontal="center" vertical="center"/>
    </xf>
    <xf numFmtId="0" fontId="21" fillId="4" borderId="31" xfId="5" applyFont="1" applyFill="1" applyBorder="1" applyAlignment="1">
      <alignment horizontal="center" vertical="center"/>
    </xf>
    <xf numFmtId="40" fontId="21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/>
    </xf>
    <xf numFmtId="176" fontId="21" fillId="4" borderId="31" xfId="1" applyNumberFormat="1" applyFont="1" applyFill="1" applyBorder="1" applyAlignment="1">
      <alignment horizontal="center" vertical="center"/>
    </xf>
    <xf numFmtId="176" fontId="21" fillId="4" borderId="31" xfId="4" applyNumberFormat="1" applyFont="1" applyFill="1" applyBorder="1" applyAlignment="1">
      <alignment horizontal="center" vertical="center"/>
    </xf>
    <xf numFmtId="176" fontId="21" fillId="4" borderId="32" xfId="4" applyNumberFormat="1" applyFont="1" applyFill="1" applyBorder="1" applyAlignment="1">
      <alignment horizontal="left" vertical="center"/>
    </xf>
    <xf numFmtId="0" fontId="21" fillId="0" borderId="0" xfId="3" applyFont="1" applyAlignment="1">
      <alignment vertical="center" wrapText="1"/>
    </xf>
    <xf numFmtId="0" fontId="21" fillId="0" borderId="0" xfId="3" applyFont="1" applyAlignment="1">
      <alignment horizontal="left" vertical="center" wrapText="1"/>
    </xf>
    <xf numFmtId="0" fontId="37" fillId="0" borderId="0" xfId="3" applyFont="1" applyAlignment="1">
      <alignment vertical="center" wrapText="1"/>
    </xf>
    <xf numFmtId="0" fontId="37" fillId="0" borderId="0" xfId="3" applyFont="1">
      <alignment vertical="center"/>
    </xf>
    <xf numFmtId="0" fontId="21" fillId="4" borderId="31" xfId="3" applyFont="1" applyFill="1" applyBorder="1" applyAlignment="1">
      <alignment horizontal="left" vertical="center"/>
    </xf>
    <xf numFmtId="0" fontId="21" fillId="0" borderId="34" xfId="3" applyFont="1" applyBorder="1" applyAlignment="1">
      <alignment horizontal="center" vertical="center"/>
    </xf>
    <xf numFmtId="176" fontId="21" fillId="0" borderId="34" xfId="1" applyNumberFormat="1" applyFont="1" applyBorder="1" applyAlignment="1">
      <alignment horizontal="right" vertical="center"/>
    </xf>
    <xf numFmtId="176" fontId="21" fillId="0" borderId="34" xfId="4" applyNumberFormat="1" applyFont="1" applyBorder="1" applyAlignment="1">
      <alignment horizontal="center" vertical="center"/>
    </xf>
    <xf numFmtId="0" fontId="4" fillId="0" borderId="0" xfId="3" applyFont="1" applyAlignment="1">
      <alignment horizontal="left" vertical="center" wrapText="1"/>
    </xf>
    <xf numFmtId="0" fontId="38" fillId="0" borderId="0" xfId="3" applyFont="1" applyAlignment="1">
      <alignment horizontal="left" vertical="center"/>
    </xf>
    <xf numFmtId="0" fontId="15" fillId="0" borderId="0" xfId="3" applyFont="1" applyAlignment="1">
      <alignment horizontal="left" vertical="center" wrapText="1"/>
    </xf>
    <xf numFmtId="176" fontId="19" fillId="0" borderId="0" xfId="1" applyNumberFormat="1" applyFont="1" applyBorder="1" applyAlignment="1">
      <alignment horizontal="center" vertical="center"/>
    </xf>
    <xf numFmtId="176" fontId="19" fillId="0" borderId="0" xfId="1" applyNumberFormat="1" applyFont="1" applyAlignment="1">
      <alignment horizontal="center" vertical="center"/>
    </xf>
    <xf numFmtId="176" fontId="15" fillId="0" borderId="0" xfId="1" applyNumberFormat="1" applyFont="1">
      <alignment vertical="center"/>
    </xf>
    <xf numFmtId="176" fontId="7" fillId="0" borderId="0" xfId="1" applyNumberFormat="1" applyFont="1" applyAlignment="1">
      <alignment horizontal="center" vertical="center"/>
    </xf>
    <xf numFmtId="176" fontId="36" fillId="0" borderId="31" xfId="1" applyNumberFormat="1" applyFont="1" applyFill="1" applyBorder="1" applyAlignment="1">
      <alignment horizontal="center" vertical="center"/>
    </xf>
    <xf numFmtId="176" fontId="21" fillId="0" borderId="34" xfId="1" applyNumberFormat="1" applyFont="1" applyFill="1" applyBorder="1" applyAlignment="1">
      <alignment horizontal="right" vertical="center"/>
    </xf>
    <xf numFmtId="0" fontId="0" fillId="3" borderId="0" xfId="0" applyFill="1">
      <alignment vertical="center"/>
    </xf>
    <xf numFmtId="0" fontId="39" fillId="3" borderId="0" xfId="0" applyFont="1" applyFill="1">
      <alignment vertical="center"/>
    </xf>
    <xf numFmtId="0" fontId="40" fillId="3" borderId="0" xfId="0" applyFont="1" applyFill="1">
      <alignment vertical="center"/>
    </xf>
    <xf numFmtId="0" fontId="39" fillId="3" borderId="8" xfId="0" applyFont="1" applyFill="1" applyBorder="1">
      <alignment vertical="center"/>
    </xf>
    <xf numFmtId="0" fontId="39" fillId="3" borderId="7" xfId="0" applyFont="1" applyFill="1" applyBorder="1">
      <alignment vertical="center"/>
    </xf>
    <xf numFmtId="0" fontId="40" fillId="3" borderId="7" xfId="0" applyFont="1" applyFill="1" applyBorder="1">
      <alignment vertical="center"/>
    </xf>
    <xf numFmtId="0" fontId="40" fillId="3" borderId="6" xfId="0" applyFont="1" applyFill="1" applyBorder="1">
      <alignment vertical="center"/>
    </xf>
    <xf numFmtId="0" fontId="39" fillId="3" borderId="3" xfId="0" applyFont="1" applyFill="1" applyBorder="1">
      <alignment vertical="center"/>
    </xf>
    <xf numFmtId="0" fontId="39" fillId="3" borderId="2" xfId="0" applyFont="1" applyFill="1" applyBorder="1">
      <alignment vertical="center"/>
    </xf>
    <xf numFmtId="0" fontId="40" fillId="3" borderId="2" xfId="0" applyFont="1" applyFill="1" applyBorder="1">
      <alignment vertical="center"/>
    </xf>
    <xf numFmtId="0" fontId="40" fillId="3" borderId="1" xfId="0" applyFont="1" applyFill="1" applyBorder="1">
      <alignment vertical="center"/>
    </xf>
    <xf numFmtId="0" fontId="43" fillId="3" borderId="0" xfId="0" applyFont="1" applyFill="1">
      <alignment vertical="center"/>
    </xf>
    <xf numFmtId="0" fontId="40" fillId="3" borderId="5" xfId="0" applyFont="1" applyFill="1" applyBorder="1">
      <alignment vertical="center"/>
    </xf>
    <xf numFmtId="0" fontId="7" fillId="3" borderId="0" xfId="0" applyFont="1" applyFill="1">
      <alignment vertical="center"/>
    </xf>
    <xf numFmtId="0" fontId="7" fillId="3" borderId="0" xfId="0" applyFont="1" applyFill="1" applyAlignment="1">
      <alignment horizontal="left" vertical="center"/>
    </xf>
    <xf numFmtId="0" fontId="7" fillId="3" borderId="4" xfId="0" applyFont="1" applyFill="1" applyBorder="1">
      <alignment vertical="center"/>
    </xf>
    <xf numFmtId="0" fontId="44" fillId="3" borderId="0" xfId="0" applyFont="1" applyFill="1">
      <alignment vertical="center"/>
    </xf>
    <xf numFmtId="0" fontId="45" fillId="3" borderId="0" xfId="0" applyFont="1" applyFill="1">
      <alignment vertical="center"/>
    </xf>
    <xf numFmtId="0" fontId="7" fillId="3" borderId="0" xfId="0" applyFont="1" applyFill="1" applyAlignment="1">
      <alignment vertical="center" wrapText="1"/>
    </xf>
    <xf numFmtId="0" fontId="47" fillId="3" borderId="4" xfId="0" applyFont="1" applyFill="1" applyBorder="1">
      <alignment vertical="center"/>
    </xf>
    <xf numFmtId="176" fontId="7" fillId="3" borderId="0" xfId="7" applyNumberFormat="1" applyFont="1" applyFill="1" applyAlignment="1">
      <alignment horizontal="center" vertical="center"/>
    </xf>
    <xf numFmtId="176" fontId="7" fillId="3" borderId="0" xfId="7" applyNumberFormat="1" applyFont="1" applyFill="1" applyAlignment="1">
      <alignment horizontal="right" vertical="center"/>
    </xf>
    <xf numFmtId="176" fontId="7" fillId="3" borderId="0" xfId="1" applyNumberFormat="1" applyFont="1" applyFill="1">
      <alignment vertical="center"/>
    </xf>
    <xf numFmtId="40" fontId="7" fillId="0" borderId="0" xfId="0" applyNumberFormat="1" applyFont="1">
      <alignment vertical="center"/>
    </xf>
    <xf numFmtId="0" fontId="7" fillId="0" borderId="0" xfId="0" applyFont="1">
      <alignment vertical="center"/>
    </xf>
    <xf numFmtId="0" fontId="40" fillId="0" borderId="5" xfId="0" applyFont="1" applyBorder="1">
      <alignment vertical="center"/>
    </xf>
    <xf numFmtId="0" fontId="40" fillId="0" borderId="0" xfId="0" applyFont="1">
      <alignment vertical="center"/>
    </xf>
    <xf numFmtId="0" fontId="7" fillId="0" borderId="4" xfId="0" applyFont="1" applyBorder="1">
      <alignment vertical="center"/>
    </xf>
    <xf numFmtId="0" fontId="49" fillId="3" borderId="0" xfId="0" applyFont="1" applyFill="1">
      <alignment vertical="center"/>
    </xf>
    <xf numFmtId="0" fontId="7" fillId="3" borderId="5" xfId="0" applyFont="1" applyFill="1" applyBorder="1" applyAlignment="1">
      <alignment vertical="center" wrapText="1"/>
    </xf>
    <xf numFmtId="0" fontId="47" fillId="3" borderId="4" xfId="0" applyFont="1" applyFill="1" applyBorder="1" applyAlignment="1">
      <alignment horizontal="left" vertical="center"/>
    </xf>
    <xf numFmtId="0" fontId="39" fillId="3" borderId="5" xfId="0" applyFont="1" applyFill="1" applyBorder="1">
      <alignment vertical="center"/>
    </xf>
    <xf numFmtId="0" fontId="40" fillId="3" borderId="4" xfId="0" applyFont="1" applyFill="1" applyBorder="1">
      <alignment vertical="center"/>
    </xf>
    <xf numFmtId="0" fontId="9" fillId="0" borderId="0" xfId="3" applyFont="1" applyAlignment="1">
      <alignment horizontal="left" vertical="center"/>
    </xf>
    <xf numFmtId="41" fontId="4" fillId="0" borderId="0" xfId="1" applyFont="1">
      <alignment vertical="center"/>
    </xf>
    <xf numFmtId="0" fontId="50" fillId="0" borderId="0" xfId="3" applyFont="1">
      <alignment vertical="center"/>
    </xf>
    <xf numFmtId="0" fontId="8" fillId="0" borderId="0" xfId="3" applyFont="1">
      <alignment vertical="center"/>
    </xf>
    <xf numFmtId="41" fontId="8" fillId="0" borderId="0" xfId="1" applyFont="1">
      <alignment vertical="center"/>
    </xf>
    <xf numFmtId="0" fontId="8" fillId="0" borderId="0" xfId="3" applyFont="1" applyAlignment="1">
      <alignment horizontal="right" vertical="center"/>
    </xf>
    <xf numFmtId="0" fontId="19" fillId="0" borderId="0" xfId="3" applyFont="1" applyAlignment="1">
      <alignment horizontal="right" vertical="center"/>
    </xf>
    <xf numFmtId="0" fontId="39" fillId="0" borderId="27" xfId="3" applyFont="1" applyBorder="1" applyAlignment="1">
      <alignment horizontal="center" vertical="center"/>
    </xf>
    <xf numFmtId="0" fontId="39" fillId="0" borderId="28" xfId="3" applyFont="1" applyBorder="1" applyAlignment="1">
      <alignment horizontal="center" vertical="center" wrapText="1"/>
    </xf>
    <xf numFmtId="41" fontId="39" fillId="0" borderId="28" xfId="1" applyFont="1" applyBorder="1" applyAlignment="1">
      <alignment horizontal="center" vertical="center" wrapText="1"/>
    </xf>
    <xf numFmtId="9" fontId="39" fillId="0" borderId="28" xfId="3" applyNumberFormat="1" applyFont="1" applyBorder="1" applyAlignment="1">
      <alignment horizontal="center" vertical="center" wrapText="1"/>
    </xf>
    <xf numFmtId="0" fontId="39" fillId="0" borderId="29" xfId="3" applyFont="1" applyBorder="1" applyAlignment="1">
      <alignment horizontal="center" vertical="center" wrapText="1"/>
    </xf>
    <xf numFmtId="0" fontId="51" fillId="0" borderId="0" xfId="3" applyFont="1">
      <alignment vertical="center"/>
    </xf>
    <xf numFmtId="0" fontId="39" fillId="0" borderId="30" xfId="3" applyFont="1" applyBorder="1" applyAlignment="1">
      <alignment horizontal="center" vertical="center"/>
    </xf>
    <xf numFmtId="0" fontId="39" fillId="0" borderId="31" xfId="3" applyFont="1" applyBorder="1" applyAlignment="1">
      <alignment horizontal="center" vertical="center"/>
    </xf>
    <xf numFmtId="40" fontId="39" fillId="0" borderId="31" xfId="3" applyNumberFormat="1" applyFont="1" applyBorder="1" applyAlignment="1">
      <alignment horizontal="center" vertical="center" wrapText="1"/>
    </xf>
    <xf numFmtId="0" fontId="39" fillId="0" borderId="31" xfId="3" applyFont="1" applyBorder="1" applyAlignment="1">
      <alignment horizontal="center" vertical="center" wrapText="1"/>
    </xf>
    <xf numFmtId="41" fontId="39" fillId="0" borderId="31" xfId="3" quotePrefix="1" applyNumberFormat="1" applyFont="1" applyBorder="1" applyAlignment="1">
      <alignment horizontal="center" vertical="center" wrapText="1"/>
    </xf>
    <xf numFmtId="180" fontId="39" fillId="0" borderId="31" xfId="1" applyNumberFormat="1" applyFont="1" applyFill="1" applyBorder="1" applyAlignment="1">
      <alignment horizontal="center" vertical="center" wrapText="1"/>
    </xf>
    <xf numFmtId="176" fontId="39" fillId="0" borderId="31" xfId="4" applyNumberFormat="1" applyFont="1" applyFill="1" applyBorder="1" applyAlignment="1">
      <alignment horizontal="center" vertical="center" wrapText="1"/>
    </xf>
    <xf numFmtId="40" fontId="39" fillId="0" borderId="31" xfId="4" applyNumberFormat="1" applyFont="1" applyBorder="1" applyAlignment="1">
      <alignment horizontal="center" vertical="center"/>
    </xf>
    <xf numFmtId="184" fontId="39" fillId="0" borderId="32" xfId="4" applyNumberFormat="1" applyFont="1" applyBorder="1" applyAlignment="1">
      <alignment horizontal="center" vertical="center"/>
    </xf>
    <xf numFmtId="0" fontId="20" fillId="0" borderId="33" xfId="3" applyFont="1" applyBorder="1">
      <alignment vertical="center"/>
    </xf>
    <xf numFmtId="0" fontId="20" fillId="0" borderId="34" xfId="3" applyFont="1" applyBorder="1">
      <alignment vertical="center"/>
    </xf>
    <xf numFmtId="176" fontId="50" fillId="0" borderId="34" xfId="3" applyNumberFormat="1" applyFont="1" applyBorder="1" applyAlignment="1">
      <alignment horizontal="center" vertical="center"/>
    </xf>
    <xf numFmtId="176" fontId="50" fillId="0" borderId="34" xfId="4" applyNumberFormat="1" applyFont="1" applyFill="1" applyBorder="1" applyAlignment="1">
      <alignment horizontal="center" vertical="center"/>
    </xf>
    <xf numFmtId="40" fontId="39" fillId="0" borderId="34" xfId="4" applyNumberFormat="1" applyFont="1" applyBorder="1">
      <alignment vertical="center"/>
    </xf>
    <xf numFmtId="38" fontId="39" fillId="0" borderId="35" xfId="4" applyNumberFormat="1" applyFont="1" applyBorder="1" applyAlignment="1">
      <alignment horizontal="center" vertical="center"/>
    </xf>
    <xf numFmtId="41" fontId="19" fillId="0" borderId="0" xfId="1" applyFont="1">
      <alignment vertical="center"/>
    </xf>
    <xf numFmtId="40" fontId="10" fillId="0" borderId="0" xfId="4" applyNumberFormat="1" applyFont="1" applyBorder="1">
      <alignment vertical="center"/>
    </xf>
    <xf numFmtId="40" fontId="10" fillId="0" borderId="0" xfId="4" applyNumberFormat="1" applyFont="1">
      <alignment vertical="center"/>
    </xf>
    <xf numFmtId="0" fontId="21" fillId="4" borderId="34" xfId="3" applyFont="1" applyFill="1" applyBorder="1" applyAlignment="1">
      <alignment horizontal="center" vertical="center"/>
    </xf>
    <xf numFmtId="0" fontId="52" fillId="0" borderId="3" xfId="3" applyFont="1" applyBorder="1">
      <alignment vertical="center"/>
    </xf>
    <xf numFmtId="0" fontId="53" fillId="0" borderId="0" xfId="0" applyFont="1">
      <alignment vertical="center"/>
    </xf>
    <xf numFmtId="0" fontId="52" fillId="0" borderId="4" xfId="3" applyFont="1" applyBorder="1">
      <alignment vertical="center"/>
    </xf>
    <xf numFmtId="0" fontId="52" fillId="0" borderId="0" xfId="3" applyFont="1">
      <alignment vertical="center"/>
    </xf>
    <xf numFmtId="0" fontId="52" fillId="0" borderId="5" xfId="3" applyFont="1" applyBorder="1">
      <alignment vertical="center"/>
    </xf>
    <xf numFmtId="0" fontId="55" fillId="0" borderId="6" xfId="3" applyFont="1" applyBorder="1">
      <alignment vertical="center"/>
    </xf>
    <xf numFmtId="0" fontId="52" fillId="0" borderId="7" xfId="3" applyFont="1" applyBorder="1">
      <alignment vertical="center"/>
    </xf>
    <xf numFmtId="0" fontId="52" fillId="0" borderId="8" xfId="3" applyFont="1" applyBorder="1">
      <alignment vertical="center"/>
    </xf>
    <xf numFmtId="0" fontId="56" fillId="0" borderId="1" xfId="3" applyFont="1" applyBorder="1">
      <alignment vertical="center"/>
    </xf>
    <xf numFmtId="0" fontId="57" fillId="0" borderId="2" xfId="3" applyFont="1" applyBorder="1">
      <alignment vertical="center"/>
    </xf>
    <xf numFmtId="0" fontId="57" fillId="0" borderId="9" xfId="3" applyFont="1" applyBorder="1">
      <alignment vertical="center"/>
    </xf>
    <xf numFmtId="0" fontId="56" fillId="0" borderId="2" xfId="3" applyFont="1" applyBorder="1">
      <alignment vertical="center"/>
    </xf>
    <xf numFmtId="0" fontId="57" fillId="0" borderId="3" xfId="3" applyFont="1" applyBorder="1">
      <alignment vertical="center"/>
    </xf>
    <xf numFmtId="0" fontId="57" fillId="0" borderId="4" xfId="3" applyFont="1" applyBorder="1">
      <alignment vertical="center"/>
    </xf>
    <xf numFmtId="0" fontId="56" fillId="0" borderId="0" xfId="3" applyFont="1">
      <alignment vertical="center"/>
    </xf>
    <xf numFmtId="0" fontId="57" fillId="0" borderId="0" xfId="3" applyFont="1">
      <alignment vertical="center"/>
    </xf>
    <xf numFmtId="0" fontId="56" fillId="0" borderId="10" xfId="3" applyFont="1" applyBorder="1">
      <alignment vertical="center"/>
    </xf>
    <xf numFmtId="0" fontId="56" fillId="0" borderId="11" xfId="3" applyFont="1" applyBorder="1">
      <alignment vertical="center"/>
    </xf>
    <xf numFmtId="0" fontId="57" fillId="0" borderId="12" xfId="3" applyFont="1" applyBorder="1">
      <alignment vertical="center"/>
    </xf>
    <xf numFmtId="0" fontId="57" fillId="0" borderId="13" xfId="3" applyFont="1" applyBorder="1">
      <alignment vertical="center"/>
    </xf>
    <xf numFmtId="0" fontId="57" fillId="0" borderId="10" xfId="3" applyFont="1" applyBorder="1">
      <alignment vertical="center"/>
    </xf>
    <xf numFmtId="0" fontId="57" fillId="0" borderId="5" xfId="3" applyFont="1" applyBorder="1">
      <alignment vertical="center"/>
    </xf>
    <xf numFmtId="0" fontId="57" fillId="0" borderId="15" xfId="3" applyFont="1" applyBorder="1">
      <alignment vertical="center"/>
    </xf>
    <xf numFmtId="0" fontId="57" fillId="0" borderId="16" xfId="3" applyFont="1" applyBorder="1">
      <alignment vertical="center"/>
    </xf>
    <xf numFmtId="0" fontId="56" fillId="0" borderId="4" xfId="3" applyFont="1" applyBorder="1">
      <alignment vertical="center"/>
    </xf>
    <xf numFmtId="0" fontId="56" fillId="0" borderId="0" xfId="3" applyFont="1" applyAlignment="1">
      <alignment horizontal="left" vertical="center"/>
    </xf>
    <xf numFmtId="0" fontId="59" fillId="0" borderId="12" xfId="0" applyFont="1" applyBorder="1">
      <alignment vertical="center"/>
    </xf>
    <xf numFmtId="0" fontId="59" fillId="0" borderId="0" xfId="0" applyFont="1">
      <alignment vertical="center"/>
    </xf>
    <xf numFmtId="176" fontId="56" fillId="0" borderId="0" xfId="4" applyNumberFormat="1" applyFont="1" applyFill="1" applyBorder="1" applyAlignment="1">
      <alignment vertical="center"/>
    </xf>
    <xf numFmtId="176" fontId="56" fillId="0" borderId="0" xfId="1" applyNumberFormat="1" applyFont="1" applyFill="1" applyBorder="1" applyAlignment="1">
      <alignment vertical="center"/>
    </xf>
    <xf numFmtId="0" fontId="60" fillId="0" borderId="17" xfId="3" applyFont="1" applyBorder="1" applyAlignment="1"/>
    <xf numFmtId="0" fontId="60" fillId="0" borderId="17" xfId="3" applyFont="1" applyBorder="1">
      <alignment vertical="center"/>
    </xf>
    <xf numFmtId="0" fontId="61" fillId="0" borderId="0" xfId="3" applyFont="1" applyAlignment="1">
      <alignment horizontal="left" vertical="center"/>
    </xf>
    <xf numFmtId="0" fontId="60" fillId="0" borderId="0" xfId="3" applyFont="1">
      <alignment vertical="center"/>
    </xf>
    <xf numFmtId="0" fontId="62" fillId="0" borderId="0" xfId="3" applyFont="1">
      <alignment vertical="center"/>
    </xf>
    <xf numFmtId="0" fontId="56" fillId="0" borderId="18" xfId="3" applyFont="1" applyBorder="1">
      <alignment vertical="center"/>
    </xf>
    <xf numFmtId="0" fontId="57" fillId="0" borderId="14" xfId="3" applyFont="1" applyBorder="1">
      <alignment vertical="center"/>
    </xf>
    <xf numFmtId="0" fontId="57" fillId="0" borderId="19" xfId="3" applyFont="1" applyBorder="1">
      <alignment vertical="center"/>
    </xf>
    <xf numFmtId="0" fontId="56" fillId="0" borderId="0" xfId="3" applyFont="1" applyAlignment="1">
      <alignment vertical="top" wrapText="1"/>
    </xf>
    <xf numFmtId="0" fontId="56" fillId="0" borderId="5" xfId="3" applyFont="1" applyBorder="1" applyAlignment="1">
      <alignment vertical="top" wrapText="1"/>
    </xf>
    <xf numFmtId="0" fontId="56" fillId="0" borderId="14" xfId="3" applyFont="1" applyBorder="1">
      <alignment vertical="center"/>
    </xf>
    <xf numFmtId="15" fontId="57" fillId="0" borderId="0" xfId="3" applyNumberFormat="1" applyFont="1">
      <alignment vertical="center"/>
    </xf>
    <xf numFmtId="40" fontId="57" fillId="0" borderId="4" xfId="3" applyNumberFormat="1" applyFont="1" applyBorder="1">
      <alignment vertical="center"/>
    </xf>
    <xf numFmtId="0" fontId="56" fillId="0" borderId="7" xfId="3" applyFont="1" applyBorder="1">
      <alignment vertical="center"/>
    </xf>
    <xf numFmtId="0" fontId="56" fillId="0" borderId="16" xfId="3" applyFont="1" applyBorder="1">
      <alignment vertical="center"/>
    </xf>
    <xf numFmtId="179" fontId="57" fillId="0" borderId="0" xfId="4" applyNumberFormat="1" applyFont="1" applyFill="1" applyBorder="1" applyAlignment="1">
      <alignment vertical="center"/>
    </xf>
    <xf numFmtId="0" fontId="57" fillId="0" borderId="22" xfId="3" applyFont="1" applyBorder="1">
      <alignment vertical="center"/>
    </xf>
    <xf numFmtId="0" fontId="57" fillId="0" borderId="23" xfId="3" applyFont="1" applyBorder="1">
      <alignment vertical="center"/>
    </xf>
    <xf numFmtId="0" fontId="52" fillId="0" borderId="12" xfId="3" applyFont="1" applyBorder="1">
      <alignment vertical="center"/>
    </xf>
    <xf numFmtId="0" fontId="52" fillId="0" borderId="0" xfId="3" applyFont="1" applyAlignment="1">
      <alignment horizontal="centerContinuous" vertical="center"/>
    </xf>
    <xf numFmtId="0" fontId="52" fillId="0" borderId="6" xfId="3" applyFont="1" applyBorder="1">
      <alignment vertical="center"/>
    </xf>
    <xf numFmtId="0" fontId="56" fillId="0" borderId="6" xfId="3" applyFont="1" applyBorder="1" applyAlignment="1">
      <alignment horizontal="centerContinuous" vertical="center"/>
    </xf>
    <xf numFmtId="0" fontId="52" fillId="0" borderId="7" xfId="3" applyFont="1" applyBorder="1" applyAlignment="1">
      <alignment horizontal="centerContinuous" vertical="center"/>
    </xf>
    <xf numFmtId="0" fontId="52" fillId="0" borderId="8" xfId="3" applyFont="1" applyBorder="1" applyAlignment="1">
      <alignment horizontal="centerContinuous" vertical="center"/>
    </xf>
    <xf numFmtId="0" fontId="52" fillId="0" borderId="0" xfId="3" applyFont="1" applyAlignment="1">
      <alignment horizontal="left" vertical="center"/>
    </xf>
    <xf numFmtId="0" fontId="64" fillId="0" borderId="0" xfId="3" applyFont="1" applyAlignment="1">
      <alignment horizontal="right" vertical="center" wrapText="1"/>
    </xf>
    <xf numFmtId="0" fontId="64" fillId="0" borderId="0" xfId="0" applyFont="1" applyAlignment="1">
      <alignment horizontal="left" vertical="center"/>
    </xf>
    <xf numFmtId="0" fontId="65" fillId="0" borderId="0" xfId="3" applyFont="1">
      <alignment vertical="center"/>
    </xf>
    <xf numFmtId="0" fontId="64" fillId="0" borderId="0" xfId="3" applyFont="1" applyAlignment="1">
      <alignment vertical="center" wrapText="1"/>
    </xf>
    <xf numFmtId="0" fontId="66" fillId="0" borderId="0" xfId="3" applyFont="1">
      <alignment vertical="center"/>
    </xf>
    <xf numFmtId="0" fontId="67" fillId="0" borderId="0" xfId="3" applyFont="1" applyAlignment="1">
      <alignment vertical="center" wrapText="1"/>
    </xf>
    <xf numFmtId="0" fontId="68" fillId="0" borderId="0" xfId="3" applyFont="1">
      <alignment vertical="center"/>
    </xf>
    <xf numFmtId="0" fontId="68" fillId="0" borderId="0" xfId="3" applyFont="1" applyAlignment="1">
      <alignment horizontal="center" vertical="center"/>
    </xf>
    <xf numFmtId="0" fontId="54" fillId="0" borderId="0" xfId="3" applyFont="1" applyAlignment="1">
      <alignment horizontal="center" vertical="center"/>
    </xf>
    <xf numFmtId="0" fontId="69" fillId="0" borderId="0" xfId="3" applyFont="1">
      <alignment vertical="center"/>
    </xf>
    <xf numFmtId="0" fontId="65" fillId="0" borderId="0" xfId="3" applyFont="1" applyAlignment="1">
      <alignment vertical="center" wrapText="1"/>
    </xf>
    <xf numFmtId="0" fontId="57" fillId="0" borderId="0" xfId="3" applyFont="1" applyAlignment="1">
      <alignment horizontal="center" vertical="center"/>
    </xf>
    <xf numFmtId="176" fontId="57" fillId="0" borderId="0" xfId="1" applyNumberFormat="1" applyFont="1">
      <alignment vertical="center"/>
    </xf>
    <xf numFmtId="176" fontId="57" fillId="0" borderId="0" xfId="1" applyNumberFormat="1" applyFont="1" applyAlignment="1">
      <alignment horizontal="center" vertical="center"/>
    </xf>
    <xf numFmtId="176" fontId="57" fillId="0" borderId="0" xfId="4" applyNumberFormat="1" applyFont="1">
      <alignment vertical="center"/>
    </xf>
    <xf numFmtId="181" fontId="52" fillId="0" borderId="0" xfId="3" applyNumberFormat="1" applyFont="1" applyAlignment="1">
      <alignment horizontal="left" vertical="center"/>
    </xf>
    <xf numFmtId="0" fontId="68" fillId="0" borderId="1" xfId="3" applyFont="1" applyBorder="1">
      <alignment vertical="center"/>
    </xf>
    <xf numFmtId="0" fontId="68" fillId="0" borderId="2" xfId="3" applyFont="1" applyBorder="1">
      <alignment vertical="center"/>
    </xf>
    <xf numFmtId="0" fontId="69" fillId="0" borderId="2" xfId="3" applyFont="1" applyBorder="1">
      <alignment vertical="center"/>
    </xf>
    <xf numFmtId="0" fontId="65" fillId="0" borderId="3" xfId="3" applyFont="1" applyBorder="1" applyAlignment="1">
      <alignment vertical="center" wrapText="1"/>
    </xf>
    <xf numFmtId="0" fontId="68" fillId="0" borderId="4" xfId="3" applyFont="1" applyBorder="1">
      <alignment vertical="center"/>
    </xf>
    <xf numFmtId="0" fontId="70" fillId="0" borderId="0" xfId="3" applyFont="1">
      <alignment vertical="center"/>
    </xf>
    <xf numFmtId="0" fontId="71" fillId="0" borderId="0" xfId="3" applyFont="1">
      <alignment vertical="center"/>
    </xf>
    <xf numFmtId="0" fontId="72" fillId="0" borderId="5" xfId="3" applyFont="1" applyBorder="1" applyAlignment="1">
      <alignment vertical="center" wrapText="1"/>
    </xf>
    <xf numFmtId="0" fontId="73" fillId="0" borderId="0" xfId="3" applyFont="1">
      <alignment vertical="center"/>
    </xf>
    <xf numFmtId="0" fontId="73" fillId="0" borderId="0" xfId="3" applyFont="1" applyAlignment="1">
      <alignment vertical="center" wrapText="1"/>
    </xf>
    <xf numFmtId="0" fontId="65" fillId="0" borderId="31" xfId="3" applyFont="1" applyBorder="1" applyAlignment="1">
      <alignment horizontal="center" vertical="center" wrapText="1"/>
    </xf>
    <xf numFmtId="176" fontId="65" fillId="0" borderId="31" xfId="1" applyNumberFormat="1" applyFont="1" applyBorder="1" applyAlignment="1">
      <alignment horizontal="center" vertical="center" wrapText="1"/>
    </xf>
    <xf numFmtId="0" fontId="65" fillId="3" borderId="30" xfId="3" applyFont="1" applyFill="1" applyBorder="1" applyAlignment="1">
      <alignment horizontal="center" vertical="center"/>
    </xf>
    <xf numFmtId="0" fontId="65" fillId="3" borderId="31" xfId="3" applyFont="1" applyFill="1" applyBorder="1" applyAlignment="1">
      <alignment horizontal="center" vertical="center"/>
    </xf>
    <xf numFmtId="40" fontId="65" fillId="0" borderId="31" xfId="4" applyNumberFormat="1" applyFont="1" applyFill="1" applyBorder="1" applyAlignment="1">
      <alignment horizontal="center" vertical="center"/>
    </xf>
    <xf numFmtId="176" fontId="65" fillId="3" borderId="31" xfId="1" applyNumberFormat="1" applyFont="1" applyFill="1" applyBorder="1" applyAlignment="1">
      <alignment horizontal="right" vertical="center"/>
    </xf>
    <xf numFmtId="176" fontId="65" fillId="0" borderId="31" xfId="1" applyNumberFormat="1" applyFont="1" applyFill="1" applyBorder="1" applyAlignment="1">
      <alignment horizontal="center" vertical="center"/>
    </xf>
    <xf numFmtId="176" fontId="65" fillId="3" borderId="31" xfId="4" applyNumberFormat="1" applyFont="1" applyFill="1" applyBorder="1" applyAlignment="1">
      <alignment horizontal="center" vertical="center"/>
    </xf>
    <xf numFmtId="0" fontId="74" fillId="0" borderId="0" xfId="3" applyFont="1">
      <alignment vertical="center"/>
    </xf>
    <xf numFmtId="176" fontId="68" fillId="4" borderId="34" xfId="1" applyNumberFormat="1" applyFont="1" applyFill="1" applyBorder="1" applyAlignment="1">
      <alignment horizontal="right" vertical="center"/>
    </xf>
    <xf numFmtId="40" fontId="68" fillId="0" borderId="34" xfId="4" applyNumberFormat="1" applyFont="1" applyFill="1" applyBorder="1" applyAlignment="1">
      <alignment horizontal="right" vertical="center"/>
    </xf>
    <xf numFmtId="181" fontId="68" fillId="0" borderId="34" xfId="4" applyNumberFormat="1" applyFont="1" applyBorder="1" applyAlignment="1">
      <alignment horizontal="right" vertical="center"/>
    </xf>
    <xf numFmtId="181" fontId="68" fillId="0" borderId="34" xfId="4" applyNumberFormat="1" applyFont="1" applyBorder="1" applyAlignment="1">
      <alignment horizontal="left" vertical="center"/>
    </xf>
    <xf numFmtId="0" fontId="58" fillId="0" borderId="0" xfId="3" applyFont="1" applyAlignment="1">
      <alignment horizontal="left" vertical="center" wrapText="1"/>
    </xf>
    <xf numFmtId="0" fontId="55" fillId="0" borderId="0" xfId="3" applyFont="1" applyAlignment="1">
      <alignment vertical="center" wrapText="1"/>
    </xf>
    <xf numFmtId="0" fontId="57" fillId="0" borderId="0" xfId="0" applyFont="1">
      <alignment vertical="center"/>
    </xf>
    <xf numFmtId="0" fontId="56" fillId="0" borderId="17" xfId="3" applyFont="1" applyBorder="1" applyAlignment="1">
      <alignment vertical="top"/>
    </xf>
    <xf numFmtId="0" fontId="56" fillId="0" borderId="0" xfId="3" applyFont="1" applyAlignment="1">
      <alignment vertical="top"/>
    </xf>
    <xf numFmtId="0" fontId="56" fillId="0" borderId="5" xfId="3" applyFont="1" applyBorder="1" applyAlignment="1">
      <alignment vertical="top"/>
    </xf>
    <xf numFmtId="0" fontId="56" fillId="0" borderId="12" xfId="3" applyFont="1" applyBorder="1" applyAlignment="1">
      <alignment vertical="top" wrapText="1"/>
    </xf>
    <xf numFmtId="0" fontId="56" fillId="0" borderId="13" xfId="3" applyFont="1" applyBorder="1" applyAlignment="1">
      <alignment vertical="top" wrapText="1"/>
    </xf>
    <xf numFmtId="0" fontId="56" fillId="0" borderId="21" xfId="3" applyFont="1" applyBorder="1" applyAlignment="1">
      <alignment horizontal="center" vertical="center"/>
    </xf>
    <xf numFmtId="0" fontId="56" fillId="0" borderId="13" xfId="3" applyFont="1" applyBorder="1" applyAlignment="1">
      <alignment horizontal="center" vertical="center"/>
    </xf>
    <xf numFmtId="177" fontId="57" fillId="0" borderId="5" xfId="1" applyNumberFormat="1" applyFont="1" applyFill="1" applyBorder="1" applyAlignment="1">
      <alignment vertical="center"/>
    </xf>
    <xf numFmtId="180" fontId="56" fillId="0" borderId="0" xfId="3" applyNumberFormat="1" applyFont="1">
      <alignment vertical="center"/>
    </xf>
    <xf numFmtId="180" fontId="56" fillId="0" borderId="10" xfId="3" applyNumberFormat="1" applyFont="1" applyBorder="1">
      <alignment vertical="center"/>
    </xf>
    <xf numFmtId="179" fontId="57" fillId="0" borderId="10" xfId="4" applyNumberFormat="1" applyFont="1" applyFill="1" applyBorder="1" applyAlignment="1">
      <alignment vertical="center"/>
    </xf>
    <xf numFmtId="177" fontId="56" fillId="0" borderId="24" xfId="1" applyNumberFormat="1" applyFont="1" applyFill="1" applyBorder="1" applyAlignment="1">
      <alignment vertical="center"/>
    </xf>
    <xf numFmtId="40" fontId="23" fillId="0" borderId="31" xfId="4" applyNumberFormat="1" applyFont="1" applyFill="1" applyBorder="1" applyAlignment="1">
      <alignment horizontal="left" vertical="center"/>
    </xf>
    <xf numFmtId="40" fontId="21" fillId="4" borderId="31" xfId="4" applyNumberFormat="1" applyFont="1" applyFill="1" applyBorder="1" applyAlignment="1">
      <alignment horizontal="left" vertical="center"/>
    </xf>
    <xf numFmtId="0" fontId="75" fillId="3" borderId="31" xfId="3" quotePrefix="1" applyFont="1" applyFill="1" applyBorder="1" applyAlignment="1">
      <alignment horizontal="center" vertical="center"/>
    </xf>
    <xf numFmtId="180" fontId="4" fillId="0" borderId="0" xfId="4" applyNumberFormat="1" applyFont="1">
      <alignment vertical="center"/>
    </xf>
    <xf numFmtId="180" fontId="21" fillId="0" borderId="0" xfId="3" applyNumberFormat="1" applyFont="1" applyAlignment="1">
      <alignment horizontal="center" vertical="center"/>
    </xf>
    <xf numFmtId="180" fontId="23" fillId="0" borderId="0" xfId="3" applyNumberFormat="1" applyFont="1" applyAlignment="1">
      <alignment vertical="center" wrapText="1"/>
    </xf>
    <xf numFmtId="180" fontId="23" fillId="0" borderId="4" xfId="3" applyNumberFormat="1" applyFont="1" applyBorder="1" applyAlignment="1">
      <alignment vertical="center" wrapText="1"/>
    </xf>
    <xf numFmtId="180" fontId="26" fillId="0" borderId="6" xfId="3" applyNumberFormat="1" applyFont="1" applyBorder="1" applyAlignment="1">
      <alignment vertical="center" wrapText="1"/>
    </xf>
    <xf numFmtId="180" fontId="27" fillId="0" borderId="31" xfId="4" applyNumberFormat="1" applyFont="1" applyFill="1" applyBorder="1" applyAlignment="1">
      <alignment horizontal="center" vertical="center" wrapText="1"/>
    </xf>
    <xf numFmtId="180" fontId="23" fillId="3" borderId="31" xfId="4" applyNumberFormat="1" applyFont="1" applyFill="1" applyBorder="1" applyAlignment="1">
      <alignment horizontal="center" vertical="center"/>
    </xf>
    <xf numFmtId="180" fontId="21" fillId="4" borderId="31" xfId="4" applyNumberFormat="1" applyFont="1" applyFill="1" applyBorder="1" applyAlignment="1">
      <alignment horizontal="center" vertical="center"/>
    </xf>
    <xf numFmtId="180" fontId="21" fillId="0" borderId="34" xfId="4" applyNumberFormat="1" applyFont="1" applyBorder="1" applyAlignment="1">
      <alignment horizontal="center" vertical="center"/>
    </xf>
    <xf numFmtId="180" fontId="4" fillId="0" borderId="0" xfId="4" applyNumberFormat="1" applyFont="1" applyBorder="1" applyAlignment="1">
      <alignment horizontal="center" vertical="center"/>
    </xf>
    <xf numFmtId="180" fontId="4" fillId="0" borderId="0" xfId="4" applyNumberFormat="1" applyFont="1" applyFill="1" applyBorder="1" applyAlignment="1">
      <alignment horizontal="center" vertical="center"/>
    </xf>
    <xf numFmtId="180" fontId="4" fillId="0" borderId="0" xfId="4" applyNumberFormat="1" applyFont="1" applyFill="1" applyBorder="1" applyAlignment="1">
      <alignment horizontal="left" vertical="center"/>
    </xf>
    <xf numFmtId="180" fontId="19" fillId="0" borderId="0" xfId="4" applyNumberFormat="1" applyFont="1" applyBorder="1">
      <alignment vertical="center"/>
    </xf>
    <xf numFmtId="180" fontId="19" fillId="0" borderId="0" xfId="4" applyNumberFormat="1" applyFont="1">
      <alignment vertical="center"/>
    </xf>
    <xf numFmtId="176" fontId="67" fillId="3" borderId="31" xfId="1" applyNumberFormat="1" applyFont="1" applyFill="1" applyBorder="1" applyAlignment="1">
      <alignment horizontal="center" vertical="center"/>
    </xf>
    <xf numFmtId="176" fontId="55" fillId="4" borderId="31" xfId="4" applyNumberFormat="1" applyFont="1" applyFill="1" applyBorder="1" applyAlignment="1">
      <alignment horizontal="center" vertical="center"/>
    </xf>
    <xf numFmtId="0" fontId="76" fillId="0" borderId="0" xfId="3" applyFont="1">
      <alignment vertical="center"/>
    </xf>
    <xf numFmtId="0" fontId="76" fillId="0" borderId="0" xfId="0" applyFont="1">
      <alignment vertical="center"/>
    </xf>
    <xf numFmtId="0" fontId="57" fillId="0" borderId="4" xfId="3" applyFont="1" applyBorder="1" applyAlignment="1">
      <alignment vertical="top"/>
    </xf>
    <xf numFmtId="0" fontId="57" fillId="0" borderId="0" xfId="3" applyFont="1" applyAlignment="1">
      <alignment vertical="top"/>
    </xf>
    <xf numFmtId="0" fontId="57" fillId="0" borderId="10" xfId="3" applyFont="1" applyBorder="1" applyAlignment="1">
      <alignment vertical="top"/>
    </xf>
    <xf numFmtId="0" fontId="57" fillId="0" borderId="5" xfId="3" applyFont="1" applyBorder="1" applyAlignment="1">
      <alignment vertical="top"/>
    </xf>
    <xf numFmtId="0" fontId="56" fillId="0" borderId="4" xfId="3" applyFont="1" applyBorder="1" applyAlignment="1">
      <alignment vertical="top"/>
    </xf>
    <xf numFmtId="0" fontId="77" fillId="0" borderId="0" xfId="0" applyFont="1">
      <alignment vertical="center"/>
    </xf>
    <xf numFmtId="0" fontId="12" fillId="0" borderId="5" xfId="3" applyFont="1" applyBorder="1">
      <alignment vertical="center"/>
    </xf>
    <xf numFmtId="0" fontId="57" fillId="0" borderId="17" xfId="3" applyFont="1" applyBorder="1">
      <alignment vertical="center"/>
    </xf>
    <xf numFmtId="180" fontId="54" fillId="0" borderId="0" xfId="3" applyNumberFormat="1" applyFont="1" applyAlignment="1">
      <alignment horizontal="center" vertical="center"/>
    </xf>
    <xf numFmtId="180" fontId="57" fillId="0" borderId="0" xfId="4" applyNumberFormat="1" applyFont="1">
      <alignment vertical="center"/>
    </xf>
    <xf numFmtId="180" fontId="65" fillId="0" borderId="31" xfId="4" applyNumberFormat="1" applyFont="1" applyFill="1" applyBorder="1" applyAlignment="1">
      <alignment horizontal="center" vertical="center" wrapText="1"/>
    </xf>
    <xf numFmtId="180" fontId="65" fillId="3" borderId="31" xfId="4" applyNumberFormat="1" applyFont="1" applyFill="1" applyBorder="1" applyAlignment="1">
      <alignment horizontal="center" vertical="center"/>
    </xf>
    <xf numFmtId="180" fontId="21" fillId="4" borderId="34" xfId="4" applyNumberFormat="1" applyFont="1" applyFill="1" applyBorder="1" applyAlignment="1">
      <alignment horizontal="center" vertical="center"/>
    </xf>
    <xf numFmtId="0" fontId="53" fillId="0" borderId="11" xfId="0" applyFont="1" applyBorder="1">
      <alignment vertical="center"/>
    </xf>
    <xf numFmtId="0" fontId="53" fillId="0" borderId="12" xfId="0" applyFont="1" applyBorder="1">
      <alignment vertical="center"/>
    </xf>
    <xf numFmtId="0" fontId="53" fillId="0" borderId="5" xfId="0" applyFont="1" applyBorder="1">
      <alignment vertical="center"/>
    </xf>
    <xf numFmtId="0" fontId="53" fillId="0" borderId="13" xfId="0" applyFont="1" applyBorder="1">
      <alignment vertical="center"/>
    </xf>
    <xf numFmtId="176" fontId="21" fillId="0" borderId="31" xfId="1" applyNumberFormat="1" applyFont="1" applyFill="1" applyBorder="1" applyAlignment="1">
      <alignment horizontal="right" vertical="center"/>
    </xf>
    <xf numFmtId="176" fontId="21" fillId="0" borderId="31" xfId="1" applyNumberFormat="1" applyFont="1" applyFill="1" applyBorder="1">
      <alignment vertical="center"/>
    </xf>
    <xf numFmtId="176" fontId="21" fillId="4" borderId="31" xfId="1" applyNumberFormat="1" applyFont="1" applyFill="1" applyBorder="1" applyAlignment="1">
      <alignment horizontal="right" vertical="center"/>
    </xf>
    <xf numFmtId="176" fontId="21" fillId="4" borderId="31" xfId="1" applyNumberFormat="1" applyFont="1" applyFill="1" applyBorder="1">
      <alignment vertical="center"/>
    </xf>
    <xf numFmtId="0" fontId="4" fillId="0" borderId="3" xfId="3" applyFont="1" applyBorder="1">
      <alignment vertical="center"/>
    </xf>
    <xf numFmtId="0" fontId="80" fillId="0" borderId="0" xfId="0" applyFont="1">
      <alignment vertical="center"/>
    </xf>
    <xf numFmtId="0" fontId="4" fillId="0" borderId="4" xfId="3" applyFont="1" applyBorder="1">
      <alignment vertical="center"/>
    </xf>
    <xf numFmtId="0" fontId="4" fillId="0" borderId="5" xfId="3" applyFont="1" applyBorder="1">
      <alignment vertical="center"/>
    </xf>
    <xf numFmtId="0" fontId="8" fillId="0" borderId="6" xfId="3" applyFont="1" applyBorder="1">
      <alignment vertical="center"/>
    </xf>
    <xf numFmtId="0" fontId="4" fillId="0" borderId="7" xfId="3" applyFont="1" applyBorder="1">
      <alignment vertical="center"/>
    </xf>
    <xf numFmtId="0" fontId="4" fillId="0" borderId="8" xfId="3" applyFont="1" applyBorder="1">
      <alignment vertical="center"/>
    </xf>
    <xf numFmtId="0" fontId="9" fillId="0" borderId="1" xfId="3" applyFont="1" applyBorder="1">
      <alignment vertical="center"/>
    </xf>
    <xf numFmtId="0" fontId="10" fillId="0" borderId="2" xfId="3" applyFont="1" applyBorder="1">
      <alignment vertical="center"/>
    </xf>
    <xf numFmtId="0" fontId="10" fillId="0" borderId="9" xfId="3" applyFont="1" applyBorder="1">
      <alignment vertical="center"/>
    </xf>
    <xf numFmtId="0" fontId="9" fillId="0" borderId="2" xfId="3" applyFont="1" applyBorder="1">
      <alignment vertical="center"/>
    </xf>
    <xf numFmtId="0" fontId="10" fillId="0" borderId="3" xfId="3" applyFont="1" applyBorder="1">
      <alignment vertical="center"/>
    </xf>
    <xf numFmtId="0" fontId="10" fillId="0" borderId="4" xfId="3" applyFont="1" applyBorder="1">
      <alignment vertical="center"/>
    </xf>
    <xf numFmtId="0" fontId="9" fillId="0" borderId="0" xfId="3" applyFont="1">
      <alignment vertical="center"/>
    </xf>
    <xf numFmtId="0" fontId="9" fillId="0" borderId="10" xfId="3" applyFont="1" applyBorder="1">
      <alignment vertical="center"/>
    </xf>
    <xf numFmtId="0" fontId="9" fillId="0" borderId="11" xfId="3" applyFont="1" applyBorder="1">
      <alignment vertical="center"/>
    </xf>
    <xf numFmtId="0" fontId="10" fillId="0" borderId="12" xfId="3" applyFont="1" applyBorder="1">
      <alignment vertical="center"/>
    </xf>
    <xf numFmtId="0" fontId="10" fillId="0" borderId="13" xfId="3" applyFont="1" applyBorder="1">
      <alignment vertical="center"/>
    </xf>
    <xf numFmtId="0" fontId="10" fillId="0" borderId="10" xfId="3" applyFont="1" applyBorder="1">
      <alignment vertical="center"/>
    </xf>
    <xf numFmtId="0" fontId="10" fillId="0" borderId="5" xfId="3" applyFont="1" applyBorder="1">
      <alignment vertical="center"/>
    </xf>
    <xf numFmtId="0" fontId="10" fillId="0" borderId="15" xfId="3" applyFont="1" applyBorder="1">
      <alignment vertical="center"/>
    </xf>
    <xf numFmtId="0" fontId="10" fillId="0" borderId="16" xfId="3" applyFont="1" applyBorder="1">
      <alignment vertical="center"/>
    </xf>
    <xf numFmtId="0" fontId="9" fillId="0" borderId="4" xfId="3" applyFont="1" applyBorder="1">
      <alignment vertical="center"/>
    </xf>
    <xf numFmtId="0" fontId="9" fillId="0" borderId="0" xfId="3" applyFont="1" applyAlignment="1">
      <alignment vertical="center" wrapText="1"/>
    </xf>
    <xf numFmtId="0" fontId="9" fillId="0" borderId="5" xfId="3" applyFont="1" applyBorder="1" applyAlignment="1">
      <alignment vertical="center" wrapText="1"/>
    </xf>
    <xf numFmtId="0" fontId="81" fillId="0" borderId="12" xfId="0" applyFont="1" applyBorder="1">
      <alignment vertical="center"/>
    </xf>
    <xf numFmtId="0" fontId="81" fillId="0" borderId="0" xfId="0" applyFont="1">
      <alignment vertical="center"/>
    </xf>
    <xf numFmtId="176" fontId="9" fillId="0" borderId="0" xfId="4" applyNumberFormat="1" applyFont="1" applyFill="1" applyBorder="1" applyAlignment="1">
      <alignment vertical="center"/>
    </xf>
    <xf numFmtId="0" fontId="10" fillId="0" borderId="0" xfId="2" applyFont="1" applyBorder="1">
      <alignment vertical="center"/>
    </xf>
    <xf numFmtId="176" fontId="9" fillId="0" borderId="0" xfId="1" applyNumberFormat="1" applyFont="1" applyFill="1" applyBorder="1" applyAlignment="1">
      <alignment vertical="center"/>
    </xf>
    <xf numFmtId="0" fontId="82" fillId="0" borderId="0" xfId="2" applyFont="1" applyBorder="1">
      <alignment vertical="center"/>
    </xf>
    <xf numFmtId="0" fontId="83" fillId="0" borderId="17" xfId="3" applyFont="1" applyBorder="1" applyAlignment="1"/>
    <xf numFmtId="0" fontId="83" fillId="0" borderId="17" xfId="3" applyFont="1" applyBorder="1">
      <alignment vertical="center"/>
    </xf>
    <xf numFmtId="0" fontId="84" fillId="0" borderId="0" xfId="3" applyFont="1" applyAlignment="1">
      <alignment horizontal="left" vertical="center"/>
    </xf>
    <xf numFmtId="0" fontId="83" fillId="0" borderId="0" xfId="3" applyFont="1">
      <alignment vertical="center"/>
    </xf>
    <xf numFmtId="0" fontId="85" fillId="0" borderId="0" xfId="3" applyFont="1">
      <alignment vertical="center"/>
    </xf>
    <xf numFmtId="0" fontId="10" fillId="0" borderId="17" xfId="3" applyFont="1" applyBorder="1">
      <alignment vertical="center"/>
    </xf>
    <xf numFmtId="0" fontId="10" fillId="0" borderId="14" xfId="3" applyFont="1" applyBorder="1">
      <alignment vertical="center"/>
    </xf>
    <xf numFmtId="0" fontId="10" fillId="0" borderId="19" xfId="3" applyFont="1" applyBorder="1">
      <alignment vertical="center"/>
    </xf>
    <xf numFmtId="0" fontId="9" fillId="0" borderId="12" xfId="3" applyFont="1" applyBorder="1">
      <alignment vertical="center"/>
    </xf>
    <xf numFmtId="0" fontId="9" fillId="0" borderId="0" xfId="3" applyFont="1" applyAlignment="1">
      <alignment vertical="top" wrapText="1"/>
    </xf>
    <xf numFmtId="0" fontId="9" fillId="0" borderId="5" xfId="3" applyFont="1" applyBorder="1" applyAlignment="1">
      <alignment vertical="top" wrapText="1"/>
    </xf>
    <xf numFmtId="0" fontId="9" fillId="0" borderId="14" xfId="3" applyFont="1" applyBorder="1">
      <alignment vertical="center"/>
    </xf>
    <xf numFmtId="15" fontId="10" fillId="0" borderId="0" xfId="3" applyNumberFormat="1" applyFont="1">
      <alignment vertical="center"/>
    </xf>
    <xf numFmtId="176" fontId="10" fillId="0" borderId="17" xfId="4" applyNumberFormat="1" applyFont="1" applyFill="1" applyBorder="1" applyAlignment="1">
      <alignment vertical="center"/>
    </xf>
    <xf numFmtId="176" fontId="10" fillId="0" borderId="0" xfId="4" applyNumberFormat="1" applyFont="1" applyFill="1" applyBorder="1" applyAlignment="1">
      <alignment vertical="center"/>
    </xf>
    <xf numFmtId="176" fontId="10" fillId="0" borderId="5" xfId="4" applyNumberFormat="1" applyFont="1" applyFill="1" applyBorder="1" applyAlignment="1">
      <alignment vertical="center"/>
    </xf>
    <xf numFmtId="0" fontId="87" fillId="0" borderId="0" xfId="0" applyFont="1">
      <alignment vertical="center"/>
    </xf>
    <xf numFmtId="0" fontId="10" fillId="0" borderId="0" xfId="0" applyFont="1">
      <alignment vertical="center"/>
    </xf>
    <xf numFmtId="40" fontId="10" fillId="0" borderId="4" xfId="3" applyNumberFormat="1" applyFont="1" applyBorder="1">
      <alignment vertical="center"/>
    </xf>
    <xf numFmtId="0" fontId="87" fillId="0" borderId="0" xfId="3" applyFont="1">
      <alignment vertical="center"/>
    </xf>
    <xf numFmtId="0" fontId="9" fillId="0" borderId="7" xfId="3" applyFont="1" applyBorder="1">
      <alignment vertical="center"/>
    </xf>
    <xf numFmtId="0" fontId="9" fillId="0" borderId="16" xfId="3" applyFont="1" applyBorder="1">
      <alignment vertical="center"/>
    </xf>
    <xf numFmtId="179" fontId="10" fillId="0" borderId="0" xfId="4" applyNumberFormat="1" applyFont="1" applyFill="1" applyBorder="1" applyAlignment="1">
      <alignment vertical="center"/>
    </xf>
    <xf numFmtId="179" fontId="10" fillId="0" borderId="17" xfId="4" applyNumberFormat="1" applyFont="1" applyFill="1" applyBorder="1" applyAlignment="1">
      <alignment vertical="center"/>
    </xf>
    <xf numFmtId="179" fontId="10" fillId="0" borderId="5" xfId="4" applyNumberFormat="1" applyFont="1" applyFill="1" applyBorder="1" applyAlignment="1">
      <alignment vertical="center"/>
    </xf>
    <xf numFmtId="0" fontId="10" fillId="0" borderId="22" xfId="3" applyFont="1" applyBorder="1">
      <alignment vertical="center"/>
    </xf>
    <xf numFmtId="0" fontId="9" fillId="0" borderId="23" xfId="3" applyFont="1" applyBorder="1">
      <alignment vertical="center"/>
    </xf>
    <xf numFmtId="0" fontId="10" fillId="0" borderId="23" xfId="3" applyFont="1" applyBorder="1">
      <alignment vertical="center"/>
    </xf>
    <xf numFmtId="0" fontId="4" fillId="0" borderId="12" xfId="3" applyFont="1" applyBorder="1">
      <alignment vertical="center"/>
    </xf>
    <xf numFmtId="0" fontId="4" fillId="0" borderId="0" xfId="3" applyFont="1" applyAlignment="1">
      <alignment horizontal="centerContinuous" vertical="center"/>
    </xf>
    <xf numFmtId="0" fontId="4" fillId="0" borderId="6" xfId="3" applyFont="1" applyBorder="1">
      <alignment vertical="center"/>
    </xf>
    <xf numFmtId="0" fontId="9" fillId="0" borderId="6" xfId="3" applyFont="1" applyBorder="1" applyAlignment="1">
      <alignment horizontal="centerContinuous" vertical="center"/>
    </xf>
    <xf numFmtId="0" fontId="4" fillId="0" borderId="7" xfId="3" applyFont="1" applyBorder="1" applyAlignment="1">
      <alignment horizontal="centerContinuous" vertical="center"/>
    </xf>
    <xf numFmtId="0" fontId="4" fillId="0" borderId="8" xfId="3" applyFont="1" applyBorder="1" applyAlignment="1">
      <alignment horizontal="centerContinuous" vertical="center"/>
    </xf>
    <xf numFmtId="176" fontId="10" fillId="0" borderId="0" xfId="1" applyNumberFormat="1" applyFont="1" applyBorder="1" applyAlignment="1">
      <alignment horizontal="center" vertical="center"/>
    </xf>
    <xf numFmtId="0" fontId="9" fillId="2" borderId="0" xfId="3" applyFont="1" applyFill="1" applyAlignment="1">
      <alignment horizontal="center" vertical="center" wrapText="1"/>
    </xf>
    <xf numFmtId="0" fontId="9" fillId="2" borderId="5" xfId="3" applyFont="1" applyFill="1" applyBorder="1" applyAlignment="1">
      <alignment horizontal="center" vertical="center" wrapText="1"/>
    </xf>
    <xf numFmtId="0" fontId="9" fillId="0" borderId="23" xfId="3" applyFont="1" applyBorder="1" applyAlignment="1">
      <alignment horizontal="center" vertical="center"/>
    </xf>
    <xf numFmtId="0" fontId="9" fillId="0" borderId="22" xfId="3" applyFont="1" applyBorder="1" applyAlignment="1">
      <alignment horizontal="center" vertical="center"/>
    </xf>
    <xf numFmtId="0" fontId="9" fillId="0" borderId="24" xfId="3" applyFont="1" applyBorder="1" applyAlignment="1">
      <alignment horizontal="center" vertical="center"/>
    </xf>
    <xf numFmtId="176" fontId="9" fillId="0" borderId="23" xfId="3" applyNumberFormat="1" applyFont="1" applyBorder="1" applyAlignment="1">
      <alignment horizontal="center" vertical="center"/>
    </xf>
    <xf numFmtId="176" fontId="9" fillId="0" borderId="24" xfId="3" applyNumberFormat="1" applyFont="1" applyBorder="1" applyAlignment="1">
      <alignment horizontal="center" vertical="center"/>
    </xf>
    <xf numFmtId="0" fontId="9" fillId="0" borderId="18" xfId="3" applyFont="1" applyBorder="1" applyAlignment="1">
      <alignment horizontal="left" vertical="top"/>
    </xf>
    <xf numFmtId="0" fontId="9" fillId="0" borderId="14" xfId="3" applyFont="1" applyBorder="1" applyAlignment="1">
      <alignment horizontal="left" vertical="top"/>
    </xf>
    <xf numFmtId="0" fontId="9" fillId="0" borderId="19" xfId="3" applyFont="1" applyBorder="1" applyAlignment="1">
      <alignment horizontal="left" vertical="top"/>
    </xf>
    <xf numFmtId="0" fontId="9" fillId="0" borderId="15" xfId="3" applyFont="1" applyBorder="1" applyAlignment="1">
      <alignment horizontal="left" vertical="top"/>
    </xf>
    <xf numFmtId="0" fontId="9" fillId="0" borderId="12" xfId="3" applyFont="1" applyBorder="1" applyAlignment="1">
      <alignment horizontal="left" vertical="top"/>
    </xf>
    <xf numFmtId="0" fontId="9" fillId="0" borderId="16" xfId="3" applyFont="1" applyBorder="1" applyAlignment="1">
      <alignment horizontal="left" vertical="top"/>
    </xf>
    <xf numFmtId="0" fontId="9" fillId="0" borderId="20" xfId="3" applyFont="1" applyBorder="1" applyAlignment="1">
      <alignment horizontal="center" vertical="center"/>
    </xf>
    <xf numFmtId="0" fontId="9" fillId="0" borderId="14" xfId="3" applyFont="1" applyBorder="1" applyAlignment="1">
      <alignment horizontal="center" vertical="center"/>
    </xf>
    <xf numFmtId="0" fontId="9" fillId="0" borderId="19" xfId="3" applyFont="1" applyBorder="1" applyAlignment="1">
      <alignment horizontal="center" vertical="center"/>
    </xf>
    <xf numFmtId="0" fontId="9" fillId="0" borderId="21" xfId="3" applyFont="1" applyBorder="1" applyAlignment="1">
      <alignment horizontal="center" vertical="center"/>
    </xf>
    <xf numFmtId="0" fontId="9" fillId="0" borderId="11" xfId="3" applyFont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0" fontId="9" fillId="0" borderId="16" xfId="3" applyFont="1" applyBorder="1" applyAlignment="1">
      <alignment horizontal="center" vertical="center"/>
    </xf>
    <xf numFmtId="0" fontId="9" fillId="0" borderId="13" xfId="3" applyFont="1" applyBorder="1" applyAlignment="1">
      <alignment horizontal="center" vertical="center"/>
    </xf>
    <xf numFmtId="15" fontId="10" fillId="0" borderId="17" xfId="3" applyNumberFormat="1" applyFont="1" applyBorder="1" applyAlignment="1">
      <alignment horizontal="center" vertical="center" wrapText="1"/>
    </xf>
    <xf numFmtId="15" fontId="10" fillId="0" borderId="0" xfId="3" applyNumberFormat="1" applyFont="1" applyAlignment="1">
      <alignment horizontal="center" vertical="center" wrapText="1"/>
    </xf>
    <xf numFmtId="15" fontId="10" fillId="0" borderId="10" xfId="3" applyNumberFormat="1" applyFont="1" applyBorder="1" applyAlignment="1">
      <alignment horizontal="center" vertical="center" wrapText="1"/>
    </xf>
    <xf numFmtId="15" fontId="10" fillId="0" borderId="11" xfId="3" applyNumberFormat="1" applyFont="1" applyBorder="1" applyAlignment="1">
      <alignment horizontal="center" vertical="center" wrapText="1"/>
    </xf>
    <xf numFmtId="15" fontId="10" fillId="0" borderId="12" xfId="3" applyNumberFormat="1" applyFont="1" applyBorder="1" applyAlignment="1">
      <alignment horizontal="center" vertical="center" wrapText="1"/>
    </xf>
    <xf numFmtId="15" fontId="10" fillId="0" borderId="16" xfId="3" applyNumberFormat="1" applyFont="1" applyBorder="1" applyAlignment="1">
      <alignment horizontal="center" vertical="center" wrapText="1"/>
    </xf>
    <xf numFmtId="0" fontId="9" fillId="0" borderId="20" xfId="3" applyFont="1" applyBorder="1" applyAlignment="1">
      <alignment horizontal="left" vertical="center" wrapText="1"/>
    </xf>
    <xf numFmtId="0" fontId="9" fillId="0" borderId="14" xfId="3" applyFont="1" applyBorder="1" applyAlignment="1">
      <alignment horizontal="left" vertical="center" wrapText="1"/>
    </xf>
    <xf numFmtId="0" fontId="9" fillId="0" borderId="19" xfId="3" applyFont="1" applyBorder="1" applyAlignment="1">
      <alignment horizontal="left" vertical="center" wrapText="1"/>
    </xf>
    <xf numFmtId="0" fontId="9" fillId="0" borderId="17" xfId="3" applyFont="1" applyBorder="1" applyAlignment="1">
      <alignment horizontal="left" vertical="center" wrapText="1"/>
    </xf>
    <xf numFmtId="0" fontId="9" fillId="0" borderId="0" xfId="3" applyFont="1" applyAlignment="1">
      <alignment horizontal="left" vertical="center" wrapText="1"/>
    </xf>
    <xf numFmtId="0" fontId="9" fillId="0" borderId="10" xfId="3" applyFont="1" applyBorder="1" applyAlignment="1">
      <alignment horizontal="left" vertical="center" wrapText="1"/>
    </xf>
    <xf numFmtId="186" fontId="10" fillId="0" borderId="0" xfId="3" applyNumberFormat="1" applyFont="1" applyAlignment="1">
      <alignment horizontal="center" vertical="center"/>
    </xf>
    <xf numFmtId="0" fontId="8" fillId="0" borderId="14" xfId="3" applyFont="1" applyBorder="1" applyAlignment="1">
      <alignment horizontal="center" vertical="center"/>
    </xf>
    <xf numFmtId="0" fontId="8" fillId="0" borderId="21" xfId="3" applyFont="1" applyBorder="1" applyAlignment="1">
      <alignment horizontal="center" vertical="center"/>
    </xf>
    <xf numFmtId="41" fontId="10" fillId="0" borderId="20" xfId="4" quotePrefix="1" applyFont="1" applyFill="1" applyBorder="1" applyAlignment="1">
      <alignment horizontal="center" vertical="center"/>
    </xf>
    <xf numFmtId="41" fontId="10" fillId="0" borderId="14" xfId="4" quotePrefix="1" applyFont="1" applyFill="1" applyBorder="1" applyAlignment="1">
      <alignment horizontal="center" vertical="center"/>
    </xf>
    <xf numFmtId="41" fontId="10" fillId="0" borderId="19" xfId="4" quotePrefix="1" applyFont="1" applyFill="1" applyBorder="1" applyAlignment="1">
      <alignment horizontal="center" vertical="center"/>
    </xf>
    <xf numFmtId="185" fontId="10" fillId="0" borderId="20" xfId="4" applyNumberFormat="1" applyFont="1" applyFill="1" applyBorder="1" applyAlignment="1">
      <alignment horizontal="center" vertical="center"/>
    </xf>
    <xf numFmtId="185" fontId="10" fillId="0" borderId="14" xfId="4" applyNumberFormat="1" applyFont="1" applyFill="1" applyBorder="1" applyAlignment="1">
      <alignment horizontal="center" vertical="center"/>
    </xf>
    <xf numFmtId="185" fontId="10" fillId="0" borderId="19" xfId="4" applyNumberFormat="1" applyFont="1" applyFill="1" applyBorder="1" applyAlignment="1">
      <alignment horizontal="center" vertical="center"/>
    </xf>
    <xf numFmtId="41" fontId="10" fillId="0" borderId="17" xfId="4" quotePrefix="1" applyFont="1" applyFill="1" applyBorder="1" applyAlignment="1">
      <alignment horizontal="center" vertical="center"/>
    </xf>
    <xf numFmtId="41" fontId="10" fillId="0" borderId="0" xfId="4" quotePrefix="1" applyFont="1" applyFill="1" applyBorder="1" applyAlignment="1">
      <alignment horizontal="center" vertical="center"/>
    </xf>
    <xf numFmtId="41" fontId="10" fillId="0" borderId="10" xfId="4" quotePrefix="1" applyFont="1" applyFill="1" applyBorder="1" applyAlignment="1">
      <alignment horizontal="center" vertical="center"/>
    </xf>
    <xf numFmtId="178" fontId="10" fillId="0" borderId="17" xfId="4" applyNumberFormat="1" applyFont="1" applyFill="1" applyBorder="1" applyAlignment="1">
      <alignment horizontal="center" vertical="center"/>
    </xf>
    <xf numFmtId="178" fontId="10" fillId="0" borderId="0" xfId="4" applyNumberFormat="1" applyFont="1" applyFill="1" applyBorder="1" applyAlignment="1">
      <alignment horizontal="center" vertical="center"/>
    </xf>
    <xf numFmtId="178" fontId="10" fillId="0" borderId="10" xfId="4" applyNumberFormat="1" applyFont="1" applyFill="1" applyBorder="1" applyAlignment="1">
      <alignment horizontal="center" vertical="center"/>
    </xf>
    <xf numFmtId="0" fontId="7" fillId="0" borderId="4" xfId="3" applyFont="1" applyBorder="1" applyAlignment="1">
      <alignment horizontal="center" vertical="center" wrapText="1"/>
    </xf>
    <xf numFmtId="0" fontId="7" fillId="0" borderId="0" xfId="3" applyFont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9" fillId="2" borderId="2" xfId="3" applyFont="1" applyFill="1" applyBorder="1" applyAlignment="1">
      <alignment horizontal="center" vertical="center"/>
    </xf>
    <xf numFmtId="14" fontId="9" fillId="2" borderId="14" xfId="3" applyNumberFormat="1" applyFont="1" applyFill="1" applyBorder="1" applyAlignment="1">
      <alignment horizontal="center" vertical="center"/>
    </xf>
    <xf numFmtId="0" fontId="9" fillId="2" borderId="0" xfId="3" applyFont="1" applyFill="1" applyAlignment="1">
      <alignment horizontal="left" vertical="center" wrapText="1"/>
    </xf>
    <xf numFmtId="0" fontId="9" fillId="2" borderId="5" xfId="3" applyFont="1" applyFill="1" applyBorder="1" applyAlignment="1">
      <alignment horizontal="left" vertical="center" wrapText="1"/>
    </xf>
    <xf numFmtId="0" fontId="9" fillId="2" borderId="0" xfId="3" applyFont="1" applyFill="1" applyAlignment="1">
      <alignment horizontal="left" vertical="center"/>
    </xf>
    <xf numFmtId="0" fontId="9" fillId="2" borderId="5" xfId="3" applyFont="1" applyFill="1" applyBorder="1" applyAlignment="1">
      <alignment horizontal="left" vertical="center"/>
    </xf>
    <xf numFmtId="0" fontId="9" fillId="0" borderId="21" xfId="3" applyFont="1" applyBorder="1" applyAlignment="1">
      <alignment horizontal="left" vertical="center" wrapText="1"/>
    </xf>
    <xf numFmtId="41" fontId="10" fillId="0" borderId="0" xfId="1" applyFont="1" applyBorder="1" applyAlignment="1">
      <alignment horizontal="center" vertical="center"/>
    </xf>
    <xf numFmtId="0" fontId="9" fillId="2" borderId="0" xfId="3" applyFont="1" applyFill="1" applyAlignment="1">
      <alignment horizontal="center" vertical="center"/>
    </xf>
    <xf numFmtId="0" fontId="9" fillId="2" borderId="5" xfId="3" applyFont="1" applyFill="1" applyBorder="1" applyAlignment="1">
      <alignment horizontal="center" vertical="center"/>
    </xf>
    <xf numFmtId="0" fontId="7" fillId="0" borderId="0" xfId="3" applyFont="1" applyAlignment="1">
      <alignment horizontal="center" vertical="center" wrapText="1"/>
    </xf>
    <xf numFmtId="0" fontId="50" fillId="2" borderId="34" xfId="3" applyFont="1" applyFill="1" applyBorder="1" applyAlignment="1">
      <alignment horizontal="center" vertical="center"/>
    </xf>
    <xf numFmtId="0" fontId="55" fillId="0" borderId="14" xfId="3" applyFont="1" applyBorder="1" applyAlignment="1">
      <alignment horizontal="center" vertical="center"/>
    </xf>
    <xf numFmtId="0" fontId="55" fillId="0" borderId="21" xfId="3" applyFont="1" applyBorder="1" applyAlignment="1">
      <alignment horizontal="center" vertical="center"/>
    </xf>
    <xf numFmtId="0" fontId="56" fillId="0" borderId="23" xfId="3" applyFont="1" applyBorder="1" applyAlignment="1">
      <alignment horizontal="center" vertical="center"/>
    </xf>
    <xf numFmtId="0" fontId="56" fillId="0" borderId="25" xfId="3" applyFont="1" applyBorder="1" applyAlignment="1">
      <alignment horizontal="center" vertical="center"/>
    </xf>
    <xf numFmtId="180" fontId="56" fillId="0" borderId="26" xfId="3" applyNumberFormat="1" applyFont="1" applyBorder="1" applyAlignment="1">
      <alignment horizontal="center" vertical="center"/>
    </xf>
    <xf numFmtId="180" fontId="56" fillId="0" borderId="23" xfId="3" applyNumberFormat="1" applyFont="1" applyBorder="1" applyAlignment="1">
      <alignment horizontal="center" vertical="center"/>
    </xf>
    <xf numFmtId="180" fontId="56" fillId="0" borderId="25" xfId="3" applyNumberFormat="1" applyFont="1" applyBorder="1" applyAlignment="1">
      <alignment horizontal="center" vertical="center"/>
    </xf>
    <xf numFmtId="176" fontId="56" fillId="0" borderId="26" xfId="3" applyNumberFormat="1" applyFont="1" applyBorder="1" applyAlignment="1">
      <alignment horizontal="center" vertical="center"/>
    </xf>
    <xf numFmtId="176" fontId="56" fillId="0" borderId="23" xfId="3" applyNumberFormat="1" applyFont="1" applyBorder="1" applyAlignment="1">
      <alignment horizontal="center" vertical="center"/>
    </xf>
    <xf numFmtId="176" fontId="56" fillId="0" borderId="25" xfId="3" applyNumberFormat="1" applyFont="1" applyBorder="1" applyAlignment="1">
      <alignment horizontal="center" vertical="center"/>
    </xf>
    <xf numFmtId="176" fontId="56" fillId="0" borderId="26" xfId="4" applyNumberFormat="1" applyFont="1" applyFill="1" applyBorder="1" applyAlignment="1">
      <alignment horizontal="center" vertical="center"/>
    </xf>
    <xf numFmtId="176" fontId="56" fillId="0" borderId="23" xfId="4" applyNumberFormat="1" applyFont="1" applyFill="1" applyBorder="1" applyAlignment="1">
      <alignment horizontal="center" vertical="center"/>
    </xf>
    <xf numFmtId="176" fontId="56" fillId="0" borderId="25" xfId="4" applyNumberFormat="1" applyFont="1" applyFill="1" applyBorder="1" applyAlignment="1">
      <alignment horizontal="center" vertical="center"/>
    </xf>
    <xf numFmtId="185" fontId="57" fillId="0" borderId="17" xfId="4" applyNumberFormat="1" applyFont="1" applyFill="1" applyBorder="1" applyAlignment="1">
      <alignment horizontal="center" vertical="center"/>
    </xf>
    <xf numFmtId="185" fontId="57" fillId="0" borderId="0" xfId="4" applyNumberFormat="1" applyFont="1" applyFill="1" applyBorder="1" applyAlignment="1">
      <alignment horizontal="center" vertical="center"/>
    </xf>
    <xf numFmtId="185" fontId="57" fillId="0" borderId="10" xfId="4" applyNumberFormat="1" applyFont="1" applyFill="1" applyBorder="1" applyAlignment="1">
      <alignment horizontal="center" vertical="center"/>
    </xf>
    <xf numFmtId="176" fontId="57" fillId="0" borderId="20" xfId="1" applyNumberFormat="1" applyFont="1" applyFill="1" applyBorder="1" applyAlignment="1">
      <alignment horizontal="center" vertical="center"/>
    </xf>
    <xf numFmtId="176" fontId="57" fillId="0" borderId="14" xfId="1" applyNumberFormat="1" applyFont="1" applyFill="1" applyBorder="1" applyAlignment="1">
      <alignment horizontal="center" vertical="center"/>
    </xf>
    <xf numFmtId="176" fontId="57" fillId="0" borderId="19" xfId="1" applyNumberFormat="1" applyFont="1" applyFill="1" applyBorder="1" applyAlignment="1">
      <alignment horizontal="center" vertical="center"/>
    </xf>
    <xf numFmtId="180" fontId="57" fillId="0" borderId="17" xfId="4" applyNumberFormat="1" applyFont="1" applyFill="1" applyBorder="1" applyAlignment="1">
      <alignment horizontal="center" vertical="center"/>
    </xf>
    <xf numFmtId="180" fontId="57" fillId="0" borderId="0" xfId="4" applyNumberFormat="1" applyFont="1" applyFill="1" applyBorder="1" applyAlignment="1">
      <alignment horizontal="center" vertical="center"/>
    </xf>
    <xf numFmtId="180" fontId="57" fillId="0" borderId="10" xfId="4" applyNumberFormat="1" applyFont="1" applyFill="1" applyBorder="1" applyAlignment="1">
      <alignment horizontal="center" vertical="center"/>
    </xf>
    <xf numFmtId="176" fontId="57" fillId="0" borderId="17" xfId="1" applyNumberFormat="1" applyFont="1" applyFill="1" applyBorder="1" applyAlignment="1">
      <alignment horizontal="center" vertical="center"/>
    </xf>
    <xf numFmtId="176" fontId="57" fillId="0" borderId="0" xfId="1" applyNumberFormat="1" applyFont="1" applyFill="1" applyBorder="1" applyAlignment="1">
      <alignment horizontal="center" vertical="center"/>
    </xf>
    <xf numFmtId="176" fontId="57" fillId="0" borderId="10" xfId="1" applyNumberFormat="1" applyFont="1" applyFill="1" applyBorder="1" applyAlignment="1">
      <alignment horizontal="center" vertical="center"/>
    </xf>
    <xf numFmtId="0" fontId="56" fillId="0" borderId="18" xfId="3" applyFont="1" applyBorder="1" applyAlignment="1">
      <alignment horizontal="left" vertical="top"/>
    </xf>
    <xf numFmtId="0" fontId="56" fillId="0" borderId="14" xfId="3" applyFont="1" applyBorder="1" applyAlignment="1">
      <alignment horizontal="left" vertical="top"/>
    </xf>
    <xf numFmtId="0" fontId="56" fillId="0" borderId="19" xfId="3" applyFont="1" applyBorder="1" applyAlignment="1">
      <alignment horizontal="left" vertical="top"/>
    </xf>
    <xf numFmtId="0" fontId="56" fillId="0" borderId="15" xfId="3" applyFont="1" applyBorder="1" applyAlignment="1">
      <alignment horizontal="left" vertical="top"/>
    </xf>
    <xf numFmtId="0" fontId="56" fillId="0" borderId="12" xfId="3" applyFont="1" applyBorder="1" applyAlignment="1">
      <alignment horizontal="left" vertical="top"/>
    </xf>
    <xf numFmtId="0" fontId="56" fillId="0" borderId="16" xfId="3" applyFont="1" applyBorder="1" applyAlignment="1">
      <alignment horizontal="left" vertical="top"/>
    </xf>
    <xf numFmtId="0" fontId="56" fillId="0" borderId="20" xfId="3" applyFont="1" applyBorder="1" applyAlignment="1">
      <alignment horizontal="center" vertical="center"/>
    </xf>
    <xf numFmtId="0" fontId="56" fillId="0" borderId="14" xfId="3" applyFont="1" applyBorder="1" applyAlignment="1">
      <alignment horizontal="center" vertical="center"/>
    </xf>
    <xf numFmtId="0" fontId="56" fillId="0" borderId="19" xfId="3" applyFont="1" applyBorder="1" applyAlignment="1">
      <alignment horizontal="center" vertical="center"/>
    </xf>
    <xf numFmtId="0" fontId="56" fillId="0" borderId="11" xfId="3" applyFont="1" applyBorder="1" applyAlignment="1">
      <alignment horizontal="center" vertical="center"/>
    </xf>
    <xf numFmtId="0" fontId="56" fillId="0" borderId="12" xfId="3" applyFont="1" applyBorder="1" applyAlignment="1">
      <alignment horizontal="center" vertical="center"/>
    </xf>
    <xf numFmtId="0" fontId="56" fillId="0" borderId="16" xfId="3" applyFont="1" applyBorder="1" applyAlignment="1">
      <alignment horizontal="center" vertical="center"/>
    </xf>
    <xf numFmtId="0" fontId="56" fillId="2" borderId="0" xfId="3" applyFont="1" applyFill="1" applyAlignment="1">
      <alignment horizontal="center" vertical="center"/>
    </xf>
    <xf numFmtId="0" fontId="56" fillId="2" borderId="5" xfId="3" applyFont="1" applyFill="1" applyBorder="1" applyAlignment="1">
      <alignment horizontal="center" vertical="center"/>
    </xf>
    <xf numFmtId="41" fontId="57" fillId="0" borderId="0" xfId="1" applyFont="1" applyBorder="1" applyAlignment="1">
      <alignment horizontal="center" vertical="center"/>
    </xf>
    <xf numFmtId="176" fontId="57" fillId="0" borderId="0" xfId="1" applyNumberFormat="1" applyFont="1" applyBorder="1" applyAlignment="1">
      <alignment horizontal="center" vertical="center"/>
    </xf>
    <xf numFmtId="0" fontId="54" fillId="0" borderId="4" xfId="3" applyFont="1" applyBorder="1" applyAlignment="1">
      <alignment horizontal="center" vertical="center" wrapText="1"/>
    </xf>
    <xf numFmtId="0" fontId="54" fillId="0" borderId="0" xfId="3" applyFont="1" applyAlignment="1">
      <alignment horizontal="center" vertical="center"/>
    </xf>
    <xf numFmtId="0" fontId="54" fillId="0" borderId="5" xfId="3" applyFont="1" applyBorder="1" applyAlignment="1">
      <alignment horizontal="center" vertical="center"/>
    </xf>
    <xf numFmtId="0" fontId="56" fillId="2" borderId="2" xfId="3" applyFont="1" applyFill="1" applyBorder="1" applyAlignment="1">
      <alignment horizontal="center" vertical="center"/>
    </xf>
    <xf numFmtId="14" fontId="56" fillId="2" borderId="14" xfId="3" applyNumberFormat="1" applyFont="1" applyFill="1" applyBorder="1" applyAlignment="1">
      <alignment horizontal="center" vertical="center"/>
    </xf>
    <xf numFmtId="0" fontId="56" fillId="2" borderId="0" xfId="3" applyFont="1" applyFill="1" applyAlignment="1">
      <alignment horizontal="left" vertical="center" wrapText="1"/>
    </xf>
    <xf numFmtId="0" fontId="56" fillId="2" borderId="5" xfId="3" applyFont="1" applyFill="1" applyBorder="1" applyAlignment="1">
      <alignment horizontal="left" vertical="center" wrapText="1"/>
    </xf>
    <xf numFmtId="0" fontId="56" fillId="2" borderId="0" xfId="3" applyFont="1" applyFill="1" applyAlignment="1">
      <alignment horizontal="left" vertical="center"/>
    </xf>
    <xf numFmtId="0" fontId="56" fillId="2" borderId="5" xfId="3" applyFont="1" applyFill="1" applyBorder="1" applyAlignment="1">
      <alignment horizontal="left" vertical="center"/>
    </xf>
    <xf numFmtId="0" fontId="68" fillId="4" borderId="33" xfId="3" applyFont="1" applyFill="1" applyBorder="1" applyAlignment="1">
      <alignment horizontal="center" vertical="center"/>
    </xf>
    <xf numFmtId="0" fontId="68" fillId="4" borderId="34" xfId="3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54" fillId="0" borderId="0" xfId="3" applyFont="1" applyAlignment="1">
      <alignment horizontal="center" vertical="center" wrapText="1"/>
    </xf>
    <xf numFmtId="0" fontId="65" fillId="0" borderId="27" xfId="3" applyFont="1" applyBorder="1" applyAlignment="1">
      <alignment horizontal="center" vertical="center"/>
    </xf>
    <xf numFmtId="0" fontId="65" fillId="0" borderId="30" xfId="3" applyFont="1" applyBorder="1" applyAlignment="1">
      <alignment horizontal="center" vertical="center"/>
    </xf>
    <xf numFmtId="0" fontId="65" fillId="0" borderId="28" xfId="3" applyFont="1" applyBorder="1" applyAlignment="1">
      <alignment horizontal="center" vertical="center" wrapText="1"/>
    </xf>
    <xf numFmtId="0" fontId="65" fillId="0" borderId="31" xfId="3" applyFont="1" applyBorder="1" applyAlignment="1">
      <alignment horizontal="center" vertical="center" wrapText="1"/>
    </xf>
    <xf numFmtId="41" fontId="65" fillId="0" borderId="28" xfId="4" applyFont="1" applyFill="1" applyBorder="1" applyAlignment="1">
      <alignment horizontal="center" vertical="center" wrapText="1"/>
    </xf>
    <xf numFmtId="176" fontId="65" fillId="0" borderId="28" xfId="1" applyNumberFormat="1" applyFont="1" applyBorder="1" applyAlignment="1">
      <alignment horizontal="center" vertical="center" wrapText="1"/>
    </xf>
    <xf numFmtId="176" fontId="65" fillId="0" borderId="28" xfId="4" applyNumberFormat="1" applyFont="1" applyFill="1" applyBorder="1" applyAlignment="1">
      <alignment horizontal="center" vertical="center" wrapText="1"/>
    </xf>
    <xf numFmtId="176" fontId="65" fillId="0" borderId="31" xfId="4" applyNumberFormat="1" applyFont="1" applyFill="1" applyBorder="1" applyAlignment="1">
      <alignment horizontal="center" vertical="center" wrapText="1"/>
    </xf>
    <xf numFmtId="176" fontId="65" fillId="0" borderId="28" xfId="1" applyNumberFormat="1" applyFont="1" applyFill="1" applyBorder="1" applyAlignment="1">
      <alignment horizontal="center" vertical="center" wrapText="1"/>
    </xf>
    <xf numFmtId="176" fontId="65" fillId="0" borderId="31" xfId="1" applyNumberFormat="1" applyFont="1" applyFill="1" applyBorder="1" applyAlignment="1">
      <alignment horizontal="center" vertical="center" wrapText="1"/>
    </xf>
    <xf numFmtId="181" fontId="65" fillId="0" borderId="28" xfId="3" applyNumberFormat="1" applyFont="1" applyBorder="1" applyAlignment="1">
      <alignment horizontal="center" vertical="center" wrapText="1"/>
    </xf>
    <xf numFmtId="181" fontId="65" fillId="0" borderId="31" xfId="3" applyNumberFormat="1" applyFont="1" applyBorder="1" applyAlignment="1">
      <alignment horizontal="center" vertical="center" wrapText="1"/>
    </xf>
    <xf numFmtId="0" fontId="27" fillId="0" borderId="27" xfId="3" applyFont="1" applyBorder="1" applyAlignment="1">
      <alignment horizontal="center" vertical="center"/>
    </xf>
    <xf numFmtId="0" fontId="27" fillId="0" borderId="30" xfId="3" applyFont="1" applyBorder="1" applyAlignment="1">
      <alignment horizontal="center" vertical="center"/>
    </xf>
    <xf numFmtId="0" fontId="27" fillId="0" borderId="28" xfId="3" applyFont="1" applyBorder="1" applyAlignment="1">
      <alignment horizontal="center" vertical="center" wrapText="1"/>
    </xf>
    <xf numFmtId="0" fontId="27" fillId="0" borderId="31" xfId="3" applyFont="1" applyBorder="1" applyAlignment="1">
      <alignment horizontal="center" vertical="center" wrapText="1"/>
    </xf>
    <xf numFmtId="41" fontId="27" fillId="0" borderId="28" xfId="4" applyFont="1" applyFill="1" applyBorder="1" applyAlignment="1">
      <alignment horizontal="center" vertical="center" wrapText="1"/>
    </xf>
    <xf numFmtId="176" fontId="27" fillId="0" borderId="28" xfId="1" applyNumberFormat="1" applyFont="1" applyBorder="1" applyAlignment="1">
      <alignment horizontal="center" vertical="center" wrapText="1"/>
    </xf>
    <xf numFmtId="176" fontId="27" fillId="0" borderId="28" xfId="1" applyNumberFormat="1" applyFont="1" applyFill="1" applyBorder="1" applyAlignment="1">
      <alignment horizontal="center" vertical="center" wrapText="1"/>
    </xf>
    <xf numFmtId="176" fontId="27" fillId="0" borderId="31" xfId="1" applyNumberFormat="1" applyFont="1" applyFill="1" applyBorder="1" applyAlignment="1">
      <alignment horizontal="center" vertical="center" wrapText="1"/>
    </xf>
    <xf numFmtId="176" fontId="27" fillId="0" borderId="28" xfId="4" applyNumberFormat="1" applyFont="1" applyFill="1" applyBorder="1" applyAlignment="1">
      <alignment horizontal="center" vertical="center" wrapText="1"/>
    </xf>
    <xf numFmtId="176" fontId="27" fillId="0" borderId="31" xfId="4" applyNumberFormat="1" applyFont="1" applyFill="1" applyBorder="1" applyAlignment="1">
      <alignment horizontal="center" vertical="center" wrapText="1"/>
    </xf>
    <xf numFmtId="181" fontId="27" fillId="0" borderId="28" xfId="3" applyNumberFormat="1" applyFont="1" applyBorder="1" applyAlignment="1">
      <alignment horizontal="center" vertical="center" wrapText="1"/>
    </xf>
    <xf numFmtId="181" fontId="27" fillId="0" borderId="31" xfId="3" applyNumberFormat="1" applyFont="1" applyBorder="1" applyAlignment="1">
      <alignment horizontal="center" vertical="center" wrapText="1"/>
    </xf>
    <xf numFmtId="181" fontId="27" fillId="0" borderId="29" xfId="3" applyNumberFormat="1" applyFont="1" applyBorder="1" applyAlignment="1">
      <alignment horizontal="center" vertical="center" wrapText="1"/>
    </xf>
    <xf numFmtId="181" fontId="27" fillId="0" borderId="32" xfId="3" applyNumberFormat="1" applyFont="1" applyBorder="1" applyAlignment="1">
      <alignment horizontal="center" vertical="center" wrapText="1"/>
    </xf>
    <xf numFmtId="0" fontId="21" fillId="0" borderId="33" xfId="3" applyFont="1" applyBorder="1" applyAlignment="1">
      <alignment horizontal="center" vertical="center"/>
    </xf>
    <xf numFmtId="0" fontId="21" fillId="0" borderId="34" xfId="3" applyFont="1" applyBorder="1" applyAlignment="1">
      <alignment horizontal="center" vertical="center"/>
    </xf>
    <xf numFmtId="0" fontId="41" fillId="3" borderId="2" xfId="0" applyFont="1" applyFill="1" applyBorder="1" applyAlignment="1">
      <alignment horizontal="center" vertical="center" wrapText="1"/>
    </xf>
    <xf numFmtId="0" fontId="41" fillId="3" borderId="2" xfId="0" applyFont="1" applyFill="1" applyBorder="1" applyAlignment="1">
      <alignment horizontal="center" vertical="center"/>
    </xf>
    <xf numFmtId="0" fontId="41" fillId="3" borderId="7" xfId="0" applyFont="1" applyFill="1" applyBorder="1" applyAlignment="1">
      <alignment horizontal="center" vertical="center"/>
    </xf>
    <xf numFmtId="0" fontId="41" fillId="3" borderId="4" xfId="0" applyFont="1" applyFill="1" applyBorder="1" applyAlignment="1">
      <alignment horizontal="center" vertical="center" wrapText="1"/>
    </xf>
    <xf numFmtId="0" fontId="41" fillId="3" borderId="0" xfId="0" applyFont="1" applyFill="1" applyAlignment="1">
      <alignment horizontal="center" vertical="center" wrapText="1"/>
    </xf>
    <xf numFmtId="0" fontId="41" fillId="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</cellXfs>
  <cellStyles count="8">
    <cellStyle name="Comma" xfId="6" xr:uid="{00000000-0005-0000-0000-000000000000}"/>
    <cellStyle name="Comma [0]" xfId="7" xr:uid="{00000000-0005-0000-0000-000001000000}"/>
    <cellStyle name="쉼표 [0]" xfId="1" builtinId="6"/>
    <cellStyle name="쉼표 [0] 3" xfId="4" xr:uid="{00000000-0005-0000-0000-000003000000}"/>
    <cellStyle name="표준" xfId="0" builtinId="0"/>
    <cellStyle name="표준 3" xfId="3" xr:uid="{00000000-0005-0000-0000-000005000000}"/>
    <cellStyle name="표준_080407 3항차 final packing List(r3)통합" xfId="5" xr:uid="{00000000-0005-0000-0000-000006000000}"/>
    <cellStyle name="하이퍼링크" xfId="2" builtinId="8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18279</xdr:colOff>
      <xdr:row>2</xdr:row>
      <xdr:rowOff>57728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595904BC-91E0-4997-8D89-1373ED480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29"/>
          <a:ext cx="1046516" cy="308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75897</xdr:colOff>
      <xdr:row>48</xdr:row>
      <xdr:rowOff>81945</xdr:rowOff>
    </xdr:from>
    <xdr:to>
      <xdr:col>28</xdr:col>
      <xdr:colOff>323168</xdr:colOff>
      <xdr:row>53</xdr:row>
      <xdr:rowOff>170584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7A96598-54D4-4275-A3E7-3CEED6334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5480" y="10982778"/>
          <a:ext cx="1896096" cy="718015"/>
        </a:xfrm>
        <a:prstGeom prst="rect">
          <a:avLst/>
        </a:prstGeom>
      </xdr:spPr>
    </xdr:pic>
    <xdr:clientData/>
  </xdr:twoCellAnchor>
  <xdr:twoCellAnchor editAs="oneCell">
    <xdr:from>
      <xdr:col>28</xdr:col>
      <xdr:colOff>340480</xdr:colOff>
      <xdr:row>46</xdr:row>
      <xdr:rowOff>74083</xdr:rowOff>
    </xdr:from>
    <xdr:to>
      <xdr:col>28</xdr:col>
      <xdr:colOff>1427691</xdr:colOff>
      <xdr:row>54</xdr:row>
      <xdr:rowOff>132383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00E11AF-7938-47F6-9989-7324519AA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1063" y="10720916"/>
          <a:ext cx="1072881" cy="11389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C6F8DE5-41EE-4A82-B75A-0EF8BC4924F0}"/>
            </a:ext>
          </a:extLst>
        </xdr:cNvPr>
        <xdr:cNvSpPr txBox="1">
          <a:spLocks noChangeArrowheads="1"/>
        </xdr:cNvSpPr>
      </xdr:nvSpPr>
      <xdr:spPr bwMode="auto">
        <a:xfrm>
          <a:off x="6375672" y="0"/>
          <a:ext cx="8460303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82DD9ABE-FC76-4BEC-AA61-397289D54949}"/>
            </a:ext>
          </a:extLst>
        </xdr:cNvPr>
        <xdr:cNvSpPr txBox="1">
          <a:spLocks noChangeArrowheads="1"/>
        </xdr:cNvSpPr>
      </xdr:nvSpPr>
      <xdr:spPr bwMode="auto">
        <a:xfrm>
          <a:off x="6375672" y="0"/>
          <a:ext cx="8460303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551481</xdr:colOff>
      <xdr:row>2</xdr:row>
      <xdr:rowOff>94707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48D199C4-51B1-4934-8A30-92F942B6C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1"/>
          <a:ext cx="1487652" cy="436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19549</xdr:colOff>
      <xdr:row>2</xdr:row>
      <xdr:rowOff>56639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57E7D21C-5E48-42A9-9726-9F2B1083D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29"/>
          <a:ext cx="1047241" cy="3101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168549</xdr:colOff>
      <xdr:row>49</xdr:row>
      <xdr:rowOff>34049</xdr:rowOff>
    </xdr:from>
    <xdr:to>
      <xdr:col>27</xdr:col>
      <xdr:colOff>268139</xdr:colOff>
      <xdr:row>54</xdr:row>
      <xdr:rowOff>1252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30BE1F7-2B05-449A-B286-EF99DA671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98453" y="9686049"/>
          <a:ext cx="1950163" cy="723156"/>
        </a:xfrm>
        <a:prstGeom prst="rect">
          <a:avLst/>
        </a:prstGeom>
      </xdr:spPr>
    </xdr:pic>
    <xdr:clientData/>
  </xdr:twoCellAnchor>
  <xdr:twoCellAnchor editAs="oneCell">
    <xdr:from>
      <xdr:col>27</xdr:col>
      <xdr:colOff>156693</xdr:colOff>
      <xdr:row>46</xdr:row>
      <xdr:rowOff>114058</xdr:rowOff>
    </xdr:from>
    <xdr:to>
      <xdr:col>28</xdr:col>
      <xdr:colOff>912228</xdr:colOff>
      <xdr:row>54</xdr:row>
      <xdr:rowOff>35003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05155B2-2A0F-4AE3-8FC4-6DFA07C99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7170" y="9227820"/>
          <a:ext cx="1088668" cy="11304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94873</xdr:colOff>
      <xdr:row>1</xdr:row>
      <xdr:rowOff>170724</xdr:rowOff>
    </xdr:to>
    <xdr:pic>
      <xdr:nvPicPr>
        <xdr:cNvPr id="2" name="그림 6">
          <a:extLst>
            <a:ext uri="{FF2B5EF4-FFF2-40B4-BE49-F238E27FC236}">
              <a16:creationId xmlns:a16="http://schemas.microsoft.com/office/drawing/2014/main" id="{90D68D5A-4765-4233-A853-4C30D9752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06329" cy="342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342800</xdr:colOff>
      <xdr:row>3</xdr:row>
      <xdr:rowOff>7148</xdr:rowOff>
    </xdr:from>
    <xdr:to>
      <xdr:col>33</xdr:col>
      <xdr:colOff>553393</xdr:colOff>
      <xdr:row>8</xdr:row>
      <xdr:rowOff>95204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52D1BAF-973B-4213-A84A-705BABF10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20383" y="546898"/>
          <a:ext cx="5810202" cy="1598688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52</xdr:row>
      <xdr:rowOff>0</xdr:rowOff>
    </xdr:from>
    <xdr:to>
      <xdr:col>11</xdr:col>
      <xdr:colOff>24779</xdr:colOff>
      <xdr:row>52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84E7FF26-E995-43DB-B501-21CD83E73CF0}"/>
            </a:ext>
          </a:extLst>
        </xdr:cNvPr>
        <xdr:cNvSpPr txBox="1">
          <a:spLocks noChangeArrowheads="1"/>
        </xdr:cNvSpPr>
      </xdr:nvSpPr>
      <xdr:spPr bwMode="auto">
        <a:xfrm>
          <a:off x="7708900" y="13601700"/>
          <a:ext cx="641741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52</xdr:row>
      <xdr:rowOff>0</xdr:rowOff>
    </xdr:from>
    <xdr:to>
      <xdr:col>11</xdr:col>
      <xdr:colOff>24779</xdr:colOff>
      <xdr:row>52</xdr:row>
      <xdr:rowOff>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6773D02B-89D9-4D9B-87D3-F6DB729F35EB}"/>
            </a:ext>
          </a:extLst>
        </xdr:cNvPr>
        <xdr:cNvSpPr txBox="1">
          <a:spLocks noChangeArrowheads="1"/>
        </xdr:cNvSpPr>
      </xdr:nvSpPr>
      <xdr:spPr bwMode="auto">
        <a:xfrm>
          <a:off x="7708900" y="13601700"/>
          <a:ext cx="641741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52</xdr:row>
      <xdr:rowOff>0</xdr:rowOff>
    </xdr:from>
    <xdr:to>
      <xdr:col>11</xdr:col>
      <xdr:colOff>24779</xdr:colOff>
      <xdr:row>52</xdr:row>
      <xdr:rowOff>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53144BF3-CEB0-4EC5-83FA-B88E77CD44E5}"/>
            </a:ext>
          </a:extLst>
        </xdr:cNvPr>
        <xdr:cNvSpPr txBox="1">
          <a:spLocks noChangeArrowheads="1"/>
        </xdr:cNvSpPr>
      </xdr:nvSpPr>
      <xdr:spPr bwMode="auto">
        <a:xfrm>
          <a:off x="7708900" y="13601700"/>
          <a:ext cx="641741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55</xdr:row>
      <xdr:rowOff>0</xdr:rowOff>
    </xdr:from>
    <xdr:to>
      <xdr:col>10</xdr:col>
      <xdr:colOff>24779</xdr:colOff>
      <xdr:row>55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FB6F238A-D332-446D-A580-2CDD78EBDDE8}"/>
            </a:ext>
          </a:extLst>
        </xdr:cNvPr>
        <xdr:cNvSpPr txBox="1">
          <a:spLocks noChangeArrowheads="1"/>
        </xdr:cNvSpPr>
      </xdr:nvSpPr>
      <xdr:spPr bwMode="auto">
        <a:xfrm>
          <a:off x="5981700" y="16236950"/>
          <a:ext cx="683016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55</xdr:row>
      <xdr:rowOff>0</xdr:rowOff>
    </xdr:from>
    <xdr:to>
      <xdr:col>10</xdr:col>
      <xdr:colOff>24779</xdr:colOff>
      <xdr:row>55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B6E442C3-E893-4017-B5F8-6C7FC7855482}"/>
            </a:ext>
          </a:extLst>
        </xdr:cNvPr>
        <xdr:cNvSpPr txBox="1">
          <a:spLocks noChangeArrowheads="1"/>
        </xdr:cNvSpPr>
      </xdr:nvSpPr>
      <xdr:spPr bwMode="auto">
        <a:xfrm>
          <a:off x="5981700" y="16236950"/>
          <a:ext cx="683016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55</xdr:row>
      <xdr:rowOff>0</xdr:rowOff>
    </xdr:from>
    <xdr:to>
      <xdr:col>10</xdr:col>
      <xdr:colOff>24779</xdr:colOff>
      <xdr:row>55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410B74CF-1097-4F37-BC88-F595CC0D8647}"/>
            </a:ext>
          </a:extLst>
        </xdr:cNvPr>
        <xdr:cNvSpPr txBox="1">
          <a:spLocks noChangeArrowheads="1"/>
        </xdr:cNvSpPr>
      </xdr:nvSpPr>
      <xdr:spPr bwMode="auto">
        <a:xfrm>
          <a:off x="5981700" y="16236950"/>
          <a:ext cx="683016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171091</xdr:colOff>
      <xdr:row>2</xdr:row>
      <xdr:rowOff>95187</xdr:rowOff>
    </xdr:to>
    <xdr:pic>
      <xdr:nvPicPr>
        <xdr:cNvPr id="5" name="그림 6">
          <a:extLst>
            <a:ext uri="{FF2B5EF4-FFF2-40B4-BE49-F238E27FC236}">
              <a16:creationId xmlns:a16="http://schemas.microsoft.com/office/drawing/2014/main" id="{AA61BE62-CEE5-4CF8-8637-BB9D522D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56512" cy="4322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159227</xdr:colOff>
      <xdr:row>5</xdr:row>
      <xdr:rowOff>85497</xdr:rowOff>
    </xdr:from>
    <xdr:to>
      <xdr:col>20</xdr:col>
      <xdr:colOff>133603</xdr:colOff>
      <xdr:row>7</xdr:row>
      <xdr:rowOff>172052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9C5BB4F-380D-46CA-AF9D-FD87E16A2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66234" y="976311"/>
          <a:ext cx="4390348" cy="9552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.kipshakbayeva@wiselogistics.kz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D59"/>
  <sheetViews>
    <sheetView showGridLines="0" view="pageBreakPreview" topLeftCell="A4" zoomScale="90" zoomScaleNormal="100" zoomScaleSheetLayoutView="90" workbookViewId="0">
      <selection activeCell="V8" sqref="V8:Z8"/>
    </sheetView>
  </sheetViews>
  <sheetFormatPr defaultColWidth="8.69921875" defaultRowHeight="14.4" x14ac:dyDescent="0.4"/>
  <cols>
    <col min="1" max="1" width="2.59765625" style="3" customWidth="1"/>
    <col min="2" max="6" width="3" style="3" customWidth="1"/>
    <col min="7" max="7" width="4" style="3" customWidth="1"/>
    <col min="8" max="8" width="9.09765625" style="3"/>
    <col min="9" max="16" width="3" style="3" customWidth="1"/>
    <col min="17" max="17" width="6.5" style="3" customWidth="1"/>
    <col min="18" max="18" width="3.19921875" style="3" customWidth="1"/>
    <col min="19" max="20" width="2.59765625" style="3" customWidth="1"/>
    <col min="21" max="22" width="3.19921875" style="3" customWidth="1"/>
    <col min="23" max="25" width="3.69921875" style="3" customWidth="1"/>
    <col min="26" max="28" width="3.19921875" style="3" customWidth="1"/>
    <col min="29" max="29" width="22.19921875" style="3" customWidth="1"/>
    <col min="30" max="16384" width="8.69921875" style="331"/>
  </cols>
  <sheetData>
    <row r="1" spans="1:29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0</v>
      </c>
      <c r="X1" s="2"/>
      <c r="Y1" s="2"/>
      <c r="Z1" s="2"/>
      <c r="AA1" s="2"/>
      <c r="AB1" s="2"/>
      <c r="AC1" s="330"/>
    </row>
    <row r="2" spans="1:29" ht="12" customHeight="1" x14ac:dyDescent="0.4">
      <c r="A2" s="332"/>
      <c r="W2" s="3" t="s">
        <v>1</v>
      </c>
      <c r="AC2" s="333"/>
    </row>
    <row r="3" spans="1:29" ht="12" customHeight="1" x14ac:dyDescent="0.4">
      <c r="A3" s="332"/>
      <c r="W3" s="3" t="s">
        <v>2</v>
      </c>
      <c r="AC3" s="333"/>
    </row>
    <row r="4" spans="1:29" ht="12" customHeight="1" x14ac:dyDescent="0.4">
      <c r="A4" s="332"/>
      <c r="W4" s="3" t="s">
        <v>3</v>
      </c>
      <c r="AC4" s="333"/>
    </row>
    <row r="5" spans="1:29" ht="12" customHeight="1" x14ac:dyDescent="0.4">
      <c r="A5" s="332"/>
      <c r="W5" s="3" t="s">
        <v>4</v>
      </c>
      <c r="AC5" s="333"/>
    </row>
    <row r="6" spans="1:29" ht="44.7" customHeight="1" x14ac:dyDescent="0.4">
      <c r="A6" s="444" t="s">
        <v>5</v>
      </c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5"/>
      <c r="Q6" s="445"/>
      <c r="R6" s="445"/>
      <c r="S6" s="445"/>
      <c r="T6" s="445"/>
      <c r="U6" s="445"/>
      <c r="V6" s="445"/>
      <c r="W6" s="445"/>
      <c r="X6" s="445"/>
      <c r="Y6" s="445"/>
      <c r="Z6" s="445"/>
      <c r="AA6" s="445"/>
      <c r="AB6" s="445"/>
      <c r="AC6" s="446"/>
    </row>
    <row r="7" spans="1:29" ht="12" customHeight="1" thickBot="1" x14ac:dyDescent="0.45">
      <c r="A7" s="334"/>
      <c r="B7" s="335"/>
      <c r="C7" s="335"/>
      <c r="D7" s="335"/>
      <c r="E7" s="335"/>
      <c r="F7" s="335"/>
      <c r="G7" s="335"/>
      <c r="H7" s="335"/>
      <c r="I7" s="335"/>
      <c r="J7" s="335"/>
      <c r="K7" s="335"/>
      <c r="L7" s="335"/>
      <c r="M7" s="335"/>
      <c r="N7" s="335"/>
      <c r="O7" s="335"/>
      <c r="P7" s="335"/>
      <c r="Q7" s="335"/>
      <c r="R7" s="335"/>
      <c r="S7" s="335"/>
      <c r="T7" s="335"/>
      <c r="U7" s="335"/>
      <c r="V7" s="335"/>
      <c r="W7" s="335"/>
      <c r="X7" s="335"/>
      <c r="Y7" s="335"/>
      <c r="Z7" s="335"/>
      <c r="AA7" s="335"/>
      <c r="AB7" s="335"/>
      <c r="AC7" s="336"/>
    </row>
    <row r="8" spans="1:29" ht="15.6" customHeight="1" x14ac:dyDescent="0.4">
      <c r="A8" s="337" t="s">
        <v>6</v>
      </c>
      <c r="B8" s="338"/>
      <c r="C8" s="338"/>
      <c r="D8" s="338"/>
      <c r="E8" s="338"/>
      <c r="F8" s="338"/>
      <c r="G8" s="338"/>
      <c r="H8" s="338"/>
      <c r="I8" s="338"/>
      <c r="J8" s="338"/>
      <c r="K8" s="338"/>
      <c r="L8" s="338"/>
      <c r="M8" s="338"/>
      <c r="N8" s="338"/>
      <c r="O8" s="338"/>
      <c r="P8" s="338"/>
      <c r="Q8" s="339"/>
      <c r="R8" s="340" t="s">
        <v>7</v>
      </c>
      <c r="S8" s="338"/>
      <c r="T8" s="338"/>
      <c r="U8" s="340"/>
      <c r="V8" s="447" t="s">
        <v>8</v>
      </c>
      <c r="W8" s="447"/>
      <c r="X8" s="447"/>
      <c r="Y8" s="447"/>
      <c r="Z8" s="447"/>
      <c r="AA8" s="338"/>
      <c r="AB8" s="338"/>
      <c r="AC8" s="341"/>
    </row>
    <row r="9" spans="1:29" ht="15.6" customHeight="1" x14ac:dyDescent="0.4">
      <c r="A9" s="342"/>
      <c r="B9" s="343" t="s">
        <v>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344"/>
      <c r="R9" s="345" t="s">
        <v>10</v>
      </c>
      <c r="S9" s="346"/>
      <c r="T9" s="346"/>
      <c r="U9" s="346"/>
      <c r="V9" s="346"/>
      <c r="W9" s="346"/>
      <c r="X9" s="346"/>
      <c r="Y9" s="346"/>
      <c r="Z9" s="346"/>
      <c r="AA9" s="346"/>
      <c r="AB9" s="346"/>
      <c r="AC9" s="347"/>
    </row>
    <row r="10" spans="1:29" ht="15.6" customHeight="1" x14ac:dyDescent="0.4">
      <c r="A10" s="342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348"/>
      <c r="R10" s="343" t="s">
        <v>12</v>
      </c>
      <c r="S10" s="4"/>
      <c r="T10" s="4"/>
      <c r="U10" s="4"/>
      <c r="V10" s="448">
        <v>46107</v>
      </c>
      <c r="W10" s="448"/>
      <c r="X10" s="448"/>
      <c r="Y10" s="448"/>
      <c r="Z10" s="448"/>
      <c r="AA10" s="4"/>
      <c r="AB10" s="4"/>
      <c r="AC10" s="349"/>
    </row>
    <row r="11" spans="1:29" ht="15.6" customHeight="1" x14ac:dyDescent="0.4">
      <c r="A11" s="350"/>
      <c r="B11" s="346" t="s">
        <v>13</v>
      </c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51"/>
      <c r="R11" s="345" t="s">
        <v>14</v>
      </c>
      <c r="S11" s="346"/>
      <c r="T11" s="346"/>
      <c r="U11" s="346"/>
      <c r="V11" s="346"/>
      <c r="W11" s="346"/>
      <c r="X11" s="346"/>
      <c r="Y11" s="346"/>
      <c r="Z11" s="346"/>
      <c r="AA11" s="346"/>
      <c r="AB11" s="346"/>
      <c r="AC11" s="347"/>
    </row>
    <row r="12" spans="1:29" ht="15.6" customHeight="1" x14ac:dyDescent="0.4">
      <c r="A12" s="352" t="s">
        <v>15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348"/>
      <c r="R12" s="343" t="s">
        <v>16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349"/>
    </row>
    <row r="13" spans="1:29" ht="15.6" customHeight="1" x14ac:dyDescent="0.4">
      <c r="A13" s="342"/>
      <c r="B13" s="343" t="s">
        <v>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48"/>
      <c r="R13" s="4"/>
      <c r="S13" s="353"/>
      <c r="T13" s="353"/>
      <c r="U13" s="353"/>
      <c r="V13" s="353"/>
      <c r="W13" s="353"/>
      <c r="X13" s="353"/>
      <c r="Y13" s="353"/>
      <c r="Z13" s="353"/>
      <c r="AA13" s="353"/>
      <c r="AB13" s="353"/>
      <c r="AC13" s="354"/>
    </row>
    <row r="14" spans="1:29" ht="15.6" customHeight="1" x14ac:dyDescent="0.4">
      <c r="A14" s="352"/>
      <c r="B14" s="4" t="s">
        <v>18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348"/>
      <c r="R14" s="343"/>
      <c r="S14" s="147" t="s">
        <v>19</v>
      </c>
      <c r="T14" s="4"/>
      <c r="U14" s="4"/>
      <c r="V14" s="4"/>
      <c r="W14" s="4"/>
      <c r="X14" s="4"/>
      <c r="Y14" s="4"/>
      <c r="Z14" s="4"/>
      <c r="AA14" s="4"/>
      <c r="AB14" s="4"/>
      <c r="AC14" s="349"/>
    </row>
    <row r="15" spans="1:29" ht="15.6" customHeight="1" x14ac:dyDescent="0.4">
      <c r="A15" s="342"/>
      <c r="B15" s="4" t="s">
        <v>20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348"/>
      <c r="R15" s="343"/>
      <c r="S15" s="449" t="s">
        <v>21</v>
      </c>
      <c r="T15" s="449"/>
      <c r="U15" s="449"/>
      <c r="V15" s="449"/>
      <c r="W15" s="449"/>
      <c r="X15" s="449"/>
      <c r="Y15" s="449"/>
      <c r="Z15" s="449"/>
      <c r="AA15" s="449"/>
      <c r="AB15" s="449"/>
      <c r="AC15" s="450"/>
    </row>
    <row r="16" spans="1:29" ht="15.6" customHeight="1" x14ac:dyDescent="0.4">
      <c r="A16" s="34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48"/>
      <c r="R16" s="343"/>
      <c r="S16" s="451" t="s">
        <v>22</v>
      </c>
      <c r="T16" s="451"/>
      <c r="U16" s="451"/>
      <c r="V16" s="451"/>
      <c r="W16" s="451"/>
      <c r="X16" s="451"/>
      <c r="Y16" s="451"/>
      <c r="Z16" s="451"/>
      <c r="AA16" s="451"/>
      <c r="AB16" s="451"/>
      <c r="AC16" s="452"/>
    </row>
    <row r="17" spans="1:29" ht="15.6" customHeight="1" x14ac:dyDescent="0.4">
      <c r="A17" s="342"/>
      <c r="B17" s="331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348"/>
      <c r="R17" s="343"/>
      <c r="S17" s="147" t="s">
        <v>23</v>
      </c>
      <c r="T17" s="4"/>
      <c r="U17" s="4"/>
      <c r="V17" s="4"/>
      <c r="W17" s="4"/>
      <c r="X17" s="4"/>
      <c r="Y17" s="4"/>
      <c r="Z17" s="4"/>
      <c r="AA17" s="4"/>
      <c r="AB17" s="4"/>
      <c r="AC17" s="349"/>
    </row>
    <row r="18" spans="1:29" ht="15.6" customHeight="1" x14ac:dyDescent="0.4">
      <c r="A18" s="350"/>
      <c r="B18" s="355"/>
      <c r="C18" s="346"/>
      <c r="D18" s="346"/>
      <c r="E18" s="346"/>
      <c r="F18" s="346"/>
      <c r="G18" s="346"/>
      <c r="H18" s="346"/>
      <c r="I18" s="346"/>
      <c r="J18" s="346"/>
      <c r="K18" s="346"/>
      <c r="L18" s="346"/>
      <c r="M18" s="346"/>
      <c r="N18" s="346"/>
      <c r="O18" s="346"/>
      <c r="P18" s="346"/>
      <c r="Q18" s="351"/>
      <c r="R18" s="343"/>
      <c r="S18" s="455" t="s">
        <v>24</v>
      </c>
      <c r="T18" s="455"/>
      <c r="U18" s="455"/>
      <c r="V18" s="455"/>
      <c r="W18" s="455"/>
      <c r="X18" s="455"/>
      <c r="Y18" s="455"/>
      <c r="Z18" s="455"/>
      <c r="AA18" s="455"/>
      <c r="AB18" s="455"/>
      <c r="AC18" s="456"/>
    </row>
    <row r="19" spans="1:29" ht="15.6" customHeight="1" x14ac:dyDescent="0.4">
      <c r="A19" s="352" t="s">
        <v>25</v>
      </c>
      <c r="B19" s="356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348"/>
      <c r="R19" s="343"/>
      <c r="S19" s="147" t="s">
        <v>26</v>
      </c>
      <c r="T19" s="4"/>
      <c r="U19" s="4"/>
      <c r="V19" s="4"/>
      <c r="W19" s="357"/>
      <c r="X19" s="357"/>
      <c r="Y19" s="357"/>
      <c r="Z19" s="343"/>
      <c r="AA19" s="343"/>
      <c r="AB19" s="343"/>
      <c r="AC19" s="349"/>
    </row>
    <row r="20" spans="1:29" ht="15.6" customHeight="1" x14ac:dyDescent="0.4">
      <c r="A20" s="342"/>
      <c r="B20" s="343" t="s">
        <v>27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348"/>
      <c r="R20" s="343"/>
      <c r="S20" s="455">
        <v>2026</v>
      </c>
      <c r="T20" s="455"/>
      <c r="U20" s="455"/>
      <c r="V20" s="455"/>
      <c r="W20" s="455"/>
      <c r="X20" s="455"/>
      <c r="Y20" s="455"/>
      <c r="Z20" s="455"/>
      <c r="AA20" s="455"/>
      <c r="AB20" s="455"/>
      <c r="AC20" s="456"/>
    </row>
    <row r="21" spans="1:29" ht="15.6" customHeight="1" x14ac:dyDescent="0.4">
      <c r="A21" s="342"/>
      <c r="B21" s="358" t="s">
        <v>28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348"/>
      <c r="R21" s="4"/>
      <c r="S21" s="147" t="s">
        <v>29</v>
      </c>
      <c r="T21" s="147"/>
      <c r="U21" s="147"/>
      <c r="V21" s="147"/>
      <c r="W21" s="359"/>
      <c r="X21" s="359"/>
      <c r="Y21" s="359"/>
      <c r="Z21" s="343"/>
      <c r="AA21" s="4"/>
      <c r="AB21" s="4"/>
      <c r="AC21" s="349"/>
    </row>
    <row r="22" spans="1:29" ht="15.6" customHeight="1" x14ac:dyDescent="0.3">
      <c r="A22" s="342"/>
      <c r="B22" s="360" t="s">
        <v>30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348"/>
      <c r="R22" s="361"/>
      <c r="S22" s="455" t="s">
        <v>31</v>
      </c>
      <c r="T22" s="455"/>
      <c r="U22" s="455"/>
      <c r="V22" s="455"/>
      <c r="W22" s="455"/>
      <c r="X22" s="455"/>
      <c r="Y22" s="455"/>
      <c r="Z22" s="455"/>
      <c r="AA22" s="455"/>
      <c r="AB22" s="455"/>
      <c r="AC22" s="456"/>
    </row>
    <row r="23" spans="1:29" ht="15.6" customHeight="1" x14ac:dyDescent="0.4">
      <c r="A23" s="342"/>
      <c r="B23" s="331" t="s">
        <v>32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348"/>
      <c r="R23" s="362"/>
      <c r="S23" s="147" t="s">
        <v>33</v>
      </c>
      <c r="T23" s="363"/>
      <c r="U23" s="4"/>
      <c r="V23" s="4"/>
      <c r="W23" s="4"/>
      <c r="X23" s="4"/>
      <c r="Y23" s="4"/>
      <c r="Z23" s="4"/>
      <c r="AA23" s="4"/>
      <c r="AB23" s="4"/>
      <c r="AC23" s="349"/>
    </row>
    <row r="24" spans="1:29" ht="15.6" customHeight="1" x14ac:dyDescent="0.4">
      <c r="A24" s="342"/>
      <c r="B24" s="356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348"/>
      <c r="R24" s="364"/>
      <c r="S24" s="455" t="s">
        <v>34</v>
      </c>
      <c r="T24" s="455"/>
      <c r="U24" s="455"/>
      <c r="V24" s="455"/>
      <c r="W24" s="455"/>
      <c r="X24" s="455"/>
      <c r="Y24" s="455"/>
      <c r="Z24" s="455"/>
      <c r="AA24" s="455"/>
      <c r="AB24" s="455"/>
      <c r="AC24" s="456"/>
    </row>
    <row r="25" spans="1:29" ht="15.6" customHeight="1" x14ac:dyDescent="0.4">
      <c r="A25" s="342"/>
      <c r="B25" s="36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348"/>
      <c r="R25" s="366"/>
      <c r="S25" s="147" t="s">
        <v>35</v>
      </c>
      <c r="T25" s="4"/>
      <c r="U25" s="4"/>
      <c r="V25" s="4"/>
      <c r="W25" s="4"/>
      <c r="X25" s="4"/>
      <c r="Y25" s="4"/>
      <c r="Z25" s="4"/>
      <c r="AA25" s="4"/>
      <c r="AB25" s="4"/>
      <c r="AC25" s="349"/>
    </row>
    <row r="26" spans="1:29" ht="15.6" customHeight="1" x14ac:dyDescent="0.4">
      <c r="A26" s="6" t="s">
        <v>36</v>
      </c>
      <c r="B26" s="367"/>
      <c r="C26" s="367"/>
      <c r="D26" s="367"/>
      <c r="E26" s="367"/>
      <c r="F26" s="367"/>
      <c r="G26" s="367"/>
      <c r="H26" s="368"/>
      <c r="I26" s="423" t="s">
        <v>37</v>
      </c>
      <c r="J26" s="424"/>
      <c r="K26" s="424"/>
      <c r="L26" s="424"/>
      <c r="M26" s="424"/>
      <c r="N26" s="424"/>
      <c r="O26" s="424"/>
      <c r="P26" s="424"/>
      <c r="Q26" s="425"/>
      <c r="S26" s="396" t="s">
        <v>38</v>
      </c>
      <c r="T26" s="396"/>
      <c r="U26" s="396"/>
      <c r="V26" s="396"/>
      <c r="W26" s="396"/>
      <c r="X26" s="396"/>
      <c r="Y26" s="396"/>
      <c r="Z26" s="396"/>
      <c r="AA26" s="396"/>
      <c r="AB26" s="396"/>
      <c r="AC26" s="397"/>
    </row>
    <row r="27" spans="1:29" ht="15.6" customHeight="1" x14ac:dyDescent="0.4">
      <c r="A27" s="342"/>
      <c r="B27" s="4" t="s">
        <v>39</v>
      </c>
      <c r="C27" s="4"/>
      <c r="D27" s="4"/>
      <c r="E27" s="4"/>
      <c r="F27" s="4"/>
      <c r="G27" s="4"/>
      <c r="H27" s="348"/>
      <c r="I27" s="4"/>
      <c r="J27" s="4" t="s">
        <v>40</v>
      </c>
      <c r="K27" s="4"/>
      <c r="L27" s="4"/>
      <c r="M27" s="4"/>
      <c r="N27" s="4"/>
      <c r="O27" s="4"/>
      <c r="P27" s="4"/>
      <c r="Q27" s="348"/>
      <c r="AC27" s="333"/>
    </row>
    <row r="28" spans="1:29" ht="15.6" customHeight="1" x14ac:dyDescent="0.4">
      <c r="A28" s="350"/>
      <c r="B28" s="369"/>
      <c r="C28" s="346"/>
      <c r="D28" s="346"/>
      <c r="E28" s="346"/>
      <c r="F28" s="346"/>
      <c r="G28" s="346"/>
      <c r="H28" s="351"/>
      <c r="I28" s="346"/>
      <c r="J28" s="369"/>
      <c r="K28" s="346"/>
      <c r="L28" s="346"/>
      <c r="M28" s="346"/>
      <c r="N28" s="346"/>
      <c r="O28" s="346"/>
      <c r="P28" s="346"/>
      <c r="Q28" s="351"/>
      <c r="AC28" s="333"/>
    </row>
    <row r="29" spans="1:29" ht="15.6" customHeight="1" x14ac:dyDescent="0.4">
      <c r="A29" s="352" t="s">
        <v>41</v>
      </c>
      <c r="B29" s="4"/>
      <c r="C29" s="4"/>
      <c r="D29" s="4"/>
      <c r="E29" s="4"/>
      <c r="F29" s="4"/>
      <c r="G29" s="4"/>
      <c r="H29" s="348"/>
      <c r="I29" s="423" t="s">
        <v>42</v>
      </c>
      <c r="J29" s="424"/>
      <c r="K29" s="424"/>
      <c r="L29" s="424"/>
      <c r="M29" s="424"/>
      <c r="N29" s="424"/>
      <c r="O29" s="424"/>
      <c r="P29" s="424"/>
      <c r="Q29" s="425"/>
      <c r="R29" s="424" t="s">
        <v>43</v>
      </c>
      <c r="S29" s="424"/>
      <c r="T29" s="424"/>
      <c r="U29" s="424"/>
      <c r="V29" s="424"/>
      <c r="W29" s="424"/>
      <c r="X29" s="424"/>
      <c r="Y29" s="424"/>
      <c r="Z29" s="424"/>
      <c r="AA29" s="424"/>
      <c r="AB29" s="424"/>
      <c r="AC29" s="453"/>
    </row>
    <row r="30" spans="1:29" ht="15.6" customHeight="1" x14ac:dyDescent="0.4">
      <c r="A30" s="352"/>
      <c r="B30" s="4"/>
      <c r="C30" s="4"/>
      <c r="D30" s="4"/>
      <c r="E30" s="4"/>
      <c r="F30" s="4"/>
      <c r="G30" s="4"/>
      <c r="H30" s="348"/>
      <c r="I30" s="426"/>
      <c r="J30" s="427"/>
      <c r="K30" s="427"/>
      <c r="L30" s="427"/>
      <c r="M30" s="427"/>
      <c r="N30" s="427"/>
      <c r="O30" s="427"/>
      <c r="P30" s="427"/>
      <c r="Q30" s="428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349"/>
    </row>
    <row r="31" spans="1:29" ht="15.6" customHeight="1" x14ac:dyDescent="0.4">
      <c r="A31" s="342"/>
      <c r="B31" s="4" t="s">
        <v>44</v>
      </c>
      <c r="C31" s="4"/>
      <c r="D31" s="4"/>
      <c r="E31" s="4"/>
      <c r="F31" s="4"/>
      <c r="G31" s="4"/>
      <c r="H31" s="348"/>
      <c r="I31" s="417" t="s">
        <v>45</v>
      </c>
      <c r="J31" s="418"/>
      <c r="K31" s="418"/>
      <c r="L31" s="418"/>
      <c r="M31" s="418"/>
      <c r="N31" s="418"/>
      <c r="O31" s="418"/>
      <c r="P31" s="418"/>
      <c r="Q31" s="419"/>
      <c r="R31" s="4"/>
      <c r="S31" s="147" t="s">
        <v>46</v>
      </c>
      <c r="T31" s="4"/>
      <c r="U31" s="4"/>
      <c r="V31" s="4"/>
      <c r="W31" s="4"/>
      <c r="X31" s="4" t="s">
        <v>47</v>
      </c>
      <c r="Y31" s="4" t="s">
        <v>48</v>
      </c>
      <c r="Z31" s="4"/>
      <c r="AA31" s="4"/>
      <c r="AB31" s="4"/>
      <c r="AC31" s="349"/>
    </row>
    <row r="32" spans="1:29" ht="15.6" customHeight="1" x14ac:dyDescent="0.4">
      <c r="A32" s="350"/>
      <c r="B32" s="346"/>
      <c r="C32" s="346"/>
      <c r="D32" s="346"/>
      <c r="E32" s="346"/>
      <c r="F32" s="346"/>
      <c r="G32" s="346"/>
      <c r="H32" s="351"/>
      <c r="I32" s="420"/>
      <c r="J32" s="421"/>
      <c r="K32" s="421"/>
      <c r="L32" s="421"/>
      <c r="M32" s="421"/>
      <c r="N32" s="421"/>
      <c r="O32" s="421"/>
      <c r="P32" s="421"/>
      <c r="Q32" s="422"/>
      <c r="R32" s="4"/>
      <c r="S32" s="147" t="s">
        <v>49</v>
      </c>
      <c r="T32" s="4"/>
      <c r="U32" s="4"/>
      <c r="V32" s="4"/>
      <c r="W32" s="4"/>
      <c r="X32" s="4" t="s">
        <v>47</v>
      </c>
      <c r="Y32" s="454">
        <f>COUNT('Summary PL'!A14:A14)</f>
        <v>1</v>
      </c>
      <c r="Z32" s="454"/>
      <c r="AA32" s="454"/>
      <c r="AB32" s="454"/>
      <c r="AC32" s="349" t="s">
        <v>50</v>
      </c>
    </row>
    <row r="33" spans="1:30" ht="15.6" customHeight="1" x14ac:dyDescent="0.4">
      <c r="A33" s="352" t="s">
        <v>51</v>
      </c>
      <c r="B33" s="4"/>
      <c r="C33" s="4"/>
      <c r="D33" s="4"/>
      <c r="E33" s="4"/>
      <c r="F33" s="4"/>
      <c r="G33" s="4"/>
      <c r="H33" s="348"/>
      <c r="I33" s="423" t="s">
        <v>52</v>
      </c>
      <c r="J33" s="424"/>
      <c r="K33" s="424"/>
      <c r="L33" s="424"/>
      <c r="M33" s="424"/>
      <c r="N33" s="424"/>
      <c r="O33" s="424"/>
      <c r="P33" s="424"/>
      <c r="Q33" s="425"/>
      <c r="R33" s="4"/>
      <c r="S33" s="147" t="s">
        <v>53</v>
      </c>
      <c r="T33" s="4"/>
      <c r="U33" s="4"/>
      <c r="V33" s="4"/>
      <c r="W33" s="4"/>
      <c r="X33" s="4" t="s">
        <v>47</v>
      </c>
      <c r="Y33" s="395">
        <f>'Summary PL'!L15</f>
        <v>1260</v>
      </c>
      <c r="Z33" s="395"/>
      <c r="AA33" s="395"/>
      <c r="AB33" s="395"/>
      <c r="AC33" s="349" t="s">
        <v>54</v>
      </c>
    </row>
    <row r="34" spans="1:30" ht="15.6" customHeight="1" x14ac:dyDescent="0.4">
      <c r="A34" s="352"/>
      <c r="B34" s="4"/>
      <c r="C34" s="4"/>
      <c r="D34" s="4"/>
      <c r="E34" s="4"/>
      <c r="F34" s="4"/>
      <c r="G34" s="4"/>
      <c r="H34" s="348"/>
      <c r="I34" s="426"/>
      <c r="J34" s="427"/>
      <c r="K34" s="427"/>
      <c r="L34" s="427"/>
      <c r="M34" s="427"/>
      <c r="N34" s="427"/>
      <c r="O34" s="427"/>
      <c r="P34" s="427"/>
      <c r="Q34" s="428"/>
      <c r="R34" s="4"/>
      <c r="S34" s="147" t="s">
        <v>55</v>
      </c>
      <c r="T34" s="4"/>
      <c r="U34" s="4"/>
      <c r="V34" s="4"/>
      <c r="W34" s="4"/>
      <c r="X34" s="4" t="s">
        <v>47</v>
      </c>
      <c r="Y34" s="395">
        <f>'Summary PL'!M15</f>
        <v>1410</v>
      </c>
      <c r="Z34" s="395"/>
      <c r="AA34" s="395"/>
      <c r="AB34" s="395"/>
      <c r="AC34" s="349" t="s">
        <v>54</v>
      </c>
    </row>
    <row r="35" spans="1:30" ht="15.6" customHeight="1" x14ac:dyDescent="0.4">
      <c r="A35" s="342"/>
      <c r="B35" s="4" t="s">
        <v>56</v>
      </c>
      <c r="C35" s="4"/>
      <c r="D35" s="4"/>
      <c r="E35" s="4"/>
      <c r="F35" s="4"/>
      <c r="G35" s="4"/>
      <c r="H35" s="348"/>
      <c r="I35" s="4"/>
      <c r="J35" s="429">
        <v>46135</v>
      </c>
      <c r="K35" s="429"/>
      <c r="L35" s="429"/>
      <c r="M35" s="429"/>
      <c r="N35" s="429"/>
      <c r="O35" s="429"/>
      <c r="P35" s="429"/>
      <c r="Q35" s="348"/>
      <c r="R35" s="4"/>
      <c r="S35" s="147" t="s">
        <v>57</v>
      </c>
      <c r="T35" s="4"/>
      <c r="U35" s="4"/>
      <c r="V35" s="4"/>
      <c r="W35" s="4"/>
      <c r="X35" s="4" t="s">
        <v>47</v>
      </c>
      <c r="Y35" s="395">
        <f>'Summary PL'!K15</f>
        <v>3.46</v>
      </c>
      <c r="Z35" s="395"/>
      <c r="AA35" s="395"/>
      <c r="AB35" s="395"/>
      <c r="AC35" s="349" t="s">
        <v>58</v>
      </c>
    </row>
    <row r="36" spans="1:30" ht="15.6" customHeight="1" x14ac:dyDescent="0.4">
      <c r="A36" s="350"/>
      <c r="B36" s="346"/>
      <c r="C36" s="346"/>
      <c r="D36" s="346"/>
      <c r="E36" s="346"/>
      <c r="F36" s="346"/>
      <c r="G36" s="346"/>
      <c r="H36" s="351"/>
      <c r="I36" s="346"/>
      <c r="J36" s="346"/>
      <c r="K36" s="346"/>
      <c r="L36" s="346"/>
      <c r="M36" s="346"/>
      <c r="N36" s="346"/>
      <c r="O36" s="346"/>
      <c r="P36" s="346"/>
      <c r="Q36" s="351"/>
      <c r="R36" s="4"/>
      <c r="S36" s="370"/>
      <c r="T36" s="370"/>
      <c r="U36" s="370"/>
      <c r="V36" s="370"/>
      <c r="W36" s="370"/>
      <c r="X36" s="370"/>
      <c r="Y36" s="370"/>
      <c r="Z36" s="370"/>
      <c r="AA36" s="370"/>
      <c r="AB36" s="370"/>
      <c r="AC36" s="371"/>
    </row>
    <row r="37" spans="1:30" ht="15.6" customHeight="1" x14ac:dyDescent="0.4">
      <c r="A37" s="6" t="s">
        <v>59</v>
      </c>
      <c r="B37" s="367"/>
      <c r="C37" s="367"/>
      <c r="D37" s="367"/>
      <c r="E37" s="367"/>
      <c r="F37" s="367"/>
      <c r="G37" s="367"/>
      <c r="H37" s="367"/>
      <c r="I37" s="372"/>
      <c r="J37" s="367"/>
      <c r="K37" s="367"/>
      <c r="L37" s="367"/>
      <c r="M37" s="367"/>
      <c r="N37" s="367"/>
      <c r="O37" s="367"/>
      <c r="P37" s="367"/>
      <c r="Q37" s="368"/>
      <c r="R37" s="4"/>
      <c r="S37" s="370"/>
      <c r="T37" s="370"/>
      <c r="U37" s="370"/>
      <c r="V37" s="370"/>
      <c r="W37" s="370"/>
      <c r="X37" s="370"/>
      <c r="Y37" s="370"/>
      <c r="Z37" s="370"/>
      <c r="AA37" s="370"/>
      <c r="AB37" s="370"/>
      <c r="AC37" s="371"/>
    </row>
    <row r="38" spans="1:30" ht="15.6" customHeight="1" x14ac:dyDescent="0.4">
      <c r="A38" s="342"/>
      <c r="B38" s="4"/>
      <c r="C38" s="4"/>
      <c r="D38" s="4"/>
      <c r="E38" s="4"/>
      <c r="F38" s="4"/>
      <c r="G38" s="4"/>
      <c r="H38" s="4"/>
      <c r="I38" s="4"/>
      <c r="J38" s="373"/>
      <c r="K38" s="373"/>
      <c r="L38" s="373"/>
      <c r="M38" s="373"/>
      <c r="N38" s="373"/>
      <c r="O38" s="373"/>
      <c r="P38" s="373"/>
      <c r="Q38" s="348"/>
      <c r="R38" s="4"/>
      <c r="S38" s="370"/>
      <c r="T38" s="370"/>
      <c r="U38" s="370"/>
      <c r="V38" s="370"/>
      <c r="W38" s="370"/>
      <c r="X38" s="370"/>
      <c r="Y38" s="370"/>
      <c r="Z38" s="370"/>
      <c r="AA38" s="370"/>
      <c r="AB38" s="370"/>
      <c r="AC38" s="371"/>
    </row>
    <row r="39" spans="1:30" ht="15.6" customHeight="1" x14ac:dyDescent="0.4">
      <c r="A39" s="350"/>
      <c r="B39" s="346"/>
      <c r="C39" s="346"/>
      <c r="D39" s="346"/>
      <c r="E39" s="346"/>
      <c r="F39" s="346"/>
      <c r="G39" s="346"/>
      <c r="H39" s="346"/>
      <c r="I39" s="346"/>
      <c r="J39" s="346"/>
      <c r="K39" s="346"/>
      <c r="L39" s="346"/>
      <c r="M39" s="346"/>
      <c r="N39" s="346"/>
      <c r="O39" s="346"/>
      <c r="P39" s="346"/>
      <c r="Q39" s="35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349"/>
    </row>
    <row r="40" spans="1:30" ht="15.6" customHeight="1" x14ac:dyDescent="0.4">
      <c r="A40" s="403" t="s">
        <v>60</v>
      </c>
      <c r="B40" s="404"/>
      <c r="C40" s="404"/>
      <c r="D40" s="404"/>
      <c r="E40" s="404"/>
      <c r="F40" s="404"/>
      <c r="G40" s="404"/>
      <c r="H40" s="404"/>
      <c r="I40" s="404"/>
      <c r="J40" s="404"/>
      <c r="K40" s="404"/>
      <c r="L40" s="404"/>
      <c r="M40" s="404"/>
      <c r="N40" s="404"/>
      <c r="O40" s="404"/>
      <c r="P40" s="404"/>
      <c r="Q40" s="405"/>
      <c r="R40" s="409" t="s">
        <v>61</v>
      </c>
      <c r="S40" s="410"/>
      <c r="T40" s="410"/>
      <c r="U40" s="410"/>
      <c r="V40" s="411"/>
      <c r="W40" s="409" t="s">
        <v>62</v>
      </c>
      <c r="X40" s="410"/>
      <c r="Y40" s="410"/>
      <c r="Z40" s="411"/>
      <c r="AA40" s="409" t="s">
        <v>63</v>
      </c>
      <c r="AB40" s="410"/>
      <c r="AC40" s="412"/>
    </row>
    <row r="41" spans="1:30" ht="15.6" customHeight="1" x14ac:dyDescent="0.4">
      <c r="A41" s="406"/>
      <c r="B41" s="407"/>
      <c r="C41" s="407"/>
      <c r="D41" s="407"/>
      <c r="E41" s="407"/>
      <c r="F41" s="407"/>
      <c r="G41" s="407"/>
      <c r="H41" s="407"/>
      <c r="I41" s="407"/>
      <c r="J41" s="407"/>
      <c r="K41" s="407"/>
      <c r="L41" s="407"/>
      <c r="M41" s="407"/>
      <c r="N41" s="407"/>
      <c r="O41" s="407"/>
      <c r="P41" s="407"/>
      <c r="Q41" s="408"/>
      <c r="R41" s="413" t="s">
        <v>64</v>
      </c>
      <c r="S41" s="414"/>
      <c r="T41" s="414"/>
      <c r="U41" s="414"/>
      <c r="V41" s="415"/>
      <c r="W41" s="413" t="s">
        <v>65</v>
      </c>
      <c r="X41" s="414"/>
      <c r="Y41" s="414"/>
      <c r="Z41" s="415"/>
      <c r="AA41" s="413" t="s">
        <v>66</v>
      </c>
      <c r="AB41" s="414"/>
      <c r="AC41" s="416"/>
    </row>
    <row r="42" spans="1:30" s="378" customFormat="1" ht="18" customHeight="1" x14ac:dyDescent="0.4">
      <c r="A42" s="342"/>
      <c r="B42" s="4" t="s">
        <v>67</v>
      </c>
      <c r="C42" s="4"/>
      <c r="D42" s="4"/>
      <c r="E42" s="4"/>
      <c r="F42" s="4"/>
      <c r="G42" s="4"/>
      <c r="H42" s="4"/>
      <c r="I42" s="367"/>
      <c r="J42" s="367"/>
      <c r="K42" s="367"/>
      <c r="L42" s="367"/>
      <c r="M42" s="367"/>
      <c r="N42" s="367"/>
      <c r="O42" s="367"/>
      <c r="P42" s="367"/>
      <c r="Q42" s="348"/>
      <c r="R42" s="432" t="str">
        <f>CI_BD!D9</f>
        <v>8544.49-2012</v>
      </c>
      <c r="S42" s="433"/>
      <c r="T42" s="433"/>
      <c r="U42" s="433"/>
      <c r="V42" s="434"/>
      <c r="W42" s="435">
        <v>1</v>
      </c>
      <c r="X42" s="436"/>
      <c r="Y42" s="436"/>
      <c r="Z42" s="437"/>
      <c r="AA42" s="374"/>
      <c r="AB42" s="375"/>
      <c r="AC42" s="376">
        <f>CI_BD!H10</f>
        <v>106608.24</v>
      </c>
      <c r="AD42" s="377" t="s">
        <v>68</v>
      </c>
    </row>
    <row r="43" spans="1:30" s="378" customFormat="1" ht="18" customHeight="1" x14ac:dyDescent="0.4">
      <c r="A43" s="379"/>
      <c r="B43" s="380" t="str">
        <f>PL!B43</f>
        <v>Силовые кабели и кабели управления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348"/>
      <c r="R43" s="438"/>
      <c r="S43" s="439"/>
      <c r="T43" s="439"/>
      <c r="U43" s="439"/>
      <c r="V43" s="440"/>
      <c r="W43" s="441" t="s">
        <v>69</v>
      </c>
      <c r="X43" s="442"/>
      <c r="Y43" s="442"/>
      <c r="Z43" s="443"/>
      <c r="AA43" s="374"/>
      <c r="AB43" s="375"/>
      <c r="AC43" s="376"/>
      <c r="AD43" s="377"/>
    </row>
    <row r="44" spans="1:30" s="378" customFormat="1" ht="18" customHeight="1" thickBot="1" x14ac:dyDescent="0.45">
      <c r="A44" s="352"/>
      <c r="B44" s="343"/>
      <c r="C44" s="343"/>
      <c r="D44" s="343"/>
      <c r="E44" s="343"/>
      <c r="F44" s="343"/>
      <c r="G44" s="343"/>
      <c r="H44" s="343"/>
      <c r="I44" s="381"/>
      <c r="J44" s="381"/>
      <c r="K44" s="381"/>
      <c r="L44" s="381"/>
      <c r="M44" s="381"/>
      <c r="N44" s="381"/>
      <c r="O44" s="381"/>
      <c r="P44" s="381"/>
      <c r="Q44" s="382"/>
      <c r="R44" s="343"/>
      <c r="S44" s="343"/>
      <c r="T44" s="343"/>
      <c r="U44" s="343"/>
      <c r="V44" s="382"/>
      <c r="W44" s="343"/>
      <c r="X44" s="383"/>
      <c r="Y44" s="383"/>
      <c r="Z44" s="383"/>
      <c r="AA44" s="384"/>
      <c r="AB44" s="383"/>
      <c r="AC44" s="385"/>
    </row>
    <row r="45" spans="1:30" s="378" customFormat="1" ht="18" customHeight="1" thickBot="1" x14ac:dyDescent="0.45">
      <c r="A45" s="386"/>
      <c r="B45" s="387"/>
      <c r="C45" s="388"/>
      <c r="D45" s="388"/>
      <c r="E45" s="388"/>
      <c r="F45" s="388"/>
      <c r="G45" s="388"/>
      <c r="H45" s="388"/>
      <c r="I45" s="398" t="s">
        <v>70</v>
      </c>
      <c r="J45" s="398"/>
      <c r="K45" s="398"/>
      <c r="L45" s="398"/>
      <c r="M45" s="398"/>
      <c r="N45" s="398"/>
      <c r="O45" s="398"/>
      <c r="P45" s="398"/>
      <c r="Q45" s="398"/>
      <c r="R45" s="399"/>
      <c r="S45" s="398"/>
      <c r="T45" s="398"/>
      <c r="U45" s="398"/>
      <c r="V45" s="398"/>
      <c r="W45" s="398"/>
      <c r="X45" s="398"/>
      <c r="Y45" s="398"/>
      <c r="Z45" s="400"/>
      <c r="AA45" s="401">
        <f>AC42</f>
        <v>106608.24</v>
      </c>
      <c r="AB45" s="401"/>
      <c r="AC45" s="402"/>
    </row>
    <row r="46" spans="1:30" ht="10.199999999999999" customHeight="1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330"/>
    </row>
    <row r="47" spans="1:30" ht="10.199999999999999" customHeight="1" x14ac:dyDescent="0.4">
      <c r="A47" s="332"/>
      <c r="AC47" s="333"/>
    </row>
    <row r="48" spans="1:30" ht="10.199999999999999" customHeight="1" x14ac:dyDescent="0.4">
      <c r="A48" s="332"/>
      <c r="AC48" s="333"/>
    </row>
    <row r="49" spans="1:29" ht="10.199999999999999" customHeight="1" x14ac:dyDescent="0.4">
      <c r="A49" s="332"/>
      <c r="AC49" s="333"/>
    </row>
    <row r="50" spans="1:29" ht="10.199999999999999" customHeight="1" x14ac:dyDescent="0.4">
      <c r="A50" s="332"/>
      <c r="AC50" s="333"/>
    </row>
    <row r="51" spans="1:29" ht="10.199999999999999" customHeight="1" x14ac:dyDescent="0.4">
      <c r="A51" s="332"/>
      <c r="AC51" s="333"/>
    </row>
    <row r="52" spans="1:29" ht="10.199999999999999" customHeight="1" x14ac:dyDescent="0.4">
      <c r="A52" s="332"/>
      <c r="AC52" s="333"/>
    </row>
    <row r="53" spans="1:29" ht="10.199999999999999" customHeight="1" x14ac:dyDescent="0.4">
      <c r="A53" s="34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S53" s="4" t="s">
        <v>71</v>
      </c>
      <c r="AC53" s="333"/>
    </row>
    <row r="54" spans="1:29" x14ac:dyDescent="0.4">
      <c r="A54" s="342" t="s">
        <v>72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AC54" s="333"/>
    </row>
    <row r="55" spans="1:29" x14ac:dyDescent="0.4">
      <c r="A55" s="342" t="s">
        <v>73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W55" s="389"/>
      <c r="X55" s="389"/>
      <c r="AC55" s="333"/>
    </row>
    <row r="56" spans="1:29" x14ac:dyDescent="0.4">
      <c r="A56" s="342" t="s">
        <v>74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V56" s="430" t="s">
        <v>75</v>
      </c>
      <c r="W56" s="430"/>
      <c r="X56" s="430"/>
      <c r="Y56" s="430"/>
      <c r="Z56" s="430"/>
      <c r="AA56" s="430"/>
      <c r="AB56" s="430"/>
      <c r="AC56" s="431"/>
    </row>
    <row r="57" spans="1:29" x14ac:dyDescent="0.4">
      <c r="A57" s="342" t="s">
        <v>76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S57" s="147"/>
      <c r="U57" s="390"/>
      <c r="V57" s="390"/>
      <c r="W57" s="390"/>
      <c r="X57" s="390"/>
      <c r="Y57" s="390"/>
      <c r="Z57" s="390"/>
      <c r="AA57" s="390"/>
      <c r="AB57" s="390"/>
      <c r="AC57" s="333"/>
    </row>
    <row r="58" spans="1:29" ht="15" thickBot="1" x14ac:dyDescent="0.45">
      <c r="A58" s="391"/>
      <c r="B58" s="335"/>
      <c r="C58" s="335"/>
      <c r="D58" s="335"/>
      <c r="E58" s="335"/>
      <c r="F58" s="335"/>
      <c r="G58" s="335"/>
      <c r="H58" s="335"/>
      <c r="I58" s="335"/>
      <c r="J58" s="335"/>
      <c r="K58" s="335"/>
      <c r="L58" s="335"/>
      <c r="M58" s="335"/>
      <c r="N58" s="335"/>
      <c r="O58" s="335"/>
      <c r="P58" s="335"/>
      <c r="Q58" s="335"/>
      <c r="R58" s="335"/>
      <c r="S58" s="335"/>
      <c r="T58" s="335"/>
      <c r="U58" s="335"/>
      <c r="V58" s="335"/>
      <c r="W58" s="335"/>
      <c r="X58" s="335"/>
      <c r="Y58" s="335"/>
      <c r="Z58" s="335"/>
      <c r="AA58" s="335"/>
      <c r="AB58" s="335"/>
      <c r="AC58" s="336"/>
    </row>
    <row r="59" spans="1:29" ht="15" thickBot="1" x14ac:dyDescent="0.45">
      <c r="A59" s="392" t="s">
        <v>77</v>
      </c>
      <c r="B59" s="393"/>
      <c r="C59" s="393"/>
      <c r="D59" s="393"/>
      <c r="E59" s="393"/>
      <c r="F59" s="393"/>
      <c r="G59" s="393"/>
      <c r="H59" s="393"/>
      <c r="I59" s="393"/>
      <c r="J59" s="393"/>
      <c r="K59" s="393"/>
      <c r="L59" s="393"/>
      <c r="M59" s="393"/>
      <c r="N59" s="393"/>
      <c r="O59" s="393"/>
      <c r="P59" s="393"/>
      <c r="Q59" s="393"/>
      <c r="R59" s="393"/>
      <c r="S59" s="393"/>
      <c r="T59" s="393"/>
      <c r="U59" s="393"/>
      <c r="V59" s="393"/>
      <c r="W59" s="393"/>
      <c r="X59" s="393"/>
      <c r="Y59" s="393"/>
      <c r="Z59" s="393"/>
      <c r="AA59" s="393"/>
      <c r="AB59" s="393"/>
      <c r="AC59" s="394"/>
    </row>
  </sheetData>
  <mergeCells count="35">
    <mergeCell ref="R29:AC29"/>
    <mergeCell ref="Y32:AB32"/>
    <mergeCell ref="Y33:AB33"/>
    <mergeCell ref="Y34:AB34"/>
    <mergeCell ref="S18:AC18"/>
    <mergeCell ref="S20:AC20"/>
    <mergeCell ref="S22:AC22"/>
    <mergeCell ref="S24:AC24"/>
    <mergeCell ref="I26:Q26"/>
    <mergeCell ref="A6:AC6"/>
    <mergeCell ref="V8:Z8"/>
    <mergeCell ref="V10:Z10"/>
    <mergeCell ref="S15:AC15"/>
    <mergeCell ref="S16:AC16"/>
    <mergeCell ref="V56:AC56"/>
    <mergeCell ref="R42:V42"/>
    <mergeCell ref="W42:Z42"/>
    <mergeCell ref="R43:V43"/>
    <mergeCell ref="W43:Z43"/>
    <mergeCell ref="Y35:AB35"/>
    <mergeCell ref="S26:AC26"/>
    <mergeCell ref="I45:Q45"/>
    <mergeCell ref="R45:Z45"/>
    <mergeCell ref="AA45:AC45"/>
    <mergeCell ref="A40:Q41"/>
    <mergeCell ref="R40:V40"/>
    <mergeCell ref="W40:Z40"/>
    <mergeCell ref="AA40:AC40"/>
    <mergeCell ref="R41:V41"/>
    <mergeCell ref="W41:Z41"/>
    <mergeCell ref="AA41:AC41"/>
    <mergeCell ref="I31:Q32"/>
    <mergeCell ref="I33:Q34"/>
    <mergeCell ref="J35:P35"/>
    <mergeCell ref="I29:Q30"/>
  </mergeCells>
  <phoneticPr fontId="5" type="noConversion"/>
  <hyperlinks>
    <hyperlink ref="B22" r:id="rId1" xr:uid="{00000000-0004-0000-0000-000000000000}"/>
  </hyperlinks>
  <pageMargins left="0.39370078740157483" right="0.39370078740157483" top="0.74803149606299213" bottom="0.74803149606299213" header="0.31496062992125984" footer="0.31496062992125984"/>
  <pageSetup paperSize="9" scale="71" orientation="portrait" r:id="rId2"/>
  <headerFooter>
    <oddFooter xml:space="preserve">&amp;R_x000D_&amp;1#&amp;"Aptos"&amp;8&amp;K000000 중요비(Confidential): sanghwan.bae@doosan.com 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J12"/>
  <sheetViews>
    <sheetView showGridLines="0" zoomScale="70" zoomScaleNormal="70" zoomScaleSheetLayoutView="70" workbookViewId="0">
      <selection activeCell="B7" sqref="B7"/>
    </sheetView>
  </sheetViews>
  <sheetFormatPr defaultColWidth="10" defaultRowHeight="14.4" x14ac:dyDescent="0.4"/>
  <cols>
    <col min="1" max="1" width="12.19921875" style="22" customWidth="1"/>
    <col min="2" max="2" width="39.69921875" style="63" customWidth="1"/>
    <col min="3" max="3" width="55.09765625" style="63" customWidth="1"/>
    <col min="4" max="4" width="18.69921875" style="63" customWidth="1"/>
    <col min="5" max="5" width="14.19921875" style="175" customWidth="1"/>
    <col min="6" max="6" width="10.19921875" style="63" customWidth="1"/>
    <col min="7" max="8" width="16.19921875" style="63" customWidth="1"/>
    <col min="9" max="9" width="17.5" style="177" customWidth="1"/>
    <col min="10" max="10" width="20.09765625" style="4" customWidth="1"/>
    <col min="11" max="16384" width="10" style="22"/>
  </cols>
  <sheetData>
    <row r="1" spans="1:10" s="12" customFormat="1" x14ac:dyDescent="0.4">
      <c r="B1" s="3"/>
      <c r="C1" s="3"/>
      <c r="D1" s="3"/>
      <c r="E1" s="148"/>
      <c r="F1" s="3"/>
      <c r="G1" s="3"/>
      <c r="H1" s="3"/>
      <c r="I1" s="3" t="s">
        <v>0</v>
      </c>
      <c r="J1" s="4"/>
    </row>
    <row r="2" spans="1:10" s="12" customFormat="1" x14ac:dyDescent="0.4">
      <c r="B2" s="3"/>
      <c r="C2" s="3"/>
      <c r="D2" s="3"/>
      <c r="E2" s="148"/>
      <c r="F2" s="3"/>
      <c r="G2" s="3"/>
      <c r="H2" s="3"/>
      <c r="I2" s="3" t="s">
        <v>1</v>
      </c>
      <c r="J2" s="4"/>
    </row>
    <row r="3" spans="1:10" s="12" customFormat="1" x14ac:dyDescent="0.4">
      <c r="B3" s="3"/>
      <c r="C3" s="3"/>
      <c r="D3" s="3"/>
      <c r="E3" s="148"/>
      <c r="F3" s="3"/>
      <c r="G3" s="3"/>
      <c r="H3" s="3"/>
      <c r="I3" s="3" t="s">
        <v>2</v>
      </c>
      <c r="J3" s="4"/>
    </row>
    <row r="4" spans="1:10" s="12" customFormat="1" x14ac:dyDescent="0.4">
      <c r="B4" s="3"/>
      <c r="C4" s="3"/>
      <c r="D4" s="3"/>
      <c r="E4" s="148"/>
      <c r="F4" s="3"/>
      <c r="G4" s="3"/>
      <c r="H4" s="3"/>
      <c r="I4" s="3" t="s">
        <v>3</v>
      </c>
      <c r="J4" s="4"/>
    </row>
    <row r="5" spans="1:10" s="12" customFormat="1" x14ac:dyDescent="0.4">
      <c r="B5" s="3"/>
      <c r="C5" s="3"/>
      <c r="D5" s="3"/>
      <c r="E5" s="148"/>
      <c r="F5" s="3"/>
      <c r="G5" s="3"/>
      <c r="H5" s="3"/>
      <c r="I5" s="3" t="s">
        <v>4</v>
      </c>
      <c r="J5" s="4"/>
    </row>
    <row r="6" spans="1:10" ht="21" x14ac:dyDescent="0.4">
      <c r="A6" s="457" t="s">
        <v>78</v>
      </c>
      <c r="B6" s="445"/>
      <c r="C6" s="445"/>
      <c r="D6" s="445"/>
      <c r="E6" s="445"/>
      <c r="F6" s="445"/>
      <c r="G6" s="445"/>
      <c r="H6" s="445"/>
      <c r="I6" s="445"/>
      <c r="J6" s="445"/>
    </row>
    <row r="7" spans="1:10" ht="33" customHeight="1" thickBot="1" x14ac:dyDescent="0.45">
      <c r="A7" s="149" t="s">
        <v>79</v>
      </c>
      <c r="B7" s="149" t="str">
        <f>CI!V8</f>
        <v>PGU-DE-0560</v>
      </c>
      <c r="C7" s="149"/>
      <c r="D7" s="150"/>
      <c r="E7" s="151"/>
      <c r="F7" s="150"/>
      <c r="G7" s="150"/>
      <c r="H7" s="150"/>
      <c r="I7" s="152"/>
      <c r="J7" s="153"/>
    </row>
    <row r="8" spans="1:10" s="159" customFormat="1" ht="39.75" customHeight="1" x14ac:dyDescent="0.4">
      <c r="A8" s="154" t="s">
        <v>80</v>
      </c>
      <c r="B8" s="155" t="s">
        <v>81</v>
      </c>
      <c r="C8" s="155" t="s">
        <v>82</v>
      </c>
      <c r="D8" s="155" t="s">
        <v>83</v>
      </c>
      <c r="E8" s="156" t="s">
        <v>84</v>
      </c>
      <c r="F8" s="155" t="s">
        <v>85</v>
      </c>
      <c r="G8" s="157" t="s">
        <v>86</v>
      </c>
      <c r="H8" s="157" t="s">
        <v>87</v>
      </c>
      <c r="I8" s="155" t="s">
        <v>88</v>
      </c>
      <c r="J8" s="158" t="s">
        <v>89</v>
      </c>
    </row>
    <row r="9" spans="1:10" ht="30" customHeight="1" x14ac:dyDescent="0.4">
      <c r="A9" s="160">
        <v>1</v>
      </c>
      <c r="B9" s="161" t="str">
        <f>'Summary PL'!C14</f>
        <v>PGU-DE-0560-FFC-CAB-001</v>
      </c>
      <c r="C9" s="162" t="s">
        <v>90</v>
      </c>
      <c r="D9" s="164" t="s">
        <v>91</v>
      </c>
      <c r="E9" s="165">
        <v>1</v>
      </c>
      <c r="F9" s="163" t="s">
        <v>92</v>
      </c>
      <c r="G9" s="166">
        <v>106608.24</v>
      </c>
      <c r="H9" s="166">
        <f>E9*G9</f>
        <v>106608.24</v>
      </c>
      <c r="I9" s="167"/>
      <c r="J9" s="168"/>
    </row>
    <row r="10" spans="1:10" ht="30" customHeight="1" thickBot="1" x14ac:dyDescent="0.45">
      <c r="A10" s="169"/>
      <c r="B10" s="170"/>
      <c r="C10" s="458" t="s">
        <v>93</v>
      </c>
      <c r="D10" s="458"/>
      <c r="E10" s="458"/>
      <c r="F10" s="458"/>
      <c r="G10" s="171"/>
      <c r="H10" s="172">
        <f>SUM(H9:H9)</f>
        <v>106608.24</v>
      </c>
      <c r="I10" s="173"/>
      <c r="J10" s="174"/>
    </row>
    <row r="11" spans="1:10" s="4" customFormat="1" x14ac:dyDescent="0.4">
      <c r="A11" s="22"/>
      <c r="B11" s="63"/>
      <c r="C11" s="63"/>
      <c r="D11" s="63"/>
      <c r="E11" s="175"/>
      <c r="F11" s="63"/>
      <c r="G11" s="63"/>
      <c r="H11" s="63"/>
      <c r="I11" s="176"/>
    </row>
    <row r="12" spans="1:10" s="4" customFormat="1" x14ac:dyDescent="0.4">
      <c r="A12" s="22"/>
      <c r="B12" s="63"/>
      <c r="C12" s="63"/>
      <c r="D12" s="63"/>
      <c r="E12" s="175"/>
      <c r="F12" s="63"/>
      <c r="G12" s="63"/>
      <c r="H12" s="63"/>
      <c r="I12" s="176"/>
    </row>
  </sheetData>
  <protectedRanges>
    <protectedRange sqref="C9:H9" name="범위1_12"/>
  </protectedRanges>
  <autoFilter ref="B8:J10" xr:uid="{00000000-0009-0000-0000-000001000000}"/>
  <mergeCells count="2">
    <mergeCell ref="A6:J6"/>
    <mergeCell ref="C10:F10"/>
  </mergeCells>
  <phoneticPr fontId="5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5" orientation="landscape" horizontalDpi="1200" verticalDpi="1200" r:id="rId1"/>
  <headerFooter alignWithMargins="0">
    <oddFooter xml:space="preserve">&amp;C&amp;"Calibri,보통"&amp;12Doosan Enerbility&amp;R_x000D_&amp;1#&amp;"Aptos"&amp;8&amp;K000000 중요비(Confidential): sanghwan.bae@doosan.com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D59"/>
  <sheetViews>
    <sheetView showGridLines="0" view="pageBreakPreview" topLeftCell="A29" zoomScale="90" zoomScaleNormal="100" zoomScaleSheetLayoutView="90" workbookViewId="0">
      <selection activeCell="V8" sqref="V8:Z8"/>
    </sheetView>
  </sheetViews>
  <sheetFormatPr defaultColWidth="8.69921875" defaultRowHeight="14.4" x14ac:dyDescent="0.4"/>
  <cols>
    <col min="1" max="6" width="3" style="182" customWidth="1"/>
    <col min="7" max="7" width="4" style="182" customWidth="1"/>
    <col min="8" max="8" width="9.09765625" style="182"/>
    <col min="9" max="16" width="3" style="182" customWidth="1"/>
    <col min="17" max="17" width="7" style="182" customWidth="1"/>
    <col min="18" max="18" width="2.19921875" style="182" customWidth="1"/>
    <col min="19" max="20" width="4.69921875" style="182" customWidth="1"/>
    <col min="21" max="21" width="2.19921875" style="182" customWidth="1"/>
    <col min="22" max="24" width="4.19921875" style="182" customWidth="1"/>
    <col min="25" max="25" width="2.5" style="182" customWidth="1"/>
    <col min="26" max="28" width="4.19921875" style="182" customWidth="1"/>
    <col min="29" max="29" width="15.69921875" style="182" customWidth="1"/>
    <col min="30" max="16384" width="8.69921875" style="180"/>
  </cols>
  <sheetData>
    <row r="1" spans="1:29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0</v>
      </c>
      <c r="X1" s="2"/>
      <c r="Y1" s="2"/>
      <c r="Z1" s="2"/>
      <c r="AA1" s="2"/>
      <c r="AB1" s="2"/>
      <c r="AC1" s="179"/>
    </row>
    <row r="2" spans="1:29" ht="12" customHeight="1" x14ac:dyDescent="0.4">
      <c r="A2" s="181"/>
      <c r="W2" s="182" t="s">
        <v>1</v>
      </c>
      <c r="AC2" s="183"/>
    </row>
    <row r="3" spans="1:29" ht="12" customHeight="1" x14ac:dyDescent="0.4">
      <c r="A3" s="181"/>
      <c r="W3" s="182" t="s">
        <v>2</v>
      </c>
      <c r="AC3" s="183"/>
    </row>
    <row r="4" spans="1:29" ht="12" customHeight="1" x14ac:dyDescent="0.4">
      <c r="A4" s="181"/>
      <c r="W4" s="182" t="s">
        <v>3</v>
      </c>
      <c r="AC4" s="183"/>
    </row>
    <row r="5" spans="1:29" ht="12" customHeight="1" x14ac:dyDescent="0.4">
      <c r="A5" s="181"/>
      <c r="W5" s="182" t="s">
        <v>4</v>
      </c>
      <c r="AC5" s="183"/>
    </row>
    <row r="6" spans="1:29" ht="44.25" customHeight="1" x14ac:dyDescent="0.4">
      <c r="A6" s="500" t="s">
        <v>94</v>
      </c>
      <c r="B6" s="501"/>
      <c r="C6" s="501"/>
      <c r="D6" s="501"/>
      <c r="E6" s="501"/>
      <c r="F6" s="501"/>
      <c r="G6" s="501"/>
      <c r="H6" s="501"/>
      <c r="I6" s="501"/>
      <c r="J6" s="501"/>
      <c r="K6" s="501"/>
      <c r="L6" s="501"/>
      <c r="M6" s="501"/>
      <c r="N6" s="501"/>
      <c r="O6" s="501"/>
      <c r="P6" s="501"/>
      <c r="Q6" s="501"/>
      <c r="R6" s="501"/>
      <c r="S6" s="501"/>
      <c r="T6" s="501"/>
      <c r="U6" s="501"/>
      <c r="V6" s="501"/>
      <c r="W6" s="501"/>
      <c r="X6" s="501"/>
      <c r="Y6" s="501"/>
      <c r="Z6" s="501"/>
      <c r="AA6" s="501"/>
      <c r="AB6" s="501"/>
      <c r="AC6" s="502"/>
    </row>
    <row r="7" spans="1:29" ht="12" customHeight="1" thickBot="1" x14ac:dyDescent="0.45">
      <c r="A7" s="184"/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6"/>
    </row>
    <row r="8" spans="1:29" ht="15.6" customHeight="1" x14ac:dyDescent="0.4">
      <c r="A8" s="187" t="s">
        <v>6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9"/>
      <c r="R8" s="190" t="s">
        <v>95</v>
      </c>
      <c r="S8" s="188"/>
      <c r="T8" s="188"/>
      <c r="U8" s="190"/>
      <c r="V8" s="503" t="s">
        <v>96</v>
      </c>
      <c r="W8" s="503"/>
      <c r="X8" s="503"/>
      <c r="Y8" s="503"/>
      <c r="Z8" s="503"/>
      <c r="AA8" s="188"/>
      <c r="AB8" s="188"/>
      <c r="AC8" s="191"/>
    </row>
    <row r="9" spans="1:29" ht="15.6" customHeight="1" x14ac:dyDescent="0.4">
      <c r="A9" s="192"/>
      <c r="B9" s="193" t="s">
        <v>9</v>
      </c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5"/>
      <c r="R9" s="196" t="s">
        <v>97</v>
      </c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8"/>
    </row>
    <row r="10" spans="1:29" ht="15.6" customHeight="1" x14ac:dyDescent="0.4">
      <c r="A10" s="192"/>
      <c r="B10" s="194" t="s">
        <v>11</v>
      </c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9"/>
      <c r="R10" s="193" t="s">
        <v>12</v>
      </c>
      <c r="S10" s="194"/>
      <c r="T10" s="194"/>
      <c r="U10" s="194"/>
      <c r="V10" s="504">
        <v>46107</v>
      </c>
      <c r="W10" s="504"/>
      <c r="X10" s="504"/>
      <c r="Y10" s="504"/>
      <c r="Z10" s="504"/>
      <c r="AA10" s="194"/>
      <c r="AB10" s="194"/>
      <c r="AC10" s="200"/>
    </row>
    <row r="11" spans="1:29" ht="15.6" customHeight="1" x14ac:dyDescent="0.4">
      <c r="A11" s="201"/>
      <c r="B11" s="197" t="s">
        <v>13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202"/>
      <c r="R11" s="196" t="s">
        <v>14</v>
      </c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198"/>
    </row>
    <row r="12" spans="1:29" ht="15.6" customHeight="1" x14ac:dyDescent="0.4">
      <c r="A12" s="203" t="s">
        <v>15</v>
      </c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9"/>
      <c r="R12" s="193" t="s">
        <v>16</v>
      </c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200"/>
    </row>
    <row r="13" spans="1:29" ht="15.6" customHeight="1" x14ac:dyDescent="0.4">
      <c r="A13" s="309"/>
      <c r="B13" s="193" t="s">
        <v>17</v>
      </c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1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  <c r="AC13" s="312"/>
    </row>
    <row r="14" spans="1:29" ht="15.6" customHeight="1" x14ac:dyDescent="0.4">
      <c r="A14" s="313"/>
      <c r="B14" s="194" t="s">
        <v>18</v>
      </c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1"/>
      <c r="R14" s="277"/>
      <c r="S14" s="147" t="s">
        <v>19</v>
      </c>
      <c r="T14" s="194"/>
      <c r="U14" s="194"/>
      <c r="V14" s="194"/>
      <c r="W14" s="194"/>
      <c r="X14" s="194"/>
      <c r="Y14" s="194"/>
      <c r="Z14" s="194"/>
      <c r="AA14" s="194"/>
      <c r="AB14" s="194"/>
      <c r="AC14" s="200"/>
    </row>
    <row r="15" spans="1:29" ht="15.6" customHeight="1" x14ac:dyDescent="0.4">
      <c r="A15" s="309"/>
      <c r="B15" s="194" t="s">
        <v>20</v>
      </c>
      <c r="C15" s="310"/>
      <c r="D15" s="310"/>
      <c r="E15" s="310"/>
      <c r="F15" s="310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1"/>
      <c r="R15" s="310"/>
      <c r="S15" s="505" t="s">
        <v>21</v>
      </c>
      <c r="T15" s="505"/>
      <c r="U15" s="505"/>
      <c r="V15" s="505"/>
      <c r="W15" s="505"/>
      <c r="X15" s="505"/>
      <c r="Y15" s="505"/>
      <c r="Z15" s="505"/>
      <c r="AA15" s="505"/>
      <c r="AB15" s="505"/>
      <c r="AC15" s="506"/>
    </row>
    <row r="16" spans="1:29" ht="15.6" customHeight="1" x14ac:dyDescent="0.4">
      <c r="A16" s="192"/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9"/>
      <c r="R16" s="193"/>
      <c r="S16" s="507" t="s">
        <v>22</v>
      </c>
      <c r="T16" s="507"/>
      <c r="U16" s="507"/>
      <c r="V16" s="507"/>
      <c r="W16" s="507"/>
      <c r="X16" s="507"/>
      <c r="Y16" s="507"/>
      <c r="Z16" s="507"/>
      <c r="AA16" s="507"/>
      <c r="AB16" s="507"/>
      <c r="AC16" s="508"/>
    </row>
    <row r="17" spans="1:30" ht="15.6" customHeight="1" x14ac:dyDescent="0.4">
      <c r="A17" s="201"/>
      <c r="B17" s="205"/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202"/>
      <c r="R17" s="193"/>
      <c r="S17" s="147" t="s">
        <v>23</v>
      </c>
      <c r="T17" s="194"/>
      <c r="U17" s="194"/>
      <c r="V17" s="194"/>
      <c r="W17" s="194"/>
      <c r="X17" s="194"/>
      <c r="Y17" s="194"/>
      <c r="Z17" s="194"/>
      <c r="AA17" s="194"/>
      <c r="AB17" s="194"/>
      <c r="AC17" s="200"/>
    </row>
    <row r="18" spans="1:30" ht="15.6" customHeight="1" x14ac:dyDescent="0.4">
      <c r="A18" s="203" t="s">
        <v>25</v>
      </c>
      <c r="B18" s="206"/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9"/>
      <c r="R18" s="193"/>
      <c r="S18" s="496" t="s">
        <v>24</v>
      </c>
      <c r="T18" s="496"/>
      <c r="U18" s="496"/>
      <c r="V18" s="496"/>
      <c r="W18" s="496"/>
      <c r="X18" s="496"/>
      <c r="Y18" s="496"/>
      <c r="Z18" s="496"/>
      <c r="AA18" s="496"/>
      <c r="AB18" s="496"/>
      <c r="AC18" s="497"/>
    </row>
    <row r="19" spans="1:30" ht="15.6" customHeight="1" x14ac:dyDescent="0.4">
      <c r="A19" s="192"/>
      <c r="B19" s="314" t="s">
        <v>27</v>
      </c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9"/>
      <c r="R19" s="193"/>
      <c r="S19" s="147" t="s">
        <v>26</v>
      </c>
      <c r="T19" s="194"/>
      <c r="U19" s="194"/>
      <c r="V19" s="194"/>
      <c r="W19" s="207"/>
      <c r="X19" s="207"/>
      <c r="Y19" s="207"/>
      <c r="Z19" s="193"/>
      <c r="AA19" s="193"/>
      <c r="AB19" s="193"/>
      <c r="AC19" s="200"/>
    </row>
    <row r="20" spans="1:30" ht="15.6" customHeight="1" x14ac:dyDescent="0.4">
      <c r="A20" s="192"/>
      <c r="B20" s="180" t="s">
        <v>28</v>
      </c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9"/>
      <c r="R20" s="194"/>
      <c r="S20" s="496">
        <v>2026</v>
      </c>
      <c r="T20" s="496"/>
      <c r="U20" s="496"/>
      <c r="V20" s="496"/>
      <c r="W20" s="496"/>
      <c r="X20" s="496"/>
      <c r="Y20" s="496"/>
      <c r="Z20" s="496"/>
      <c r="AA20" s="496"/>
      <c r="AB20" s="496"/>
      <c r="AC20" s="497"/>
    </row>
    <row r="21" spans="1:30" ht="15.6" customHeight="1" x14ac:dyDescent="0.3">
      <c r="A21" s="192"/>
      <c r="B21" s="180" t="s">
        <v>30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9"/>
      <c r="R21" s="209"/>
      <c r="S21" s="147" t="s">
        <v>29</v>
      </c>
      <c r="T21" s="147"/>
      <c r="U21" s="147"/>
      <c r="V21" s="147"/>
      <c r="W21" s="208"/>
      <c r="X21" s="208"/>
      <c r="Y21" s="208"/>
      <c r="Z21" s="193"/>
      <c r="AA21" s="194"/>
      <c r="AB21" s="194"/>
      <c r="AC21" s="200"/>
    </row>
    <row r="22" spans="1:30" ht="15.6" customHeight="1" x14ac:dyDescent="0.4">
      <c r="A22" s="192"/>
      <c r="B22" s="180" t="s">
        <v>32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9"/>
      <c r="R22" s="210"/>
      <c r="S22" s="496" t="s">
        <v>31</v>
      </c>
      <c r="T22" s="496"/>
      <c r="U22" s="496"/>
      <c r="V22" s="496"/>
      <c r="W22" s="496"/>
      <c r="X22" s="496"/>
      <c r="Y22" s="496"/>
      <c r="Z22" s="496"/>
      <c r="AA22" s="496"/>
      <c r="AB22" s="496"/>
      <c r="AC22" s="497"/>
    </row>
    <row r="23" spans="1:30" ht="15.6" customHeight="1" x14ac:dyDescent="0.4">
      <c r="A23" s="192"/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9"/>
      <c r="R23" s="212"/>
      <c r="S23" s="147" t="s">
        <v>33</v>
      </c>
      <c r="T23" s="211"/>
      <c r="U23" s="194"/>
      <c r="V23" s="194"/>
      <c r="W23" s="194"/>
      <c r="X23" s="194"/>
      <c r="Y23" s="194"/>
      <c r="Z23" s="194"/>
      <c r="AA23" s="194"/>
      <c r="AB23" s="194"/>
      <c r="AC23" s="200"/>
    </row>
    <row r="24" spans="1:30" ht="15.6" customHeight="1" x14ac:dyDescent="0.4">
      <c r="A24" s="192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9"/>
      <c r="R24" s="194"/>
      <c r="S24" s="496" t="s">
        <v>98</v>
      </c>
      <c r="T24" s="496"/>
      <c r="U24" s="496"/>
      <c r="V24" s="496"/>
      <c r="W24" s="496"/>
      <c r="X24" s="496"/>
      <c r="Y24" s="496"/>
      <c r="Z24" s="496"/>
      <c r="AA24" s="496"/>
      <c r="AB24" s="496"/>
      <c r="AC24" s="497"/>
    </row>
    <row r="25" spans="1:30" ht="15.6" customHeight="1" x14ac:dyDescent="0.4">
      <c r="A25" s="192"/>
      <c r="B25" s="213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9"/>
      <c r="R25" s="316"/>
      <c r="S25" s="147" t="s">
        <v>35</v>
      </c>
      <c r="T25" s="5"/>
      <c r="U25" s="5"/>
      <c r="V25" s="5"/>
      <c r="W25" s="5"/>
      <c r="X25" s="5"/>
      <c r="Y25" s="5"/>
      <c r="Z25" s="5"/>
      <c r="AA25" s="5"/>
      <c r="AB25" s="5"/>
      <c r="AC25" s="315"/>
    </row>
    <row r="26" spans="1:30" ht="15.6" customHeight="1" x14ac:dyDescent="0.4">
      <c r="A26" s="6" t="s">
        <v>36</v>
      </c>
      <c r="B26" s="367"/>
      <c r="C26" s="367"/>
      <c r="D26" s="367"/>
      <c r="E26" s="367"/>
      <c r="F26" s="367"/>
      <c r="G26" s="367"/>
      <c r="H26" s="368"/>
      <c r="I26" s="423" t="s">
        <v>37</v>
      </c>
      <c r="J26" s="424"/>
      <c r="K26" s="424"/>
      <c r="L26" s="424"/>
      <c r="M26" s="424"/>
      <c r="N26" s="424"/>
      <c r="O26" s="424"/>
      <c r="P26" s="424"/>
      <c r="Q26" s="425"/>
      <c r="R26" s="180"/>
      <c r="S26" s="396" t="s">
        <v>38</v>
      </c>
      <c r="T26" s="396"/>
      <c r="U26" s="396"/>
      <c r="V26" s="396"/>
      <c r="W26" s="396"/>
      <c r="X26" s="396"/>
      <c r="Y26" s="396"/>
      <c r="Z26" s="396"/>
      <c r="AA26" s="396"/>
      <c r="AB26" s="396"/>
      <c r="AC26" s="397"/>
    </row>
    <row r="27" spans="1:30" ht="15.6" customHeight="1" x14ac:dyDescent="0.4">
      <c r="A27" s="342"/>
      <c r="B27" s="4" t="s">
        <v>39</v>
      </c>
      <c r="C27" s="4"/>
      <c r="D27" s="4"/>
      <c r="E27" s="4"/>
      <c r="F27" s="4"/>
      <c r="G27" s="4"/>
      <c r="H27" s="348"/>
      <c r="I27" s="4"/>
      <c r="J27" s="4" t="s">
        <v>40</v>
      </c>
      <c r="K27" s="4"/>
      <c r="L27" s="4"/>
      <c r="M27" s="4"/>
      <c r="N27" s="4"/>
      <c r="O27" s="4"/>
      <c r="P27" s="4"/>
      <c r="Q27" s="348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324"/>
    </row>
    <row r="28" spans="1:30" ht="15.6" customHeight="1" x14ac:dyDescent="0.4">
      <c r="A28" s="350"/>
      <c r="B28" s="369"/>
      <c r="C28" s="346"/>
      <c r="D28" s="346"/>
      <c r="E28" s="346"/>
      <c r="F28" s="346"/>
      <c r="G28" s="346"/>
      <c r="H28" s="351"/>
      <c r="I28" s="346"/>
      <c r="J28" s="369"/>
      <c r="K28" s="346"/>
      <c r="L28" s="346"/>
      <c r="M28" s="346"/>
      <c r="N28" s="346"/>
      <c r="O28" s="346"/>
      <c r="P28" s="346"/>
      <c r="Q28" s="351"/>
      <c r="R28" s="322"/>
      <c r="S28" s="323"/>
      <c r="T28" s="323"/>
      <c r="U28" s="323"/>
      <c r="V28" s="323"/>
      <c r="W28" s="323"/>
      <c r="X28" s="323"/>
      <c r="Y28" s="323"/>
      <c r="Z28" s="323"/>
      <c r="AA28" s="323"/>
      <c r="AB28" s="323"/>
      <c r="AC28" s="325"/>
    </row>
    <row r="29" spans="1:30" ht="15.6" customHeight="1" x14ac:dyDescent="0.4">
      <c r="A29" s="352" t="s">
        <v>41</v>
      </c>
      <c r="B29" s="4"/>
      <c r="C29" s="4"/>
      <c r="D29" s="4"/>
      <c r="E29" s="4"/>
      <c r="F29" s="4"/>
      <c r="G29" s="4"/>
      <c r="H29" s="348"/>
      <c r="I29" s="423" t="s">
        <v>42</v>
      </c>
      <c r="J29" s="424"/>
      <c r="K29" s="424"/>
      <c r="L29" s="424"/>
      <c r="M29" s="424"/>
      <c r="N29" s="424"/>
      <c r="O29" s="424"/>
      <c r="P29" s="424"/>
      <c r="Q29" s="425"/>
      <c r="R29" s="276" t="s">
        <v>43</v>
      </c>
      <c r="S29" s="277"/>
      <c r="T29" s="277"/>
      <c r="U29" s="277"/>
      <c r="V29" s="277"/>
      <c r="W29" s="277"/>
      <c r="X29" s="277"/>
      <c r="Y29" s="277"/>
      <c r="Z29" s="277"/>
      <c r="AA29" s="277"/>
      <c r="AB29" s="277"/>
      <c r="AC29" s="278"/>
    </row>
    <row r="30" spans="1:30" ht="15.6" customHeight="1" x14ac:dyDescent="0.4">
      <c r="A30" s="352"/>
      <c r="B30" s="4"/>
      <c r="C30" s="4"/>
      <c r="D30" s="4"/>
      <c r="E30" s="4"/>
      <c r="F30" s="4"/>
      <c r="G30" s="4"/>
      <c r="H30" s="348"/>
      <c r="I30" s="426"/>
      <c r="J30" s="427"/>
      <c r="K30" s="427"/>
      <c r="L30" s="427"/>
      <c r="M30" s="427"/>
      <c r="N30" s="427"/>
      <c r="O30" s="427"/>
      <c r="P30" s="427"/>
      <c r="Q30" s="428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200"/>
      <c r="AD30" s="180" t="s">
        <v>99</v>
      </c>
    </row>
    <row r="31" spans="1:30" ht="15.6" customHeight="1" x14ac:dyDescent="0.4">
      <c r="A31" s="342"/>
      <c r="B31" s="4" t="s">
        <v>44</v>
      </c>
      <c r="C31" s="4"/>
      <c r="D31" s="4"/>
      <c r="E31" s="4"/>
      <c r="F31" s="4"/>
      <c r="G31" s="4"/>
      <c r="H31" s="348"/>
      <c r="I31" s="417" t="s">
        <v>45</v>
      </c>
      <c r="J31" s="418"/>
      <c r="K31" s="418"/>
      <c r="L31" s="418"/>
      <c r="M31" s="418"/>
      <c r="N31" s="418"/>
      <c r="O31" s="418"/>
      <c r="P31" s="418"/>
      <c r="Q31" s="419"/>
      <c r="R31" s="194"/>
      <c r="S31" s="204" t="s">
        <v>46</v>
      </c>
      <c r="T31" s="194"/>
      <c r="U31" s="194"/>
      <c r="V31" s="194"/>
      <c r="W31" s="194"/>
      <c r="X31" s="194" t="s">
        <v>47</v>
      </c>
      <c r="Y31" s="194" t="s">
        <v>48</v>
      </c>
      <c r="Z31" s="194"/>
      <c r="AA31" s="194"/>
      <c r="AB31" s="194"/>
      <c r="AC31" s="200"/>
    </row>
    <row r="32" spans="1:30" ht="15.6" customHeight="1" x14ac:dyDescent="0.4">
      <c r="A32" s="350"/>
      <c r="B32" s="346"/>
      <c r="C32" s="346"/>
      <c r="D32" s="346"/>
      <c r="E32" s="346"/>
      <c r="F32" s="346"/>
      <c r="G32" s="346"/>
      <c r="H32" s="351"/>
      <c r="I32" s="420"/>
      <c r="J32" s="421"/>
      <c r="K32" s="421"/>
      <c r="L32" s="421"/>
      <c r="M32" s="421"/>
      <c r="N32" s="421"/>
      <c r="O32" s="421"/>
      <c r="P32" s="421"/>
      <c r="Q32" s="422"/>
      <c r="R32" s="194"/>
      <c r="S32" s="204" t="s">
        <v>49</v>
      </c>
      <c r="T32" s="194"/>
      <c r="U32" s="194"/>
      <c r="V32" s="194"/>
      <c r="W32" s="194"/>
      <c r="X32" s="194" t="s">
        <v>47</v>
      </c>
      <c r="Y32" s="498">
        <v>1</v>
      </c>
      <c r="Z32" s="498"/>
      <c r="AA32" s="498"/>
      <c r="AB32" s="498"/>
      <c r="AC32" s="200" t="s">
        <v>50</v>
      </c>
    </row>
    <row r="33" spans="1:30" ht="15.6" customHeight="1" x14ac:dyDescent="0.4">
      <c r="A33" s="352" t="s">
        <v>51</v>
      </c>
      <c r="B33" s="4"/>
      <c r="C33" s="4"/>
      <c r="D33" s="4"/>
      <c r="E33" s="4"/>
      <c r="F33" s="4"/>
      <c r="G33" s="4"/>
      <c r="H33" s="348"/>
      <c r="I33" s="423" t="s">
        <v>52</v>
      </c>
      <c r="J33" s="424"/>
      <c r="K33" s="424"/>
      <c r="L33" s="424"/>
      <c r="M33" s="424"/>
      <c r="N33" s="424"/>
      <c r="O33" s="424"/>
      <c r="P33" s="424"/>
      <c r="Q33" s="425"/>
      <c r="R33" s="194"/>
      <c r="S33" s="204" t="s">
        <v>53</v>
      </c>
      <c r="T33" s="194"/>
      <c r="U33" s="194"/>
      <c r="V33" s="194"/>
      <c r="W33" s="194"/>
      <c r="X33" s="194" t="s">
        <v>47</v>
      </c>
      <c r="Y33" s="499">
        <f>'Summary PL'!L15</f>
        <v>1260</v>
      </c>
      <c r="Z33" s="499"/>
      <c r="AA33" s="499"/>
      <c r="AB33" s="499"/>
      <c r="AC33" s="200" t="s">
        <v>54</v>
      </c>
    </row>
    <row r="34" spans="1:30" ht="15.6" customHeight="1" x14ac:dyDescent="0.4">
      <c r="A34" s="352"/>
      <c r="B34" s="4"/>
      <c r="C34" s="4"/>
      <c r="D34" s="4"/>
      <c r="E34" s="4"/>
      <c r="F34" s="4"/>
      <c r="G34" s="4"/>
      <c r="H34" s="348"/>
      <c r="I34" s="426"/>
      <c r="J34" s="427"/>
      <c r="K34" s="427"/>
      <c r="L34" s="427"/>
      <c r="M34" s="427"/>
      <c r="N34" s="427"/>
      <c r="O34" s="427"/>
      <c r="P34" s="427"/>
      <c r="Q34" s="428"/>
      <c r="R34" s="194"/>
      <c r="S34" s="204" t="s">
        <v>55</v>
      </c>
      <c r="T34" s="194"/>
      <c r="U34" s="194"/>
      <c r="V34" s="194"/>
      <c r="W34" s="194"/>
      <c r="X34" s="194" t="s">
        <v>47</v>
      </c>
      <c r="Y34" s="499">
        <f>'Summary PL'!M15</f>
        <v>1410</v>
      </c>
      <c r="Z34" s="499"/>
      <c r="AA34" s="499"/>
      <c r="AB34" s="499"/>
      <c r="AC34" s="200" t="s">
        <v>54</v>
      </c>
    </row>
    <row r="35" spans="1:30" ht="15.6" customHeight="1" x14ac:dyDescent="0.4">
      <c r="A35" s="342"/>
      <c r="B35" s="4" t="s">
        <v>56</v>
      </c>
      <c r="C35" s="4"/>
      <c r="D35" s="4"/>
      <c r="E35" s="4"/>
      <c r="F35" s="4"/>
      <c r="G35" s="4"/>
      <c r="H35" s="348"/>
      <c r="I35" s="4"/>
      <c r="J35" s="429">
        <v>46135</v>
      </c>
      <c r="K35" s="429"/>
      <c r="L35" s="429"/>
      <c r="M35" s="429"/>
      <c r="N35" s="429"/>
      <c r="O35" s="429"/>
      <c r="P35" s="429"/>
      <c r="Q35" s="348"/>
      <c r="R35" s="194"/>
      <c r="S35" s="204" t="s">
        <v>57</v>
      </c>
      <c r="T35" s="194"/>
      <c r="U35" s="194"/>
      <c r="V35" s="194"/>
      <c r="W35" s="194"/>
      <c r="X35" s="194" t="s">
        <v>47</v>
      </c>
      <c r="Y35" s="499">
        <f>'Summary PL'!K15</f>
        <v>3.46</v>
      </c>
      <c r="Z35" s="499"/>
      <c r="AA35" s="499"/>
      <c r="AB35" s="499"/>
      <c r="AC35" s="200" t="s">
        <v>100</v>
      </c>
    </row>
    <row r="36" spans="1:30" ht="15.6" customHeight="1" x14ac:dyDescent="0.4">
      <c r="A36" s="350"/>
      <c r="B36" s="346"/>
      <c r="C36" s="346"/>
      <c r="D36" s="346"/>
      <c r="E36" s="346"/>
      <c r="F36" s="346"/>
      <c r="G36" s="346"/>
      <c r="H36" s="351"/>
      <c r="I36" s="346"/>
      <c r="J36" s="346"/>
      <c r="K36" s="346"/>
      <c r="L36" s="346"/>
      <c r="M36" s="346"/>
      <c r="N36" s="346"/>
      <c r="O36" s="346"/>
      <c r="P36" s="346"/>
      <c r="Q36" s="351"/>
      <c r="R36" s="194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8"/>
    </row>
    <row r="37" spans="1:30" ht="15.6" customHeight="1" x14ac:dyDescent="0.4">
      <c r="A37" s="214" t="s">
        <v>59</v>
      </c>
      <c r="B37" s="215"/>
      <c r="C37" s="215"/>
      <c r="D37" s="215"/>
      <c r="E37" s="215"/>
      <c r="F37" s="215"/>
      <c r="G37" s="215"/>
      <c r="H37" s="215"/>
      <c r="I37" s="219"/>
      <c r="J37" s="215"/>
      <c r="K37" s="215"/>
      <c r="L37" s="215"/>
      <c r="M37" s="215"/>
      <c r="N37" s="215"/>
      <c r="O37" s="215"/>
      <c r="P37" s="215"/>
      <c r="Q37" s="216"/>
      <c r="R37" s="194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8"/>
    </row>
    <row r="38" spans="1:30" ht="15.6" customHeight="1" x14ac:dyDescent="0.4">
      <c r="A38" s="192"/>
      <c r="B38" s="194"/>
      <c r="C38" s="194"/>
      <c r="D38" s="194"/>
      <c r="E38" s="194"/>
      <c r="F38" s="194"/>
      <c r="G38" s="194"/>
      <c r="H38" s="194"/>
      <c r="I38" s="194"/>
      <c r="J38" s="220"/>
      <c r="K38" s="220"/>
      <c r="L38" s="220"/>
      <c r="M38" s="220"/>
      <c r="N38" s="220"/>
      <c r="O38" s="220"/>
      <c r="P38" s="220"/>
      <c r="Q38" s="199"/>
      <c r="R38" s="194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8"/>
    </row>
    <row r="39" spans="1:30" ht="15.6" customHeight="1" x14ac:dyDescent="0.4">
      <c r="A39" s="201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202"/>
      <c r="R39" s="194"/>
      <c r="S39" s="279"/>
      <c r="T39" s="279"/>
      <c r="U39" s="279"/>
      <c r="V39" s="279"/>
      <c r="W39" s="279"/>
      <c r="X39" s="279"/>
      <c r="Y39" s="279"/>
      <c r="Z39" s="279"/>
      <c r="AA39" s="279"/>
      <c r="AB39" s="279"/>
      <c r="AC39" s="280"/>
    </row>
    <row r="40" spans="1:30" ht="15.6" customHeight="1" x14ac:dyDescent="0.4">
      <c r="A40" s="484" t="s">
        <v>60</v>
      </c>
      <c r="B40" s="485"/>
      <c r="C40" s="485"/>
      <c r="D40" s="485"/>
      <c r="E40" s="485"/>
      <c r="F40" s="485"/>
      <c r="G40" s="485"/>
      <c r="H40" s="485"/>
      <c r="I40" s="485"/>
      <c r="J40" s="485"/>
      <c r="K40" s="485"/>
      <c r="L40" s="485"/>
      <c r="M40" s="485"/>
      <c r="N40" s="485"/>
      <c r="O40" s="485"/>
      <c r="P40" s="485"/>
      <c r="Q40" s="486"/>
      <c r="R40" s="490" t="s">
        <v>101</v>
      </c>
      <c r="S40" s="491"/>
      <c r="T40" s="492"/>
      <c r="U40" s="490" t="s">
        <v>102</v>
      </c>
      <c r="V40" s="491"/>
      <c r="W40" s="491"/>
      <c r="X40" s="492"/>
      <c r="Y40" s="490" t="s">
        <v>103</v>
      </c>
      <c r="Z40" s="491"/>
      <c r="AA40" s="491"/>
      <c r="AB40" s="492"/>
      <c r="AC40" s="281" t="s">
        <v>104</v>
      </c>
    </row>
    <row r="41" spans="1:30" ht="15.6" customHeight="1" x14ac:dyDescent="0.4">
      <c r="A41" s="487"/>
      <c r="B41" s="488"/>
      <c r="C41" s="488"/>
      <c r="D41" s="488"/>
      <c r="E41" s="488"/>
      <c r="F41" s="488"/>
      <c r="G41" s="488"/>
      <c r="H41" s="488"/>
      <c r="I41" s="488"/>
      <c r="J41" s="488"/>
      <c r="K41" s="488"/>
      <c r="L41" s="488"/>
      <c r="M41" s="488"/>
      <c r="N41" s="488"/>
      <c r="O41" s="488"/>
      <c r="P41" s="488"/>
      <c r="Q41" s="489"/>
      <c r="R41" s="493" t="s">
        <v>105</v>
      </c>
      <c r="S41" s="494"/>
      <c r="T41" s="495"/>
      <c r="U41" s="493" t="s">
        <v>106</v>
      </c>
      <c r="V41" s="494"/>
      <c r="W41" s="494"/>
      <c r="X41" s="495"/>
      <c r="Y41" s="493" t="s">
        <v>106</v>
      </c>
      <c r="Z41" s="494"/>
      <c r="AA41" s="494"/>
      <c r="AB41" s="495"/>
      <c r="AC41" s="282" t="s">
        <v>107</v>
      </c>
    </row>
    <row r="42" spans="1:30" s="275" customFormat="1" ht="18" customHeight="1" x14ac:dyDescent="0.4">
      <c r="A42" s="192"/>
      <c r="B42" s="194" t="str">
        <f>CI!B42</f>
        <v>Cable</v>
      </c>
      <c r="C42" s="194"/>
      <c r="D42" s="194"/>
      <c r="E42" s="194"/>
      <c r="F42" s="194"/>
      <c r="G42" s="194"/>
      <c r="H42" s="194"/>
      <c r="I42" s="215"/>
      <c r="J42" s="215"/>
      <c r="K42" s="215"/>
      <c r="L42" s="215"/>
      <c r="M42" s="215"/>
      <c r="N42" s="215"/>
      <c r="O42" s="215"/>
      <c r="P42" s="215"/>
      <c r="Q42" s="199"/>
      <c r="R42" s="472">
        <f>CI!W42</f>
        <v>1</v>
      </c>
      <c r="S42" s="473"/>
      <c r="T42" s="474"/>
      <c r="U42" s="475">
        <f>'Summary PL'!L15</f>
        <v>1260</v>
      </c>
      <c r="V42" s="476"/>
      <c r="W42" s="476"/>
      <c r="X42" s="477"/>
      <c r="Y42" s="475">
        <f>'Summary PL'!M15</f>
        <v>1410</v>
      </c>
      <c r="Z42" s="476"/>
      <c r="AA42" s="476"/>
      <c r="AB42" s="477"/>
      <c r="AC42" s="283">
        <f>'Summary PL'!K15</f>
        <v>3.46</v>
      </c>
    </row>
    <row r="43" spans="1:30" s="275" customFormat="1" ht="18" customHeight="1" x14ac:dyDescent="0.4">
      <c r="A43" s="221"/>
      <c r="B43" s="307" t="s">
        <v>108</v>
      </c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9"/>
      <c r="R43" s="478" t="s">
        <v>69</v>
      </c>
      <c r="S43" s="479"/>
      <c r="T43" s="480"/>
      <c r="U43" s="481"/>
      <c r="V43" s="482"/>
      <c r="W43" s="482"/>
      <c r="X43" s="483"/>
      <c r="Y43" s="481"/>
      <c r="Z43" s="482"/>
      <c r="AA43" s="482"/>
      <c r="AB43" s="483"/>
      <c r="AC43" s="283"/>
      <c r="AD43" s="308" t="s">
        <v>109</v>
      </c>
    </row>
    <row r="44" spans="1:30" s="275" customFormat="1" ht="18" customHeight="1" thickBot="1" x14ac:dyDescent="0.45">
      <c r="A44" s="203"/>
      <c r="B44" s="193"/>
      <c r="C44" s="193"/>
      <c r="D44" s="193"/>
      <c r="E44" s="193"/>
      <c r="F44" s="193"/>
      <c r="G44" s="193"/>
      <c r="H44" s="193"/>
      <c r="I44" s="222"/>
      <c r="J44" s="222"/>
      <c r="K44" s="222"/>
      <c r="L44" s="222"/>
      <c r="M44" s="222"/>
      <c r="N44" s="222"/>
      <c r="O44" s="222"/>
      <c r="P44" s="222"/>
      <c r="Q44" s="223"/>
      <c r="R44" s="284"/>
      <c r="S44" s="284"/>
      <c r="T44" s="285"/>
      <c r="U44" s="193"/>
      <c r="V44" s="193"/>
      <c r="W44" s="193"/>
      <c r="X44" s="286"/>
      <c r="Y44" s="224"/>
      <c r="Z44" s="224"/>
      <c r="AA44" s="224"/>
      <c r="AB44" s="286"/>
      <c r="AC44" s="283"/>
      <c r="AD44" s="308"/>
    </row>
    <row r="45" spans="1:30" s="275" customFormat="1" ht="18" customHeight="1" thickBot="1" x14ac:dyDescent="0.45">
      <c r="A45" s="225"/>
      <c r="B45" s="226"/>
      <c r="C45" s="226"/>
      <c r="D45" s="226"/>
      <c r="E45" s="226"/>
      <c r="F45" s="226"/>
      <c r="G45" s="226"/>
      <c r="H45" s="226"/>
      <c r="I45" s="461"/>
      <c r="J45" s="461"/>
      <c r="K45" s="461"/>
      <c r="L45" s="461"/>
      <c r="M45" s="461"/>
      <c r="N45" s="461"/>
      <c r="O45" s="461"/>
      <c r="P45" s="461"/>
      <c r="Q45" s="462"/>
      <c r="R45" s="463"/>
      <c r="S45" s="464"/>
      <c r="T45" s="465"/>
      <c r="U45" s="466">
        <f>SUM(U42:X43)</f>
        <v>1260</v>
      </c>
      <c r="V45" s="467"/>
      <c r="W45" s="467"/>
      <c r="X45" s="468"/>
      <c r="Y45" s="469">
        <f>SUM(Y42:AB43)</f>
        <v>1410</v>
      </c>
      <c r="Z45" s="470"/>
      <c r="AA45" s="470"/>
      <c r="AB45" s="471"/>
      <c r="AC45" s="287">
        <f>SUM(AC42:AC43)</f>
        <v>3.46</v>
      </c>
    </row>
    <row r="46" spans="1:30" ht="12" customHeight="1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179"/>
    </row>
    <row r="47" spans="1:30" ht="12" customHeight="1" x14ac:dyDescent="0.4">
      <c r="A47" s="181"/>
      <c r="AC47" s="183"/>
    </row>
    <row r="48" spans="1:30" ht="12" customHeight="1" x14ac:dyDescent="0.4">
      <c r="A48" s="181"/>
      <c r="AC48" s="183"/>
    </row>
    <row r="49" spans="1:29" ht="12" customHeight="1" x14ac:dyDescent="0.4">
      <c r="A49" s="181"/>
      <c r="AC49" s="183"/>
    </row>
    <row r="50" spans="1:29" ht="12" customHeight="1" x14ac:dyDescent="0.4">
      <c r="A50" s="181"/>
      <c r="AC50" s="183"/>
    </row>
    <row r="51" spans="1:29" ht="12" customHeight="1" x14ac:dyDescent="0.4">
      <c r="A51" s="181"/>
      <c r="AC51" s="183"/>
    </row>
    <row r="52" spans="1:29" ht="12" customHeight="1" x14ac:dyDescent="0.4">
      <c r="A52" s="181"/>
      <c r="AC52" s="183"/>
    </row>
    <row r="53" spans="1:29" ht="12" customHeight="1" x14ac:dyDescent="0.4">
      <c r="A53" s="192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S53" s="194" t="s">
        <v>71</v>
      </c>
      <c r="AC53" s="183"/>
    </row>
    <row r="54" spans="1:29" ht="12" customHeight="1" x14ac:dyDescent="0.4">
      <c r="A54" s="192" t="s">
        <v>72</v>
      </c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AC54" s="183"/>
    </row>
    <row r="55" spans="1:29" ht="12" customHeight="1" x14ac:dyDescent="0.4">
      <c r="A55" s="192" t="s">
        <v>73</v>
      </c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W55" s="227"/>
      <c r="X55" s="227"/>
      <c r="AC55" s="183"/>
    </row>
    <row r="56" spans="1:29" ht="12" customHeight="1" x14ac:dyDescent="0.4">
      <c r="A56" s="192" t="s">
        <v>110</v>
      </c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V56" s="459" t="s">
        <v>75</v>
      </c>
      <c r="W56" s="459"/>
      <c r="X56" s="459"/>
      <c r="Y56" s="459"/>
      <c r="Z56" s="459"/>
      <c r="AA56" s="459"/>
      <c r="AB56" s="459"/>
      <c r="AC56" s="460"/>
    </row>
    <row r="57" spans="1:29" ht="12" customHeight="1" x14ac:dyDescent="0.4">
      <c r="A57" s="192" t="s">
        <v>76</v>
      </c>
      <c r="B57" s="194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S57" s="204"/>
      <c r="U57" s="228"/>
      <c r="V57" s="228"/>
      <c r="W57" s="228"/>
      <c r="X57" s="228"/>
      <c r="Y57" s="228"/>
      <c r="Z57" s="228"/>
      <c r="AA57" s="228"/>
      <c r="AB57" s="228"/>
      <c r="AC57" s="183"/>
    </row>
    <row r="58" spans="1:29" ht="12" customHeight="1" thickBot="1" x14ac:dyDescent="0.45">
      <c r="A58" s="229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6"/>
    </row>
    <row r="59" spans="1:29" ht="15" thickBot="1" x14ac:dyDescent="0.45">
      <c r="A59" s="230" t="s">
        <v>77</v>
      </c>
      <c r="B59" s="231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31"/>
      <c r="Z59" s="231"/>
      <c r="AA59" s="231"/>
      <c r="AB59" s="231"/>
      <c r="AC59" s="232"/>
    </row>
  </sheetData>
  <mergeCells count="37">
    <mergeCell ref="S20:AC20"/>
    <mergeCell ref="A6:AC6"/>
    <mergeCell ref="V8:Z8"/>
    <mergeCell ref="V10:Z10"/>
    <mergeCell ref="S18:AC18"/>
    <mergeCell ref="S15:AC15"/>
    <mergeCell ref="S16:AC16"/>
    <mergeCell ref="I31:Q32"/>
    <mergeCell ref="I33:Q34"/>
    <mergeCell ref="J35:P35"/>
    <mergeCell ref="S22:AC22"/>
    <mergeCell ref="S24:AC24"/>
    <mergeCell ref="I26:Q26"/>
    <mergeCell ref="I29:Q30"/>
    <mergeCell ref="S26:AC26"/>
    <mergeCell ref="Y32:AB32"/>
    <mergeCell ref="Y33:AB33"/>
    <mergeCell ref="Y34:AB34"/>
    <mergeCell ref="Y35:AB35"/>
    <mergeCell ref="A40:Q41"/>
    <mergeCell ref="R40:T40"/>
    <mergeCell ref="U40:X40"/>
    <mergeCell ref="Y40:AB40"/>
    <mergeCell ref="R41:T41"/>
    <mergeCell ref="U41:X41"/>
    <mergeCell ref="Y41:AB41"/>
    <mergeCell ref="R42:T42"/>
    <mergeCell ref="U42:X42"/>
    <mergeCell ref="Y42:AB42"/>
    <mergeCell ref="R43:T43"/>
    <mergeCell ref="U43:X43"/>
    <mergeCell ref="Y43:AB43"/>
    <mergeCell ref="V56:AC56"/>
    <mergeCell ref="I45:Q45"/>
    <mergeCell ref="R45:T45"/>
    <mergeCell ref="U45:X45"/>
    <mergeCell ref="Y45:AB45"/>
  </mergeCells>
  <phoneticPr fontId="5" type="noConversion"/>
  <pageMargins left="0.39370078740157483" right="0.39370078740157483" top="0.74803149606299213" bottom="0.74803149606299213" header="0.31496062992125984" footer="0.31496062992125984"/>
  <pageSetup paperSize="9" scale="72" orientation="portrait" r:id="rId1"/>
  <headerFooter>
    <oddFooter xml:space="preserve">&amp;R_x000D_&amp;1#&amp;"Aptos"&amp;8&amp;K000000 중요비(Confidential): sanghwan.bae@doosan.com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U62"/>
  <sheetViews>
    <sheetView showGridLines="0" view="pageBreakPreview" zoomScale="80" zoomScaleNormal="100" zoomScaleSheetLayoutView="80" workbookViewId="0">
      <selection activeCell="B9" sqref="B9"/>
    </sheetView>
  </sheetViews>
  <sheetFormatPr defaultRowHeight="17.399999999999999" x14ac:dyDescent="0.4"/>
  <cols>
    <col min="1" max="1" width="17.09765625" style="63" customWidth="1"/>
    <col min="2" max="2" width="20.19921875" style="63" customWidth="1"/>
    <col min="3" max="3" width="26.19921875" style="63" customWidth="1"/>
    <col min="4" max="4" width="47.19921875" style="63" customWidth="1"/>
    <col min="5" max="5" width="17.09765625" style="20" customWidth="1"/>
    <col min="6" max="6" width="11.19921875" style="304" customWidth="1"/>
    <col min="7" max="7" width="9.19921875" style="64" customWidth="1"/>
    <col min="8" max="8" width="11.5" style="66" customWidth="1"/>
    <col min="9" max="10" width="11.5" style="66" bestFit="1" customWidth="1"/>
    <col min="11" max="11" width="11.69921875" style="66" customWidth="1"/>
    <col min="12" max="12" width="17.5" style="70" customWidth="1"/>
    <col min="13" max="13" width="17.5" style="66" customWidth="1"/>
    <col min="14" max="14" width="16.19921875" style="70" customWidth="1"/>
    <col min="15" max="15" width="15" style="68" customWidth="1"/>
    <col min="16" max="16" width="16.09765625" style="69" customWidth="1"/>
  </cols>
  <sheetData>
    <row r="1" spans="1:21" s="12" customFormat="1" ht="14.1" customHeight="1" x14ac:dyDescent="0.4">
      <c r="A1" s="3"/>
      <c r="B1" s="3"/>
      <c r="C1" s="3"/>
      <c r="D1" s="3"/>
      <c r="E1" s="8"/>
      <c r="F1" s="291"/>
      <c r="G1" s="9"/>
      <c r="H1" s="10"/>
      <c r="I1" s="11"/>
      <c r="J1" s="11"/>
      <c r="K1" s="11"/>
      <c r="L1" s="3"/>
      <c r="M1" s="11"/>
      <c r="N1" s="3"/>
      <c r="O1" s="13" t="s">
        <v>0</v>
      </c>
      <c r="P1" s="233"/>
      <c r="Q1" s="234" t="s">
        <v>111</v>
      </c>
      <c r="R1" s="235" t="s">
        <v>112</v>
      </c>
      <c r="S1" s="235" t="s">
        <v>113</v>
      </c>
      <c r="T1" s="15"/>
      <c r="U1" s="16"/>
    </row>
    <row r="2" spans="1:21" s="12" customFormat="1" ht="14.1" customHeight="1" x14ac:dyDescent="0.4">
      <c r="A2" s="3"/>
      <c r="B2" s="3"/>
      <c r="C2" s="3"/>
      <c r="D2" s="3"/>
      <c r="E2" s="8"/>
      <c r="F2" s="291"/>
      <c r="G2" s="9"/>
      <c r="H2" s="10"/>
      <c r="I2" s="11"/>
      <c r="J2" s="11"/>
      <c r="K2" s="11"/>
      <c r="L2" s="3"/>
      <c r="M2" s="11"/>
      <c r="N2" s="3"/>
      <c r="O2" s="13" t="s">
        <v>1</v>
      </c>
      <c r="P2" s="233"/>
      <c r="Q2" s="236"/>
      <c r="R2" s="235" t="s">
        <v>114</v>
      </c>
      <c r="S2" s="235" t="s">
        <v>115</v>
      </c>
      <c r="T2" s="16"/>
      <c r="U2" s="16"/>
    </row>
    <row r="3" spans="1:21" s="12" customFormat="1" ht="14.1" customHeight="1" x14ac:dyDescent="0.4">
      <c r="A3" s="3"/>
      <c r="B3" s="3"/>
      <c r="C3" s="3"/>
      <c r="D3" s="3"/>
      <c r="E3" s="8"/>
      <c r="F3" s="291"/>
      <c r="G3" s="9"/>
      <c r="H3" s="10"/>
      <c r="I3" s="11"/>
      <c r="J3" s="11"/>
      <c r="K3" s="11"/>
      <c r="L3" s="3"/>
      <c r="M3" s="11"/>
      <c r="N3" s="3"/>
      <c r="O3" s="13" t="s">
        <v>2</v>
      </c>
      <c r="P3" s="233"/>
      <c r="Q3" s="237"/>
      <c r="R3" s="235" t="s">
        <v>116</v>
      </c>
      <c r="S3" s="235" t="s">
        <v>117</v>
      </c>
      <c r="T3" s="16"/>
      <c r="U3" s="16"/>
    </row>
    <row r="4" spans="1:21" s="12" customFormat="1" ht="14.1" customHeight="1" x14ac:dyDescent="0.4">
      <c r="A4" s="3"/>
      <c r="B4" s="3"/>
      <c r="C4" s="3"/>
      <c r="D4" s="3"/>
      <c r="E4" s="8"/>
      <c r="F4" s="291"/>
      <c r="G4" s="9"/>
      <c r="H4" s="10"/>
      <c r="I4" s="11"/>
      <c r="J4" s="11"/>
      <c r="K4" s="11"/>
      <c r="L4" s="3"/>
      <c r="M4" s="11"/>
      <c r="N4" s="3"/>
      <c r="O4" s="13" t="s">
        <v>3</v>
      </c>
      <c r="P4" s="233"/>
      <c r="Q4" s="237"/>
      <c r="R4" s="235" t="s">
        <v>118</v>
      </c>
      <c r="S4" s="235" t="s">
        <v>119</v>
      </c>
      <c r="T4" s="16"/>
      <c r="U4" s="16"/>
    </row>
    <row r="5" spans="1:21" s="12" customFormat="1" ht="14.1" customHeight="1" x14ac:dyDescent="0.4">
      <c r="A5" s="3"/>
      <c r="B5" s="3"/>
      <c r="C5" s="3"/>
      <c r="D5" s="3"/>
      <c r="E5" s="8"/>
      <c r="F5" s="291"/>
      <c r="G5" s="9"/>
      <c r="H5" s="10"/>
      <c r="I5" s="11"/>
      <c r="J5" s="11"/>
      <c r="K5" s="11"/>
      <c r="L5" s="3"/>
      <c r="M5" s="11"/>
      <c r="N5" s="3"/>
      <c r="O5" s="13" t="s">
        <v>4</v>
      </c>
      <c r="P5" s="233"/>
      <c r="Q5" s="237"/>
      <c r="R5" s="3"/>
      <c r="S5" s="3"/>
    </row>
    <row r="6" spans="1:21" s="22" customFormat="1" ht="52.2" customHeight="1" x14ac:dyDescent="0.4">
      <c r="A6" s="512" t="s">
        <v>120</v>
      </c>
      <c r="B6" s="512"/>
      <c r="C6" s="501"/>
      <c r="D6" s="501"/>
      <c r="E6" s="501"/>
      <c r="F6" s="501"/>
      <c r="G6" s="501"/>
      <c r="H6" s="501"/>
      <c r="I6" s="501"/>
      <c r="J6" s="501"/>
      <c r="K6" s="501"/>
      <c r="L6" s="501"/>
      <c r="M6" s="501"/>
      <c r="N6" s="501"/>
      <c r="O6" s="501"/>
      <c r="P6" s="501"/>
      <c r="Q6" s="238"/>
      <c r="R6" s="239"/>
      <c r="S6" s="239"/>
      <c r="T6" s="21"/>
    </row>
    <row r="7" spans="1:21" s="22" customFormat="1" ht="19.95" customHeight="1" x14ac:dyDescent="0.4">
      <c r="A7" s="240" t="s">
        <v>121</v>
      </c>
      <c r="B7" s="240" t="s">
        <v>122</v>
      </c>
      <c r="C7" s="241"/>
      <c r="D7" s="241"/>
      <c r="E7" s="241"/>
      <c r="F7" s="317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38"/>
      <c r="R7" s="239"/>
      <c r="S7" s="239"/>
      <c r="T7" s="21"/>
    </row>
    <row r="8" spans="1:21" s="22" customFormat="1" ht="19.95" customHeight="1" x14ac:dyDescent="0.4">
      <c r="A8" s="240"/>
      <c r="B8" s="240" t="s">
        <v>123</v>
      </c>
      <c r="C8" s="241"/>
      <c r="D8" s="241"/>
      <c r="E8" s="241"/>
      <c r="F8" s="317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39"/>
      <c r="R8" s="239"/>
      <c r="S8" s="239"/>
      <c r="T8" s="17"/>
      <c r="U8" s="25"/>
    </row>
    <row r="9" spans="1:21" s="5" customFormat="1" ht="19.95" customHeight="1" thickBot="1" x14ac:dyDescent="0.45">
      <c r="A9" s="240" t="s">
        <v>124</v>
      </c>
      <c r="B9" s="240" t="str">
        <f>CI!V8</f>
        <v>PGU-DE-0560</v>
      </c>
      <c r="C9" s="240"/>
      <c r="D9" s="243"/>
      <c r="E9" s="244"/>
      <c r="F9" s="318"/>
      <c r="G9" s="245"/>
      <c r="H9" s="246"/>
      <c r="I9" s="246"/>
      <c r="J9" s="246"/>
      <c r="K9" s="247"/>
      <c r="L9" s="248"/>
      <c r="M9" s="246"/>
      <c r="N9" s="248"/>
      <c r="O9" s="249"/>
      <c r="P9" s="249"/>
      <c r="Q9" s="194"/>
      <c r="R9" s="194"/>
      <c r="S9" s="194"/>
      <c r="T9" s="17"/>
      <c r="U9" s="25"/>
    </row>
    <row r="10" spans="1:21" s="5" customFormat="1" ht="19.95" customHeight="1" x14ac:dyDescent="0.4">
      <c r="A10" s="250" t="s">
        <v>125</v>
      </c>
      <c r="B10" s="251" t="s">
        <v>126</v>
      </c>
      <c r="C10" s="251"/>
      <c r="D10" s="252"/>
      <c r="E10" s="253"/>
      <c r="F10" s="318"/>
      <c r="G10" s="245"/>
      <c r="H10" s="246"/>
      <c r="I10" s="246"/>
      <c r="J10" s="246"/>
      <c r="K10" s="247"/>
      <c r="L10" s="248"/>
      <c r="M10" s="246"/>
      <c r="N10" s="248"/>
      <c r="O10" s="249"/>
      <c r="P10" s="249"/>
      <c r="Q10" s="194"/>
      <c r="R10" s="194"/>
      <c r="S10" s="194"/>
      <c r="T10" s="17"/>
      <c r="U10" s="25"/>
    </row>
    <row r="11" spans="1:21" s="5" customFormat="1" ht="19.95" customHeight="1" thickBot="1" x14ac:dyDescent="0.45">
      <c r="A11" s="254" t="s">
        <v>127</v>
      </c>
      <c r="B11" s="255" t="s">
        <v>128</v>
      </c>
      <c r="C11" s="255"/>
      <c r="D11" s="256"/>
      <c r="E11" s="257"/>
      <c r="F11" s="318"/>
      <c r="G11" s="245"/>
      <c r="H11" s="246"/>
      <c r="I11" s="246"/>
      <c r="J11" s="246"/>
      <c r="K11" s="247"/>
      <c r="L11" s="248"/>
      <c r="M11" s="246"/>
      <c r="N11" s="248"/>
      <c r="O11" s="249"/>
      <c r="P11" s="249"/>
      <c r="Q11" s="194"/>
      <c r="R11" s="194"/>
      <c r="S11" s="194"/>
      <c r="T11" s="17"/>
      <c r="U11" s="25"/>
    </row>
    <row r="12" spans="1:21" s="34" customFormat="1" ht="23.7" customHeight="1" x14ac:dyDescent="0.4">
      <c r="A12" s="513" t="s">
        <v>129</v>
      </c>
      <c r="B12" s="515" t="s">
        <v>130</v>
      </c>
      <c r="C12" s="515" t="s">
        <v>131</v>
      </c>
      <c r="D12" s="515" t="s">
        <v>132</v>
      </c>
      <c r="E12" s="515" t="s">
        <v>133</v>
      </c>
      <c r="F12" s="517" t="s">
        <v>134</v>
      </c>
      <c r="G12" s="517"/>
      <c r="H12" s="518" t="s">
        <v>135</v>
      </c>
      <c r="I12" s="518"/>
      <c r="J12" s="518"/>
      <c r="K12" s="518"/>
      <c r="L12" s="519" t="s">
        <v>136</v>
      </c>
      <c r="M12" s="521" t="s">
        <v>137</v>
      </c>
      <c r="N12" s="519" t="s">
        <v>138</v>
      </c>
      <c r="O12" s="523" t="s">
        <v>139</v>
      </c>
      <c r="P12" s="523" t="s">
        <v>140</v>
      </c>
      <c r="Q12" s="258"/>
      <c r="R12" s="259"/>
      <c r="S12" s="259"/>
      <c r="T12" s="35"/>
    </row>
    <row r="13" spans="1:21" s="34" customFormat="1" ht="33" customHeight="1" x14ac:dyDescent="0.4">
      <c r="A13" s="514"/>
      <c r="B13" s="516"/>
      <c r="C13" s="516"/>
      <c r="D13" s="516"/>
      <c r="E13" s="516"/>
      <c r="F13" s="319" t="s">
        <v>141</v>
      </c>
      <c r="G13" s="260" t="s">
        <v>142</v>
      </c>
      <c r="H13" s="261" t="s">
        <v>143</v>
      </c>
      <c r="I13" s="261" t="s">
        <v>144</v>
      </c>
      <c r="J13" s="261" t="s">
        <v>145</v>
      </c>
      <c r="K13" s="261" t="s">
        <v>146</v>
      </c>
      <c r="L13" s="520"/>
      <c r="M13" s="522"/>
      <c r="N13" s="520"/>
      <c r="O13" s="524"/>
      <c r="P13" s="524"/>
      <c r="Q13" s="258"/>
      <c r="R13" s="259"/>
      <c r="S13" s="259"/>
      <c r="T13" s="35"/>
    </row>
    <row r="14" spans="1:21" s="44" customFormat="1" ht="25.2" customHeight="1" x14ac:dyDescent="0.4">
      <c r="A14" s="262">
        <v>1</v>
      </c>
      <c r="B14" s="263"/>
      <c r="C14" s="38" t="s">
        <v>147</v>
      </c>
      <c r="D14" s="264" t="s">
        <v>148</v>
      </c>
      <c r="E14" s="263" t="s">
        <v>149</v>
      </c>
      <c r="F14" s="320">
        <v>1</v>
      </c>
      <c r="G14" s="263" t="s">
        <v>92</v>
      </c>
      <c r="H14" s="326">
        <v>135</v>
      </c>
      <c r="I14" s="326">
        <v>135</v>
      </c>
      <c r="J14" s="327">
        <v>190</v>
      </c>
      <c r="K14" s="266">
        <f t="shared" ref="K14" si="0">ROUND(J14*I14*H14/1000000,2)</f>
        <v>3.46</v>
      </c>
      <c r="L14" s="265">
        <v>1260</v>
      </c>
      <c r="M14" s="265">
        <f>L14+150</f>
        <v>1410</v>
      </c>
      <c r="N14" s="267" t="s">
        <v>150</v>
      </c>
      <c r="O14" s="264" t="s">
        <v>151</v>
      </c>
      <c r="P14" s="267" t="s">
        <v>152</v>
      </c>
      <c r="Q14" s="268"/>
      <c r="R14" s="244"/>
      <c r="S14" s="244"/>
      <c r="T14" s="43"/>
    </row>
    <row r="15" spans="1:21" s="49" customFormat="1" ht="28.2" customHeight="1" thickBot="1" x14ac:dyDescent="0.45">
      <c r="A15" s="509" t="s">
        <v>153</v>
      </c>
      <c r="B15" s="510"/>
      <c r="C15" s="510"/>
      <c r="D15" s="510"/>
      <c r="E15" s="510"/>
      <c r="F15" s="321">
        <v>1</v>
      </c>
      <c r="G15" s="178" t="s">
        <v>92</v>
      </c>
      <c r="H15" s="269"/>
      <c r="I15" s="269"/>
      <c r="J15" s="269"/>
      <c r="K15" s="269">
        <f>SUM(K14:K14)</f>
        <v>3.46</v>
      </c>
      <c r="L15" s="269">
        <f>SUM(L14:L14)</f>
        <v>1260</v>
      </c>
      <c r="M15" s="269">
        <f>SUM(M14:M14)</f>
        <v>1410</v>
      </c>
      <c r="N15" s="270"/>
      <c r="O15" s="271"/>
      <c r="P15" s="272"/>
      <c r="Q15" s="273"/>
      <c r="R15" s="273"/>
      <c r="S15" s="274"/>
      <c r="T15" s="48"/>
    </row>
    <row r="16" spans="1:21" x14ac:dyDescent="0.4">
      <c r="A16" s="3"/>
      <c r="B16" s="3"/>
      <c r="C16" s="9"/>
      <c r="D16" s="9"/>
      <c r="E16" s="12"/>
      <c r="F16" s="300"/>
      <c r="G16" s="9"/>
      <c r="H16" s="51"/>
      <c r="I16" s="51"/>
      <c r="J16" s="52"/>
      <c r="K16" s="52"/>
      <c r="L16" s="53"/>
      <c r="M16" s="51"/>
      <c r="N16" s="53"/>
      <c r="O16" s="54"/>
      <c r="P16" s="31"/>
    </row>
    <row r="17" spans="1:16" x14ac:dyDescent="0.4">
      <c r="A17" s="3"/>
      <c r="B17" s="3"/>
      <c r="C17" s="9"/>
      <c r="D17" s="9"/>
      <c r="E17" s="12"/>
      <c r="F17" s="300"/>
      <c r="G17" s="9"/>
      <c r="H17" s="51"/>
      <c r="I17" s="51"/>
      <c r="J17" s="52"/>
      <c r="K17" s="52"/>
      <c r="L17" s="53"/>
      <c r="M17" s="51"/>
      <c r="N17" s="53"/>
      <c r="O17" s="54"/>
      <c r="P17" s="31"/>
    </row>
    <row r="18" spans="1:16" x14ac:dyDescent="0.4">
      <c r="A18" s="3"/>
      <c r="B18" s="3"/>
      <c r="C18" s="9"/>
      <c r="D18" s="9"/>
      <c r="E18" s="12"/>
      <c r="F18" s="300"/>
      <c r="G18" s="9"/>
      <c r="H18" s="51"/>
      <c r="I18" s="51"/>
      <c r="J18" s="52"/>
      <c r="K18" s="52"/>
      <c r="L18" s="53"/>
      <c r="M18" s="51"/>
      <c r="N18" s="53"/>
      <c r="O18" s="54"/>
      <c r="P18" s="31"/>
    </row>
    <row r="19" spans="1:16" x14ac:dyDescent="0.4">
      <c r="A19" s="3"/>
      <c r="B19" s="3"/>
      <c r="C19" s="9"/>
      <c r="D19" s="9"/>
      <c r="E19" s="12"/>
      <c r="F19" s="301"/>
      <c r="G19" s="55"/>
      <c r="H19" s="51"/>
      <c r="I19" s="51"/>
      <c r="J19" s="52"/>
      <c r="K19" s="52"/>
      <c r="L19" s="53"/>
      <c r="M19" s="51"/>
      <c r="N19" s="53"/>
      <c r="O19" s="54"/>
      <c r="P19" s="31"/>
    </row>
    <row r="20" spans="1:16" x14ac:dyDescent="0.4">
      <c r="A20" s="3"/>
      <c r="B20" s="3"/>
      <c r="C20" s="9"/>
      <c r="D20" s="9"/>
      <c r="E20" s="12"/>
      <c r="F20" s="301"/>
      <c r="G20" s="55"/>
      <c r="H20" s="51"/>
      <c r="I20" s="51"/>
      <c r="J20" s="52"/>
      <c r="K20" s="52"/>
      <c r="L20" s="53"/>
      <c r="M20" s="51"/>
      <c r="N20" s="53"/>
      <c r="O20" s="54"/>
      <c r="P20" s="31"/>
    </row>
    <row r="21" spans="1:16" x14ac:dyDescent="0.4">
      <c r="A21" s="3"/>
      <c r="B21" s="3"/>
      <c r="C21" s="9"/>
      <c r="D21" s="9"/>
      <c r="E21" s="12"/>
      <c r="F21" s="301"/>
      <c r="G21" s="55"/>
      <c r="H21" s="51"/>
      <c r="I21" s="51"/>
      <c r="J21" s="52"/>
      <c r="K21" s="52"/>
      <c r="L21" s="53"/>
      <c r="M21" s="51"/>
      <c r="N21" s="53"/>
      <c r="O21" s="54"/>
      <c r="P21" s="31"/>
    </row>
    <row r="22" spans="1:16" x14ac:dyDescent="0.4">
      <c r="A22" s="13"/>
      <c r="B22" s="13"/>
      <c r="C22" s="13"/>
      <c r="D22" s="13"/>
      <c r="E22" s="14"/>
      <c r="F22" s="302"/>
      <c r="G22" s="55"/>
      <c r="H22" s="56"/>
      <c r="I22" s="56"/>
      <c r="J22" s="57"/>
      <c r="K22" s="57"/>
      <c r="L22" s="58"/>
      <c r="M22" s="56"/>
      <c r="N22" s="58"/>
      <c r="O22" s="31"/>
      <c r="P22" s="31"/>
    </row>
    <row r="23" spans="1:16" x14ac:dyDescent="0.4">
      <c r="A23" s="13"/>
      <c r="B23" s="13"/>
      <c r="C23" s="13"/>
      <c r="D23" s="13"/>
      <c r="E23" s="14"/>
      <c r="F23" s="302"/>
      <c r="G23" s="55"/>
      <c r="H23" s="56"/>
      <c r="I23" s="56"/>
      <c r="J23" s="57"/>
      <c r="K23" s="57"/>
      <c r="L23" s="58"/>
      <c r="M23" s="56"/>
      <c r="N23" s="58"/>
      <c r="O23" s="31"/>
      <c r="P23" s="31"/>
    </row>
    <row r="24" spans="1:16" x14ac:dyDescent="0.4">
      <c r="A24" s="3"/>
      <c r="B24" s="3"/>
      <c r="C24" s="9"/>
      <c r="D24" s="9"/>
      <c r="E24" s="12"/>
      <c r="F24" s="301"/>
      <c r="G24" s="9"/>
      <c r="H24" s="51"/>
      <c r="I24" s="51"/>
      <c r="J24" s="52"/>
      <c r="K24" s="52"/>
      <c r="L24" s="53"/>
      <c r="M24" s="51"/>
      <c r="N24" s="53"/>
      <c r="O24" s="54"/>
      <c r="P24" s="31"/>
    </row>
    <row r="25" spans="1:16" x14ac:dyDescent="0.4">
      <c r="A25" s="3"/>
      <c r="B25" s="3"/>
      <c r="C25" s="9"/>
      <c r="D25" s="9"/>
      <c r="E25" s="3"/>
      <c r="F25" s="301"/>
      <c r="G25" s="9"/>
      <c r="H25" s="51"/>
      <c r="I25" s="51"/>
      <c r="J25" s="52"/>
      <c r="K25" s="52"/>
      <c r="L25" s="53"/>
      <c r="M25" s="51"/>
      <c r="N25" s="53"/>
      <c r="O25" s="54"/>
      <c r="P25" s="31"/>
    </row>
    <row r="26" spans="1:16" x14ac:dyDescent="0.4">
      <c r="A26" s="3"/>
      <c r="B26" s="3"/>
      <c r="C26" s="9"/>
      <c r="D26" s="9"/>
      <c r="E26" s="3"/>
      <c r="F26" s="301"/>
      <c r="G26" s="9"/>
      <c r="H26" s="51"/>
      <c r="I26" s="51"/>
      <c r="J26" s="52"/>
      <c r="K26" s="52"/>
      <c r="L26" s="53"/>
      <c r="M26" s="51"/>
      <c r="N26" s="53"/>
      <c r="O26" s="54"/>
      <c r="P26" s="31"/>
    </row>
    <row r="27" spans="1:16" x14ac:dyDescent="0.4">
      <c r="A27" s="3"/>
      <c r="B27" s="3"/>
      <c r="C27" s="9"/>
      <c r="D27" s="9"/>
      <c r="E27" s="3"/>
      <c r="F27" s="301"/>
      <c r="G27" s="9"/>
      <c r="H27" s="51"/>
      <c r="I27" s="51"/>
      <c r="J27" s="52"/>
      <c r="K27" s="52"/>
      <c r="L27" s="53"/>
      <c r="M27" s="51"/>
      <c r="N27" s="53"/>
      <c r="O27" s="54"/>
      <c r="P27" s="31"/>
    </row>
    <row r="28" spans="1:16" x14ac:dyDescent="0.4">
      <c r="A28" s="3"/>
      <c r="B28" s="3"/>
      <c r="C28" s="9"/>
      <c r="D28" s="9"/>
      <c r="E28" s="3"/>
      <c r="F28" s="301"/>
      <c r="G28" s="9"/>
      <c r="H28" s="51"/>
      <c r="I28" s="51"/>
      <c r="J28" s="52"/>
      <c r="K28" s="52"/>
      <c r="L28" s="53"/>
      <c r="M28" s="51"/>
      <c r="N28" s="53"/>
      <c r="O28" s="54"/>
      <c r="P28" s="31"/>
    </row>
    <row r="29" spans="1:16" x14ac:dyDescent="0.4">
      <c r="A29" s="3"/>
      <c r="B29" s="3"/>
      <c r="C29" s="9"/>
      <c r="D29" s="9"/>
      <c r="E29" s="3"/>
      <c r="F29" s="301"/>
      <c r="G29" s="9"/>
      <c r="H29" s="51"/>
      <c r="I29" s="51"/>
      <c r="J29" s="52"/>
      <c r="K29" s="52"/>
      <c r="L29" s="53"/>
      <c r="M29" s="51"/>
      <c r="N29" s="53"/>
      <c r="O29" s="54"/>
      <c r="P29" s="31"/>
    </row>
    <row r="30" spans="1:16" x14ac:dyDescent="0.4">
      <c r="A30" s="3"/>
      <c r="B30" s="3"/>
      <c r="C30" s="9"/>
      <c r="D30" s="9"/>
      <c r="E30" s="3"/>
      <c r="F30" s="301"/>
      <c r="G30" s="9"/>
      <c r="H30" s="51"/>
      <c r="I30" s="51"/>
      <c r="J30" s="52"/>
      <c r="K30" s="52"/>
      <c r="L30" s="53"/>
      <c r="M30" s="51"/>
      <c r="N30" s="53"/>
      <c r="O30" s="54"/>
      <c r="P30" s="31"/>
    </row>
    <row r="31" spans="1:16" x14ac:dyDescent="0.4">
      <c r="A31" s="3"/>
      <c r="B31" s="3"/>
      <c r="C31" s="9"/>
      <c r="D31" s="9"/>
      <c r="E31" s="3"/>
      <c r="F31" s="301"/>
      <c r="G31" s="9"/>
      <c r="H31" s="51"/>
      <c r="I31" s="51"/>
      <c r="J31" s="52"/>
      <c r="K31" s="52"/>
      <c r="L31" s="53"/>
      <c r="M31" s="51"/>
      <c r="N31" s="53"/>
      <c r="O31" s="54"/>
      <c r="P31" s="31"/>
    </row>
    <row r="32" spans="1:16" x14ac:dyDescent="0.4">
      <c r="A32" s="3"/>
      <c r="B32" s="3"/>
      <c r="C32" s="9"/>
      <c r="D32" s="9"/>
      <c r="E32" s="3"/>
      <c r="F32" s="301"/>
      <c r="G32" s="9"/>
      <c r="H32" s="51"/>
      <c r="I32" s="51"/>
      <c r="J32" s="52"/>
      <c r="K32" s="52"/>
      <c r="L32" s="53"/>
      <c r="M32" s="51"/>
      <c r="N32" s="53"/>
      <c r="O32" s="54"/>
      <c r="P32" s="31"/>
    </row>
    <row r="33" spans="1:16" x14ac:dyDescent="0.4">
      <c r="A33" s="3"/>
      <c r="B33" s="3"/>
      <c r="C33" s="9"/>
      <c r="D33" s="9"/>
      <c r="E33" s="3"/>
      <c r="F33" s="301"/>
      <c r="G33" s="9"/>
      <c r="H33" s="51"/>
      <c r="I33" s="51"/>
      <c r="J33" s="52"/>
      <c r="K33" s="52"/>
      <c r="L33" s="53"/>
      <c r="M33" s="51"/>
      <c r="N33" s="53"/>
      <c r="O33" s="54"/>
      <c r="P33" s="31"/>
    </row>
    <row r="34" spans="1:16" x14ac:dyDescent="0.4">
      <c r="A34" s="3"/>
      <c r="B34" s="3"/>
      <c r="C34" s="9"/>
      <c r="D34" s="9"/>
      <c r="E34" s="3"/>
      <c r="F34" s="301"/>
      <c r="G34" s="9"/>
      <c r="H34" s="51"/>
      <c r="I34" s="51"/>
      <c r="J34" s="52"/>
      <c r="K34" s="52"/>
      <c r="L34" s="53"/>
      <c r="M34" s="51"/>
      <c r="N34" s="53"/>
      <c r="O34" s="54"/>
      <c r="P34" s="31"/>
    </row>
    <row r="35" spans="1:16" x14ac:dyDescent="0.4">
      <c r="A35" s="3"/>
      <c r="B35" s="3"/>
      <c r="C35" s="9"/>
      <c r="D35" s="9"/>
      <c r="E35" s="3"/>
      <c r="F35" s="301"/>
      <c r="G35" s="9"/>
      <c r="H35" s="51"/>
      <c r="I35" s="51"/>
      <c r="J35" s="52"/>
      <c r="K35" s="52"/>
      <c r="L35" s="53"/>
      <c r="M35" s="51"/>
      <c r="N35" s="53"/>
      <c r="O35" s="54"/>
      <c r="P35" s="31"/>
    </row>
    <row r="36" spans="1:16" x14ac:dyDescent="0.4">
      <c r="A36" s="3"/>
      <c r="B36" s="3"/>
      <c r="C36" s="9"/>
      <c r="D36" s="9"/>
      <c r="E36" s="3"/>
      <c r="F36" s="301"/>
      <c r="G36" s="9"/>
      <c r="H36" s="51"/>
      <c r="I36" s="51"/>
      <c r="J36" s="52"/>
      <c r="K36" s="52"/>
      <c r="L36" s="53"/>
      <c r="M36" s="51"/>
      <c r="N36" s="53"/>
      <c r="O36" s="54"/>
      <c r="P36" s="31"/>
    </row>
    <row r="37" spans="1:16" x14ac:dyDescent="0.4">
      <c r="A37" s="3"/>
      <c r="B37" s="3"/>
      <c r="C37" s="9"/>
      <c r="D37" s="9"/>
      <c r="E37" s="3"/>
      <c r="F37" s="301"/>
      <c r="G37" s="9"/>
      <c r="H37" s="51"/>
      <c r="I37" s="51"/>
      <c r="J37" s="52"/>
      <c r="K37" s="52"/>
      <c r="L37" s="53"/>
      <c r="M37" s="51"/>
      <c r="N37" s="53"/>
      <c r="O37" s="54"/>
      <c r="P37" s="31"/>
    </row>
    <row r="38" spans="1:16" x14ac:dyDescent="0.4">
      <c r="A38" s="3"/>
      <c r="B38" s="3"/>
      <c r="C38" s="9"/>
      <c r="D38" s="9"/>
      <c r="E38" s="3"/>
      <c r="F38" s="301"/>
      <c r="G38" s="9"/>
      <c r="H38" s="51"/>
      <c r="I38" s="51"/>
      <c r="J38" s="52"/>
      <c r="K38" s="52"/>
      <c r="L38" s="53"/>
      <c r="M38" s="51"/>
      <c r="N38" s="53"/>
      <c r="O38" s="54"/>
      <c r="P38" s="31"/>
    </row>
    <row r="39" spans="1:16" x14ac:dyDescent="0.4">
      <c r="A39" s="3"/>
      <c r="B39" s="3"/>
      <c r="C39" s="9"/>
      <c r="D39" s="9"/>
      <c r="E39" s="3"/>
      <c r="F39" s="301"/>
      <c r="G39" s="9"/>
      <c r="H39" s="51"/>
      <c r="I39" s="51"/>
      <c r="J39" s="52"/>
      <c r="K39" s="52"/>
      <c r="L39" s="53"/>
      <c r="M39" s="51"/>
      <c r="N39" s="53"/>
      <c r="O39" s="54"/>
      <c r="P39" s="31"/>
    </row>
    <row r="40" spans="1:16" x14ac:dyDescent="0.4">
      <c r="A40" s="3"/>
      <c r="B40" s="3"/>
      <c r="C40" s="9"/>
      <c r="D40" s="9"/>
      <c r="E40" s="3"/>
      <c r="F40" s="301"/>
      <c r="G40" s="9"/>
      <c r="H40" s="51"/>
      <c r="I40" s="51"/>
      <c r="J40" s="52"/>
      <c r="K40" s="52"/>
      <c r="L40" s="53"/>
      <c r="M40" s="51"/>
      <c r="N40" s="53"/>
      <c r="O40" s="54"/>
      <c r="P40" s="31"/>
    </row>
    <row r="41" spans="1:16" x14ac:dyDescent="0.4">
      <c r="A41" s="3"/>
      <c r="B41" s="3"/>
      <c r="C41" s="9"/>
      <c r="D41" s="9"/>
      <c r="E41" s="3"/>
      <c r="F41" s="301"/>
      <c r="G41" s="9"/>
      <c r="H41" s="51"/>
      <c r="I41" s="51"/>
      <c r="J41" s="52"/>
      <c r="K41" s="52"/>
      <c r="L41" s="53"/>
      <c r="M41" s="51"/>
      <c r="N41" s="53"/>
      <c r="O41" s="54"/>
      <c r="P41" s="31"/>
    </row>
    <row r="42" spans="1:16" x14ac:dyDescent="0.4">
      <c r="A42" s="3"/>
      <c r="B42" s="3"/>
      <c r="C42" s="9"/>
      <c r="D42" s="9"/>
      <c r="E42" s="3"/>
      <c r="F42" s="301"/>
      <c r="G42" s="9"/>
      <c r="H42" s="51"/>
      <c r="I42" s="51"/>
      <c r="J42" s="52"/>
      <c r="K42" s="52"/>
      <c r="L42" s="53"/>
      <c r="M42" s="51"/>
      <c r="N42" s="53"/>
      <c r="O42" s="54"/>
      <c r="P42" s="31"/>
    </row>
    <row r="43" spans="1:16" x14ac:dyDescent="0.4">
      <c r="A43" s="3"/>
      <c r="B43" s="3"/>
      <c r="C43" s="9"/>
      <c r="D43" s="9"/>
      <c r="E43" s="3"/>
      <c r="F43" s="301"/>
      <c r="G43" s="9"/>
      <c r="H43" s="51"/>
      <c r="I43" s="51"/>
      <c r="J43" s="52"/>
      <c r="K43" s="52"/>
      <c r="L43" s="53"/>
      <c r="M43" s="51"/>
      <c r="N43" s="53"/>
      <c r="O43" s="54"/>
      <c r="P43" s="31"/>
    </row>
    <row r="44" spans="1:16" x14ac:dyDescent="0.4">
      <c r="A44" s="3"/>
      <c r="B44" s="3"/>
      <c r="C44" s="9"/>
      <c r="D44" s="9"/>
      <c r="E44" s="3"/>
      <c r="F44" s="301"/>
      <c r="G44" s="9"/>
      <c r="H44" s="51"/>
      <c r="I44" s="51"/>
      <c r="J44" s="52"/>
      <c r="K44" s="52"/>
      <c r="L44" s="53"/>
      <c r="M44" s="51"/>
      <c r="N44" s="53"/>
      <c r="O44" s="54"/>
      <c r="P44" s="31"/>
    </row>
    <row r="45" spans="1:16" x14ac:dyDescent="0.4">
      <c r="A45" s="3"/>
      <c r="B45" s="3"/>
      <c r="C45" s="9"/>
      <c r="D45" s="9"/>
      <c r="E45" s="3"/>
      <c r="F45" s="301"/>
      <c r="G45" s="9"/>
      <c r="H45" s="51"/>
      <c r="I45" s="51"/>
      <c r="J45" s="52"/>
      <c r="K45" s="52"/>
      <c r="L45" s="53"/>
      <c r="M45" s="51"/>
      <c r="N45" s="53"/>
      <c r="O45" s="54"/>
      <c r="P45" s="31"/>
    </row>
    <row r="46" spans="1:16" x14ac:dyDescent="0.4">
      <c r="A46" s="3"/>
      <c r="B46" s="3"/>
      <c r="C46" s="9"/>
      <c r="D46" s="9"/>
      <c r="E46" s="3"/>
      <c r="F46" s="301"/>
      <c r="G46" s="9"/>
      <c r="H46" s="51"/>
      <c r="I46" s="51"/>
      <c r="J46" s="52"/>
      <c r="K46" s="52"/>
      <c r="L46" s="53"/>
      <c r="M46" s="51"/>
      <c r="N46" s="53"/>
      <c r="O46" s="54"/>
      <c r="P46" s="31"/>
    </row>
    <row r="47" spans="1:16" x14ac:dyDescent="0.4">
      <c r="A47" s="3"/>
      <c r="B47" s="3"/>
      <c r="C47" s="9"/>
      <c r="D47" s="9"/>
      <c r="E47" s="3"/>
      <c r="F47" s="301"/>
      <c r="G47" s="9"/>
      <c r="H47" s="51"/>
      <c r="I47" s="51"/>
      <c r="J47" s="52"/>
      <c r="K47" s="52"/>
      <c r="L47" s="53"/>
      <c r="M47" s="51"/>
      <c r="N47" s="53"/>
      <c r="O47" s="54"/>
      <c r="P47" s="31"/>
    </row>
    <row r="48" spans="1:16" x14ac:dyDescent="0.4">
      <c r="A48" s="3"/>
      <c r="B48" s="3"/>
      <c r="C48" s="9"/>
      <c r="D48" s="9"/>
      <c r="E48" s="3"/>
      <c r="F48" s="301"/>
      <c r="G48" s="9"/>
      <c r="H48" s="51"/>
      <c r="I48" s="51"/>
      <c r="J48" s="52"/>
      <c r="K48" s="52"/>
      <c r="L48" s="53"/>
      <c r="M48" s="51"/>
      <c r="N48" s="53"/>
      <c r="O48" s="54"/>
      <c r="P48" s="31"/>
    </row>
    <row r="49" spans="1:16" x14ac:dyDescent="0.4">
      <c r="A49" s="3"/>
      <c r="B49" s="3"/>
      <c r="C49" s="9"/>
      <c r="D49" s="9"/>
      <c r="E49" s="3"/>
      <c r="F49" s="301"/>
      <c r="G49" s="9"/>
      <c r="H49" s="51"/>
      <c r="I49" s="51"/>
      <c r="J49" s="52"/>
      <c r="K49" s="52"/>
      <c r="L49" s="53"/>
      <c r="M49" s="51"/>
      <c r="N49" s="53"/>
      <c r="O49" s="54"/>
      <c r="P49" s="31"/>
    </row>
    <row r="50" spans="1:16" x14ac:dyDescent="0.4">
      <c r="A50" s="3"/>
      <c r="B50" s="3"/>
      <c r="C50" s="9"/>
      <c r="D50" s="9"/>
      <c r="E50" s="3"/>
      <c r="F50" s="301"/>
      <c r="G50" s="9"/>
      <c r="H50" s="51"/>
      <c r="I50" s="51"/>
      <c r="J50" s="52"/>
      <c r="K50" s="52"/>
      <c r="L50" s="53"/>
      <c r="M50" s="51"/>
      <c r="N50" s="53"/>
      <c r="O50" s="54"/>
      <c r="P50" s="31"/>
    </row>
    <row r="51" spans="1:16" x14ac:dyDescent="0.4">
      <c r="A51" s="3"/>
      <c r="B51" s="3"/>
      <c r="C51" s="9"/>
      <c r="D51" s="9"/>
      <c r="E51" s="3"/>
      <c r="F51" s="301"/>
      <c r="G51" s="9"/>
      <c r="H51" s="51"/>
      <c r="I51" s="51"/>
      <c r="J51" s="52"/>
      <c r="K51" s="52"/>
      <c r="L51" s="53"/>
      <c r="M51" s="51"/>
      <c r="N51" s="53"/>
      <c r="O51" s="54"/>
      <c r="P51" s="31"/>
    </row>
    <row r="52" spans="1:16" x14ac:dyDescent="0.4">
      <c r="A52" s="3"/>
      <c r="B52" s="3"/>
      <c r="C52" s="9"/>
      <c r="D52" s="9"/>
      <c r="E52" s="3"/>
      <c r="F52" s="301"/>
      <c r="G52" s="9"/>
      <c r="H52" s="51"/>
      <c r="I52" s="51"/>
      <c r="J52" s="52"/>
      <c r="K52" s="52"/>
      <c r="L52" s="53"/>
      <c r="M52" s="51"/>
      <c r="N52" s="53"/>
      <c r="O52" s="54"/>
      <c r="P52" s="31"/>
    </row>
    <row r="53" spans="1:16" x14ac:dyDescent="0.4">
      <c r="A53" s="3"/>
      <c r="B53" s="3"/>
      <c r="C53" s="9"/>
      <c r="D53" s="9"/>
      <c r="E53" s="3"/>
      <c r="F53" s="301"/>
      <c r="G53" s="9"/>
      <c r="H53" s="51"/>
      <c r="I53" s="51"/>
      <c r="J53" s="52"/>
      <c r="K53" s="52"/>
      <c r="L53" s="53"/>
      <c r="M53" s="51"/>
      <c r="N53" s="53"/>
      <c r="O53" s="54"/>
      <c r="P53" s="31"/>
    </row>
    <row r="54" spans="1:16" x14ac:dyDescent="0.4">
      <c r="A54" s="3"/>
      <c r="B54" s="3"/>
      <c r="C54" s="9"/>
      <c r="D54" s="9"/>
      <c r="E54" s="3"/>
      <c r="F54" s="301"/>
      <c r="G54" s="9"/>
      <c r="H54" s="51"/>
      <c r="I54" s="51"/>
      <c r="J54" s="52"/>
      <c r="K54" s="52"/>
      <c r="L54" s="53"/>
      <c r="M54" s="51"/>
      <c r="N54" s="53"/>
      <c r="O54" s="54"/>
      <c r="P54" s="31"/>
    </row>
    <row r="55" spans="1:16" x14ac:dyDescent="0.4">
      <c r="A55" s="3"/>
      <c r="B55" s="3"/>
      <c r="C55" s="9"/>
      <c r="D55" s="9"/>
      <c r="E55" s="3"/>
      <c r="F55" s="300"/>
      <c r="G55" s="9"/>
      <c r="H55" s="51"/>
      <c r="I55" s="51"/>
      <c r="J55" s="52"/>
      <c r="K55" s="52"/>
      <c r="L55" s="53"/>
      <c r="M55" s="51"/>
      <c r="N55" s="53"/>
      <c r="O55" s="54"/>
      <c r="P55" s="31"/>
    </row>
    <row r="56" spans="1:16" x14ac:dyDescent="0.4">
      <c r="A56" s="3"/>
      <c r="B56" s="3"/>
      <c r="C56" s="511"/>
      <c r="D56" s="511"/>
      <c r="E56" s="511"/>
      <c r="F56" s="300"/>
      <c r="G56" s="9"/>
      <c r="H56" s="52"/>
      <c r="I56" s="52"/>
      <c r="J56" s="52"/>
      <c r="K56" s="59"/>
      <c r="L56" s="60"/>
      <c r="M56" s="52"/>
      <c r="N56" s="60"/>
      <c r="O56" s="61"/>
      <c r="P56" s="62"/>
    </row>
    <row r="57" spans="1:16" x14ac:dyDescent="0.4">
      <c r="F57" s="303"/>
      <c r="H57" s="65"/>
      <c r="I57" s="65"/>
      <c r="L57" s="67"/>
      <c r="M57" s="65"/>
      <c r="N57" s="67"/>
    </row>
    <row r="58" spans="1:16" x14ac:dyDescent="0.4">
      <c r="F58" s="303"/>
      <c r="H58" s="65"/>
      <c r="I58" s="65"/>
      <c r="L58" s="67"/>
      <c r="M58" s="65"/>
      <c r="N58" s="67"/>
    </row>
    <row r="59" spans="1:16" x14ac:dyDescent="0.4">
      <c r="F59" s="303"/>
      <c r="H59" s="65"/>
      <c r="I59" s="65"/>
      <c r="L59" s="67"/>
      <c r="M59" s="65"/>
      <c r="N59" s="67"/>
    </row>
    <row r="60" spans="1:16" x14ac:dyDescent="0.4">
      <c r="F60" s="303"/>
      <c r="H60" s="65"/>
      <c r="I60" s="65"/>
      <c r="L60" s="67"/>
      <c r="M60" s="65"/>
      <c r="N60" s="67"/>
    </row>
    <row r="61" spans="1:16" x14ac:dyDescent="0.4">
      <c r="F61" s="303"/>
      <c r="H61" s="65"/>
      <c r="I61" s="65"/>
      <c r="L61" s="67"/>
      <c r="M61" s="65"/>
      <c r="N61" s="67"/>
    </row>
    <row r="62" spans="1:16" x14ac:dyDescent="0.4">
      <c r="F62" s="303"/>
      <c r="H62" s="65"/>
      <c r="I62" s="65"/>
      <c r="L62" s="67"/>
      <c r="M62" s="65"/>
      <c r="N62" s="67"/>
    </row>
  </sheetData>
  <protectedRanges>
    <protectedRange sqref="D14:G14 L14:P14" name="범위1_1_1"/>
    <protectedRange sqref="K14" name="범위1_1_3"/>
    <protectedRange sqref="H14:I14" name="범위1_1"/>
  </protectedRanges>
  <autoFilter ref="A12:P13" xr:uid="{00000000-0009-0000-0000-000003000000}">
    <filterColumn colId="5" showButton="0"/>
    <filterColumn colId="7" showButton="0"/>
    <filterColumn colId="8" showButton="0"/>
    <filterColumn colId="9" showButton="0"/>
  </autoFilter>
  <mergeCells count="15">
    <mergeCell ref="A15:E15"/>
    <mergeCell ref="C56:E56"/>
    <mergeCell ref="A6:P6"/>
    <mergeCell ref="A12:A13"/>
    <mergeCell ref="B12:B13"/>
    <mergeCell ref="C12:C13"/>
    <mergeCell ref="D12:D13"/>
    <mergeCell ref="E12:E13"/>
    <mergeCell ref="F12:G12"/>
    <mergeCell ref="H12:K12"/>
    <mergeCell ref="L12:L13"/>
    <mergeCell ref="M12:M13"/>
    <mergeCell ref="N12:N13"/>
    <mergeCell ref="O12:O13"/>
    <mergeCell ref="P12:P13"/>
  </mergeCells>
  <phoneticPr fontId="5" type="noConversion"/>
  <pageMargins left="0.51181102362204722" right="0.31496062992125984" top="0.74803149606299213" bottom="0.74803149606299213" header="0.31496062992125984" footer="0.31496062992125984"/>
  <pageSetup paperSize="9" scale="45" orientation="landscape" r:id="rId1"/>
  <headerFooter>
    <oddFooter xml:space="preserve">&amp;R_x000D_&amp;1#&amp;"Aptos"&amp;8&amp;K000000 중요비(Confidential): sanghwan.bae@doosan.com 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V65"/>
  <sheetViews>
    <sheetView showGridLines="0" tabSelected="1" zoomScale="80" zoomScaleNormal="80" workbookViewId="0">
      <selection activeCell="B9" sqref="B9"/>
    </sheetView>
  </sheetViews>
  <sheetFormatPr defaultColWidth="10" defaultRowHeight="13.8" x14ac:dyDescent="0.4"/>
  <cols>
    <col min="1" max="1" width="16.69921875" style="63" customWidth="1"/>
    <col min="2" max="2" width="27.3984375" style="63" customWidth="1"/>
    <col min="3" max="3" width="51.69921875" style="63" customWidth="1"/>
    <col min="4" max="4" width="15.69921875" style="20" customWidth="1"/>
    <col min="5" max="5" width="11.69921875" style="304" customWidth="1"/>
    <col min="6" max="6" width="10.09765625" style="64" customWidth="1"/>
    <col min="7" max="7" width="11.5" style="66" customWidth="1"/>
    <col min="8" max="9" width="11.5" style="66" bestFit="1" customWidth="1"/>
    <col min="10" max="10" width="11.69921875" style="66" customWidth="1"/>
    <col min="11" max="12" width="18.59765625" style="66" customWidth="1"/>
    <col min="13" max="13" width="30.19921875" style="109" customWidth="1"/>
    <col min="14" max="14" width="17.69921875" style="66" customWidth="1"/>
    <col min="15" max="15" width="18.59765625" style="70" customWidth="1"/>
    <col min="16" max="16" width="18.59765625" style="68" customWidth="1"/>
    <col min="17" max="17" width="21.09765625" style="69" customWidth="1"/>
    <col min="18" max="18" width="10" style="20"/>
    <col min="19" max="19" width="20" style="20" bestFit="1" customWidth="1"/>
    <col min="20" max="20" width="28" style="20" customWidth="1"/>
    <col min="21" max="22" width="10" style="21"/>
    <col min="23" max="16384" width="10" style="22"/>
  </cols>
  <sheetData>
    <row r="1" spans="1:22" s="12" customFormat="1" ht="12" x14ac:dyDescent="0.4">
      <c r="A1" s="3"/>
      <c r="B1" s="3"/>
      <c r="C1" s="3"/>
      <c r="D1" s="8"/>
      <c r="E1" s="291"/>
      <c r="F1" s="9"/>
      <c r="G1" s="10"/>
      <c r="H1" s="11"/>
      <c r="I1" s="11"/>
      <c r="J1" s="11"/>
      <c r="K1" s="110"/>
      <c r="L1" s="11"/>
      <c r="M1" s="52"/>
      <c r="N1" s="11"/>
      <c r="O1" s="3"/>
      <c r="P1" s="13" t="s">
        <v>154</v>
      </c>
      <c r="Q1" s="14"/>
      <c r="R1" s="8"/>
      <c r="S1" s="3"/>
      <c r="T1" s="8"/>
      <c r="U1" s="71"/>
      <c r="V1" s="71"/>
    </row>
    <row r="2" spans="1:22" s="12" customFormat="1" ht="14.4" x14ac:dyDescent="0.4">
      <c r="A2" s="3"/>
      <c r="B2" s="3"/>
      <c r="C2" s="3"/>
      <c r="D2" s="8"/>
      <c r="E2" s="291"/>
      <c r="F2" s="9"/>
      <c r="G2" s="10"/>
      <c r="H2" s="11"/>
      <c r="I2" s="11"/>
      <c r="J2" s="11"/>
      <c r="K2" s="110"/>
      <c r="L2" s="11"/>
      <c r="M2" s="52"/>
      <c r="N2" s="11"/>
      <c r="O2" s="3"/>
      <c r="P2" s="13" t="s">
        <v>1</v>
      </c>
      <c r="Q2" s="14"/>
      <c r="R2" s="72" t="s">
        <v>111</v>
      </c>
      <c r="S2" s="73" t="s">
        <v>112</v>
      </c>
      <c r="T2" s="74" t="s">
        <v>113</v>
      </c>
      <c r="U2" s="71"/>
      <c r="V2" s="71"/>
    </row>
    <row r="3" spans="1:22" s="12" customFormat="1" ht="14.4" x14ac:dyDescent="0.4">
      <c r="A3" s="3"/>
      <c r="B3" s="3"/>
      <c r="C3" s="3"/>
      <c r="D3" s="8"/>
      <c r="E3" s="291"/>
      <c r="F3" s="9"/>
      <c r="G3" s="10"/>
      <c r="H3" s="11"/>
      <c r="I3" s="11"/>
      <c r="J3" s="11"/>
      <c r="K3" s="110"/>
      <c r="L3" s="11"/>
      <c r="M3" s="52"/>
      <c r="N3" s="11"/>
      <c r="O3" s="3"/>
      <c r="P3" s="13" t="s">
        <v>2</v>
      </c>
      <c r="Q3" s="14"/>
      <c r="R3" s="75"/>
      <c r="S3" s="73" t="s">
        <v>114</v>
      </c>
      <c r="T3" s="74" t="s">
        <v>115</v>
      </c>
      <c r="U3" s="71"/>
      <c r="V3" s="71"/>
    </row>
    <row r="4" spans="1:22" s="12" customFormat="1" ht="14.4" x14ac:dyDescent="0.4">
      <c r="A4" s="3"/>
      <c r="B4" s="3"/>
      <c r="C4" s="3"/>
      <c r="D4" s="8"/>
      <c r="E4" s="291"/>
      <c r="F4" s="9"/>
      <c r="G4" s="10"/>
      <c r="H4" s="11"/>
      <c r="I4" s="11"/>
      <c r="J4" s="11"/>
      <c r="K4" s="110"/>
      <c r="L4" s="11"/>
      <c r="M4" s="52"/>
      <c r="N4" s="11"/>
      <c r="O4" s="3"/>
      <c r="P4" s="13" t="s">
        <v>3</v>
      </c>
      <c r="Q4" s="14"/>
      <c r="R4" s="75"/>
      <c r="S4" s="73" t="s">
        <v>116</v>
      </c>
      <c r="T4" s="74" t="s">
        <v>117</v>
      </c>
      <c r="U4" s="71"/>
      <c r="V4" s="71"/>
    </row>
    <row r="5" spans="1:22" s="12" customFormat="1" ht="14.4" x14ac:dyDescent="0.4">
      <c r="A5" s="3"/>
      <c r="B5" s="3"/>
      <c r="C5" s="3"/>
      <c r="D5" s="8"/>
      <c r="E5" s="291"/>
      <c r="F5" s="9"/>
      <c r="G5" s="10"/>
      <c r="H5" s="11"/>
      <c r="I5" s="11"/>
      <c r="J5" s="11"/>
      <c r="K5" s="110"/>
      <c r="L5" s="11"/>
      <c r="M5" s="52"/>
      <c r="N5" s="11"/>
      <c r="O5" s="3"/>
      <c r="P5" s="13" t="s">
        <v>4</v>
      </c>
      <c r="Q5" s="14"/>
      <c r="R5" s="75"/>
      <c r="S5" s="73" t="s">
        <v>118</v>
      </c>
      <c r="T5" s="74" t="s">
        <v>119</v>
      </c>
      <c r="U5" s="71"/>
      <c r="V5" s="71"/>
    </row>
    <row r="6" spans="1:22" ht="47.7" customHeight="1" x14ac:dyDescent="0.4">
      <c r="A6" s="457" t="s">
        <v>155</v>
      </c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5"/>
      <c r="Q6" s="445"/>
    </row>
    <row r="7" spans="1:22" ht="21" customHeight="1" x14ac:dyDescent="0.4">
      <c r="A7" s="23" t="s">
        <v>121</v>
      </c>
      <c r="B7" s="23" t="s">
        <v>122</v>
      </c>
      <c r="C7" s="24"/>
      <c r="D7" s="24"/>
      <c r="E7" s="292"/>
      <c r="F7" s="24"/>
      <c r="G7" s="18"/>
      <c r="H7" s="18"/>
      <c r="I7" s="18"/>
      <c r="J7" s="111"/>
      <c r="K7" s="111"/>
      <c r="L7" s="111"/>
      <c r="M7" s="18"/>
      <c r="N7" s="18"/>
      <c r="O7" s="18"/>
      <c r="P7" s="18"/>
      <c r="Q7" s="20"/>
      <c r="S7" s="21"/>
      <c r="T7" s="21"/>
      <c r="U7" s="22"/>
      <c r="V7" s="22"/>
    </row>
    <row r="8" spans="1:22" ht="21" customHeight="1" x14ac:dyDescent="0.4">
      <c r="A8" s="23"/>
      <c r="B8" s="23" t="s">
        <v>123</v>
      </c>
      <c r="C8" s="24"/>
      <c r="D8" s="24"/>
      <c r="E8" s="292"/>
      <c r="F8" s="24"/>
      <c r="G8" s="18"/>
      <c r="H8" s="18"/>
      <c r="I8" s="18"/>
      <c r="J8" s="111"/>
      <c r="K8" s="111"/>
      <c r="L8" s="111"/>
      <c r="M8" s="18"/>
      <c r="N8" s="18"/>
      <c r="O8" s="18"/>
      <c r="P8" s="18"/>
      <c r="Q8" s="20"/>
      <c r="S8" s="21"/>
      <c r="T8" s="21"/>
      <c r="U8" s="22"/>
      <c r="V8" s="22"/>
    </row>
    <row r="9" spans="1:22" s="5" customFormat="1" ht="21" customHeight="1" thickBot="1" x14ac:dyDescent="0.45">
      <c r="A9" s="23" t="s">
        <v>124</v>
      </c>
      <c r="B9" s="23" t="str">
        <f>CI!V8</f>
        <v>PGU-DE-0560</v>
      </c>
      <c r="C9" s="23"/>
      <c r="D9" s="26"/>
      <c r="E9" s="293"/>
      <c r="F9" s="76"/>
      <c r="G9" s="7"/>
      <c r="H9" s="28"/>
      <c r="I9" s="28"/>
      <c r="J9" s="28"/>
      <c r="K9" s="29"/>
      <c r="L9" s="28"/>
      <c r="M9" s="29"/>
      <c r="N9" s="30"/>
      <c r="O9" s="31"/>
      <c r="P9" s="31"/>
      <c r="Q9" s="75"/>
      <c r="R9" s="75"/>
      <c r="S9" s="77"/>
      <c r="T9" s="77"/>
    </row>
    <row r="10" spans="1:22" s="5" customFormat="1" ht="21" customHeight="1" x14ac:dyDescent="0.4">
      <c r="A10" s="78" t="s">
        <v>125</v>
      </c>
      <c r="B10" s="32" t="s">
        <v>126</v>
      </c>
      <c r="C10" s="32"/>
      <c r="D10" s="79"/>
      <c r="E10" s="294"/>
      <c r="F10" s="80"/>
      <c r="G10" s="7"/>
      <c r="H10" s="28"/>
      <c r="I10" s="28"/>
      <c r="J10" s="28"/>
      <c r="K10" s="29"/>
      <c r="L10" s="28"/>
      <c r="M10" s="29"/>
      <c r="N10" s="30"/>
      <c r="O10" s="31"/>
      <c r="P10" s="31"/>
      <c r="Q10" s="75"/>
      <c r="R10" s="75"/>
      <c r="S10" s="77"/>
      <c r="T10" s="77"/>
    </row>
    <row r="11" spans="1:22" s="5" customFormat="1" ht="21" customHeight="1" thickBot="1" x14ac:dyDescent="0.45">
      <c r="A11" s="81" t="s">
        <v>127</v>
      </c>
      <c r="B11" s="33" t="s">
        <v>156</v>
      </c>
      <c r="C11" s="33"/>
      <c r="D11" s="82"/>
      <c r="E11" s="295"/>
      <c r="F11" s="83"/>
      <c r="G11" s="7"/>
      <c r="H11" s="28"/>
      <c r="I11" s="28"/>
      <c r="J11" s="28"/>
      <c r="K11" s="29"/>
      <c r="L11" s="28"/>
      <c r="M11" s="29"/>
      <c r="N11" s="30"/>
      <c r="O11" s="31"/>
      <c r="P11" s="31"/>
      <c r="Q11" s="75"/>
      <c r="R11" s="75"/>
      <c r="S11" s="77"/>
      <c r="T11" s="77"/>
    </row>
    <row r="12" spans="1:22" s="34" customFormat="1" ht="23.7" customHeight="1" x14ac:dyDescent="0.4">
      <c r="A12" s="525" t="s">
        <v>129</v>
      </c>
      <c r="B12" s="527" t="s">
        <v>157</v>
      </c>
      <c r="C12" s="527" t="s">
        <v>132</v>
      </c>
      <c r="D12" s="527" t="s">
        <v>158</v>
      </c>
      <c r="E12" s="529" t="s">
        <v>134</v>
      </c>
      <c r="F12" s="529"/>
      <c r="G12" s="530" t="s">
        <v>135</v>
      </c>
      <c r="H12" s="530"/>
      <c r="I12" s="530"/>
      <c r="J12" s="530"/>
      <c r="K12" s="531" t="s">
        <v>136</v>
      </c>
      <c r="L12" s="531" t="s">
        <v>137</v>
      </c>
      <c r="M12" s="531" t="s">
        <v>159</v>
      </c>
      <c r="N12" s="531" t="s">
        <v>160</v>
      </c>
      <c r="O12" s="533" t="s">
        <v>161</v>
      </c>
      <c r="P12" s="535" t="s">
        <v>162</v>
      </c>
      <c r="Q12" s="537" t="s">
        <v>163</v>
      </c>
      <c r="R12" s="19"/>
      <c r="S12" s="35"/>
      <c r="T12" s="35"/>
      <c r="U12" s="35"/>
      <c r="V12" s="35"/>
    </row>
    <row r="13" spans="1:22" s="34" customFormat="1" ht="39" customHeight="1" x14ac:dyDescent="0.4">
      <c r="A13" s="526"/>
      <c r="B13" s="528"/>
      <c r="C13" s="528"/>
      <c r="D13" s="528"/>
      <c r="E13" s="296" t="s">
        <v>164</v>
      </c>
      <c r="F13" s="84" t="s">
        <v>165</v>
      </c>
      <c r="G13" s="85" t="s">
        <v>143</v>
      </c>
      <c r="H13" s="85" t="s">
        <v>144</v>
      </c>
      <c r="I13" s="85" t="s">
        <v>145</v>
      </c>
      <c r="J13" s="85" t="s">
        <v>146</v>
      </c>
      <c r="K13" s="532"/>
      <c r="L13" s="532"/>
      <c r="M13" s="532"/>
      <c r="N13" s="532"/>
      <c r="O13" s="534"/>
      <c r="P13" s="536"/>
      <c r="Q13" s="538"/>
      <c r="R13" s="19"/>
      <c r="S13" s="35"/>
      <c r="T13" s="35"/>
      <c r="U13" s="35"/>
      <c r="V13" s="35"/>
    </row>
    <row r="14" spans="1:22" s="44" customFormat="1" ht="25.2" customHeight="1" x14ac:dyDescent="0.4">
      <c r="A14" s="36">
        <v>1</v>
      </c>
      <c r="B14" s="86" t="str">
        <f>'Summary PL'!C14</f>
        <v>PGU-DE-0560-FFC-CAB-001</v>
      </c>
      <c r="C14" s="288" t="s">
        <v>166</v>
      </c>
      <c r="D14" s="290" t="s">
        <v>167</v>
      </c>
      <c r="E14" s="297">
        <v>1</v>
      </c>
      <c r="F14" s="37" t="s">
        <v>168</v>
      </c>
      <c r="G14" s="40"/>
      <c r="H14" s="40"/>
      <c r="I14" s="87"/>
      <c r="J14" s="112"/>
      <c r="K14" s="40">
        <v>670</v>
      </c>
      <c r="L14" s="40"/>
      <c r="M14" s="305" t="s">
        <v>169</v>
      </c>
      <c r="N14" s="305" t="s">
        <v>170</v>
      </c>
      <c r="O14" s="41"/>
      <c r="P14" s="39"/>
      <c r="Q14" s="88"/>
      <c r="R14" s="42"/>
      <c r="S14" s="27"/>
      <c r="T14" s="89"/>
      <c r="U14" s="27"/>
      <c r="V14" s="43"/>
    </row>
    <row r="15" spans="1:22" s="44" customFormat="1" ht="25.2" customHeight="1" x14ac:dyDescent="0.4">
      <c r="A15" s="36">
        <v>2</v>
      </c>
      <c r="B15" s="86" t="str">
        <f>B14</f>
        <v>PGU-DE-0560-FFC-CAB-001</v>
      </c>
      <c r="C15" s="288" t="s">
        <v>171</v>
      </c>
      <c r="D15" s="290" t="s">
        <v>167</v>
      </c>
      <c r="E15" s="297">
        <v>1</v>
      </c>
      <c r="F15" s="37" t="s">
        <v>168</v>
      </c>
      <c r="G15" s="40"/>
      <c r="H15" s="40"/>
      <c r="I15" s="87"/>
      <c r="J15" s="112"/>
      <c r="K15" s="40">
        <v>590</v>
      </c>
      <c r="L15" s="40"/>
      <c r="M15" s="305" t="s">
        <v>169</v>
      </c>
      <c r="N15" s="305" t="s">
        <v>170</v>
      </c>
      <c r="O15" s="41"/>
      <c r="P15" s="39"/>
      <c r="Q15" s="88"/>
      <c r="R15" s="42"/>
      <c r="S15" s="27"/>
      <c r="T15" s="89"/>
      <c r="U15" s="27"/>
      <c r="V15" s="43"/>
    </row>
    <row r="16" spans="1:22" s="100" customFormat="1" ht="25.2" customHeight="1" x14ac:dyDescent="0.4">
      <c r="A16" s="90"/>
      <c r="B16" s="91"/>
      <c r="C16" s="289"/>
      <c r="D16" s="101"/>
      <c r="E16" s="298"/>
      <c r="F16" s="93"/>
      <c r="G16" s="328">
        <v>135</v>
      </c>
      <c r="H16" s="328">
        <v>135</v>
      </c>
      <c r="I16" s="329">
        <v>190</v>
      </c>
      <c r="J16" s="94">
        <f>+G16*H16*I16/100^3</f>
        <v>3.4627500000000002</v>
      </c>
      <c r="K16" s="94">
        <f>K14+K15</f>
        <v>1260</v>
      </c>
      <c r="L16" s="94">
        <f>K16+150</f>
        <v>1410</v>
      </c>
      <c r="M16" s="306"/>
      <c r="N16" s="306"/>
      <c r="O16" s="95"/>
      <c r="P16" s="92"/>
      <c r="Q16" s="96"/>
      <c r="R16" s="42"/>
      <c r="S16" s="97"/>
      <c r="T16" s="98"/>
      <c r="U16" s="97"/>
      <c r="V16" s="99"/>
    </row>
    <row r="17" spans="1:22" s="49" customFormat="1" ht="28.2" customHeight="1" thickBot="1" x14ac:dyDescent="0.45">
      <c r="A17" s="539" t="s">
        <v>172</v>
      </c>
      <c r="B17" s="540"/>
      <c r="C17" s="540"/>
      <c r="D17" s="540"/>
      <c r="E17" s="299"/>
      <c r="F17" s="102"/>
      <c r="G17" s="103"/>
      <c r="H17" s="103"/>
      <c r="I17" s="103"/>
      <c r="J17" s="113">
        <f>SUM(J14:J16)</f>
        <v>3.4627500000000002</v>
      </c>
      <c r="K17" s="113">
        <f>K16</f>
        <v>1260</v>
      </c>
      <c r="L17" s="113">
        <f>L16</f>
        <v>1410</v>
      </c>
      <c r="M17" s="104"/>
      <c r="N17" s="104"/>
      <c r="O17" s="45"/>
      <c r="P17" s="103">
        <f>SUM(P14:P16)</f>
        <v>0</v>
      </c>
      <c r="Q17" s="46"/>
      <c r="R17" s="47"/>
      <c r="S17" s="47"/>
      <c r="T17" s="47"/>
      <c r="U17" s="48"/>
      <c r="V17" s="48"/>
    </row>
    <row r="18" spans="1:22" s="12" customFormat="1" ht="22.5" customHeight="1" x14ac:dyDescent="0.4">
      <c r="A18" s="3"/>
      <c r="B18" s="9"/>
      <c r="C18" s="9"/>
      <c r="D18" s="50"/>
      <c r="E18" s="300"/>
      <c r="F18" s="9"/>
      <c r="G18" s="51"/>
      <c r="H18" s="51"/>
      <c r="I18" s="52"/>
      <c r="J18" s="52"/>
      <c r="K18" s="51"/>
      <c r="L18" s="51"/>
      <c r="M18" s="51"/>
      <c r="N18" s="51"/>
      <c r="O18" s="53"/>
      <c r="P18" s="54"/>
      <c r="Q18" s="31"/>
      <c r="R18" s="105"/>
      <c r="S18" s="105"/>
      <c r="T18" s="105"/>
      <c r="U18" s="71"/>
      <c r="V18" s="71"/>
    </row>
    <row r="19" spans="1:22" s="12" customFormat="1" ht="12" customHeight="1" x14ac:dyDescent="0.4">
      <c r="A19" s="3"/>
      <c r="B19" s="9"/>
      <c r="C19" s="9"/>
      <c r="E19" s="300"/>
      <c r="F19" s="9"/>
      <c r="G19" s="51"/>
      <c r="H19" s="51"/>
      <c r="I19" s="52"/>
      <c r="J19" s="52"/>
      <c r="K19" s="51"/>
      <c r="L19" s="51"/>
      <c r="M19" s="51"/>
      <c r="N19" s="51"/>
      <c r="O19" s="53"/>
      <c r="P19" s="54"/>
      <c r="Q19" s="31"/>
      <c r="R19" s="8"/>
      <c r="S19" s="8"/>
      <c r="T19" s="8"/>
      <c r="U19" s="71"/>
      <c r="V19" s="71"/>
    </row>
    <row r="20" spans="1:22" s="12" customFormat="1" ht="22.5" customHeight="1" x14ac:dyDescent="0.4">
      <c r="A20" s="3"/>
      <c r="B20" s="9"/>
      <c r="C20" s="9"/>
      <c r="E20" s="300"/>
      <c r="F20" s="9"/>
      <c r="G20" s="51"/>
      <c r="H20" s="51"/>
      <c r="I20" s="52"/>
      <c r="J20" s="52"/>
      <c r="K20" s="51"/>
      <c r="L20" s="51"/>
      <c r="M20" s="51"/>
      <c r="N20" s="51"/>
      <c r="O20" s="53"/>
      <c r="P20" s="54"/>
      <c r="Q20" s="31"/>
      <c r="R20" s="8"/>
      <c r="S20" s="8"/>
      <c r="T20" s="8"/>
      <c r="U20" s="71"/>
      <c r="V20" s="71"/>
    </row>
    <row r="21" spans="1:22" s="12" customFormat="1" ht="12" customHeight="1" x14ac:dyDescent="0.4">
      <c r="A21" s="3"/>
      <c r="B21" s="9"/>
      <c r="C21" s="9"/>
      <c r="E21" s="300"/>
      <c r="F21" s="9"/>
      <c r="G21" s="51"/>
      <c r="H21" s="51"/>
      <c r="I21" s="52"/>
      <c r="J21" s="52"/>
      <c r="K21" s="51"/>
      <c r="L21" s="51"/>
      <c r="M21" s="51"/>
      <c r="N21" s="51"/>
      <c r="O21" s="53"/>
      <c r="P21" s="54"/>
      <c r="Q21" s="31"/>
      <c r="R21" s="8"/>
      <c r="S21" s="8"/>
      <c r="T21" s="8"/>
      <c r="U21" s="71"/>
      <c r="V21" s="71"/>
    </row>
    <row r="22" spans="1:22" s="12" customFormat="1" ht="12" customHeight="1" x14ac:dyDescent="0.4">
      <c r="A22" s="3"/>
      <c r="B22" s="9"/>
      <c r="C22" s="9"/>
      <c r="E22" s="301"/>
      <c r="F22" s="55"/>
      <c r="G22" s="51"/>
      <c r="H22" s="51"/>
      <c r="I22" s="52"/>
      <c r="J22" s="52"/>
      <c r="K22" s="51"/>
      <c r="L22" s="51"/>
      <c r="M22" s="51"/>
      <c r="N22" s="51"/>
      <c r="O22" s="53"/>
      <c r="P22" s="54"/>
      <c r="Q22" s="31"/>
      <c r="R22" s="8"/>
      <c r="S22" s="8"/>
      <c r="T22" s="8"/>
      <c r="U22" s="71"/>
      <c r="V22" s="71"/>
    </row>
    <row r="23" spans="1:22" s="12" customFormat="1" ht="12" customHeight="1" x14ac:dyDescent="0.4">
      <c r="A23" s="3"/>
      <c r="B23" s="9"/>
      <c r="C23" s="9"/>
      <c r="E23" s="301"/>
      <c r="F23" s="55"/>
      <c r="G23" s="51"/>
      <c r="H23" s="51"/>
      <c r="I23" s="52"/>
      <c r="J23" s="52"/>
      <c r="K23" s="51"/>
      <c r="L23" s="51"/>
      <c r="M23" s="51"/>
      <c r="N23" s="51"/>
      <c r="O23" s="53"/>
      <c r="P23" s="54"/>
      <c r="Q23" s="31"/>
      <c r="R23" s="8"/>
      <c r="S23" s="8"/>
      <c r="T23" s="8"/>
      <c r="U23" s="71"/>
      <c r="V23" s="71"/>
    </row>
    <row r="24" spans="1:22" s="12" customFormat="1" ht="12" customHeight="1" x14ac:dyDescent="0.4">
      <c r="A24" s="3"/>
      <c r="B24" s="9"/>
      <c r="C24" s="9"/>
      <c r="E24" s="301"/>
      <c r="F24" s="55"/>
      <c r="G24" s="51"/>
      <c r="H24" s="51"/>
      <c r="I24" s="52"/>
      <c r="J24" s="52"/>
      <c r="K24" s="51"/>
      <c r="L24" s="51"/>
      <c r="M24" s="51"/>
      <c r="N24" s="51"/>
      <c r="O24" s="53"/>
      <c r="P24" s="54"/>
      <c r="Q24" s="31"/>
      <c r="R24" s="8"/>
      <c r="S24" s="8"/>
      <c r="T24" s="8"/>
      <c r="U24" s="71"/>
      <c r="V24" s="71"/>
    </row>
    <row r="25" spans="1:22" s="14" customFormat="1" ht="29.25" customHeight="1" x14ac:dyDescent="0.4">
      <c r="A25" s="13"/>
      <c r="B25" s="13"/>
      <c r="C25" s="106"/>
      <c r="E25" s="302"/>
      <c r="F25" s="55"/>
      <c r="G25" s="56"/>
      <c r="H25" s="56"/>
      <c r="I25" s="57"/>
      <c r="J25" s="57"/>
      <c r="K25" s="56"/>
      <c r="L25" s="56"/>
      <c r="M25" s="51"/>
      <c r="N25" s="56"/>
      <c r="O25" s="58"/>
      <c r="P25" s="31"/>
      <c r="Q25" s="31"/>
      <c r="R25" s="8"/>
      <c r="S25" s="8"/>
      <c r="T25" s="8"/>
      <c r="U25" s="107"/>
      <c r="V25" s="107"/>
    </row>
    <row r="26" spans="1:22" s="14" customFormat="1" ht="29.25" customHeight="1" x14ac:dyDescent="0.4">
      <c r="A26" s="13"/>
      <c r="B26" s="13"/>
      <c r="C26" s="13"/>
      <c r="E26" s="302"/>
      <c r="F26" s="55"/>
      <c r="G26" s="56"/>
      <c r="H26" s="56"/>
      <c r="I26" s="57"/>
      <c r="J26" s="57"/>
      <c r="K26" s="56"/>
      <c r="L26" s="56"/>
      <c r="M26" s="51"/>
      <c r="N26" s="56"/>
      <c r="O26" s="58"/>
      <c r="P26" s="31"/>
      <c r="Q26" s="31"/>
      <c r="R26" s="8"/>
      <c r="S26" s="8"/>
      <c r="T26" s="8"/>
      <c r="U26" s="107"/>
      <c r="V26" s="107"/>
    </row>
    <row r="27" spans="1:22" s="12" customFormat="1" ht="12" customHeight="1" x14ac:dyDescent="0.4">
      <c r="A27" s="3"/>
      <c r="B27" s="9"/>
      <c r="C27" s="9"/>
      <c r="E27" s="301"/>
      <c r="F27" s="9"/>
      <c r="G27" s="51"/>
      <c r="H27" s="51"/>
      <c r="I27" s="52"/>
      <c r="J27" s="52"/>
      <c r="K27" s="51"/>
      <c r="L27" s="51"/>
      <c r="M27" s="51"/>
      <c r="N27" s="51"/>
      <c r="O27" s="53"/>
      <c r="P27" s="54"/>
      <c r="Q27" s="31"/>
      <c r="R27" s="8"/>
      <c r="S27" s="8"/>
      <c r="T27" s="8"/>
      <c r="U27" s="71"/>
      <c r="V27" s="71"/>
    </row>
    <row r="28" spans="1:22" s="12" customFormat="1" ht="18" customHeight="1" x14ac:dyDescent="0.4">
      <c r="A28" s="3"/>
      <c r="B28" s="9"/>
      <c r="C28" s="9"/>
      <c r="D28" s="3"/>
      <c r="E28" s="301"/>
      <c r="F28" s="9"/>
      <c r="G28" s="51"/>
      <c r="H28" s="51"/>
      <c r="I28" s="52"/>
      <c r="J28" s="52"/>
      <c r="K28" s="51"/>
      <c r="L28" s="51"/>
      <c r="M28" s="51"/>
      <c r="N28" s="51"/>
      <c r="O28" s="53"/>
      <c r="P28" s="54"/>
      <c r="Q28" s="31"/>
      <c r="R28" s="8"/>
      <c r="S28" s="8"/>
      <c r="T28" s="8"/>
      <c r="U28" s="71"/>
      <c r="V28" s="71"/>
    </row>
    <row r="29" spans="1:22" s="12" customFormat="1" ht="12" customHeight="1" x14ac:dyDescent="0.4">
      <c r="A29" s="3"/>
      <c r="B29" s="9"/>
      <c r="C29" s="9"/>
      <c r="D29" s="3"/>
      <c r="E29" s="301"/>
      <c r="F29" s="9"/>
      <c r="G29" s="51"/>
      <c r="H29" s="51"/>
      <c r="I29" s="52"/>
      <c r="J29" s="52"/>
      <c r="K29" s="51"/>
      <c r="L29" s="51"/>
      <c r="M29" s="51"/>
      <c r="N29" s="51"/>
      <c r="O29" s="53"/>
      <c r="P29" s="54"/>
      <c r="Q29" s="31"/>
      <c r="R29" s="8"/>
      <c r="S29" s="8"/>
      <c r="T29" s="8"/>
      <c r="U29" s="71"/>
      <c r="V29" s="71"/>
    </row>
    <row r="30" spans="1:22" s="12" customFormat="1" ht="12" customHeight="1" x14ac:dyDescent="0.4">
      <c r="A30" s="3"/>
      <c r="B30" s="9"/>
      <c r="C30" s="9"/>
      <c r="D30" s="3"/>
      <c r="E30" s="301"/>
      <c r="F30" s="9"/>
      <c r="G30" s="51"/>
      <c r="H30" s="51"/>
      <c r="I30" s="52"/>
      <c r="J30" s="52"/>
      <c r="K30" s="51"/>
      <c r="L30" s="51"/>
      <c r="M30" s="51"/>
      <c r="N30" s="51"/>
      <c r="O30" s="53"/>
      <c r="P30" s="54"/>
      <c r="Q30" s="31"/>
      <c r="R30" s="8"/>
      <c r="S30" s="8"/>
      <c r="T30" s="8"/>
      <c r="U30" s="71"/>
      <c r="V30" s="71"/>
    </row>
    <row r="31" spans="1:22" s="12" customFormat="1" ht="12" customHeight="1" x14ac:dyDescent="0.4">
      <c r="A31" s="3"/>
      <c r="B31" s="9"/>
      <c r="C31" s="9"/>
      <c r="D31" s="3"/>
      <c r="E31" s="301"/>
      <c r="F31" s="9"/>
      <c r="G31" s="51"/>
      <c r="H31" s="51"/>
      <c r="I31" s="52"/>
      <c r="J31" s="52"/>
      <c r="K31" s="51"/>
      <c r="L31" s="51"/>
      <c r="M31" s="51"/>
      <c r="N31" s="51"/>
      <c r="O31" s="53"/>
      <c r="P31" s="54"/>
      <c r="Q31" s="31"/>
      <c r="R31" s="8"/>
      <c r="S31" s="8"/>
      <c r="T31" s="8"/>
      <c r="U31" s="71"/>
      <c r="V31" s="71"/>
    </row>
    <row r="32" spans="1:22" s="12" customFormat="1" ht="12" customHeight="1" x14ac:dyDescent="0.4">
      <c r="A32" s="3"/>
      <c r="B32" s="9"/>
      <c r="C32" s="9"/>
      <c r="D32" s="3"/>
      <c r="E32" s="301"/>
      <c r="F32" s="9"/>
      <c r="G32" s="51"/>
      <c r="H32" s="51"/>
      <c r="I32" s="52"/>
      <c r="J32" s="52"/>
      <c r="K32" s="51"/>
      <c r="L32" s="51"/>
      <c r="M32" s="51"/>
      <c r="N32" s="51"/>
      <c r="O32" s="53"/>
      <c r="P32" s="54"/>
      <c r="Q32" s="31"/>
      <c r="R32" s="8"/>
      <c r="S32" s="8"/>
      <c r="T32" s="8"/>
      <c r="U32" s="71"/>
      <c r="V32" s="71"/>
    </row>
    <row r="33" spans="1:22" s="12" customFormat="1" ht="12" customHeight="1" x14ac:dyDescent="0.4">
      <c r="A33" s="3"/>
      <c r="B33" s="9"/>
      <c r="C33" s="9"/>
      <c r="D33" s="3"/>
      <c r="E33" s="301"/>
      <c r="F33" s="9"/>
      <c r="G33" s="51"/>
      <c r="H33" s="51"/>
      <c r="I33" s="52"/>
      <c r="J33" s="52"/>
      <c r="K33" s="51"/>
      <c r="L33" s="51"/>
      <c r="M33" s="51"/>
      <c r="N33" s="51"/>
      <c r="O33" s="53"/>
      <c r="P33" s="54"/>
      <c r="Q33" s="31"/>
      <c r="R33" s="8"/>
      <c r="S33" s="8"/>
      <c r="T33" s="8"/>
      <c r="U33" s="71"/>
      <c r="V33" s="71"/>
    </row>
    <row r="34" spans="1:22" s="12" customFormat="1" ht="13.5" customHeight="1" x14ac:dyDescent="0.4">
      <c r="A34" s="3"/>
      <c r="B34" s="9"/>
      <c r="C34" s="9"/>
      <c r="D34" s="3"/>
      <c r="E34" s="301"/>
      <c r="F34" s="9"/>
      <c r="G34" s="51"/>
      <c r="H34" s="51"/>
      <c r="I34" s="52"/>
      <c r="J34" s="52"/>
      <c r="K34" s="51"/>
      <c r="L34" s="51"/>
      <c r="M34" s="51"/>
      <c r="N34" s="51"/>
      <c r="O34" s="53"/>
      <c r="P34" s="54"/>
      <c r="Q34" s="31"/>
      <c r="R34" s="8"/>
      <c r="S34" s="8"/>
      <c r="T34" s="8"/>
      <c r="U34" s="71"/>
      <c r="V34" s="71"/>
    </row>
    <row r="35" spans="1:22" s="12" customFormat="1" ht="13.5" customHeight="1" x14ac:dyDescent="0.4">
      <c r="A35" s="3"/>
      <c r="B35" s="9"/>
      <c r="C35" s="9"/>
      <c r="D35" s="3"/>
      <c r="E35" s="301"/>
      <c r="F35" s="9"/>
      <c r="G35" s="51"/>
      <c r="H35" s="51"/>
      <c r="I35" s="52"/>
      <c r="J35" s="52"/>
      <c r="K35" s="51"/>
      <c r="L35" s="51"/>
      <c r="M35" s="51"/>
      <c r="N35" s="51"/>
      <c r="O35" s="53"/>
      <c r="P35" s="54"/>
      <c r="Q35" s="31"/>
      <c r="R35" s="8"/>
      <c r="S35" s="8"/>
      <c r="T35" s="8"/>
      <c r="U35" s="71"/>
      <c r="V35" s="71"/>
    </row>
    <row r="36" spans="1:22" s="12" customFormat="1" ht="13.5" customHeight="1" x14ac:dyDescent="0.4">
      <c r="A36" s="3"/>
      <c r="B36" s="9"/>
      <c r="C36" s="9"/>
      <c r="D36" s="3"/>
      <c r="E36" s="301"/>
      <c r="F36" s="9"/>
      <c r="G36" s="51"/>
      <c r="H36" s="51"/>
      <c r="I36" s="52"/>
      <c r="J36" s="52"/>
      <c r="K36" s="51"/>
      <c r="L36" s="51"/>
      <c r="M36" s="51"/>
      <c r="N36" s="51"/>
      <c r="O36" s="53"/>
      <c r="P36" s="54"/>
      <c r="Q36" s="31"/>
      <c r="R36" s="8"/>
      <c r="S36" s="8"/>
      <c r="T36" s="8"/>
      <c r="U36" s="71"/>
      <c r="V36" s="71"/>
    </row>
    <row r="37" spans="1:22" s="12" customFormat="1" ht="29.25" customHeight="1" x14ac:dyDescent="0.4">
      <c r="A37" s="3"/>
      <c r="B37" s="9"/>
      <c r="C37" s="9"/>
      <c r="D37" s="3"/>
      <c r="E37" s="301"/>
      <c r="F37" s="9"/>
      <c r="G37" s="51"/>
      <c r="H37" s="51"/>
      <c r="I37" s="52"/>
      <c r="J37" s="52"/>
      <c r="K37" s="51"/>
      <c r="L37" s="51"/>
      <c r="M37" s="51"/>
      <c r="N37" s="51"/>
      <c r="O37" s="53"/>
      <c r="P37" s="54"/>
      <c r="Q37" s="31"/>
      <c r="R37" s="8"/>
      <c r="S37" s="8"/>
      <c r="T37" s="8"/>
      <c r="U37" s="71"/>
      <c r="V37" s="71"/>
    </row>
    <row r="38" spans="1:22" s="12" customFormat="1" ht="13.5" customHeight="1" x14ac:dyDescent="0.4">
      <c r="A38" s="3"/>
      <c r="B38" s="9"/>
      <c r="C38" s="9"/>
      <c r="D38" s="3"/>
      <c r="E38" s="301"/>
      <c r="F38" s="9"/>
      <c r="G38" s="51"/>
      <c r="H38" s="51"/>
      <c r="I38" s="52"/>
      <c r="J38" s="52"/>
      <c r="K38" s="51"/>
      <c r="L38" s="51"/>
      <c r="M38" s="51"/>
      <c r="N38" s="51"/>
      <c r="O38" s="53"/>
      <c r="P38" s="54"/>
      <c r="Q38" s="31"/>
      <c r="R38" s="8"/>
      <c r="S38" s="8"/>
      <c r="T38" s="8"/>
      <c r="U38" s="71"/>
      <c r="V38" s="71"/>
    </row>
    <row r="39" spans="1:22" s="12" customFormat="1" ht="13.5" customHeight="1" x14ac:dyDescent="0.4">
      <c r="A39" s="3"/>
      <c r="B39" s="9"/>
      <c r="C39" s="9"/>
      <c r="D39" s="3"/>
      <c r="E39" s="301"/>
      <c r="F39" s="9"/>
      <c r="G39" s="51"/>
      <c r="H39" s="51"/>
      <c r="I39" s="52"/>
      <c r="J39" s="52"/>
      <c r="K39" s="51"/>
      <c r="L39" s="51"/>
      <c r="M39" s="51"/>
      <c r="N39" s="51"/>
      <c r="O39" s="53"/>
      <c r="P39" s="54"/>
      <c r="Q39" s="31"/>
      <c r="R39" s="8"/>
      <c r="S39" s="8"/>
      <c r="T39" s="8"/>
      <c r="U39" s="71"/>
      <c r="V39" s="71"/>
    </row>
    <row r="40" spans="1:22" s="12" customFormat="1" ht="13.5" customHeight="1" x14ac:dyDescent="0.4">
      <c r="A40" s="3"/>
      <c r="B40" s="9"/>
      <c r="C40" s="9"/>
      <c r="D40" s="3"/>
      <c r="E40" s="301"/>
      <c r="F40" s="9"/>
      <c r="G40" s="51"/>
      <c r="H40" s="51"/>
      <c r="I40" s="52"/>
      <c r="J40" s="52"/>
      <c r="K40" s="51"/>
      <c r="L40" s="51"/>
      <c r="M40" s="51"/>
      <c r="N40" s="51"/>
      <c r="O40" s="53"/>
      <c r="P40" s="54"/>
      <c r="Q40" s="31"/>
      <c r="R40" s="8"/>
      <c r="S40" s="8"/>
      <c r="T40" s="8"/>
      <c r="U40" s="71"/>
      <c r="V40" s="71"/>
    </row>
    <row r="41" spans="1:22" s="12" customFormat="1" ht="13.5" customHeight="1" x14ac:dyDescent="0.4">
      <c r="A41" s="3"/>
      <c r="B41" s="9"/>
      <c r="C41" s="9"/>
      <c r="D41" s="3"/>
      <c r="E41" s="301"/>
      <c r="F41" s="9"/>
      <c r="G41" s="51"/>
      <c r="H41" s="51"/>
      <c r="I41" s="52"/>
      <c r="J41" s="52"/>
      <c r="K41" s="51"/>
      <c r="L41" s="51"/>
      <c r="M41" s="51"/>
      <c r="N41" s="51"/>
      <c r="O41" s="53"/>
      <c r="P41" s="54"/>
      <c r="Q41" s="31"/>
      <c r="R41" s="8"/>
      <c r="S41" s="8"/>
      <c r="T41" s="8"/>
      <c r="U41" s="71"/>
      <c r="V41" s="71"/>
    </row>
    <row r="42" spans="1:22" s="12" customFormat="1" ht="13.5" customHeight="1" x14ac:dyDescent="0.4">
      <c r="A42" s="3"/>
      <c r="B42" s="9"/>
      <c r="C42" s="9"/>
      <c r="D42" s="3"/>
      <c r="E42" s="301"/>
      <c r="F42" s="9"/>
      <c r="G42" s="51"/>
      <c r="H42" s="51"/>
      <c r="I42" s="52"/>
      <c r="J42" s="52"/>
      <c r="K42" s="51"/>
      <c r="L42" s="51"/>
      <c r="M42" s="51"/>
      <c r="N42" s="51"/>
      <c r="O42" s="53"/>
      <c r="P42" s="54"/>
      <c r="Q42" s="31"/>
      <c r="R42" s="8"/>
      <c r="S42" s="8"/>
      <c r="T42" s="8"/>
      <c r="U42" s="71"/>
      <c r="V42" s="71"/>
    </row>
    <row r="43" spans="1:22" s="12" customFormat="1" ht="13.5" customHeight="1" x14ac:dyDescent="0.4">
      <c r="A43" s="3"/>
      <c r="B43" s="9"/>
      <c r="C43" s="9"/>
      <c r="D43" s="3"/>
      <c r="E43" s="301"/>
      <c r="F43" s="9"/>
      <c r="G43" s="51"/>
      <c r="H43" s="51"/>
      <c r="I43" s="52"/>
      <c r="J43" s="52"/>
      <c r="K43" s="51"/>
      <c r="L43" s="51"/>
      <c r="M43" s="51"/>
      <c r="N43" s="51"/>
      <c r="O43" s="53"/>
      <c r="P43" s="54"/>
      <c r="Q43" s="31"/>
      <c r="R43" s="8"/>
      <c r="S43" s="8"/>
      <c r="T43" s="8"/>
      <c r="U43" s="71"/>
      <c r="V43" s="71"/>
    </row>
    <row r="44" spans="1:22" s="12" customFormat="1" ht="13.5" customHeight="1" x14ac:dyDescent="0.4">
      <c r="A44" s="3"/>
      <c r="B44" s="9"/>
      <c r="C44" s="9"/>
      <c r="D44" s="3"/>
      <c r="E44" s="301"/>
      <c r="F44" s="9"/>
      <c r="G44" s="51"/>
      <c r="H44" s="51"/>
      <c r="I44" s="52"/>
      <c r="J44" s="52"/>
      <c r="K44" s="51"/>
      <c r="L44" s="51"/>
      <c r="M44" s="51"/>
      <c r="N44" s="51"/>
      <c r="O44" s="53"/>
      <c r="P44" s="54"/>
      <c r="Q44" s="31"/>
      <c r="R44" s="8"/>
      <c r="S44" s="8"/>
      <c r="T44" s="8"/>
      <c r="U44" s="71"/>
      <c r="V44" s="71"/>
    </row>
    <row r="45" spans="1:22" s="12" customFormat="1" ht="13.5" customHeight="1" x14ac:dyDescent="0.4">
      <c r="A45" s="3"/>
      <c r="B45" s="9"/>
      <c r="C45" s="9"/>
      <c r="D45" s="3"/>
      <c r="E45" s="301"/>
      <c r="F45" s="9"/>
      <c r="G45" s="51"/>
      <c r="H45" s="51"/>
      <c r="I45" s="52"/>
      <c r="J45" s="52"/>
      <c r="K45" s="51"/>
      <c r="L45" s="51"/>
      <c r="M45" s="51"/>
      <c r="N45" s="51"/>
      <c r="O45" s="53"/>
      <c r="P45" s="54"/>
      <c r="Q45" s="31"/>
      <c r="R45" s="8"/>
      <c r="S45" s="8"/>
      <c r="T45" s="8"/>
      <c r="U45" s="71"/>
      <c r="V45" s="71"/>
    </row>
    <row r="46" spans="1:22" s="12" customFormat="1" ht="13.5" customHeight="1" x14ac:dyDescent="0.4">
      <c r="A46" s="3"/>
      <c r="B46" s="9"/>
      <c r="C46" s="9"/>
      <c r="D46" s="3"/>
      <c r="E46" s="301"/>
      <c r="F46" s="9"/>
      <c r="G46" s="51"/>
      <c r="H46" s="51"/>
      <c r="I46" s="52"/>
      <c r="J46" s="52"/>
      <c r="K46" s="51"/>
      <c r="L46" s="51"/>
      <c r="M46" s="51"/>
      <c r="N46" s="51"/>
      <c r="O46" s="53"/>
      <c r="P46" s="54"/>
      <c r="Q46" s="31"/>
      <c r="R46" s="8"/>
      <c r="S46" s="8"/>
      <c r="T46" s="8"/>
      <c r="U46" s="71"/>
      <c r="V46" s="71"/>
    </row>
    <row r="47" spans="1:22" s="12" customFormat="1" ht="13.5" customHeight="1" x14ac:dyDescent="0.4">
      <c r="A47" s="3"/>
      <c r="B47" s="9"/>
      <c r="C47" s="9"/>
      <c r="D47" s="3"/>
      <c r="E47" s="301"/>
      <c r="F47" s="9"/>
      <c r="G47" s="51"/>
      <c r="H47" s="51"/>
      <c r="I47" s="52"/>
      <c r="J47" s="52"/>
      <c r="K47" s="51"/>
      <c r="L47" s="51"/>
      <c r="M47" s="51"/>
      <c r="N47" s="51"/>
      <c r="O47" s="53"/>
      <c r="P47" s="54"/>
      <c r="Q47" s="31"/>
      <c r="R47" s="8"/>
      <c r="S47" s="8"/>
      <c r="T47" s="8"/>
      <c r="U47" s="71"/>
      <c r="V47" s="71"/>
    </row>
    <row r="48" spans="1:22" s="12" customFormat="1" ht="13.5" customHeight="1" x14ac:dyDescent="0.4">
      <c r="A48" s="3"/>
      <c r="B48" s="9"/>
      <c r="C48" s="9"/>
      <c r="D48" s="3"/>
      <c r="E48" s="301"/>
      <c r="F48" s="9"/>
      <c r="G48" s="51"/>
      <c r="H48" s="51"/>
      <c r="I48" s="52"/>
      <c r="J48" s="52"/>
      <c r="K48" s="51"/>
      <c r="L48" s="51"/>
      <c r="M48" s="51"/>
      <c r="N48" s="51"/>
      <c r="O48" s="53"/>
      <c r="P48" s="54"/>
      <c r="Q48" s="31"/>
      <c r="R48" s="8"/>
      <c r="S48" s="8"/>
      <c r="T48" s="8"/>
      <c r="U48" s="71"/>
      <c r="V48" s="71"/>
    </row>
    <row r="49" spans="1:22" s="12" customFormat="1" ht="13.5" customHeight="1" x14ac:dyDescent="0.4">
      <c r="A49" s="3"/>
      <c r="B49" s="9"/>
      <c r="C49" s="9"/>
      <c r="D49" s="3"/>
      <c r="E49" s="301"/>
      <c r="F49" s="9"/>
      <c r="G49" s="51"/>
      <c r="H49" s="51"/>
      <c r="I49" s="52"/>
      <c r="J49" s="52"/>
      <c r="K49" s="51"/>
      <c r="L49" s="51"/>
      <c r="M49" s="51"/>
      <c r="N49" s="51"/>
      <c r="O49" s="53"/>
      <c r="P49" s="54"/>
      <c r="Q49" s="31"/>
      <c r="R49" s="8"/>
      <c r="S49" s="8"/>
      <c r="T49" s="8"/>
      <c r="U49" s="71"/>
      <c r="V49" s="71"/>
    </row>
    <row r="50" spans="1:22" s="12" customFormat="1" ht="13.5" customHeight="1" x14ac:dyDescent="0.4">
      <c r="A50" s="3"/>
      <c r="B50" s="9"/>
      <c r="C50" s="9"/>
      <c r="D50" s="3"/>
      <c r="E50" s="301"/>
      <c r="F50" s="9"/>
      <c r="G50" s="51"/>
      <c r="H50" s="51"/>
      <c r="I50" s="52"/>
      <c r="J50" s="52"/>
      <c r="K50" s="51"/>
      <c r="L50" s="51"/>
      <c r="M50" s="51"/>
      <c r="N50" s="51"/>
      <c r="O50" s="53"/>
      <c r="P50" s="54"/>
      <c r="Q50" s="31"/>
      <c r="R50" s="8"/>
      <c r="S50" s="8"/>
      <c r="T50" s="8"/>
      <c r="U50" s="71"/>
      <c r="V50" s="71"/>
    </row>
    <row r="51" spans="1:22" s="12" customFormat="1" ht="13.5" customHeight="1" x14ac:dyDescent="0.4">
      <c r="A51" s="3"/>
      <c r="B51" s="9"/>
      <c r="C51" s="9"/>
      <c r="D51" s="3"/>
      <c r="E51" s="301"/>
      <c r="F51" s="9"/>
      <c r="G51" s="51"/>
      <c r="H51" s="51"/>
      <c r="I51" s="52"/>
      <c r="J51" s="52"/>
      <c r="K51" s="51"/>
      <c r="L51" s="51"/>
      <c r="M51" s="51"/>
      <c r="N51" s="51"/>
      <c r="O51" s="53"/>
      <c r="P51" s="54"/>
      <c r="Q51" s="31"/>
      <c r="R51" s="8"/>
      <c r="S51" s="8"/>
      <c r="T51" s="8"/>
      <c r="U51" s="71"/>
      <c r="V51" s="71"/>
    </row>
    <row r="52" spans="1:22" s="12" customFormat="1" ht="13.5" customHeight="1" x14ac:dyDescent="0.4">
      <c r="A52" s="3"/>
      <c r="B52" s="9"/>
      <c r="C52" s="9"/>
      <c r="D52" s="3"/>
      <c r="E52" s="301"/>
      <c r="F52" s="9"/>
      <c r="G52" s="51"/>
      <c r="H52" s="51"/>
      <c r="I52" s="52"/>
      <c r="J52" s="52"/>
      <c r="K52" s="51"/>
      <c r="L52" s="51"/>
      <c r="M52" s="51"/>
      <c r="N52" s="51"/>
      <c r="O52" s="53"/>
      <c r="P52" s="54"/>
      <c r="Q52" s="31"/>
      <c r="R52" s="20"/>
      <c r="S52" s="20"/>
      <c r="T52" s="20"/>
      <c r="U52" s="71"/>
      <c r="V52" s="71"/>
    </row>
    <row r="53" spans="1:22" s="12" customFormat="1" ht="13.5" customHeight="1" x14ac:dyDescent="0.4">
      <c r="A53" s="3"/>
      <c r="B53" s="9"/>
      <c r="C53" s="9"/>
      <c r="D53" s="3"/>
      <c r="E53" s="301"/>
      <c r="F53" s="9"/>
      <c r="G53" s="51"/>
      <c r="H53" s="51"/>
      <c r="I53" s="52"/>
      <c r="J53" s="52"/>
      <c r="K53" s="51"/>
      <c r="L53" s="51"/>
      <c r="M53" s="51"/>
      <c r="N53" s="51"/>
      <c r="O53" s="53"/>
      <c r="P53" s="54"/>
      <c r="Q53" s="31"/>
      <c r="R53" s="20"/>
      <c r="S53" s="20"/>
      <c r="T53" s="20"/>
      <c r="U53" s="71"/>
      <c r="V53" s="71"/>
    </row>
    <row r="54" spans="1:22" s="12" customFormat="1" ht="13.5" customHeight="1" x14ac:dyDescent="0.4">
      <c r="A54" s="3"/>
      <c r="B54" s="9"/>
      <c r="C54" s="9"/>
      <c r="D54" s="3"/>
      <c r="E54" s="301"/>
      <c r="F54" s="9"/>
      <c r="G54" s="51"/>
      <c r="H54" s="51"/>
      <c r="I54" s="52"/>
      <c r="J54" s="52"/>
      <c r="K54" s="51"/>
      <c r="L54" s="51"/>
      <c r="M54" s="51"/>
      <c r="N54" s="51"/>
      <c r="O54" s="53"/>
      <c r="P54" s="54"/>
      <c r="Q54" s="31"/>
      <c r="R54" s="20"/>
      <c r="S54" s="20"/>
      <c r="T54" s="20"/>
      <c r="U54" s="71"/>
      <c r="V54" s="71"/>
    </row>
    <row r="55" spans="1:22" s="12" customFormat="1" ht="13.5" customHeight="1" x14ac:dyDescent="0.4">
      <c r="A55" s="3"/>
      <c r="B55" s="9"/>
      <c r="C55" s="9"/>
      <c r="D55" s="3"/>
      <c r="E55" s="301"/>
      <c r="F55" s="9"/>
      <c r="G55" s="51"/>
      <c r="H55" s="51"/>
      <c r="I55" s="52"/>
      <c r="J55" s="52"/>
      <c r="K55" s="51"/>
      <c r="L55" s="51"/>
      <c r="M55" s="51"/>
      <c r="N55" s="51"/>
      <c r="O55" s="53"/>
      <c r="P55" s="54"/>
      <c r="Q55" s="31"/>
      <c r="R55" s="20"/>
      <c r="S55" s="20"/>
      <c r="T55" s="20"/>
      <c r="U55" s="71"/>
      <c r="V55" s="71"/>
    </row>
    <row r="56" spans="1:22" s="12" customFormat="1" ht="13.5" customHeight="1" x14ac:dyDescent="0.4">
      <c r="A56" s="3"/>
      <c r="B56" s="9"/>
      <c r="C56" s="9"/>
      <c r="D56" s="3"/>
      <c r="E56" s="301"/>
      <c r="F56" s="9"/>
      <c r="G56" s="51"/>
      <c r="H56" s="51"/>
      <c r="I56" s="52"/>
      <c r="J56" s="52"/>
      <c r="K56" s="51"/>
      <c r="L56" s="51"/>
      <c r="M56" s="51"/>
      <c r="N56" s="51"/>
      <c r="O56" s="53"/>
      <c r="P56" s="54"/>
      <c r="Q56" s="31"/>
      <c r="R56" s="20"/>
      <c r="S56" s="20"/>
      <c r="T56" s="20"/>
      <c r="U56" s="71"/>
      <c r="V56" s="71"/>
    </row>
    <row r="57" spans="1:22" s="12" customFormat="1" ht="13.5" customHeight="1" x14ac:dyDescent="0.4">
      <c r="A57" s="3"/>
      <c r="B57" s="9"/>
      <c r="C57" s="9"/>
      <c r="D57" s="3"/>
      <c r="E57" s="301"/>
      <c r="F57" s="9"/>
      <c r="G57" s="51"/>
      <c r="H57" s="51"/>
      <c r="I57" s="52"/>
      <c r="J57" s="52"/>
      <c r="K57" s="51"/>
      <c r="L57" s="51"/>
      <c r="M57" s="51"/>
      <c r="N57" s="51"/>
      <c r="O57" s="53"/>
      <c r="P57" s="54"/>
      <c r="Q57" s="31"/>
      <c r="R57" s="20"/>
      <c r="S57" s="20"/>
      <c r="T57" s="20"/>
      <c r="U57" s="71"/>
      <c r="V57" s="71"/>
    </row>
    <row r="58" spans="1:22" s="12" customFormat="1" ht="13.5" customHeight="1" x14ac:dyDescent="0.4">
      <c r="A58" s="3"/>
      <c r="B58" s="9"/>
      <c r="C58" s="9"/>
      <c r="D58" s="3"/>
      <c r="E58" s="300"/>
      <c r="F58" s="9"/>
      <c r="G58" s="51"/>
      <c r="H58" s="51"/>
      <c r="I58" s="52"/>
      <c r="J58" s="52"/>
      <c r="K58" s="51"/>
      <c r="L58" s="51"/>
      <c r="M58" s="51"/>
      <c r="N58" s="51"/>
      <c r="O58" s="53"/>
      <c r="P58" s="54"/>
      <c r="Q58" s="31"/>
      <c r="R58" s="20"/>
      <c r="S58" s="20"/>
      <c r="T58" s="20"/>
      <c r="U58" s="71"/>
      <c r="V58" s="71"/>
    </row>
    <row r="59" spans="1:22" s="12" customFormat="1" ht="22.5" customHeight="1" x14ac:dyDescent="0.4">
      <c r="A59" s="3"/>
      <c r="B59" s="511"/>
      <c r="C59" s="511"/>
      <c r="D59" s="511"/>
      <c r="E59" s="300"/>
      <c r="F59" s="9"/>
      <c r="G59" s="52"/>
      <c r="H59" s="52"/>
      <c r="I59" s="52"/>
      <c r="J59" s="59"/>
      <c r="K59" s="52"/>
      <c r="L59" s="52"/>
      <c r="M59" s="52"/>
      <c r="N59" s="52"/>
      <c r="O59" s="60"/>
      <c r="P59" s="61"/>
      <c r="Q59" s="62"/>
      <c r="R59" s="20"/>
      <c r="S59" s="20"/>
      <c r="T59" s="20"/>
      <c r="U59" s="71"/>
      <c r="V59" s="71"/>
    </row>
    <row r="60" spans="1:22" x14ac:dyDescent="0.4">
      <c r="E60" s="303"/>
      <c r="G60" s="65"/>
      <c r="H60" s="65"/>
      <c r="K60" s="65"/>
      <c r="L60" s="65"/>
      <c r="M60" s="108"/>
      <c r="N60" s="65"/>
      <c r="O60" s="67"/>
    </row>
    <row r="61" spans="1:22" x14ac:dyDescent="0.4">
      <c r="E61" s="303"/>
      <c r="G61" s="65"/>
      <c r="H61" s="65"/>
      <c r="K61" s="65"/>
      <c r="L61" s="65"/>
      <c r="M61" s="108"/>
      <c r="N61" s="65"/>
      <c r="O61" s="67"/>
    </row>
    <row r="62" spans="1:22" x14ac:dyDescent="0.4">
      <c r="E62" s="303"/>
      <c r="G62" s="65"/>
      <c r="H62" s="65"/>
      <c r="K62" s="65"/>
      <c r="L62" s="65"/>
      <c r="M62" s="108"/>
      <c r="N62" s="65"/>
      <c r="O62" s="67"/>
    </row>
    <row r="63" spans="1:22" x14ac:dyDescent="0.4">
      <c r="E63" s="303"/>
      <c r="G63" s="65"/>
      <c r="H63" s="65"/>
      <c r="K63" s="65"/>
      <c r="L63" s="65"/>
      <c r="M63" s="108"/>
      <c r="N63" s="65"/>
      <c r="O63" s="67"/>
    </row>
    <row r="64" spans="1:22" x14ac:dyDescent="0.4">
      <c r="E64" s="303"/>
      <c r="G64" s="65"/>
      <c r="H64" s="65"/>
      <c r="K64" s="65"/>
      <c r="L64" s="65"/>
      <c r="M64" s="108"/>
      <c r="N64" s="65"/>
      <c r="O64" s="67"/>
    </row>
    <row r="65" spans="1:22" s="20" customFormat="1" x14ac:dyDescent="0.4">
      <c r="A65" s="63"/>
      <c r="B65" s="63"/>
      <c r="C65" s="63"/>
      <c r="E65" s="303"/>
      <c r="F65" s="64"/>
      <c r="G65" s="65"/>
      <c r="H65" s="65"/>
      <c r="I65" s="66"/>
      <c r="J65" s="66"/>
      <c r="K65" s="65"/>
      <c r="L65" s="65"/>
      <c r="M65" s="108"/>
      <c r="N65" s="65"/>
      <c r="O65" s="67"/>
      <c r="P65" s="68"/>
      <c r="Q65" s="69"/>
      <c r="U65" s="21"/>
      <c r="V65" s="21"/>
    </row>
  </sheetData>
  <protectedRanges>
    <protectedRange sqref="C14:H16 K14:Q16" name="범위1_1"/>
    <protectedRange sqref="J14:J16" name="범위1_1_1"/>
  </protectedRanges>
  <autoFilter ref="A12:Q13" xr:uid="{00000000-0009-0000-0000-000004000000}">
    <filterColumn colId="4" showButton="0"/>
    <filterColumn colId="6" showButton="0"/>
    <filterColumn colId="7" showButton="0"/>
    <filterColumn colId="8" showButton="0"/>
  </autoFilter>
  <mergeCells count="16">
    <mergeCell ref="B59:D59"/>
    <mergeCell ref="A6:Q6"/>
    <mergeCell ref="A12:A13"/>
    <mergeCell ref="B12:B13"/>
    <mergeCell ref="C12:C13"/>
    <mergeCell ref="D12:D13"/>
    <mergeCell ref="E12:F12"/>
    <mergeCell ref="G12:J12"/>
    <mergeCell ref="K12:K13"/>
    <mergeCell ref="L12:L13"/>
    <mergeCell ref="M12:M13"/>
    <mergeCell ref="N12:N13"/>
    <mergeCell ref="O12:O13"/>
    <mergeCell ref="P12:P13"/>
    <mergeCell ref="Q12:Q13"/>
    <mergeCell ref="A17:D17"/>
  </mergeCells>
  <phoneticPr fontId="5" type="noConversion"/>
  <printOptions horizontalCentered="1"/>
  <pageMargins left="0.39370078740157483" right="0.39370078740157483" top="0.19685039370078741" bottom="0.19685039370078741" header="0.23622047244094491" footer="0"/>
  <pageSetup paperSize="9" scale="42" fitToHeight="0" orientation="landscape" horizontalDpi="1200" verticalDpi="1200" r:id="rId1"/>
  <headerFooter alignWithMargins="0">
    <oddFooter xml:space="preserve">&amp;C&amp;"Calibri,보통"&amp;12Doosan Enerbility&amp;R_x000D_&amp;1#&amp;"Aptos"&amp;8&amp;K000000 중요비(Confidential): sanghwan.bae@doosan.com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N37"/>
  <sheetViews>
    <sheetView showGridLines="0" view="pageBreakPreview" zoomScale="55" zoomScaleNormal="100" zoomScaleSheetLayoutView="55" workbookViewId="0">
      <selection activeCell="A3" sqref="A3:N3"/>
    </sheetView>
  </sheetViews>
  <sheetFormatPr defaultColWidth="9" defaultRowHeight="21" x14ac:dyDescent="0.4"/>
  <cols>
    <col min="1" max="1" width="12.69921875" style="116" customWidth="1"/>
    <col min="2" max="3" width="9" style="116"/>
    <col min="4" max="4" width="1.69921875" style="116" customWidth="1"/>
    <col min="5" max="5" width="9" style="116"/>
    <col min="6" max="6" width="2.19921875" style="115" customWidth="1"/>
    <col min="7" max="7" width="18" style="115" bestFit="1" customWidth="1"/>
    <col min="8" max="8" width="9" style="115" customWidth="1"/>
    <col min="9" max="9" width="12.09765625" style="115" bestFit="1" customWidth="1"/>
    <col min="10" max="10" width="9" style="115" customWidth="1"/>
    <col min="11" max="11" width="14.19921875" style="115" bestFit="1" customWidth="1"/>
    <col min="12" max="13" width="9" style="115"/>
    <col min="14" max="14" width="15.5" style="115" customWidth="1"/>
    <col min="15" max="16384" width="9" style="114"/>
  </cols>
  <sheetData>
    <row r="1" spans="1:14" x14ac:dyDescent="0.4">
      <c r="A1" s="124"/>
      <c r="B1" s="123"/>
      <c r="C1" s="123"/>
      <c r="D1" s="123"/>
      <c r="E1" s="123"/>
      <c r="F1" s="122"/>
      <c r="G1" s="122"/>
      <c r="H1" s="122"/>
      <c r="I1" s="122"/>
      <c r="J1" s="122"/>
      <c r="K1" s="122"/>
      <c r="L1" s="122"/>
      <c r="M1" s="122"/>
      <c r="N1" s="121"/>
    </row>
    <row r="2" spans="1:14" x14ac:dyDescent="0.4">
      <c r="A2" s="146"/>
      <c r="N2" s="145"/>
    </row>
    <row r="3" spans="1:14" ht="76.5" customHeight="1" x14ac:dyDescent="0.4">
      <c r="A3" s="544" t="s">
        <v>173</v>
      </c>
      <c r="B3" s="545"/>
      <c r="C3" s="545"/>
      <c r="D3" s="545"/>
      <c r="E3" s="545"/>
      <c r="F3" s="545"/>
      <c r="G3" s="545"/>
      <c r="H3" s="545"/>
      <c r="I3" s="545"/>
      <c r="J3" s="545"/>
      <c r="K3" s="545"/>
      <c r="L3" s="545"/>
      <c r="M3" s="545"/>
      <c r="N3" s="546"/>
    </row>
    <row r="4" spans="1:14" s="131" customFormat="1" ht="37.950000000000003" customHeight="1" x14ac:dyDescent="0.4">
      <c r="A4" s="144" t="s">
        <v>174</v>
      </c>
      <c r="B4" s="132"/>
      <c r="C4" s="132"/>
      <c r="D4" s="116"/>
      <c r="E4" s="116"/>
      <c r="F4" s="127" t="s">
        <v>175</v>
      </c>
      <c r="G4" s="547" t="s">
        <v>176</v>
      </c>
      <c r="H4" s="547"/>
      <c r="I4" s="547"/>
      <c r="J4" s="547"/>
      <c r="K4" s="547"/>
      <c r="L4" s="547"/>
      <c r="M4" s="547"/>
      <c r="N4" s="548"/>
    </row>
    <row r="5" spans="1:14" s="125" customFormat="1" ht="25.2" x14ac:dyDescent="0.4">
      <c r="A5" s="129" t="s">
        <v>177</v>
      </c>
      <c r="B5" s="116"/>
      <c r="C5" s="116"/>
      <c r="D5" s="116"/>
      <c r="E5" s="116"/>
      <c r="F5" s="127"/>
      <c r="G5" s="547"/>
      <c r="H5" s="547"/>
      <c r="I5" s="547"/>
      <c r="J5" s="547"/>
      <c r="K5" s="547"/>
      <c r="L5" s="547"/>
      <c r="M5" s="547"/>
      <c r="N5" s="548"/>
    </row>
    <row r="6" spans="1:14" s="131" customFormat="1" ht="10.35" customHeight="1" x14ac:dyDescent="0.4">
      <c r="A6" s="129"/>
      <c r="B6" s="116"/>
      <c r="C6" s="116"/>
      <c r="D6" s="116"/>
      <c r="E6" s="116"/>
      <c r="F6" s="127"/>
      <c r="G6" s="116"/>
      <c r="H6" s="116"/>
      <c r="I6" s="116"/>
      <c r="J6" s="116"/>
      <c r="K6" s="116"/>
      <c r="L6" s="116"/>
      <c r="M6" s="116"/>
      <c r="N6" s="126"/>
    </row>
    <row r="7" spans="1:14" s="131" customFormat="1" ht="42.75" customHeight="1" x14ac:dyDescent="0.4">
      <c r="A7" s="129" t="s">
        <v>178</v>
      </c>
      <c r="B7" s="116"/>
      <c r="C7" s="116"/>
      <c r="D7" s="116"/>
      <c r="E7" s="116"/>
      <c r="F7" s="127" t="s">
        <v>179</v>
      </c>
      <c r="G7" s="547" t="s">
        <v>180</v>
      </c>
      <c r="H7" s="547"/>
      <c r="I7" s="547"/>
      <c r="J7" s="547"/>
      <c r="K7" s="547"/>
      <c r="L7" s="547"/>
      <c r="M7" s="547"/>
      <c r="N7" s="548"/>
    </row>
    <row r="8" spans="1:14" s="125" customFormat="1" ht="25.2" x14ac:dyDescent="0.4">
      <c r="A8" s="129" t="s">
        <v>181</v>
      </c>
      <c r="B8" s="116"/>
      <c r="C8" s="116"/>
      <c r="D8" s="116"/>
      <c r="E8" s="116"/>
      <c r="F8" s="130"/>
      <c r="G8" s="132"/>
      <c r="H8" s="132"/>
      <c r="I8" s="132"/>
      <c r="J8" s="132"/>
      <c r="K8" s="132"/>
      <c r="L8" s="132"/>
      <c r="M8" s="132"/>
      <c r="N8" s="143"/>
    </row>
    <row r="9" spans="1:14" s="131" customFormat="1" ht="10.35" customHeight="1" x14ac:dyDescent="0.4">
      <c r="A9" s="129"/>
      <c r="B9" s="116"/>
      <c r="C9" s="116"/>
      <c r="D9" s="116"/>
      <c r="E9" s="116"/>
      <c r="F9" s="142"/>
      <c r="G9" s="142"/>
      <c r="H9" s="116"/>
      <c r="I9" s="116"/>
      <c r="J9" s="116"/>
      <c r="K9" s="116"/>
      <c r="L9" s="116"/>
      <c r="M9" s="116"/>
      <c r="N9" s="126"/>
    </row>
    <row r="10" spans="1:14" s="131" customFormat="1" ht="25.2" x14ac:dyDescent="0.4">
      <c r="A10" s="129" t="s">
        <v>182</v>
      </c>
      <c r="B10" s="116"/>
      <c r="C10" s="116"/>
      <c r="D10" s="116"/>
      <c r="E10" s="116"/>
      <c r="F10" s="127" t="s">
        <v>183</v>
      </c>
      <c r="G10" s="116"/>
      <c r="H10" s="116"/>
      <c r="I10" s="116"/>
      <c r="J10" s="116"/>
      <c r="K10" s="116"/>
      <c r="L10" s="116"/>
      <c r="M10" s="116"/>
      <c r="N10" s="126"/>
    </row>
    <row r="11" spans="1:14" s="125" customFormat="1" ht="25.2" x14ac:dyDescent="0.4">
      <c r="A11" s="129" t="s">
        <v>184</v>
      </c>
      <c r="B11" s="116"/>
      <c r="C11" s="116"/>
      <c r="D11" s="116"/>
      <c r="E11" s="116"/>
      <c r="F11" s="127" t="s">
        <v>185</v>
      </c>
      <c r="G11" s="116"/>
      <c r="H11" s="116"/>
      <c r="I11" s="116"/>
      <c r="J11" s="116"/>
      <c r="K11" s="116"/>
      <c r="L11" s="116"/>
      <c r="M11" s="116"/>
      <c r="N11" s="126"/>
    </row>
    <row r="12" spans="1:14" s="131" customFormat="1" ht="10.35" customHeight="1" x14ac:dyDescent="0.4">
      <c r="A12" s="129"/>
      <c r="B12" s="116"/>
      <c r="C12" s="116"/>
      <c r="D12" s="116"/>
      <c r="E12" s="116"/>
      <c r="F12" s="127"/>
      <c r="G12" s="116"/>
      <c r="H12" s="116"/>
      <c r="I12" s="116"/>
      <c r="J12" s="116"/>
      <c r="K12" s="116"/>
      <c r="L12" s="116"/>
      <c r="M12" s="116"/>
      <c r="N12" s="126"/>
    </row>
    <row r="13" spans="1:14" s="131" customFormat="1" ht="25.2" x14ac:dyDescent="0.4">
      <c r="A13" s="129" t="s">
        <v>186</v>
      </c>
      <c r="B13" s="116"/>
      <c r="C13" s="116"/>
      <c r="D13" s="116"/>
      <c r="E13" s="116"/>
      <c r="F13" s="127" t="s">
        <v>187</v>
      </c>
      <c r="G13" s="127" t="str">
        <f>'Summary PL'!$B$9</f>
        <v>PGU-DE-0560</v>
      </c>
      <c r="H13" s="116"/>
      <c r="I13" s="116"/>
      <c r="J13" s="116"/>
      <c r="K13" s="116"/>
      <c r="L13" s="116"/>
      <c r="M13" s="116"/>
      <c r="N13" s="126"/>
    </row>
    <row r="14" spans="1:14" s="131" customFormat="1" ht="25.2" x14ac:dyDescent="0.4">
      <c r="A14" s="129" t="s">
        <v>188</v>
      </c>
      <c r="B14" s="116"/>
      <c r="C14" s="116"/>
      <c r="D14" s="116"/>
      <c r="E14" s="116"/>
      <c r="F14" s="127"/>
      <c r="G14" s="116"/>
      <c r="H14" s="116"/>
      <c r="I14" s="116"/>
      <c r="J14" s="116"/>
      <c r="K14" s="116"/>
      <c r="L14" s="116"/>
      <c r="M14" s="116"/>
      <c r="N14" s="126"/>
    </row>
    <row r="15" spans="1:14" s="131" customFormat="1" ht="10.35" customHeight="1" x14ac:dyDescent="0.4">
      <c r="A15" s="129"/>
      <c r="B15" s="116"/>
      <c r="C15" s="116"/>
      <c r="D15" s="116"/>
      <c r="E15" s="116"/>
      <c r="F15" s="127"/>
      <c r="G15" s="116"/>
      <c r="H15" s="116"/>
      <c r="I15" s="116"/>
      <c r="J15" s="116"/>
      <c r="K15" s="116"/>
      <c r="L15" s="116"/>
      <c r="M15" s="116"/>
      <c r="N15" s="126"/>
    </row>
    <row r="16" spans="1:14" s="131" customFormat="1" ht="25.2" x14ac:dyDescent="0.4">
      <c r="A16" s="141" t="s">
        <v>189</v>
      </c>
      <c r="B16" s="140"/>
      <c r="C16" s="140"/>
      <c r="D16" s="140"/>
      <c r="E16" s="140"/>
      <c r="F16" s="138" t="s">
        <v>175</v>
      </c>
      <c r="G16" s="137" t="str">
        <f>'Summary PL'!D14</f>
        <v>Power Cable / Силовой кабель</v>
      </c>
      <c r="H16" s="140"/>
      <c r="I16" s="140"/>
      <c r="J16" s="140"/>
      <c r="K16" s="140"/>
      <c r="L16" s="140"/>
      <c r="M16" s="140"/>
      <c r="N16" s="139"/>
    </row>
    <row r="17" spans="1:14" s="131" customFormat="1" ht="25.2" x14ac:dyDescent="0.4">
      <c r="A17" s="141" t="s">
        <v>190</v>
      </c>
      <c r="B17" s="140"/>
      <c r="C17" s="140"/>
      <c r="D17" s="140"/>
      <c r="E17" s="140"/>
      <c r="F17" s="138"/>
      <c r="G17" s="140"/>
      <c r="H17" s="140"/>
      <c r="I17" s="140"/>
      <c r="J17" s="140"/>
      <c r="K17" s="140"/>
      <c r="L17" s="140"/>
      <c r="M17" s="140"/>
      <c r="N17" s="139"/>
    </row>
    <row r="18" spans="1:14" s="131" customFormat="1" ht="10.35" customHeight="1" x14ac:dyDescent="0.4">
      <c r="A18" s="129"/>
      <c r="B18" s="116"/>
      <c r="C18" s="116"/>
      <c r="D18" s="116"/>
      <c r="E18" s="116"/>
      <c r="F18" s="127"/>
      <c r="G18" s="116"/>
      <c r="H18" s="116"/>
      <c r="I18" s="116"/>
      <c r="J18" s="116"/>
      <c r="K18" s="116"/>
      <c r="L18" s="116"/>
      <c r="M18" s="116"/>
      <c r="N18" s="126"/>
    </row>
    <row r="19" spans="1:14" s="131" customFormat="1" ht="25.2" x14ac:dyDescent="0.4">
      <c r="A19" s="129" t="s">
        <v>191</v>
      </c>
      <c r="B19" s="116"/>
      <c r="C19" s="116"/>
      <c r="D19" s="116"/>
      <c r="E19" s="116"/>
      <c r="F19" s="138" t="s">
        <v>192</v>
      </c>
      <c r="G19" s="137" t="str">
        <f>'Summary PL'!C14</f>
        <v>PGU-DE-0560-FFC-CAB-001</v>
      </c>
      <c r="H19" s="116"/>
      <c r="I19" s="116"/>
      <c r="J19" s="116"/>
      <c r="K19" s="116"/>
      <c r="L19" s="116"/>
      <c r="M19" s="116"/>
      <c r="N19" s="126"/>
    </row>
    <row r="20" spans="1:14" s="125" customFormat="1" ht="25.2" x14ac:dyDescent="0.4">
      <c r="A20" s="129" t="s">
        <v>193</v>
      </c>
      <c r="B20" s="116"/>
      <c r="C20" s="116"/>
      <c r="D20" s="116"/>
      <c r="E20" s="116"/>
      <c r="F20" s="127"/>
      <c r="G20" s="127"/>
      <c r="H20" s="116"/>
      <c r="I20" s="116"/>
      <c r="J20" s="116"/>
      <c r="K20" s="116"/>
      <c r="L20" s="116"/>
      <c r="M20" s="116"/>
      <c r="N20" s="126"/>
    </row>
    <row r="21" spans="1:14" s="131" customFormat="1" ht="10.35" customHeight="1" x14ac:dyDescent="0.4">
      <c r="A21" s="129"/>
      <c r="B21" s="116"/>
      <c r="C21" s="116"/>
      <c r="D21" s="116"/>
      <c r="E21" s="116"/>
      <c r="F21" s="127"/>
      <c r="G21" s="127"/>
      <c r="H21" s="116"/>
      <c r="I21" s="116"/>
      <c r="J21" s="116"/>
      <c r="K21" s="116"/>
      <c r="L21" s="116"/>
      <c r="M21" s="116"/>
      <c r="N21" s="126"/>
    </row>
    <row r="22" spans="1:14" s="131" customFormat="1" ht="25.2" x14ac:dyDescent="0.4">
      <c r="A22" s="129" t="s">
        <v>194</v>
      </c>
      <c r="B22" s="116"/>
      <c r="C22" s="116"/>
      <c r="D22" s="116"/>
      <c r="E22" s="116"/>
      <c r="F22" s="127" t="s">
        <v>187</v>
      </c>
      <c r="G22" s="136">
        <f>'Summary PL'!L14</f>
        <v>1260</v>
      </c>
      <c r="H22" s="127" t="s">
        <v>195</v>
      </c>
      <c r="I22" s="116"/>
      <c r="J22" s="116"/>
      <c r="K22" s="116"/>
      <c r="L22" s="116"/>
      <c r="M22" s="116"/>
      <c r="N22" s="126"/>
    </row>
    <row r="23" spans="1:14" s="125" customFormat="1" ht="25.2" x14ac:dyDescent="0.4">
      <c r="A23" s="129" t="s">
        <v>196</v>
      </c>
      <c r="B23" s="116"/>
      <c r="C23" s="116"/>
      <c r="D23" s="116"/>
      <c r="E23" s="116"/>
      <c r="F23" s="127"/>
      <c r="G23" s="127"/>
      <c r="H23" s="127"/>
      <c r="I23" s="116"/>
      <c r="J23" s="116"/>
      <c r="K23" s="116"/>
      <c r="L23" s="116"/>
      <c r="M23" s="116"/>
      <c r="N23" s="126"/>
    </row>
    <row r="24" spans="1:14" s="131" customFormat="1" ht="10.35" customHeight="1" x14ac:dyDescent="0.4">
      <c r="A24" s="129"/>
      <c r="B24" s="116"/>
      <c r="C24" s="116"/>
      <c r="D24" s="116"/>
      <c r="E24" s="116"/>
      <c r="F24" s="127"/>
      <c r="G24" s="127"/>
      <c r="H24" s="127"/>
      <c r="I24" s="116"/>
      <c r="J24" s="116"/>
      <c r="K24" s="116"/>
      <c r="L24" s="116"/>
      <c r="M24" s="116"/>
      <c r="N24" s="126"/>
    </row>
    <row r="25" spans="1:14" s="131" customFormat="1" ht="25.2" x14ac:dyDescent="0.4">
      <c r="A25" s="129" t="s">
        <v>197</v>
      </c>
      <c r="B25" s="116"/>
      <c r="C25" s="116"/>
      <c r="D25" s="116"/>
      <c r="E25" s="116"/>
      <c r="F25" s="127" t="s">
        <v>187</v>
      </c>
      <c r="G25" s="136">
        <f>'Summary PL'!M14</f>
        <v>1410</v>
      </c>
      <c r="H25" s="127" t="s">
        <v>195</v>
      </c>
      <c r="I25" s="116"/>
      <c r="J25" s="116"/>
      <c r="K25" s="116"/>
      <c r="L25" s="116"/>
      <c r="M25" s="116"/>
      <c r="N25" s="126"/>
    </row>
    <row r="26" spans="1:14" s="125" customFormat="1" ht="25.2" x14ac:dyDescent="0.4">
      <c r="A26" s="129" t="s">
        <v>198</v>
      </c>
      <c r="B26" s="116"/>
      <c r="C26" s="116"/>
      <c r="D26" s="116"/>
      <c r="E26" s="116"/>
      <c r="F26" s="127"/>
      <c r="G26" s="127"/>
      <c r="H26" s="116"/>
      <c r="I26" s="116"/>
      <c r="J26" s="116"/>
      <c r="K26" s="116"/>
      <c r="L26" s="116"/>
      <c r="M26" s="116"/>
      <c r="N26" s="126"/>
    </row>
    <row r="27" spans="1:14" s="131" customFormat="1" ht="10.35" customHeight="1" x14ac:dyDescent="0.4">
      <c r="A27" s="129"/>
      <c r="B27" s="116"/>
      <c r="C27" s="116"/>
      <c r="D27" s="116"/>
      <c r="E27" s="116"/>
      <c r="F27" s="127"/>
      <c r="G27" s="127"/>
      <c r="H27" s="116"/>
      <c r="I27" s="116"/>
      <c r="J27" s="116"/>
      <c r="K27" s="116"/>
      <c r="L27" s="116"/>
      <c r="M27" s="116"/>
      <c r="N27" s="126"/>
    </row>
    <row r="28" spans="1:14" s="131" customFormat="1" ht="25.2" x14ac:dyDescent="0.4">
      <c r="A28" s="133" t="s">
        <v>199</v>
      </c>
      <c r="B28" s="116"/>
      <c r="C28" s="116"/>
      <c r="D28" s="116"/>
      <c r="E28" s="116"/>
      <c r="F28" s="127" t="s">
        <v>187</v>
      </c>
      <c r="G28" s="135">
        <f>'Summary PL'!K14</f>
        <v>3.46</v>
      </c>
      <c r="H28" s="134" t="s">
        <v>200</v>
      </c>
      <c r="I28" s="134"/>
      <c r="J28" s="134"/>
      <c r="K28" s="134"/>
      <c r="L28" s="116"/>
      <c r="M28" s="116"/>
      <c r="N28" s="126"/>
    </row>
    <row r="29" spans="1:14" s="125" customFormat="1" ht="25.2" x14ac:dyDescent="0.4">
      <c r="A29" s="129" t="s">
        <v>201</v>
      </c>
      <c r="B29" s="116"/>
      <c r="C29" s="116"/>
      <c r="D29" s="116"/>
      <c r="E29" s="116"/>
      <c r="F29" s="127"/>
      <c r="G29" s="127"/>
      <c r="H29" s="116"/>
      <c r="I29" s="116"/>
      <c r="J29" s="116"/>
      <c r="K29" s="116"/>
      <c r="L29" s="116"/>
      <c r="M29" s="116"/>
      <c r="N29" s="126"/>
    </row>
    <row r="30" spans="1:14" s="131" customFormat="1" ht="10.35" customHeight="1" x14ac:dyDescent="0.4">
      <c r="A30" s="129"/>
      <c r="B30" s="116"/>
      <c r="C30" s="116"/>
      <c r="D30" s="116"/>
      <c r="E30" s="116"/>
      <c r="F30" s="127"/>
      <c r="G30" s="127"/>
      <c r="H30" s="116"/>
      <c r="I30" s="116"/>
      <c r="J30" s="116"/>
      <c r="K30" s="116"/>
      <c r="L30" s="116"/>
      <c r="M30" s="116"/>
      <c r="N30" s="126"/>
    </row>
    <row r="31" spans="1:14" s="131" customFormat="1" ht="10.35" customHeight="1" x14ac:dyDescent="0.4">
      <c r="A31" s="129"/>
      <c r="B31" s="116"/>
      <c r="C31" s="116"/>
      <c r="D31" s="116"/>
      <c r="E31" s="116"/>
      <c r="F31" s="127"/>
      <c r="G31" s="127"/>
      <c r="H31" s="116"/>
      <c r="I31" s="116"/>
      <c r="J31" s="116"/>
      <c r="K31" s="116"/>
      <c r="L31" s="116"/>
      <c r="M31" s="116"/>
      <c r="N31" s="126"/>
    </row>
    <row r="32" spans="1:14" s="131" customFormat="1" ht="25.2" x14ac:dyDescent="0.4">
      <c r="A32" s="129" t="s">
        <v>202</v>
      </c>
      <c r="B32" s="116"/>
      <c r="C32" s="116"/>
      <c r="D32" s="116"/>
      <c r="E32" s="116"/>
      <c r="F32" s="127" t="s">
        <v>187</v>
      </c>
      <c r="G32" s="547" t="s">
        <v>203</v>
      </c>
      <c r="H32" s="547"/>
      <c r="I32" s="547"/>
      <c r="J32" s="547"/>
      <c r="K32" s="547"/>
      <c r="L32" s="547"/>
      <c r="M32" s="547"/>
      <c r="N32" s="548"/>
    </row>
    <row r="33" spans="1:14" s="125" customFormat="1" ht="25.2" x14ac:dyDescent="0.4">
      <c r="A33" s="129" t="s">
        <v>204</v>
      </c>
      <c r="B33" s="116"/>
      <c r="C33" s="116"/>
      <c r="D33" s="116"/>
      <c r="E33" s="116"/>
      <c r="F33" s="127"/>
      <c r="G33" s="547"/>
      <c r="H33" s="547"/>
      <c r="I33" s="547"/>
      <c r="J33" s="547"/>
      <c r="K33" s="547"/>
      <c r="L33" s="547"/>
      <c r="M33" s="547"/>
      <c r="N33" s="548"/>
    </row>
    <row r="34" spans="1:14" s="125" customFormat="1" ht="25.2" x14ac:dyDescent="0.4">
      <c r="A34" s="129"/>
      <c r="B34" s="116"/>
      <c r="C34" s="116"/>
      <c r="D34" s="116"/>
      <c r="E34" s="116"/>
      <c r="F34" s="127"/>
      <c r="G34" s="130"/>
      <c r="H34" s="116"/>
      <c r="I34" s="116"/>
      <c r="J34" s="116"/>
      <c r="K34" s="116"/>
      <c r="L34" s="116"/>
      <c r="M34" s="116"/>
      <c r="N34" s="126"/>
    </row>
    <row r="35" spans="1:14" s="125" customFormat="1" ht="25.8" thickBot="1" x14ac:dyDescent="0.45">
      <c r="A35" s="129"/>
      <c r="B35" s="116"/>
      <c r="C35" s="116"/>
      <c r="D35" s="116"/>
      <c r="E35" s="127"/>
      <c r="F35" s="128"/>
      <c r="G35" s="127"/>
      <c r="H35" s="116"/>
      <c r="I35" s="116"/>
      <c r="J35" s="116"/>
      <c r="K35" s="116"/>
      <c r="L35" s="116"/>
      <c r="M35" s="116"/>
      <c r="N35" s="126"/>
    </row>
    <row r="36" spans="1:14" x14ac:dyDescent="0.4">
      <c r="A36" s="124"/>
      <c r="B36" s="123"/>
      <c r="C36" s="123"/>
      <c r="D36" s="123"/>
      <c r="E36" s="541" t="s">
        <v>205</v>
      </c>
      <c r="F36" s="542"/>
      <c r="G36" s="542"/>
      <c r="H36" s="542"/>
      <c r="I36" s="542"/>
      <c r="J36" s="542"/>
      <c r="K36" s="542"/>
      <c r="L36" s="122"/>
      <c r="M36" s="122"/>
      <c r="N36" s="121"/>
    </row>
    <row r="37" spans="1:14" ht="25.5" customHeight="1" thickBot="1" x14ac:dyDescent="0.45">
      <c r="A37" s="120"/>
      <c r="B37" s="119"/>
      <c r="C37" s="119"/>
      <c r="D37" s="119"/>
      <c r="E37" s="543"/>
      <c r="F37" s="543"/>
      <c r="G37" s="543"/>
      <c r="H37" s="543"/>
      <c r="I37" s="543"/>
      <c r="J37" s="543"/>
      <c r="K37" s="543"/>
      <c r="L37" s="118"/>
      <c r="M37" s="118"/>
      <c r="N37" s="117"/>
    </row>
  </sheetData>
  <mergeCells count="5">
    <mergeCell ref="E36:K37"/>
    <mergeCell ref="A3:N3"/>
    <mergeCell ref="G4:N5"/>
    <mergeCell ref="G7:N7"/>
    <mergeCell ref="G32:N33"/>
  </mergeCells>
  <phoneticPr fontId="5" type="noConversion"/>
  <pageMargins left="0.51181102362204722" right="0.31496062992125984" top="0.74803149606299213" bottom="0.74803149606299213" header="0.31496062992125984" footer="0.31496062992125984"/>
  <pageSetup paperSize="8" scale="80" fitToHeight="0" orientation="landscape" r:id="rId1"/>
  <headerFooter>
    <oddFooter xml:space="preserve">&amp;R_x000D_&amp;1#&amp;"Aptos"&amp;8&amp;K000000 중요비(Confidential): sanghwan.bae@doosan.com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D28EF1209DEC48A970DDDB93544B7D" ma:contentTypeVersion="17" ma:contentTypeDescription="새 문서를 만듭니다." ma:contentTypeScope="" ma:versionID="74046605fe204a0752e4bfa5bc1570bb">
  <xsd:schema xmlns:xsd="http://www.w3.org/2001/XMLSchema" xmlns:xs="http://www.w3.org/2001/XMLSchema" xmlns:p="http://schemas.microsoft.com/office/2006/metadata/properties" xmlns:ns2="fafe03ea-8b69-4947-9101-36aab1225da6" xmlns:ns3="0fd7f0fd-4562-4143-a7f1-276269a5d384" targetNamespace="http://schemas.microsoft.com/office/2006/metadata/properties" ma:root="true" ma:fieldsID="af3551d98b6fc785585459350e49d0b4" ns2:_="" ns3:_="">
    <xsd:import namespace="fafe03ea-8b69-4947-9101-36aab1225da6"/>
    <xsd:import namespace="0fd7f0fd-4562-4143-a7f1-276269a5d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User" minOccurs="0"/>
                <xsd:element ref="ns2: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e03ea-8b69-4947-9101-36aab1225d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User" ma:index="23" nillable="true" ma:displayName="User" ma:format="Dropdown" ma:list="UserInfo" ma:SharePointGroup="0" ma:internalName="Us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scription" ma:index="24" nillable="true" ma:displayName="Description" ma:format="Dropdown" ma:internalName="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7f0fd-4562-4143-a7f1-276269a5d38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98e606e-d84f-4495-a3cd-5e3f37618732}" ma:internalName="TaxCatchAll" ma:showField="CatchAllData" ma:web="0fd7f0fd-4562-4143-a7f1-276269a5d3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fd7f0fd-4562-4143-a7f1-276269a5d384">
      <UserInfo>
        <DisplayName/>
        <AccountId xsi:nil="true"/>
        <AccountType/>
      </UserInfo>
    </SharedWithUsers>
    <lcf76f155ced4ddcb4097134ff3c332f xmlns="fafe03ea-8b69-4947-9101-36aab1225da6">
      <Terms xmlns="http://schemas.microsoft.com/office/infopath/2007/PartnerControls"/>
    </lcf76f155ced4ddcb4097134ff3c332f>
    <TaxCatchAll xmlns="0fd7f0fd-4562-4143-a7f1-276269a5d384" xsi:nil="true"/>
    <User xmlns="fafe03ea-8b69-4947-9101-36aab1225da6">
      <UserInfo>
        <DisplayName/>
        <AccountId xsi:nil="true"/>
        <AccountType/>
      </UserInfo>
    </User>
    <Description xmlns="fafe03ea-8b69-4947-9101-36aab1225da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AD8D4F-EA11-412F-8956-BE68799C43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fe03ea-8b69-4947-9101-36aab1225da6"/>
    <ds:schemaRef ds:uri="0fd7f0fd-4562-4143-a7f1-276269a5d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B5CAFC-7677-4CE2-8C0B-F12FABC566DB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0fd7f0fd-4562-4143-a7f1-276269a5d384"/>
    <ds:schemaRef ds:uri="fafe03ea-8b69-4947-9101-36aab1225da6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5499F56-F36D-4853-ABD8-8ECDEF3C3DF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7</vt:i4>
      </vt:variant>
    </vt:vector>
  </HeadingPairs>
  <TitlesOfParts>
    <vt:vector size="13" baseType="lpstr">
      <vt:lpstr>CI</vt:lpstr>
      <vt:lpstr>CI_BD</vt:lpstr>
      <vt:lpstr>PL</vt:lpstr>
      <vt:lpstr>Summary PL</vt:lpstr>
      <vt:lpstr>Detail PL</vt:lpstr>
      <vt:lpstr>Marking</vt:lpstr>
      <vt:lpstr>CI!Print_Area</vt:lpstr>
      <vt:lpstr>CI_BD!Print_Area</vt:lpstr>
      <vt:lpstr>'Detail PL'!Print_Area</vt:lpstr>
      <vt:lpstr>Marking!Print_Area</vt:lpstr>
      <vt:lpstr>PL!Print_Area</vt:lpstr>
      <vt:lpstr>'Summary PL'!Print_Area</vt:lpstr>
      <vt:lpstr>'Detail PL'!Print_Titles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김유진(Yujin Kim) 선임 두산에너빌리티</dc:creator>
  <cp:keywords/>
  <dc:description/>
  <cp:lastModifiedBy>우재상(Jaesang Woo) 수석 두산에너빌리티</cp:lastModifiedBy>
  <cp:revision/>
  <dcterms:created xsi:type="dcterms:W3CDTF">2025-02-05T07:39:09Z</dcterms:created>
  <dcterms:modified xsi:type="dcterms:W3CDTF">2026-06-26T05:09:50Z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0x010100CDD28EF1209DEC48A970DDDB93544B7D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