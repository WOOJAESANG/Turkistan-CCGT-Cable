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yujin.kim\AppData\Local\Microsoft\Windows\INetCache\Content.Outlook\H25R1FE7\"/>
    </mc:Choice>
  </mc:AlternateContent>
  <xr:revisionPtr revIDLastSave="0" documentId="13_ncr:1_{20A964AE-3683-43FB-9D54-3031BC2CA7A2}" xr6:coauthVersionLast="47" xr6:coauthVersionMax="47" xr10:uidLastSave="{00000000-0000-0000-0000-000000000000}"/>
  <bookViews>
    <workbookView xWindow="6523" yWindow="-16980" windowWidth="21848" windowHeight="15309" xr2:uid="{00000000-000D-0000-FFFF-FFFF00000000}"/>
  </bookViews>
  <sheets>
    <sheet name="CI" sheetId="24" r:id="rId1"/>
    <sheet name="CI_BD" sheetId="25" state="hidden" r:id="rId2"/>
    <sheet name="PL" sheetId="20" r:id="rId3"/>
    <sheet name="Summary PL" sheetId="28" r:id="rId4"/>
    <sheet name="Detail PL" sheetId="29" r:id="rId5"/>
    <sheet name="Marking" sheetId="21" r:id="rId6"/>
  </sheets>
  <definedNames>
    <definedName name="_xlnm._FilterDatabase" localSheetId="1" hidden="1">CI_BD!$B$8:$J$15</definedName>
    <definedName name="_xlnm._FilterDatabase" localSheetId="4" hidden="1">'Detail PL'!$A$12:$Q$13</definedName>
    <definedName name="_xlnm._FilterDatabase" localSheetId="3" hidden="1">'Summary PL'!$A$12:$P$13</definedName>
    <definedName name="_xlnm.Print_Area" localSheetId="0">CI!$A$1:$AC$58</definedName>
    <definedName name="_xlnm.Print_Area" localSheetId="1">CI_BD!$A$1:$J$15</definedName>
    <definedName name="_xlnm.Print_Area" localSheetId="4">'Detail PL'!$A$1:$Q$26</definedName>
    <definedName name="_xlnm.Print_Area" localSheetId="5">Marking!$A$1:$N$202</definedName>
    <definedName name="_xlnm.Print_Area" localSheetId="2">PL!$A$1:$AC$59</definedName>
    <definedName name="_xlnm.Print_Area" localSheetId="3">'Summary PL'!$A$1:$P$20</definedName>
    <definedName name="_xlnm.Print_Titles" localSheetId="4">'Detail PL'!$12:$12</definedName>
    <definedName name="_xlnm.Print_Titles" localSheetId="3">'Summary PL'!$9:$12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9" i="28" l="1"/>
  <c r="L18" i="28"/>
  <c r="L17" i="28"/>
  <c r="L16" i="28"/>
  <c r="L15" i="28"/>
  <c r="L14" i="28"/>
  <c r="G190" i="21"/>
  <c r="G156" i="21"/>
  <c r="G122" i="21"/>
  <c r="G88" i="21"/>
  <c r="G54" i="21"/>
  <c r="G20" i="21"/>
  <c r="L26" i="29" l="1"/>
  <c r="K26" i="29"/>
  <c r="B43" i="20"/>
  <c r="G184" i="21" l="1"/>
  <c r="G193" i="21"/>
  <c r="B24" i="29"/>
  <c r="B22" i="29"/>
  <c r="B20" i="29"/>
  <c r="B18" i="29"/>
  <c r="B16" i="29"/>
  <c r="B14" i="29"/>
  <c r="H15" i="25"/>
  <c r="AC42" i="24" s="1"/>
  <c r="Y32" i="24"/>
  <c r="K15" i="28"/>
  <c r="K16" i="28"/>
  <c r="K17" i="28"/>
  <c r="K18" i="28"/>
  <c r="K19" i="28"/>
  <c r="G196" i="21" s="1"/>
  <c r="K14" i="28"/>
  <c r="G15" i="29" l="1"/>
  <c r="H15" i="29"/>
  <c r="I15" i="29"/>
  <c r="G17" i="29"/>
  <c r="H17" i="29"/>
  <c r="I17" i="29"/>
  <c r="J17" i="29"/>
  <c r="G19" i="29"/>
  <c r="H19" i="29"/>
  <c r="I19" i="29"/>
  <c r="J19" i="29"/>
  <c r="G21" i="29"/>
  <c r="H21" i="29"/>
  <c r="I21" i="29"/>
  <c r="G23" i="29"/>
  <c r="H23" i="29"/>
  <c r="I23" i="29"/>
  <c r="J23" i="29" s="1"/>
  <c r="G25" i="29"/>
  <c r="H25" i="29"/>
  <c r="I25" i="29"/>
  <c r="Y32" i="20"/>
  <c r="J25" i="29" l="1"/>
  <c r="J21" i="29"/>
  <c r="J15" i="29"/>
  <c r="J26" i="29" s="1"/>
  <c r="AA45" i="24" l="1"/>
  <c r="G187" i="21"/>
  <c r="G230" i="21"/>
  <c r="G227" i="21"/>
  <c r="G224" i="21"/>
  <c r="G221" i="21"/>
  <c r="G218" i="21"/>
  <c r="G215" i="21"/>
  <c r="B42" i="24"/>
  <c r="G11" i="21" l="1"/>
  <c r="G14" i="21"/>
  <c r="G17" i="21"/>
  <c r="G181" i="21" l="1"/>
  <c r="G147" i="21"/>
  <c r="G113" i="21"/>
  <c r="G79" i="21"/>
  <c r="G45" i="21"/>
  <c r="G23" i="21" l="1"/>
  <c r="G57" i="21"/>
  <c r="G91" i="21"/>
  <c r="G125" i="21"/>
  <c r="G159" i="21"/>
  <c r="F20" i="28"/>
  <c r="G153" i="21"/>
  <c r="G150" i="21"/>
  <c r="G119" i="21"/>
  <c r="G116" i="21"/>
  <c r="G82" i="21"/>
  <c r="G85" i="21"/>
  <c r="G48" i="21"/>
  <c r="G51" i="21"/>
  <c r="G128" i="21" l="1"/>
  <c r="G94" i="21"/>
  <c r="G60" i="21"/>
  <c r="G26" i="21"/>
  <c r="G162" i="21"/>
  <c r="M20" i="28"/>
  <c r="L20" i="28"/>
  <c r="Y33" i="20" l="1"/>
  <c r="Y33" i="24"/>
  <c r="U42" i="20"/>
  <c r="U45" i="20" s="1"/>
  <c r="Y42" i="20"/>
  <c r="Y45" i="20" s="1"/>
  <c r="Y34" i="20"/>
  <c r="Y34" i="24"/>
  <c r="K20" i="28"/>
  <c r="B9" i="28"/>
  <c r="AC42" i="20" l="1"/>
  <c r="AC45" i="20" s="1"/>
  <c r="Y35" i="20"/>
  <c r="Y35" i="24"/>
  <c r="B7" i="25" l="1"/>
</calcChain>
</file>

<file path=xl/sharedStrings.xml><?xml version="1.0" encoding="utf-8"?>
<sst xmlns="http://schemas.openxmlformats.org/spreadsheetml/2006/main" count="643" uniqueCount="229">
  <si>
    <t>HEAD OFFICE &amp; CHANGWON PLANT</t>
  </si>
  <si>
    <t>22, DoosanVolvo-ro, Seongsan-gu, Changwon-Si,</t>
    <phoneticPr fontId="9" type="noConversion"/>
  </si>
  <si>
    <t>Gyeongsangnam-do, Korea</t>
    <phoneticPr fontId="9" type="noConversion"/>
  </si>
  <si>
    <t>(P.O.BOX 77, Changwon, Korea)</t>
    <phoneticPr fontId="9" type="noConversion"/>
  </si>
  <si>
    <t>TEL:(055)278-6114,7114 FAX:(055)264-5551/2</t>
  </si>
  <si>
    <r>
      <t>PROFORMA INVOICE
ПРОФОРМА</t>
    </r>
    <r>
      <rPr>
        <b/>
        <sz val="16"/>
        <rFont val="맑은 고딕"/>
        <family val="2"/>
        <charset val="129"/>
      </rPr>
      <t xml:space="preserve"> </t>
    </r>
    <r>
      <rPr>
        <b/>
        <sz val="16"/>
        <rFont val="Calibri"/>
        <family val="2"/>
      </rPr>
      <t>ИНВОЙС</t>
    </r>
    <phoneticPr fontId="9" type="noConversion"/>
  </si>
  <si>
    <t>1. Shipper / Грузоотправитель</t>
    <phoneticPr fontId="9" type="noConversion"/>
  </si>
  <si>
    <t xml:space="preserve">10. Invoice № :  </t>
    <phoneticPr fontId="9" type="noConversion"/>
  </si>
  <si>
    <t>PGU-DE-0581</t>
    <phoneticPr fontId="9" type="noConversion"/>
  </si>
  <si>
    <t>Doosan Enerbility Co., Ltd (DOOSAN)</t>
    <phoneticPr fontId="9" type="noConversion"/>
  </si>
  <si>
    <r>
      <t xml:space="preserve">Инвойс </t>
    </r>
    <r>
      <rPr>
        <b/>
        <sz val="9"/>
        <rFont val="Calibri"/>
        <family val="2"/>
      </rPr>
      <t>№</t>
    </r>
    <phoneticPr fontId="9" type="noConversion"/>
  </si>
  <si>
    <t>22, DoosanVolvo-ro, Seongsan-gu, Changwon-si, Gyeongsangnam-do</t>
    <phoneticPr fontId="9" type="noConversion"/>
  </si>
  <si>
    <t xml:space="preserve">Date : </t>
    <phoneticPr fontId="9" type="noConversion"/>
  </si>
  <si>
    <t>Republic of Korea</t>
    <phoneticPr fontId="9" type="noConversion"/>
  </si>
  <si>
    <t xml:space="preserve">Дата </t>
    <phoneticPr fontId="9" type="noConversion"/>
  </si>
  <si>
    <t>2. Consignee / Грузополучатель</t>
    <phoneticPr fontId="9" type="noConversion"/>
  </si>
  <si>
    <t>13. Remarks / Примечания</t>
    <phoneticPr fontId="9" type="noConversion"/>
  </si>
  <si>
    <t>Branch of JSC "Doosan Enerbility" in the Turkestan region</t>
    <phoneticPr fontId="9" type="noConversion"/>
  </si>
  <si>
    <t>321 Tauke Khan Avenue, Turkestan region, Turkestan, Kazakhstan, 161200</t>
    <phoneticPr fontId="9" type="noConversion"/>
  </si>
  <si>
    <t>*Project Name / Название Проекта</t>
    <phoneticPr fontId="9" type="noConversion"/>
  </si>
  <si>
    <t>BIN: 230741006561</t>
    <phoneticPr fontId="9" type="noConversion"/>
  </si>
  <si>
    <t>Construction of a 1000 MW CCGT Power Plant in the Sairam District of</t>
    <phoneticPr fontId="9" type="noConversion"/>
  </si>
  <si>
    <t>Turkistan Region, Main Site. Without External Engineering Networks</t>
    <phoneticPr fontId="9" type="noConversion"/>
  </si>
  <si>
    <t>*MANUFACTURER'S NAME / НАЗВАНИЕ ПРОИЗВОДИТЕЛЯ</t>
    <phoneticPr fontId="9" type="noConversion"/>
  </si>
  <si>
    <t>3. Notify party / Уведомляемая сторона</t>
    <phoneticPr fontId="9" type="noConversion"/>
  </si>
  <si>
    <t>WONLEE Solutions</t>
    <phoneticPr fontId="9" type="noConversion"/>
  </si>
  <si>
    <t>Wise Logistics</t>
  </si>
  <si>
    <t>*MANUFACTURE YEAR / ГОД ИЗГОТОВЛЕНИЯ</t>
    <phoneticPr fontId="9" type="noConversion"/>
  </si>
  <si>
    <t xml:space="preserve">ATTAN: MS. Aliya </t>
  </si>
  <si>
    <t>(E): a.kipshakbayeva@wiselogistics.kz</t>
  </si>
  <si>
    <t>*COUNTRY OF ORIGIN / СТРАНА ПРОИСХОЖДЕНИЯ</t>
    <phoneticPr fontId="9" type="noConversion"/>
  </si>
  <si>
    <t>(T): +7 701 512 19 69</t>
  </si>
  <si>
    <t>Korea</t>
    <phoneticPr fontId="9" type="noConversion"/>
  </si>
  <si>
    <t>*INCOTERMS / УСЛОВИЯ ПОСТАВКИ СОГЛАСНО ИНКОТЕРМС</t>
    <phoneticPr fontId="9" type="noConversion"/>
  </si>
  <si>
    <t>DAP Sairam district</t>
    <phoneticPr fontId="9" type="noConversion"/>
  </si>
  <si>
    <t>* CONTRACT NO. / НОМЕР КОНТРАКТ</t>
    <phoneticPr fontId="9" type="noConversion"/>
  </si>
  <si>
    <t>4. Port of Loading / Порт погрузки</t>
    <phoneticPr fontId="9" type="noConversion"/>
  </si>
  <si>
    <t>5. Carrier / Перевозчик</t>
    <phoneticPr fontId="9" type="noConversion"/>
  </si>
  <si>
    <t>0123-ПГУТ-8Д date 14.03.2023</t>
    <phoneticPr fontId="9" type="noConversion"/>
  </si>
  <si>
    <t>6. Port of Unloading / Порт разгрузки</t>
    <phoneticPr fontId="9" type="noConversion"/>
  </si>
  <si>
    <t>7. Final Destination / Конечный пункт назначения</t>
    <phoneticPr fontId="9" type="noConversion"/>
  </si>
  <si>
    <t>14. Mark and Numbers of PKGS / Маркировка и количество упаковок</t>
    <phoneticPr fontId="9" type="noConversion"/>
  </si>
  <si>
    <t>Turkestan Oblast, Sairam district</t>
    <phoneticPr fontId="9" type="noConversion"/>
  </si>
  <si>
    <t>PKG No.</t>
    <phoneticPr fontId="9" type="noConversion"/>
  </si>
  <si>
    <t>:</t>
    <phoneticPr fontId="9" type="noConversion"/>
  </si>
  <si>
    <t>PGU-DE-0581-PRP-FC-001~006</t>
    <phoneticPr fontId="3" type="noConversion"/>
  </si>
  <si>
    <t>Q-ty of Package</t>
    <phoneticPr fontId="9" type="noConversion"/>
  </si>
  <si>
    <t>PKGS</t>
    <phoneticPr fontId="9" type="noConversion"/>
  </si>
  <si>
    <r>
      <t xml:space="preserve">8. Voyage No / Рейс </t>
    </r>
    <r>
      <rPr>
        <b/>
        <sz val="10"/>
        <rFont val="Calibri"/>
        <family val="2"/>
      </rPr>
      <t>№</t>
    </r>
    <phoneticPr fontId="9" type="noConversion"/>
  </si>
  <si>
    <t>9. Sailing on or about / Дата или
ожидаемая дата</t>
    <phoneticPr fontId="9" type="noConversion"/>
  </si>
  <si>
    <t>Net Weight (kg)</t>
    <phoneticPr fontId="9" type="noConversion"/>
  </si>
  <si>
    <t>KG</t>
    <phoneticPr fontId="9" type="noConversion"/>
  </si>
  <si>
    <t>Gross Weight (kg)</t>
    <phoneticPr fontId="9" type="noConversion"/>
  </si>
  <si>
    <t>Dimension (m3)</t>
    <phoneticPr fontId="9" type="noConversion"/>
  </si>
  <si>
    <r>
      <t>m</t>
    </r>
    <r>
      <rPr>
        <vertAlign val="superscript"/>
        <sz val="11"/>
        <rFont val="Calibri"/>
        <family val="2"/>
      </rPr>
      <t>3</t>
    </r>
    <phoneticPr fontId="9" type="noConversion"/>
  </si>
  <si>
    <t>10. Customs Place / Место таможенного оформления</t>
    <phoneticPr fontId="3" type="noConversion"/>
  </si>
  <si>
    <t>15. Description of Goods / Описание товара</t>
    <phoneticPr fontId="9" type="noConversion"/>
  </si>
  <si>
    <t>16. HS CODE /</t>
    <phoneticPr fontId="9" type="noConversion"/>
  </si>
  <si>
    <t>17. Quantity /</t>
    <phoneticPr fontId="9" type="noConversion"/>
  </si>
  <si>
    <t>18. Total Price (USD)</t>
    <phoneticPr fontId="9" type="noConversion"/>
  </si>
  <si>
    <t>Код ТН ВЭД</t>
    <phoneticPr fontId="9" type="noConversion"/>
  </si>
  <si>
    <t>Количество</t>
    <phoneticPr fontId="9" type="noConversion"/>
  </si>
  <si>
    <t>Общая сумма (Дол. США)</t>
    <phoneticPr fontId="9" type="noConversion"/>
  </si>
  <si>
    <t>1 SET</t>
    <phoneticPr fontId="9" type="noConversion"/>
  </si>
  <si>
    <t>Total (DAP Value)</t>
    <phoneticPr fontId="9" type="noConversion"/>
  </si>
  <si>
    <t>Signed by</t>
  </si>
  <si>
    <t>Doosan Enerbility Co., Ltd</t>
    <phoneticPr fontId="9" type="noConversion"/>
  </si>
  <si>
    <t>155, Jeongjail-ro, Bundang-gu, Seongnam-si, Gyeonggi-do, Korea</t>
    <phoneticPr fontId="9" type="noConversion"/>
  </si>
  <si>
    <t>Tel. +82 31 5179 2045</t>
    <phoneticPr fontId="9" type="noConversion"/>
  </si>
  <si>
    <t xml:space="preserve"> Gihun Bek / Project Director</t>
    <phoneticPr fontId="37" type="noConversion"/>
  </si>
  <si>
    <t>Fax. +82 31 5179 2197</t>
    <phoneticPr fontId="9" type="noConversion"/>
  </si>
  <si>
    <t>Doosan Enerbility Co., Ltd.</t>
    <phoneticPr fontId="9" type="noConversion"/>
  </si>
  <si>
    <t>Invoice (Break-down)</t>
    <phoneticPr fontId="9" type="noConversion"/>
  </si>
  <si>
    <t xml:space="preserve">Invoice № :  </t>
    <phoneticPr fontId="9" type="noConversion"/>
  </si>
  <si>
    <t>№</t>
    <phoneticPr fontId="9" type="noConversion"/>
  </si>
  <si>
    <t>№ Package</t>
    <phoneticPr fontId="9" type="noConversion"/>
  </si>
  <si>
    <t>Description of Goods Specification</t>
    <phoneticPr fontId="9" type="noConversion"/>
  </si>
  <si>
    <t>HS CODE</t>
    <phoneticPr fontId="9" type="noConversion"/>
  </si>
  <si>
    <t>Quantity</t>
    <phoneticPr fontId="9" type="noConversion"/>
  </si>
  <si>
    <t>Unit</t>
    <phoneticPr fontId="9" type="noConversion"/>
  </si>
  <si>
    <t>U/Price
(USD)</t>
    <phoneticPr fontId="3" type="noConversion"/>
  </si>
  <si>
    <t>Amount
(USD)</t>
    <phoneticPr fontId="3" type="noConversion"/>
  </si>
  <si>
    <t>Country of
Origin</t>
    <phoneticPr fontId="9" type="noConversion"/>
  </si>
  <si>
    <t>Remark</t>
    <phoneticPr fontId="9" type="noConversion"/>
  </si>
  <si>
    <t>PGU-DE-0581-PRP-FC-001</t>
  </si>
  <si>
    <t>FO Cable</t>
  </si>
  <si>
    <t>Korea</t>
    <phoneticPr fontId="3" type="noConversion"/>
  </si>
  <si>
    <t>PGU-DE-0581-PRP-FC-002</t>
  </si>
  <si>
    <t>PGU-DE-0581-PRP-FC-003</t>
  </si>
  <si>
    <t>PGU-DE-0581-PRP-FC-004</t>
  </si>
  <si>
    <t>PGU-DE-0581-PRP-FC-005</t>
  </si>
  <si>
    <t>PGU-DE-0581-PRP-FC-006</t>
  </si>
  <si>
    <t>TOTAL</t>
    <phoneticPr fontId="9" type="noConversion"/>
  </si>
  <si>
    <t>PACKING LIST
УПАКОВОЧНЫЙ ЛИСТ</t>
    <phoneticPr fontId="9" type="noConversion"/>
  </si>
  <si>
    <r>
      <t xml:space="preserve">11. Invoice </t>
    </r>
    <r>
      <rPr>
        <b/>
        <sz val="10"/>
        <rFont val="Calibri"/>
        <family val="2"/>
      </rPr>
      <t xml:space="preserve">№ :  </t>
    </r>
    <phoneticPr fontId="9" type="noConversion"/>
  </si>
  <si>
    <t xml:space="preserve">12. Date : </t>
    <phoneticPr fontId="9" type="noConversion"/>
  </si>
  <si>
    <t>16. Q-ty</t>
    <phoneticPr fontId="3" type="noConversion"/>
  </si>
  <si>
    <t>17. Net Weight</t>
    <phoneticPr fontId="3" type="noConversion"/>
  </si>
  <si>
    <t>18. Gross Weight</t>
    <phoneticPr fontId="3" type="noConversion"/>
  </si>
  <si>
    <t>19. Measurement</t>
    <phoneticPr fontId="3" type="noConversion"/>
  </si>
  <si>
    <t>(EA)</t>
    <phoneticPr fontId="3" type="noConversion"/>
  </si>
  <si>
    <t>(kg)</t>
    <phoneticPr fontId="3" type="noConversion"/>
  </si>
  <si>
    <t>(CBM)</t>
    <phoneticPr fontId="3" type="noConversion"/>
  </si>
  <si>
    <t>Tel. +82 31 5179 2041</t>
    <phoneticPr fontId="9" type="noConversion"/>
  </si>
  <si>
    <t>Storage Classification "A" :</t>
    <phoneticPr fontId="9" type="noConversion"/>
  </si>
  <si>
    <t>Indoor with Air-conditioning</t>
    <phoneticPr fontId="9" type="noConversion"/>
  </si>
  <si>
    <t>Note&gt;</t>
    <phoneticPr fontId="3" type="noConversion"/>
  </si>
  <si>
    <t>Storage Classification "B" :</t>
    <phoneticPr fontId="9" type="noConversion"/>
  </si>
  <si>
    <t>Indoor without Air-conditioning</t>
    <phoneticPr fontId="9" type="noConversion"/>
  </si>
  <si>
    <t>Storage Classification "C" :</t>
    <phoneticPr fontId="9" type="noConversion"/>
  </si>
  <si>
    <t>Outdoor with Waterproofing</t>
    <phoneticPr fontId="9" type="noConversion"/>
  </si>
  <si>
    <t>Storage Classification "D" :</t>
    <phoneticPr fontId="9" type="noConversion"/>
  </si>
  <si>
    <t>Outdoor without Waterproofing</t>
    <phoneticPr fontId="9" type="noConversion"/>
  </si>
  <si>
    <t>SUMMARY PACKING LIST
CВОДНЫЙ УПАКОВОЧНЫЙ ЛИСТ</t>
    <phoneticPr fontId="9" type="noConversion"/>
  </si>
  <si>
    <t>Project Name:</t>
    <phoneticPr fontId="9" type="noConversion"/>
  </si>
  <si>
    <t>Construction of a 1000 MW CCGT Power Plant in the Sairam District of the Turkistan Region</t>
    <phoneticPr fontId="3" type="noConversion"/>
  </si>
  <si>
    <t>Main Site. Without External Engineering Networks</t>
    <phoneticPr fontId="3" type="noConversion"/>
  </si>
  <si>
    <t xml:space="preserve">Invoice №: </t>
    <phoneticPr fontId="9" type="noConversion"/>
  </si>
  <si>
    <t xml:space="preserve">Name of Consignee: </t>
    <phoneticPr fontId="3" type="noConversion"/>
  </si>
  <si>
    <t>CCGT Turkestan LLP</t>
  </si>
  <si>
    <t xml:space="preserve">Consignee address: </t>
    <phoneticPr fontId="3" type="noConversion"/>
  </si>
  <si>
    <t xml:space="preserve">Republic of Kazakhstan, Turkistan Region, Sairam District, Karamurt Rural District, Quarter 171    </t>
  </si>
  <si>
    <t>№</t>
  </si>
  <si>
    <r>
      <t xml:space="preserve">CNTR No. / Seal No. / 
</t>
    </r>
    <r>
      <rPr>
        <sz val="12"/>
        <rFont val="Segoe UI Symbol"/>
        <family val="2"/>
      </rPr>
      <t xml:space="preserve">№ </t>
    </r>
    <r>
      <rPr>
        <sz val="12"/>
        <rFont val="Calibri"/>
        <family val="2"/>
      </rPr>
      <t xml:space="preserve">контейнера / 
</t>
    </r>
    <r>
      <rPr>
        <sz val="12"/>
        <rFont val="Segoe UI Symbol"/>
        <family val="2"/>
      </rPr>
      <t xml:space="preserve">№ </t>
    </r>
    <r>
      <rPr>
        <sz val="12"/>
        <rFont val="Calibri"/>
        <family val="2"/>
      </rPr>
      <t>пломбы</t>
    </r>
    <phoneticPr fontId="3" type="noConversion"/>
  </si>
  <si>
    <r>
      <t xml:space="preserve">Package No. / 
</t>
    </r>
    <r>
      <rPr>
        <sz val="12"/>
        <rFont val="Segoe UI Symbol"/>
        <family val="2"/>
      </rPr>
      <t>№</t>
    </r>
    <r>
      <rPr>
        <sz val="12"/>
        <rFont val="Calibri"/>
        <family val="2"/>
      </rPr>
      <t xml:space="preserve"> упаковки</t>
    </r>
    <phoneticPr fontId="9" type="noConversion"/>
  </si>
  <si>
    <t>Description / Описание</t>
    <phoneticPr fontId="9" type="noConversion"/>
  </si>
  <si>
    <t>Packing Style / 
Вид упаковки</t>
    <phoneticPr fontId="9" type="noConversion"/>
  </si>
  <si>
    <t>Quantity / Количество</t>
    <phoneticPr fontId="9" type="noConversion"/>
  </si>
  <si>
    <t>Shipping Dimension / Отгрузочные параметры</t>
    <phoneticPr fontId="3" type="noConversion"/>
  </si>
  <si>
    <t>Net Weight (kg) / 
Вес нетто (кг)</t>
    <phoneticPr fontId="9" type="noConversion"/>
  </si>
  <si>
    <t>Gross Weight (kg) / 
Вес брутто (кг)</t>
    <phoneticPr fontId="9" type="noConversion"/>
  </si>
  <si>
    <t xml:space="preserve">Hazardous Material 
(UN Number) </t>
    <phoneticPr fontId="9" type="noConversion"/>
  </si>
  <si>
    <t>Storage Class /
Класс хранения</t>
    <phoneticPr fontId="9" type="noConversion"/>
  </si>
  <si>
    <t>Stackable / 
Штабелируемый</t>
    <phoneticPr fontId="9" type="noConversion"/>
  </si>
  <si>
    <t>Q'ty / 
Количество</t>
    <phoneticPr fontId="9" type="noConversion"/>
  </si>
  <si>
    <t>Unit / 
Ед.изм.</t>
    <phoneticPr fontId="9" type="noConversion"/>
  </si>
  <si>
    <t>L (cm) /
Д (см)</t>
    <phoneticPr fontId="3" type="noConversion"/>
  </si>
  <si>
    <t>W (cm) / 
Ш (см)</t>
    <phoneticPr fontId="9" type="noConversion"/>
  </si>
  <si>
    <t>H (cm) / 
В (см)</t>
    <phoneticPr fontId="9" type="noConversion"/>
  </si>
  <si>
    <t>CBM (m3) /
Объем (м3)</t>
    <phoneticPr fontId="9" type="noConversion"/>
  </si>
  <si>
    <t>PGU-DE-0581-PRP-FC-001</t>
    <phoneticPr fontId="3" type="noConversion"/>
  </si>
  <si>
    <t>FO Cable, MM Armoured (24C)-2000M</t>
  </si>
  <si>
    <t>Wooden</t>
    <phoneticPr fontId="3" type="noConversion"/>
  </si>
  <si>
    <t>EA</t>
    <phoneticPr fontId="3" type="noConversion"/>
  </si>
  <si>
    <t>N</t>
  </si>
  <si>
    <t>B</t>
  </si>
  <si>
    <t>PGU-DE-0581-PRP-FC-002</t>
    <phoneticPr fontId="3" type="noConversion"/>
  </si>
  <si>
    <t>FO Cable, MM Armoured (4C)-2300M</t>
  </si>
  <si>
    <t>PGU-DE-0581-PRP-FC-003</t>
    <phoneticPr fontId="3" type="noConversion"/>
  </si>
  <si>
    <t>FO Cable, MM Armoured (8C)-3000M</t>
  </si>
  <si>
    <t>PGU-DE-0581-PRP-FC-005</t>
    <phoneticPr fontId="3" type="noConversion"/>
  </si>
  <si>
    <t>FO Cable, SM Armoured (4C)-2000M</t>
  </si>
  <si>
    <t>PGU-DE-0581-PRP-FC-006</t>
    <phoneticPr fontId="3" type="noConversion"/>
  </si>
  <si>
    <t>FO Cable, SM Armoured (8C)-3800M</t>
  </si>
  <si>
    <t>TOTAL / ИТОГО</t>
    <phoneticPr fontId="9" type="noConversion"/>
  </si>
  <si>
    <t>HEAD OFFICE &amp; CHANGWON PLANT</t>
    <phoneticPr fontId="3" type="noConversion"/>
  </si>
  <si>
    <t>DETAILED PACKING LIST 
ПОДРОБНЫЙ УПАКОВОЧНЫЙ ЛИСТ</t>
    <phoneticPr fontId="9" type="noConversion"/>
  </si>
  <si>
    <t>PGU-DE-0581</t>
  </si>
  <si>
    <t>CCGT Turkestan LLP</t>
    <phoneticPr fontId="3" type="noConversion"/>
  </si>
  <si>
    <t xml:space="preserve">Republic of Kazakhstan, Turkistan Region, Sairam District, Karamurt Rural District, Quarter 171    </t>
    <phoneticPr fontId="3" type="noConversion"/>
  </si>
  <si>
    <r>
      <t>Package No./ 
Номер</t>
    </r>
    <r>
      <rPr>
        <sz val="12"/>
        <rFont val="맑은 고딕"/>
        <family val="2"/>
        <charset val="129"/>
      </rPr>
      <t xml:space="preserve"> </t>
    </r>
    <r>
      <rPr>
        <sz val="12"/>
        <rFont val="Calibri"/>
        <family val="2"/>
      </rPr>
      <t>упаковки</t>
    </r>
    <phoneticPr fontId="9" type="noConversion"/>
  </si>
  <si>
    <t>Description / 
Описание</t>
    <phoneticPr fontId="9" type="noConversion"/>
  </si>
  <si>
    <t>HS Code / 
Код ТН ВЭД</t>
    <phoneticPr fontId="3" type="noConversion"/>
  </si>
  <si>
    <t>Drawing No. / 
№ чертежа</t>
    <phoneticPr fontId="3" type="noConversion"/>
  </si>
  <si>
    <t>Tag No. / 
№ Тег</t>
    <phoneticPr fontId="3" type="noConversion"/>
  </si>
  <si>
    <t>Unit Price (US$) / 
Цена за единицу</t>
    <phoneticPr fontId="9" type="noConversion"/>
  </si>
  <si>
    <t>Total Price (US$) / 
Общая цена</t>
    <phoneticPr fontId="9" type="noConversion"/>
  </si>
  <si>
    <t>Remark / 
Примечания</t>
    <phoneticPr fontId="9" type="noConversion"/>
  </si>
  <si>
    <t>Q'ty / 
Кол-во</t>
    <phoneticPr fontId="9" type="noConversion"/>
  </si>
  <si>
    <t>Unit / 
Ед. изм.</t>
    <phoneticPr fontId="9" type="noConversion"/>
  </si>
  <si>
    <t>FO Cable, MM Armoured (24C)-2000M</t>
    <phoneticPr fontId="3" type="noConversion"/>
  </si>
  <si>
    <t>8544.70.0000</t>
    <phoneticPr fontId="3" type="noConversion"/>
  </si>
  <si>
    <t>BOX</t>
    <phoneticPr fontId="3" type="noConversion"/>
  </si>
  <si>
    <t>FO Cable, MM Armoured (4C)-2300M</t>
    <phoneticPr fontId="3" type="noConversion"/>
  </si>
  <si>
    <t>FO Cable, MM Armoured (8C)-3000M</t>
    <phoneticPr fontId="3" type="noConversion"/>
  </si>
  <si>
    <t>FO Cable, SM Armoured (4C)-2000M</t>
    <phoneticPr fontId="3" type="noConversion"/>
  </si>
  <si>
    <t>FO Cable, SM Armoured (8C)-3800M</t>
    <phoneticPr fontId="3" type="noConversion"/>
  </si>
  <si>
    <t>TOTAL/ ИТОГО</t>
    <phoneticPr fontId="9" type="noConversion"/>
  </si>
  <si>
    <t>SHIPPING MARK
ГРУЗОВАЯ МАРКИРОВКА</t>
    <phoneticPr fontId="5" type="noConversion"/>
  </si>
  <si>
    <r>
      <rPr>
        <b/>
        <sz val="16"/>
        <rFont val="Segoe UI Symbol"/>
        <family val="3"/>
      </rPr>
      <t>●</t>
    </r>
    <r>
      <rPr>
        <b/>
        <sz val="16"/>
        <rFont val="Calibri"/>
        <family val="2"/>
      </rPr>
      <t xml:space="preserve"> NAME OF THE PROJECT</t>
    </r>
    <phoneticPr fontId="5" type="noConversion"/>
  </si>
  <si>
    <t xml:space="preserve">: </t>
    <phoneticPr fontId="5" type="noConversion"/>
  </si>
  <si>
    <t xml:space="preserve">Construction of a 1000 MW CCGT Power Plant in the Sairam District of the </t>
    <phoneticPr fontId="3" type="noConversion"/>
  </si>
  <si>
    <t xml:space="preserve">    НАЗВАНИЕ ПРОЕКТА</t>
    <phoneticPr fontId="5" type="noConversion"/>
  </si>
  <si>
    <t>Turkistan Region, Main Site. Without External Engineering Networks</t>
    <phoneticPr fontId="3" type="noConversion"/>
  </si>
  <si>
    <r>
      <rPr>
        <b/>
        <sz val="16"/>
        <rFont val="맑은 고딕"/>
        <family val="3"/>
        <charset val="129"/>
      </rPr>
      <t>●</t>
    </r>
    <r>
      <rPr>
        <b/>
        <sz val="16"/>
        <rFont val="Calibri"/>
        <family val="2"/>
      </rPr>
      <t xml:space="preserve"> CONSIGNEE</t>
    </r>
    <phoneticPr fontId="5" type="noConversion"/>
  </si>
  <si>
    <t>Branch of JSC "Doosan Enerbility" in the Turkistan region</t>
    <phoneticPr fontId="3" type="noConversion"/>
  </si>
  <si>
    <t xml:space="preserve">    ГРУЗОПОЛУЧАТЕЛЬ</t>
    <phoneticPr fontId="5" type="noConversion"/>
  </si>
  <si>
    <r>
      <rPr>
        <b/>
        <sz val="16"/>
        <rFont val="맑은 고딕"/>
        <family val="3"/>
        <charset val="129"/>
      </rPr>
      <t>●</t>
    </r>
    <r>
      <rPr>
        <b/>
        <sz val="16"/>
        <rFont val="Calibri"/>
        <family val="2"/>
      </rPr>
      <t xml:space="preserve"> Shipper/Exporter</t>
    </r>
    <phoneticPr fontId="5" type="noConversion"/>
  </si>
  <si>
    <t>: Doosan Enerbility Co., LTD</t>
    <phoneticPr fontId="5" type="noConversion"/>
  </si>
  <si>
    <t xml:space="preserve">     Грузоотправитель/Экспортер</t>
    <phoneticPr fontId="5" type="noConversion"/>
  </si>
  <si>
    <t xml:space="preserve">  22, Doosan Volvo-ro, Sengsan-gu, Changwon, Gyeongnam, South Korea</t>
    <phoneticPr fontId="5" type="noConversion"/>
  </si>
  <si>
    <r>
      <rPr>
        <b/>
        <sz val="16"/>
        <rFont val="맑은 고딕"/>
        <family val="3"/>
        <charset val="129"/>
      </rPr>
      <t>●</t>
    </r>
    <r>
      <rPr>
        <b/>
        <sz val="16"/>
        <rFont val="Calibri"/>
        <family val="2"/>
      </rPr>
      <t xml:space="preserve"> Number of Invoice</t>
    </r>
    <phoneticPr fontId="5" type="noConversion"/>
  </si>
  <si>
    <t>:</t>
    <phoneticPr fontId="5" type="noConversion"/>
  </si>
  <si>
    <t xml:space="preserve">    № инвойса</t>
    <phoneticPr fontId="5" type="noConversion"/>
  </si>
  <si>
    <r>
      <rPr>
        <b/>
        <sz val="16"/>
        <rFont val="맑은 고딕"/>
        <family val="3"/>
        <charset val="129"/>
      </rPr>
      <t>●</t>
    </r>
    <r>
      <rPr>
        <b/>
        <sz val="16"/>
        <rFont val="Calibri"/>
        <family val="2"/>
      </rPr>
      <t xml:space="preserve"> CARGO DESCRIPTION</t>
    </r>
    <phoneticPr fontId="3" type="noConversion"/>
  </si>
  <si>
    <t xml:space="preserve">    ОПИСАНИЕ ГРУЗА</t>
  </si>
  <si>
    <r>
      <rPr>
        <b/>
        <sz val="16"/>
        <rFont val="맑은 고딕"/>
        <family val="3"/>
        <charset val="129"/>
      </rPr>
      <t>●</t>
    </r>
    <r>
      <rPr>
        <b/>
        <sz val="16"/>
        <rFont val="Calibri"/>
        <family val="2"/>
      </rPr>
      <t xml:space="preserve"> PACKAGE NO.</t>
    </r>
  </si>
  <si>
    <t>:</t>
    <phoneticPr fontId="3" type="noConversion"/>
  </si>
  <si>
    <t xml:space="preserve">    УПАКОВОЧНЫЙ НОМЕР </t>
  </si>
  <si>
    <r>
      <rPr>
        <b/>
        <sz val="16"/>
        <rFont val="맑은 고딕"/>
        <family val="3"/>
        <charset val="129"/>
      </rPr>
      <t>●</t>
    </r>
    <r>
      <rPr>
        <b/>
        <sz val="16"/>
        <rFont val="Calibri"/>
        <family val="2"/>
      </rPr>
      <t xml:space="preserve"> NET WEIGHT</t>
    </r>
    <phoneticPr fontId="5" type="noConversion"/>
  </si>
  <si>
    <t>Kg</t>
    <phoneticPr fontId="5" type="noConversion"/>
  </si>
  <si>
    <t xml:space="preserve">    ВЕС НЕТТО</t>
    <phoneticPr fontId="5" type="noConversion"/>
  </si>
  <si>
    <r>
      <rPr>
        <b/>
        <sz val="16"/>
        <rFont val="맑은 고딕"/>
        <family val="3"/>
        <charset val="129"/>
      </rPr>
      <t>●</t>
    </r>
    <r>
      <rPr>
        <b/>
        <sz val="16"/>
        <rFont val="Calibri"/>
        <family val="2"/>
      </rPr>
      <t xml:space="preserve"> GROSS WEIGHT</t>
    </r>
    <phoneticPr fontId="5" type="noConversion"/>
  </si>
  <si>
    <t xml:space="preserve">    ВЕС БРУТТО</t>
    <phoneticPr fontId="5" type="noConversion"/>
  </si>
  <si>
    <r>
      <rPr>
        <b/>
        <sz val="16"/>
        <rFont val="Segoe UI Symbol"/>
        <family val="3"/>
      </rPr>
      <t>●</t>
    </r>
    <r>
      <rPr>
        <b/>
        <sz val="16"/>
        <rFont val="Calibri"/>
        <family val="2"/>
      </rPr>
      <t xml:space="preserve">  CBM(m3)</t>
    </r>
    <phoneticPr fontId="5" type="noConversion"/>
  </si>
  <si>
    <t>m3</t>
    <phoneticPr fontId="3" type="noConversion"/>
  </si>
  <si>
    <t xml:space="preserve">    РАЗМЕРЫ</t>
    <phoneticPr fontId="5" type="noConversion"/>
  </si>
  <si>
    <r>
      <rPr>
        <b/>
        <sz val="16"/>
        <rFont val="맑은 고딕"/>
        <family val="3"/>
        <charset val="129"/>
      </rPr>
      <t>●</t>
    </r>
    <r>
      <rPr>
        <b/>
        <sz val="16"/>
        <rFont val="Calibri"/>
        <family val="2"/>
      </rPr>
      <t xml:space="preserve"> FINAL DESTINATION</t>
    </r>
  </si>
  <si>
    <t xml:space="preserve">:
</t>
    <phoneticPr fontId="5" type="noConversion"/>
  </si>
  <si>
    <t xml:space="preserve">Turkestan Oblast, Sairam district, Karamurt rural district, quarter 171, Republic of Kazakhstan </t>
    <phoneticPr fontId="3" type="noConversion"/>
  </si>
  <si>
    <t xml:space="preserve">    КОНЕЧНЫЙ ПУНКТ НАЗНАЧЕНИЯ</t>
  </si>
  <si>
    <t>Doosan Enerbility</t>
    <phoneticPr fontId="5" type="noConversion"/>
  </si>
  <si>
    <t>8544.70-0000</t>
    <phoneticPr fontId="9" type="noConversion"/>
  </si>
  <si>
    <t>8544.70-0000</t>
    <phoneticPr fontId="3" type="noConversion"/>
  </si>
  <si>
    <t>8544.70-0001</t>
  </si>
  <si>
    <t>8544.70-0002</t>
  </si>
  <si>
    <t>8544.70-0003</t>
  </si>
  <si>
    <t>8544.70-0004</t>
  </si>
  <si>
    <t>8544.70-0005</t>
  </si>
  <si>
    <t>EA</t>
    <phoneticPr fontId="3" type="noConversion"/>
  </si>
  <si>
    <t>Fiber Optic Cable</t>
    <phoneticPr fontId="9" type="noConversion"/>
  </si>
  <si>
    <t>CD - Eletrical System</t>
    <phoneticPr fontId="9" type="noConversion"/>
  </si>
  <si>
    <t>Силовые кабели и кабели управления</t>
    <phoneticPr fontId="9" type="noConversion"/>
  </si>
  <si>
    <t>/ комплект</t>
  </si>
  <si>
    <t>/ комплект</t>
    <phoneticPr fontId="9" type="noConversion"/>
  </si>
  <si>
    <t>Busan, Korea</t>
    <phoneticPr fontId="3" type="noConversion"/>
  </si>
  <si>
    <t>HEUNG-A JANICE</t>
    <phoneticPr fontId="3" type="noConversion"/>
  </si>
  <si>
    <t>Qingdao, China</t>
    <phoneticPr fontId="3" type="noConversion"/>
  </si>
  <si>
    <t>2626W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</si>
</sst>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-* #,##0_-;\-* #,##0_-;_-* &quot;-&quot;_-;_-@_-"/>
    <numFmt numFmtId="43" formatCode="_-* #,##0.00_-;\-* #,##0.00_-;_-* &quot;-&quot;??_-;_-@_-"/>
    <numFmt numFmtId="176" formatCode="_-* #,##0.00_-;\-* #,##0.00_-;_-* &quot;-&quot;_-;_-@_-"/>
    <numFmt numFmtId="177" formatCode="0_);[Red]\(0\)"/>
    <numFmt numFmtId="178" formatCode="0.000_);[Red]\(0.000\)"/>
    <numFmt numFmtId="179" formatCode="#,##0.00_ "/>
    <numFmt numFmtId="180" formatCode="#,##0_ "/>
    <numFmt numFmtId="181" formatCode="_(* #,##0_);_(* \(#,##0\);_(* &quot;-&quot;??_);_(@_)"/>
    <numFmt numFmtId="182" formatCode="#,##0\ &quot;EA&quot;"/>
    <numFmt numFmtId="183" formatCode="#,##0.000;[Red]\-#,##0.000"/>
    <numFmt numFmtId="184" formatCode="_-* #,##0.000_-;\-* #,##0.000_-;_-* &quot;-&quot;_-;_-@_-"/>
    <numFmt numFmtId="185" formatCode="0_ "/>
    <numFmt numFmtId="186" formatCode="[$-409]mmmm\ d\,\ yyyy;@"/>
  </numFmts>
  <fonts count="67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맑은 고딕"/>
      <family val="2"/>
      <charset val="129"/>
      <scheme val="minor"/>
    </font>
    <font>
      <sz val="10"/>
      <name val="Arial"/>
      <family val="2"/>
    </font>
    <font>
      <sz val="8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9"/>
      <name val="ＭＳ Ｐゴシック"/>
      <family val="2"/>
      <charset val="128"/>
    </font>
    <font>
      <sz val="10.5"/>
      <color theme="1"/>
      <name val="Calibri"/>
      <family val="2"/>
    </font>
    <font>
      <sz val="8"/>
      <name val="돋움"/>
      <family val="3"/>
      <charset val="129"/>
    </font>
    <font>
      <sz val="11"/>
      <name val="Calibri"/>
      <family val="2"/>
    </font>
    <font>
      <sz val="16"/>
      <color theme="1"/>
      <name val="맑은 고딕"/>
      <family val="2"/>
      <charset val="129"/>
      <scheme val="minor"/>
    </font>
    <font>
      <sz val="16"/>
      <color theme="1"/>
      <name val="맑은 고딕"/>
      <family val="3"/>
      <charset val="129"/>
      <scheme val="minor"/>
    </font>
    <font>
      <b/>
      <sz val="16"/>
      <name val="Calibri"/>
      <family val="2"/>
    </font>
    <font>
      <sz val="9"/>
      <name val="Calibri"/>
      <family val="2"/>
    </font>
    <font>
      <sz val="8"/>
      <name val="Calibri"/>
      <family val="2"/>
    </font>
    <font>
      <sz val="9"/>
      <name val="Arial"/>
      <family val="2"/>
    </font>
    <font>
      <sz val="10"/>
      <name val="Calibri"/>
      <family val="2"/>
    </font>
    <font>
      <b/>
      <sz val="14"/>
      <name val="Calibri"/>
      <family val="2"/>
    </font>
    <font>
      <sz val="11"/>
      <name val="Arial"/>
      <family val="2"/>
    </font>
    <font>
      <sz val="13"/>
      <name val="Calibri"/>
      <family val="2"/>
    </font>
    <font>
      <b/>
      <sz val="13"/>
      <color theme="0"/>
      <name val="Calibri"/>
      <family val="2"/>
    </font>
    <font>
      <sz val="12"/>
      <name val="Calibri"/>
      <family val="2"/>
    </font>
    <font>
      <sz val="11"/>
      <name val="굴림체"/>
      <family val="3"/>
      <charset val="129"/>
    </font>
    <font>
      <i/>
      <sz val="12"/>
      <name val="Calibri"/>
      <family val="2"/>
    </font>
    <font>
      <b/>
      <sz val="12"/>
      <color theme="0"/>
      <name val="Calibri"/>
      <family val="2"/>
    </font>
    <font>
      <b/>
      <sz val="9"/>
      <name val="Calibri"/>
      <family val="2"/>
    </font>
    <font>
      <b/>
      <sz val="10"/>
      <name val="Arial"/>
      <family val="2"/>
    </font>
    <font>
      <sz val="9"/>
      <color indexed="8"/>
      <name val="Calibri"/>
      <family val="2"/>
    </font>
    <font>
      <sz val="1"/>
      <color indexed="8"/>
      <name val="Courier"/>
      <family val="3"/>
    </font>
    <font>
      <b/>
      <i/>
      <sz val="9"/>
      <name val="Calibri"/>
      <family val="2"/>
    </font>
    <font>
      <b/>
      <sz val="10"/>
      <name val="Calibri"/>
      <family val="2"/>
    </font>
    <font>
      <b/>
      <sz val="11"/>
      <name val="Calibri"/>
      <family val="2"/>
    </font>
    <font>
      <strike/>
      <sz val="11"/>
      <name val="Calibri"/>
      <family val="2"/>
    </font>
    <font>
      <sz val="11"/>
      <color indexed="10"/>
      <name val="Calibri"/>
      <family val="2"/>
    </font>
    <font>
      <sz val="11"/>
      <color rgb="FF0000CC"/>
      <name val="Calibri"/>
      <family val="2"/>
    </font>
    <font>
      <sz val="11"/>
      <color rgb="FF0000CC"/>
      <name val="Arial"/>
      <family val="2"/>
    </font>
    <font>
      <sz val="8"/>
      <name val="돋움"/>
      <family val="3"/>
    </font>
    <font>
      <b/>
      <sz val="12"/>
      <name val="Calibri"/>
      <family val="2"/>
    </font>
    <font>
      <sz val="10"/>
      <name val="Arial"/>
      <family val="2"/>
    </font>
    <font>
      <sz val="12"/>
      <color theme="1"/>
      <name val="Calibri"/>
      <family val="2"/>
    </font>
    <font>
      <sz val="14"/>
      <name val="Calibri"/>
      <family val="2"/>
    </font>
    <font>
      <sz val="16"/>
      <name val="Calibri"/>
      <family val="2"/>
    </font>
    <font>
      <b/>
      <sz val="24"/>
      <name val="Calibri"/>
      <family val="2"/>
    </font>
    <font>
      <b/>
      <sz val="16"/>
      <name val="맑은 고딕"/>
      <family val="3"/>
      <charset val="129"/>
    </font>
    <font>
      <sz val="16"/>
      <name val="맑은 고딕"/>
      <family val="3"/>
      <charset val="129"/>
      <scheme val="minor"/>
    </font>
    <font>
      <sz val="16"/>
      <name val="맑은 고딕"/>
      <family val="2"/>
      <charset val="129"/>
      <scheme val="minor"/>
    </font>
    <font>
      <b/>
      <sz val="16"/>
      <name val="Calibri"/>
      <family val="3"/>
    </font>
    <font>
      <b/>
      <sz val="16"/>
      <name val="Segoe UI Symbol"/>
      <family val="3"/>
    </font>
    <font>
      <sz val="11"/>
      <color theme="1"/>
      <name val="Calibri"/>
      <family val="2"/>
    </font>
    <font>
      <sz val="8"/>
      <name val="Arial"/>
      <family val="2"/>
    </font>
    <font>
      <sz val="12"/>
      <name val="Segoe UI Symbol"/>
      <family val="2"/>
    </font>
    <font>
      <sz val="12"/>
      <name val="맑은 고딕"/>
      <family val="2"/>
      <charset val="129"/>
    </font>
    <font>
      <b/>
      <i/>
      <sz val="12"/>
      <name val="Calibri"/>
      <family val="2"/>
    </font>
    <font>
      <vertAlign val="superscript"/>
      <sz val="11"/>
      <name val="Calibri"/>
      <family val="2"/>
    </font>
    <font>
      <sz val="9"/>
      <name val="맑은 고딕"/>
      <family val="3"/>
      <charset val="129"/>
      <scheme val="minor"/>
    </font>
    <font>
      <b/>
      <sz val="11"/>
      <color theme="1"/>
      <name val="Calibri"/>
      <family val="2"/>
    </font>
    <font>
      <sz val="12"/>
      <color theme="0"/>
      <name val="Calibri"/>
      <family val="2"/>
    </font>
    <font>
      <b/>
      <i/>
      <sz val="12"/>
      <color rgb="FF0000CC"/>
      <name val="Calibri"/>
      <family val="2"/>
    </font>
    <font>
      <b/>
      <sz val="16"/>
      <name val="맑은 고딕"/>
      <family val="2"/>
      <charset val="129"/>
    </font>
    <font>
      <b/>
      <sz val="11.5"/>
      <name val="Calibri"/>
      <family val="2"/>
    </font>
    <font>
      <b/>
      <i/>
      <sz val="11.5"/>
      <color rgb="FF0000CC"/>
      <name val="Calibri"/>
      <family val="2"/>
    </font>
    <font>
      <sz val="11.5"/>
      <name val="Calibri"/>
      <family val="2"/>
    </font>
    <font>
      <sz val="13"/>
      <name val="Arial"/>
      <family val="2"/>
    </font>
    <font>
      <b/>
      <sz val="13"/>
      <name val="Calibri"/>
      <family val="2"/>
    </font>
    <font>
      <sz val="11"/>
      <color rgb="FF0000FF"/>
      <name val="Calibri"/>
      <family val="2"/>
    </font>
    <font>
      <sz val="14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1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41" fontId="2" fillId="0" borderId="0" applyFont="0" applyFill="0" applyBorder="0" applyAlignment="0" applyProtection="0"/>
    <xf numFmtId="0" fontId="4" fillId="0" borderId="0"/>
    <xf numFmtId="43" fontId="2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7" fillId="0" borderId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3" fillId="0" borderId="0"/>
    <xf numFmtId="4" fontId="29" fillId="0" borderId="0">
      <protection locked="0"/>
    </xf>
    <xf numFmtId="0" fontId="39" fillId="0" borderId="0"/>
    <xf numFmtId="41" fontId="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4" fillId="0" borderId="0"/>
  </cellStyleXfs>
  <cellXfs count="407">
    <xf numFmtId="0" fontId="0" fillId="0" borderId="0" xfId="0">
      <alignment vertical="center"/>
    </xf>
    <xf numFmtId="0" fontId="8" fillId="0" borderId="0" xfId="0" applyFont="1">
      <alignment vertical="center"/>
    </xf>
    <xf numFmtId="0" fontId="0" fillId="2" borderId="0" xfId="0" applyFill="1">
      <alignment vertical="center"/>
    </xf>
    <xf numFmtId="0" fontId="11" fillId="2" borderId="0" xfId="0" applyFont="1" applyFill="1">
      <alignment vertical="center"/>
    </xf>
    <xf numFmtId="0" fontId="12" fillId="2" borderId="0" xfId="0" applyFont="1" applyFill="1">
      <alignment vertical="center"/>
    </xf>
    <xf numFmtId="0" fontId="14" fillId="0" borderId="0" xfId="13" applyFont="1">
      <alignment vertical="center"/>
    </xf>
    <xf numFmtId="0" fontId="14" fillId="0" borderId="0" xfId="13" applyFont="1" applyAlignment="1">
      <alignment vertical="center" wrapText="1"/>
    </xf>
    <xf numFmtId="41" fontId="14" fillId="0" borderId="0" xfId="14" applyFont="1">
      <alignment vertical="center"/>
    </xf>
    <xf numFmtId="0" fontId="14" fillId="0" borderId="0" xfId="13" applyFont="1" applyAlignment="1">
      <alignment horizontal="center" vertical="center"/>
    </xf>
    <xf numFmtId="0" fontId="16" fillId="0" borderId="0" xfId="13" applyFont="1">
      <alignment vertical="center"/>
    </xf>
    <xf numFmtId="0" fontId="14" fillId="0" borderId="0" xfId="13" applyFont="1" applyAlignment="1">
      <alignment horizontal="left" vertical="center"/>
    </xf>
    <xf numFmtId="0" fontId="16" fillId="0" borderId="0" xfId="13" applyFont="1" applyAlignment="1">
      <alignment vertical="center" wrapText="1"/>
    </xf>
    <xf numFmtId="0" fontId="17" fillId="0" borderId="0" xfId="13" applyFont="1" applyAlignment="1">
      <alignment vertical="center" wrapText="1"/>
    </xf>
    <xf numFmtId="0" fontId="4" fillId="0" borderId="0" xfId="13" applyFont="1" applyAlignment="1">
      <alignment vertical="center" wrapText="1"/>
    </xf>
    <xf numFmtId="0" fontId="4" fillId="0" borderId="0" xfId="13" applyFont="1">
      <alignment vertical="center"/>
    </xf>
    <xf numFmtId="0" fontId="18" fillId="0" borderId="0" xfId="13" applyFont="1">
      <alignment vertical="center"/>
    </xf>
    <xf numFmtId="0" fontId="10" fillId="0" borderId="0" xfId="13" applyFont="1" applyAlignment="1">
      <alignment vertical="center" wrapText="1"/>
    </xf>
    <xf numFmtId="41" fontId="10" fillId="0" borderId="0" xfId="14" applyFont="1">
      <alignment vertical="center"/>
    </xf>
    <xf numFmtId="0" fontId="10" fillId="0" borderId="0" xfId="13" applyFont="1" applyAlignment="1">
      <alignment horizontal="center" vertical="center"/>
    </xf>
    <xf numFmtId="176" fontId="10" fillId="0" borderId="0" xfId="14" applyNumberFormat="1" applyFont="1">
      <alignment vertical="center"/>
    </xf>
    <xf numFmtId="0" fontId="10" fillId="0" borderId="0" xfId="13" applyFont="1">
      <alignment vertical="center"/>
    </xf>
    <xf numFmtId="178" fontId="14" fillId="0" borderId="0" xfId="13" applyNumberFormat="1" applyFont="1" applyAlignment="1">
      <alignment horizontal="left" vertical="center"/>
    </xf>
    <xf numFmtId="0" fontId="19" fillId="0" borderId="0" xfId="13" applyFont="1" applyAlignment="1">
      <alignment vertical="center" wrapText="1"/>
    </xf>
    <xf numFmtId="0" fontId="19" fillId="0" borderId="0" xfId="13" applyFont="1">
      <alignment vertical="center"/>
    </xf>
    <xf numFmtId="0" fontId="21" fillId="0" borderId="0" xfId="13" applyFont="1">
      <alignment vertical="center"/>
    </xf>
    <xf numFmtId="0" fontId="20" fillId="0" borderId="0" xfId="13" applyFont="1" applyAlignment="1">
      <alignment vertical="center" wrapText="1"/>
    </xf>
    <xf numFmtId="0" fontId="20" fillId="0" borderId="0" xfId="13" applyFont="1">
      <alignment vertical="center"/>
    </xf>
    <xf numFmtId="0" fontId="22" fillId="2" borderId="15" xfId="13" applyFont="1" applyFill="1" applyBorder="1" applyAlignment="1">
      <alignment horizontal="center" vertical="center"/>
    </xf>
    <xf numFmtId="0" fontId="22" fillId="2" borderId="1" xfId="15" applyFont="1" applyFill="1" applyBorder="1" applyAlignment="1">
      <alignment horizontal="center" vertical="center"/>
    </xf>
    <xf numFmtId="40" fontId="22" fillId="0" borderId="1" xfId="14" applyNumberFormat="1" applyFont="1" applyFill="1" applyBorder="1" applyAlignment="1">
      <alignment horizontal="center" vertical="center"/>
    </xf>
    <xf numFmtId="41" fontId="22" fillId="2" borderId="1" xfId="14" applyFont="1" applyFill="1" applyBorder="1" applyAlignment="1">
      <alignment horizontal="center" vertical="center"/>
    </xf>
    <xf numFmtId="0" fontId="22" fillId="2" borderId="1" xfId="13" applyFont="1" applyFill="1" applyBorder="1" applyAlignment="1">
      <alignment horizontal="center" vertical="center"/>
    </xf>
    <xf numFmtId="176" fontId="22" fillId="2" borderId="1" xfId="14" applyNumberFormat="1" applyFont="1" applyFill="1" applyBorder="1" applyAlignment="1">
      <alignment horizontal="center" vertical="center"/>
    </xf>
    <xf numFmtId="0" fontId="25" fillId="0" borderId="0" xfId="13" applyFont="1">
      <alignment vertical="center"/>
    </xf>
    <xf numFmtId="0" fontId="22" fillId="0" borderId="0" xfId="13" applyFont="1" applyAlignment="1">
      <alignment vertical="center" wrapText="1"/>
    </xf>
    <xf numFmtId="0" fontId="22" fillId="0" borderId="0" xfId="13" applyFont="1" applyAlignment="1">
      <alignment horizontal="left" vertical="center" wrapText="1"/>
    </xf>
    <xf numFmtId="0" fontId="26" fillId="0" borderId="0" xfId="13" applyFont="1" applyAlignment="1">
      <alignment horizontal="left" vertical="center" wrapText="1"/>
    </xf>
    <xf numFmtId="0" fontId="27" fillId="0" borderId="0" xfId="13" applyFont="1" applyAlignment="1">
      <alignment vertical="center" wrapText="1"/>
    </xf>
    <xf numFmtId="0" fontId="27" fillId="0" borderId="0" xfId="13" applyFont="1">
      <alignment vertical="center"/>
    </xf>
    <xf numFmtId="0" fontId="28" fillId="0" borderId="0" xfId="13" applyFont="1" applyAlignment="1">
      <alignment horizontal="left" vertical="center" wrapText="1"/>
    </xf>
    <xf numFmtId="38" fontId="14" fillId="0" borderId="0" xfId="14" applyNumberFormat="1" applyFont="1" applyBorder="1" applyAlignment="1">
      <alignment horizontal="center" vertical="center"/>
    </xf>
    <xf numFmtId="180" fontId="14" fillId="0" borderId="0" xfId="13" applyNumberFormat="1" applyFont="1" applyAlignment="1">
      <alignment horizontal="center" vertical="center"/>
    </xf>
    <xf numFmtId="178" fontId="14" fillId="0" borderId="0" xfId="13" applyNumberFormat="1" applyFont="1" applyAlignment="1">
      <alignment horizontal="center" vertical="center"/>
    </xf>
    <xf numFmtId="0" fontId="14" fillId="0" borderId="0" xfId="13" applyFont="1" applyAlignment="1">
      <alignment horizontal="left" vertical="center" wrapText="1"/>
    </xf>
    <xf numFmtId="181" fontId="14" fillId="0" borderId="0" xfId="16" applyNumberFormat="1" applyFont="1" applyAlignment="1">
      <alignment horizontal="center" vertical="center"/>
      <protection locked="0"/>
    </xf>
    <xf numFmtId="38" fontId="14" fillId="0" borderId="0" xfId="14" applyNumberFormat="1" applyFont="1" applyBorder="1" applyAlignment="1">
      <alignment horizontal="left" vertical="center"/>
    </xf>
    <xf numFmtId="0" fontId="16" fillId="0" borderId="0" xfId="13" applyFont="1" applyAlignment="1">
      <alignment horizontal="left" vertical="center" wrapText="1"/>
    </xf>
    <xf numFmtId="0" fontId="16" fillId="0" borderId="0" xfId="13" applyFont="1" applyAlignment="1">
      <alignment horizontal="left" vertical="center"/>
    </xf>
    <xf numFmtId="178" fontId="30" fillId="0" borderId="0" xfId="13" applyNumberFormat="1" applyFont="1" applyAlignment="1">
      <alignment horizontal="center" vertical="center"/>
    </xf>
    <xf numFmtId="0" fontId="17" fillId="0" borderId="0" xfId="13" applyFont="1">
      <alignment vertical="center"/>
    </xf>
    <xf numFmtId="0" fontId="17" fillId="0" borderId="0" xfId="13" applyFont="1" applyAlignment="1">
      <alignment horizontal="center" vertical="center"/>
    </xf>
    <xf numFmtId="176" fontId="17" fillId="0" borderId="0" xfId="14" applyNumberFormat="1" applyFont="1" applyBorder="1">
      <alignment vertical="center"/>
    </xf>
    <xf numFmtId="178" fontId="17" fillId="0" borderId="0" xfId="13" applyNumberFormat="1" applyFont="1">
      <alignment vertical="center"/>
    </xf>
    <xf numFmtId="41" fontId="17" fillId="0" borderId="0" xfId="14" applyFont="1">
      <alignment vertical="center"/>
    </xf>
    <xf numFmtId="176" fontId="17" fillId="0" borderId="0" xfId="14" applyNumberFormat="1" applyFont="1">
      <alignment vertical="center"/>
    </xf>
    <xf numFmtId="176" fontId="14" fillId="0" borderId="0" xfId="1" applyNumberFormat="1" applyFont="1">
      <alignment vertical="center"/>
    </xf>
    <xf numFmtId="176" fontId="10" fillId="0" borderId="0" xfId="1" applyNumberFormat="1" applyFont="1">
      <alignment vertical="center"/>
    </xf>
    <xf numFmtId="176" fontId="22" fillId="2" borderId="1" xfId="1" applyNumberFormat="1" applyFont="1" applyFill="1" applyBorder="1" applyAlignment="1">
      <alignment horizontal="right" vertical="center"/>
    </xf>
    <xf numFmtId="176" fontId="14" fillId="0" borderId="0" xfId="1" applyNumberFormat="1" applyFont="1" applyBorder="1" applyAlignment="1">
      <alignment horizontal="center" vertical="center"/>
    </xf>
    <xf numFmtId="176" fontId="14" fillId="0" borderId="0" xfId="1" applyNumberFormat="1" applyFont="1" applyBorder="1" applyAlignment="1">
      <alignment horizontal="left" vertical="center"/>
    </xf>
    <xf numFmtId="176" fontId="14" fillId="0" borderId="0" xfId="1" applyNumberFormat="1" applyFont="1" applyAlignment="1">
      <alignment horizontal="center" vertical="center"/>
    </xf>
    <xf numFmtId="176" fontId="17" fillId="0" borderId="0" xfId="1" applyNumberFormat="1" applyFont="1" applyBorder="1">
      <alignment vertical="center"/>
    </xf>
    <xf numFmtId="176" fontId="17" fillId="0" borderId="0" xfId="1" applyNumberFormat="1" applyFont="1">
      <alignment vertical="center"/>
    </xf>
    <xf numFmtId="0" fontId="14" fillId="0" borderId="6" xfId="13" applyFont="1" applyBorder="1">
      <alignment vertical="center"/>
    </xf>
    <xf numFmtId="0" fontId="14" fillId="0" borderId="5" xfId="13" applyFont="1" applyBorder="1">
      <alignment vertical="center"/>
    </xf>
    <xf numFmtId="0" fontId="14" fillId="0" borderId="7" xfId="13" applyFont="1" applyBorder="1">
      <alignment vertical="center"/>
    </xf>
    <xf numFmtId="0" fontId="14" fillId="0" borderId="8" xfId="13" applyFont="1" applyBorder="1">
      <alignment vertical="center"/>
    </xf>
    <xf numFmtId="0" fontId="14" fillId="0" borderId="9" xfId="13" applyFont="1" applyBorder="1">
      <alignment vertical="center"/>
    </xf>
    <xf numFmtId="0" fontId="31" fillId="0" borderId="12" xfId="13" applyFont="1" applyBorder="1">
      <alignment vertical="center"/>
    </xf>
    <xf numFmtId="0" fontId="14" fillId="0" borderId="4" xfId="13" applyFont="1" applyBorder="1">
      <alignment vertical="center"/>
    </xf>
    <xf numFmtId="0" fontId="14" fillId="0" borderId="18" xfId="13" applyFont="1" applyBorder="1">
      <alignment vertical="center"/>
    </xf>
    <xf numFmtId="0" fontId="32" fillId="0" borderId="6" xfId="13" applyFont="1" applyBorder="1">
      <alignment vertical="center"/>
    </xf>
    <xf numFmtId="0" fontId="10" fillId="0" borderId="5" xfId="13" applyFont="1" applyBorder="1">
      <alignment vertical="center"/>
    </xf>
    <xf numFmtId="0" fontId="10" fillId="0" borderId="35" xfId="13" applyFont="1" applyBorder="1">
      <alignment vertical="center"/>
    </xf>
    <xf numFmtId="0" fontId="32" fillId="0" borderId="5" xfId="13" applyFont="1" applyBorder="1">
      <alignment vertical="center"/>
    </xf>
    <xf numFmtId="0" fontId="10" fillId="0" borderId="8" xfId="13" applyFont="1" applyBorder="1">
      <alignment vertical="center"/>
    </xf>
    <xf numFmtId="0" fontId="10" fillId="0" borderId="25" xfId="13" applyFont="1" applyBorder="1">
      <alignment vertical="center"/>
    </xf>
    <xf numFmtId="0" fontId="10" fillId="0" borderId="3" xfId="13" applyFont="1" applyBorder="1">
      <alignment vertical="center"/>
    </xf>
    <xf numFmtId="0" fontId="10" fillId="0" borderId="9" xfId="13" applyFont="1" applyBorder="1">
      <alignment vertical="center"/>
    </xf>
    <xf numFmtId="0" fontId="10" fillId="0" borderId="10" xfId="13" applyFont="1" applyBorder="1">
      <alignment vertical="center"/>
    </xf>
    <xf numFmtId="0" fontId="10" fillId="0" borderId="22" xfId="13" applyFont="1" applyBorder="1">
      <alignment vertical="center"/>
    </xf>
    <xf numFmtId="0" fontId="32" fillId="0" borderId="8" xfId="13" applyFont="1" applyBorder="1">
      <alignment vertical="center"/>
    </xf>
    <xf numFmtId="0" fontId="33" fillId="0" borderId="26" xfId="13" applyFont="1" applyBorder="1" applyAlignment="1"/>
    <xf numFmtId="0" fontId="33" fillId="0" borderId="26" xfId="13" applyFont="1" applyBorder="1">
      <alignment vertical="center"/>
    </xf>
    <xf numFmtId="0" fontId="32" fillId="0" borderId="19" xfId="13" applyFont="1" applyBorder="1">
      <alignment vertical="center"/>
    </xf>
    <xf numFmtId="0" fontId="10" fillId="0" borderId="20" xfId="13" applyFont="1" applyBorder="1">
      <alignment vertical="center"/>
    </xf>
    <xf numFmtId="0" fontId="10" fillId="0" borderId="23" xfId="13" applyFont="1" applyBorder="1">
      <alignment vertical="center"/>
    </xf>
    <xf numFmtId="0" fontId="32" fillId="0" borderId="3" xfId="13" applyFont="1" applyBorder="1">
      <alignment vertical="center"/>
    </xf>
    <xf numFmtId="0" fontId="35" fillId="0" borderId="0" xfId="13" applyFont="1">
      <alignment vertical="center"/>
    </xf>
    <xf numFmtId="0" fontId="32" fillId="0" borderId="2" xfId="13" applyFont="1" applyBorder="1">
      <alignment vertical="center"/>
    </xf>
    <xf numFmtId="0" fontId="36" fillId="0" borderId="0" xfId="13" applyFont="1">
      <alignment vertical="center"/>
    </xf>
    <xf numFmtId="0" fontId="32" fillId="0" borderId="25" xfId="13" applyFont="1" applyBorder="1">
      <alignment vertical="center"/>
    </xf>
    <xf numFmtId="176" fontId="32" fillId="0" borderId="0" xfId="14" applyNumberFormat="1" applyFont="1" applyFill="1" applyBorder="1" applyAlignment="1">
      <alignment vertical="center"/>
    </xf>
    <xf numFmtId="179" fontId="10" fillId="0" borderId="26" xfId="14" applyNumberFormat="1" applyFont="1" applyFill="1" applyBorder="1" applyAlignment="1">
      <alignment vertical="center"/>
    </xf>
    <xf numFmtId="179" fontId="10" fillId="0" borderId="0" xfId="14" applyNumberFormat="1" applyFont="1" applyFill="1" applyBorder="1" applyAlignment="1">
      <alignment vertical="center"/>
    </xf>
    <xf numFmtId="179" fontId="10" fillId="0" borderId="9" xfId="14" applyNumberFormat="1" applyFont="1" applyFill="1" applyBorder="1" applyAlignment="1">
      <alignment vertical="center"/>
    </xf>
    <xf numFmtId="0" fontId="10" fillId="0" borderId="17" xfId="13" applyFont="1" applyBorder="1">
      <alignment vertical="center"/>
    </xf>
    <xf numFmtId="0" fontId="10" fillId="0" borderId="13" xfId="13" applyFont="1" applyBorder="1">
      <alignment vertical="center"/>
    </xf>
    <xf numFmtId="0" fontId="14" fillId="0" borderId="3" xfId="13" applyFont="1" applyBorder="1">
      <alignment vertical="center"/>
    </xf>
    <xf numFmtId="0" fontId="14" fillId="0" borderId="12" xfId="13" applyFont="1" applyBorder="1">
      <alignment vertical="center"/>
    </xf>
    <xf numFmtId="0" fontId="32" fillId="0" borderId="12" xfId="13" applyFont="1" applyBorder="1" applyAlignment="1">
      <alignment horizontal="centerContinuous" vertical="center"/>
    </xf>
    <xf numFmtId="0" fontId="14" fillId="0" borderId="4" xfId="13" applyFont="1" applyBorder="1" applyAlignment="1">
      <alignment horizontal="centerContinuous" vertical="center"/>
    </xf>
    <xf numFmtId="0" fontId="14" fillId="0" borderId="18" xfId="13" applyFont="1" applyBorder="1" applyAlignment="1">
      <alignment horizontal="centerContinuous" vertical="center"/>
    </xf>
    <xf numFmtId="0" fontId="32" fillId="0" borderId="0" xfId="13" applyFont="1">
      <alignment vertical="center"/>
    </xf>
    <xf numFmtId="0" fontId="34" fillId="0" borderId="0" xfId="13" applyFont="1">
      <alignment vertical="center"/>
    </xf>
    <xf numFmtId="0" fontId="32" fillId="0" borderId="0" xfId="13" applyFont="1" applyAlignment="1">
      <alignment horizontal="left" vertical="center"/>
    </xf>
    <xf numFmtId="0" fontId="14" fillId="0" borderId="0" xfId="13" applyFont="1" applyAlignment="1">
      <alignment horizontal="centerContinuous" vertical="center"/>
    </xf>
    <xf numFmtId="41" fontId="38" fillId="0" borderId="33" xfId="14" applyFont="1" applyBorder="1" applyAlignment="1">
      <alignment horizontal="center" vertical="center"/>
    </xf>
    <xf numFmtId="0" fontId="38" fillId="0" borderId="33" xfId="13" applyFont="1" applyBorder="1" applyAlignment="1">
      <alignment horizontal="center" vertical="center"/>
    </xf>
    <xf numFmtId="178" fontId="38" fillId="0" borderId="33" xfId="14" applyNumberFormat="1" applyFont="1" applyBorder="1" applyAlignment="1">
      <alignment horizontal="right" vertical="center"/>
    </xf>
    <xf numFmtId="176" fontId="10" fillId="0" borderId="26" xfId="14" applyNumberFormat="1" applyFont="1" applyFill="1" applyBorder="1" applyAlignment="1">
      <alignment vertical="center"/>
    </xf>
    <xf numFmtId="176" fontId="10" fillId="0" borderId="0" xfId="14" applyNumberFormat="1" applyFont="1" applyFill="1" applyBorder="1" applyAlignment="1">
      <alignment vertical="center"/>
    </xf>
    <xf numFmtId="176" fontId="10" fillId="0" borderId="9" xfId="14" applyNumberFormat="1" applyFont="1" applyFill="1" applyBorder="1" applyAlignment="1">
      <alignment vertical="center"/>
    </xf>
    <xf numFmtId="40" fontId="10" fillId="0" borderId="0" xfId="14" applyNumberFormat="1" applyFont="1" applyBorder="1">
      <alignment vertical="center"/>
    </xf>
    <xf numFmtId="40" fontId="10" fillId="0" borderId="0" xfId="14" applyNumberFormat="1" applyFont="1">
      <alignment vertical="center"/>
    </xf>
    <xf numFmtId="41" fontId="14" fillId="0" borderId="0" xfId="1" applyFont="1">
      <alignment vertical="center"/>
    </xf>
    <xf numFmtId="41" fontId="17" fillId="0" borderId="0" xfId="1" applyFont="1">
      <alignment vertical="center"/>
    </xf>
    <xf numFmtId="178" fontId="38" fillId="0" borderId="34" xfId="14" applyNumberFormat="1" applyFont="1" applyBorder="1" applyAlignment="1">
      <alignment horizontal="left" vertical="center"/>
    </xf>
    <xf numFmtId="178" fontId="30" fillId="0" borderId="0" xfId="13" applyNumberFormat="1" applyFont="1" applyAlignment="1">
      <alignment horizontal="left" vertical="center"/>
    </xf>
    <xf numFmtId="178" fontId="17" fillId="0" borderId="0" xfId="13" applyNumberFormat="1" applyFont="1" applyAlignment="1">
      <alignment horizontal="left" vertical="center"/>
    </xf>
    <xf numFmtId="0" fontId="24" fillId="0" borderId="0" xfId="13" applyFont="1" applyAlignment="1">
      <alignment vertical="center" wrapText="1"/>
    </xf>
    <xf numFmtId="0" fontId="24" fillId="0" borderId="0" xfId="13" applyFont="1">
      <alignment vertical="center"/>
    </xf>
    <xf numFmtId="176" fontId="22" fillId="0" borderId="1" xfId="1" applyNumberFormat="1" applyFont="1" applyBorder="1">
      <alignment vertical="center"/>
    </xf>
    <xf numFmtId="176" fontId="15" fillId="0" borderId="0" xfId="1" applyNumberFormat="1" applyFont="1">
      <alignment vertical="center"/>
    </xf>
    <xf numFmtId="176" fontId="10" fillId="0" borderId="0" xfId="1" applyNumberFormat="1" applyFont="1" applyAlignment="1">
      <alignment horizontal="center" vertical="center"/>
    </xf>
    <xf numFmtId="176" fontId="22" fillId="0" borderId="1" xfId="1" applyNumberFormat="1" applyFont="1" applyBorder="1" applyAlignment="1">
      <alignment horizontal="center" vertical="center" wrapText="1"/>
    </xf>
    <xf numFmtId="176" fontId="38" fillId="0" borderId="33" xfId="1" applyNumberFormat="1" applyFont="1" applyBorder="1" applyAlignment="1">
      <alignment horizontal="right" vertical="center"/>
    </xf>
    <xf numFmtId="176" fontId="14" fillId="0" borderId="0" xfId="1" applyNumberFormat="1" applyFont="1" applyAlignment="1">
      <alignment horizontal="left" vertical="center"/>
    </xf>
    <xf numFmtId="176" fontId="30" fillId="0" borderId="0" xfId="1" applyNumberFormat="1" applyFont="1" applyAlignment="1">
      <alignment horizontal="center" vertical="center"/>
    </xf>
    <xf numFmtId="176" fontId="22" fillId="2" borderId="16" xfId="14" applyNumberFormat="1" applyFont="1" applyFill="1" applyBorder="1" applyAlignment="1">
      <alignment horizontal="left" vertical="center"/>
    </xf>
    <xf numFmtId="0" fontId="42" fillId="2" borderId="6" xfId="0" applyFont="1" applyFill="1" applyBorder="1">
      <alignment vertical="center"/>
    </xf>
    <xf numFmtId="0" fontId="42" fillId="2" borderId="5" xfId="0" applyFont="1" applyFill="1" applyBorder="1">
      <alignment vertical="center"/>
    </xf>
    <xf numFmtId="0" fontId="41" fillId="2" borderId="5" xfId="0" applyFont="1" applyFill="1" applyBorder="1">
      <alignment vertical="center"/>
    </xf>
    <xf numFmtId="0" fontId="41" fillId="2" borderId="7" xfId="0" applyFont="1" applyFill="1" applyBorder="1">
      <alignment vertical="center"/>
    </xf>
    <xf numFmtId="0" fontId="42" fillId="2" borderId="0" xfId="0" applyFont="1" applyFill="1">
      <alignment vertical="center"/>
    </xf>
    <xf numFmtId="0" fontId="41" fillId="2" borderId="0" xfId="0" applyFont="1" applyFill="1">
      <alignment vertical="center"/>
    </xf>
    <xf numFmtId="0" fontId="13" fillId="2" borderId="8" xfId="0" applyFont="1" applyFill="1" applyBorder="1">
      <alignment vertical="center"/>
    </xf>
    <xf numFmtId="0" fontId="42" fillId="2" borderId="9" xfId="0" applyFont="1" applyFill="1" applyBorder="1">
      <alignment vertical="center"/>
    </xf>
    <xf numFmtId="0" fontId="13" fillId="0" borderId="8" xfId="0" applyFont="1" applyBorder="1">
      <alignment vertical="center"/>
    </xf>
    <xf numFmtId="0" fontId="42" fillId="0" borderId="9" xfId="0" applyFont="1" applyBorder="1">
      <alignment vertical="center"/>
    </xf>
    <xf numFmtId="0" fontId="47" fillId="2" borderId="8" xfId="0" applyFont="1" applyFill="1" applyBorder="1">
      <alignment vertical="center"/>
    </xf>
    <xf numFmtId="0" fontId="42" fillId="2" borderId="12" xfId="0" applyFont="1" applyFill="1" applyBorder="1">
      <alignment vertical="center"/>
    </xf>
    <xf numFmtId="0" fontId="42" fillId="2" borderId="4" xfId="0" applyFont="1" applyFill="1" applyBorder="1">
      <alignment vertical="center"/>
    </xf>
    <xf numFmtId="0" fontId="41" fillId="2" borderId="4" xfId="0" applyFont="1" applyFill="1" applyBorder="1">
      <alignment vertical="center"/>
    </xf>
    <xf numFmtId="0" fontId="41" fillId="2" borderId="18" xfId="0" applyFont="1" applyFill="1" applyBorder="1">
      <alignment vertical="center"/>
    </xf>
    <xf numFmtId="0" fontId="47" fillId="2" borderId="8" xfId="0" applyFont="1" applyFill="1" applyBorder="1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14" fillId="0" borderId="0" xfId="13" applyFont="1" applyAlignment="1">
      <alignment horizontal="right" vertical="center" wrapText="1"/>
    </xf>
    <xf numFmtId="0" fontId="50" fillId="0" borderId="0" xfId="0" applyFont="1" applyAlignment="1">
      <alignment horizontal="left" vertical="center"/>
    </xf>
    <xf numFmtId="0" fontId="32" fillId="0" borderId="22" xfId="13" applyFont="1" applyBorder="1">
      <alignment vertical="center"/>
    </xf>
    <xf numFmtId="0" fontId="32" fillId="0" borderId="13" xfId="13" applyFont="1" applyBorder="1">
      <alignment vertical="center"/>
    </xf>
    <xf numFmtId="0" fontId="10" fillId="0" borderId="7" xfId="13" applyFont="1" applyBorder="1">
      <alignment vertical="center"/>
    </xf>
    <xf numFmtId="0" fontId="10" fillId="0" borderId="11" xfId="13" applyFont="1" applyBorder="1">
      <alignment vertical="center"/>
    </xf>
    <xf numFmtId="40" fontId="38" fillId="0" borderId="33" xfId="14" applyNumberFormat="1" applyFont="1" applyFill="1" applyBorder="1" applyAlignment="1">
      <alignment horizontal="right" vertical="center"/>
    </xf>
    <xf numFmtId="176" fontId="38" fillId="0" borderId="33" xfId="14" applyNumberFormat="1" applyFont="1" applyBorder="1" applyAlignment="1">
      <alignment horizontal="center" vertical="center"/>
    </xf>
    <xf numFmtId="0" fontId="13" fillId="0" borderId="0" xfId="13" applyFont="1" applyAlignment="1">
      <alignment horizontal="center" vertical="center"/>
    </xf>
    <xf numFmtId="0" fontId="32" fillId="0" borderId="20" xfId="13" applyFont="1" applyBorder="1">
      <alignment vertical="center"/>
    </xf>
    <xf numFmtId="0" fontId="32" fillId="0" borderId="4" xfId="13" applyFont="1" applyBorder="1">
      <alignment vertical="center"/>
    </xf>
    <xf numFmtId="176" fontId="32" fillId="0" borderId="0" xfId="1" applyNumberFormat="1" applyFont="1" applyFill="1" applyBorder="1" applyAlignment="1">
      <alignment vertical="center"/>
    </xf>
    <xf numFmtId="0" fontId="33" fillId="0" borderId="0" xfId="13" applyFont="1">
      <alignment vertical="center"/>
    </xf>
    <xf numFmtId="0" fontId="13" fillId="2" borderId="9" xfId="0" applyFont="1" applyFill="1" applyBorder="1">
      <alignment vertical="center"/>
    </xf>
    <xf numFmtId="0" fontId="38" fillId="4" borderId="15" xfId="13" applyFont="1" applyFill="1" applyBorder="1" applyAlignment="1">
      <alignment horizontal="center" vertical="center"/>
    </xf>
    <xf numFmtId="0" fontId="38" fillId="4" borderId="1" xfId="15" applyFont="1" applyFill="1" applyBorder="1" applyAlignment="1">
      <alignment horizontal="center" vertical="center"/>
    </xf>
    <xf numFmtId="40" fontId="38" fillId="4" borderId="1" xfId="14" applyNumberFormat="1" applyFont="1" applyFill="1" applyBorder="1" applyAlignment="1">
      <alignment horizontal="center" vertical="center"/>
    </xf>
    <xf numFmtId="0" fontId="38" fillId="4" borderId="1" xfId="13" applyFont="1" applyFill="1" applyBorder="1" applyAlignment="1">
      <alignment horizontal="left" vertical="center"/>
    </xf>
    <xf numFmtId="41" fontId="38" fillId="4" borderId="1" xfId="14" applyFont="1" applyFill="1" applyBorder="1" applyAlignment="1">
      <alignment horizontal="center" vertical="center"/>
    </xf>
    <xf numFmtId="0" fontId="38" fillId="4" borderId="1" xfId="13" applyFont="1" applyFill="1" applyBorder="1" applyAlignment="1">
      <alignment horizontal="center" vertical="center"/>
    </xf>
    <xf numFmtId="176" fontId="38" fillId="4" borderId="1" xfId="1" applyNumberFormat="1" applyFont="1" applyFill="1" applyBorder="1" applyAlignment="1">
      <alignment horizontal="right" vertical="center"/>
    </xf>
    <xf numFmtId="176" fontId="38" fillId="4" borderId="1" xfId="14" applyNumberFormat="1" applyFont="1" applyFill="1" applyBorder="1" applyAlignment="1">
      <alignment horizontal="center" vertical="center"/>
    </xf>
    <xf numFmtId="176" fontId="38" fillId="4" borderId="16" xfId="14" applyNumberFormat="1" applyFont="1" applyFill="1" applyBorder="1" applyAlignment="1">
      <alignment horizontal="left" vertical="center"/>
    </xf>
    <xf numFmtId="0" fontId="38" fillId="0" borderId="0" xfId="13" applyFont="1" applyAlignment="1">
      <alignment vertical="center" wrapText="1"/>
    </xf>
    <xf numFmtId="0" fontId="38" fillId="0" borderId="0" xfId="13" applyFont="1" applyAlignment="1">
      <alignment horizontal="left" vertical="center" wrapText="1"/>
    </xf>
    <xf numFmtId="0" fontId="53" fillId="0" borderId="0" xfId="13" applyFont="1" applyAlignment="1">
      <alignment vertical="center" wrapText="1"/>
    </xf>
    <xf numFmtId="0" fontId="53" fillId="0" borderId="0" xfId="13" applyFont="1">
      <alignment vertical="center"/>
    </xf>
    <xf numFmtId="184" fontId="14" fillId="0" borderId="0" xfId="1" applyNumberFormat="1" applyFont="1">
      <alignment vertical="center"/>
    </xf>
    <xf numFmtId="184" fontId="13" fillId="0" borderId="0" xfId="1" applyNumberFormat="1" applyFont="1" applyAlignment="1">
      <alignment horizontal="center" vertical="center"/>
    </xf>
    <xf numFmtId="184" fontId="10" fillId="0" borderId="0" xfId="1" applyNumberFormat="1" applyFont="1">
      <alignment vertical="center"/>
    </xf>
    <xf numFmtId="184" fontId="22" fillId="0" borderId="1" xfId="1" applyNumberFormat="1" applyFont="1" applyBorder="1" applyAlignment="1">
      <alignment horizontal="center" vertical="center" wrapText="1"/>
    </xf>
    <xf numFmtId="184" fontId="40" fillId="0" borderId="1" xfId="1" applyNumberFormat="1" applyFont="1" applyFill="1" applyBorder="1" applyAlignment="1">
      <alignment horizontal="center" vertical="center"/>
    </xf>
    <xf numFmtId="184" fontId="17" fillId="0" borderId="0" xfId="1" applyNumberFormat="1" applyFont="1">
      <alignment vertical="center"/>
    </xf>
    <xf numFmtId="176" fontId="22" fillId="2" borderId="16" xfId="14" applyNumberFormat="1" applyFont="1" applyFill="1" applyBorder="1" applyAlignment="1">
      <alignment horizontal="center" vertical="center"/>
    </xf>
    <xf numFmtId="40" fontId="10" fillId="0" borderId="8" xfId="13" applyNumberFormat="1" applyFont="1" applyBorder="1">
      <alignment vertical="center"/>
    </xf>
    <xf numFmtId="0" fontId="55" fillId="0" borderId="0" xfId="13" applyFont="1">
      <alignment vertical="center"/>
    </xf>
    <xf numFmtId="0" fontId="49" fillId="0" borderId="0" xfId="0" applyFont="1">
      <alignment vertical="center"/>
    </xf>
    <xf numFmtId="0" fontId="57" fillId="0" borderId="0" xfId="13" applyFont="1" applyAlignment="1">
      <alignment horizontal="right" vertical="center" wrapText="1"/>
    </xf>
    <xf numFmtId="0" fontId="57" fillId="0" borderId="0" xfId="0" applyFont="1" applyAlignment="1">
      <alignment horizontal="left" vertical="center"/>
    </xf>
    <xf numFmtId="0" fontId="57" fillId="0" borderId="0" xfId="13" applyFont="1" applyAlignment="1">
      <alignment vertical="center" wrapText="1"/>
    </xf>
    <xf numFmtId="0" fontId="57" fillId="0" borderId="0" xfId="13" applyFont="1">
      <alignment vertical="center"/>
    </xf>
    <xf numFmtId="0" fontId="38" fillId="2" borderId="1" xfId="15" applyFont="1" applyFill="1" applyBorder="1" applyAlignment="1">
      <alignment horizontal="center" vertical="center"/>
    </xf>
    <xf numFmtId="0" fontId="38" fillId="0" borderId="0" xfId="13" applyFont="1">
      <alignment vertical="center"/>
    </xf>
    <xf numFmtId="0" fontId="38" fillId="0" borderId="0" xfId="13" applyFont="1" applyAlignment="1">
      <alignment horizontal="center" vertical="center"/>
    </xf>
    <xf numFmtId="0" fontId="58" fillId="0" borderId="0" xfId="13" applyFont="1">
      <alignment vertical="center"/>
    </xf>
    <xf numFmtId="0" fontId="38" fillId="0" borderId="6" xfId="13" applyFont="1" applyBorder="1">
      <alignment vertical="center"/>
    </xf>
    <xf numFmtId="0" fontId="38" fillId="0" borderId="5" xfId="13" applyFont="1" applyBorder="1">
      <alignment vertical="center"/>
    </xf>
    <xf numFmtId="0" fontId="58" fillId="0" borderId="5" xfId="13" applyFont="1" applyBorder="1">
      <alignment vertical="center"/>
    </xf>
    <xf numFmtId="0" fontId="22" fillId="0" borderId="7" xfId="13" applyFont="1" applyBorder="1" applyAlignment="1">
      <alignment vertical="center" wrapText="1"/>
    </xf>
    <xf numFmtId="0" fontId="38" fillId="0" borderId="12" xfId="13" applyFont="1" applyBorder="1">
      <alignment vertical="center"/>
    </xf>
    <xf numFmtId="0" fontId="13" fillId="2" borderId="0" xfId="0" applyFont="1" applyFill="1" applyAlignment="1">
      <alignment vertical="center" wrapText="1"/>
    </xf>
    <xf numFmtId="0" fontId="13" fillId="2" borderId="0" xfId="0" applyFont="1" applyFill="1">
      <alignment vertical="center"/>
    </xf>
    <xf numFmtId="0" fontId="45" fillId="2" borderId="0" xfId="0" applyFont="1" applyFill="1">
      <alignment vertical="center"/>
    </xf>
    <xf numFmtId="0" fontId="46" fillId="2" borderId="0" xfId="0" applyFont="1" applyFill="1">
      <alignment vertical="center"/>
    </xf>
    <xf numFmtId="0" fontId="42" fillId="0" borderId="0" xfId="0" applyFont="1">
      <alignment vertical="center"/>
    </xf>
    <xf numFmtId="0" fontId="13" fillId="0" borderId="0" xfId="0" applyFont="1">
      <alignment vertical="center"/>
    </xf>
    <xf numFmtId="40" fontId="13" fillId="0" borderId="0" xfId="0" applyNumberFormat="1" applyFont="1">
      <alignment vertical="center"/>
    </xf>
    <xf numFmtId="176" fontId="13" fillId="2" borderId="0" xfId="1" applyNumberFormat="1" applyFont="1" applyFill="1" applyBorder="1">
      <alignment vertical="center"/>
    </xf>
    <xf numFmtId="176" fontId="13" fillId="2" borderId="0" xfId="11" applyNumberFormat="1" applyFont="1" applyFill="1" applyBorder="1" applyAlignment="1">
      <alignment horizontal="center" vertical="center"/>
    </xf>
    <xf numFmtId="40" fontId="13" fillId="2" borderId="0" xfId="0" applyNumberFormat="1" applyFont="1" applyFill="1">
      <alignment vertical="center"/>
    </xf>
    <xf numFmtId="0" fontId="32" fillId="0" borderId="11" xfId="13" applyFont="1" applyBorder="1" applyAlignment="1">
      <alignment horizontal="center" vertical="center"/>
    </xf>
    <xf numFmtId="0" fontId="32" fillId="0" borderId="21" xfId="13" applyFont="1" applyBorder="1" applyAlignment="1">
      <alignment horizontal="center" vertical="center"/>
    </xf>
    <xf numFmtId="0" fontId="8" fillId="0" borderId="3" xfId="0" applyFont="1" applyBorder="1">
      <alignment vertical="center"/>
    </xf>
    <xf numFmtId="41" fontId="22" fillId="0" borderId="0" xfId="14" applyFont="1" applyBorder="1">
      <alignment vertical="center"/>
    </xf>
    <xf numFmtId="0" fontId="38" fillId="0" borderId="0" xfId="13" applyFont="1" applyAlignment="1">
      <alignment horizontal="left" vertical="center"/>
    </xf>
    <xf numFmtId="40" fontId="22" fillId="0" borderId="1" xfId="14" applyNumberFormat="1" applyFont="1" applyFill="1" applyBorder="1" applyAlignment="1">
      <alignment horizontal="left" vertical="center"/>
    </xf>
    <xf numFmtId="40" fontId="38" fillId="4" borderId="1" xfId="14" applyNumberFormat="1" applyFont="1" applyFill="1" applyBorder="1" applyAlignment="1">
      <alignment horizontal="left" vertical="center"/>
    </xf>
    <xf numFmtId="0" fontId="17" fillId="0" borderId="0" xfId="13" applyFont="1" applyAlignment="1">
      <alignment horizontal="left" vertical="center"/>
    </xf>
    <xf numFmtId="176" fontId="16" fillId="0" borderId="0" xfId="1" applyNumberFormat="1" applyFont="1">
      <alignment vertical="center"/>
    </xf>
    <xf numFmtId="176" fontId="13" fillId="0" borderId="0" xfId="1" applyNumberFormat="1" applyFont="1" applyAlignment="1">
      <alignment horizontal="center" vertical="center"/>
    </xf>
    <xf numFmtId="176" fontId="38" fillId="4" borderId="29" xfId="1" applyNumberFormat="1" applyFont="1" applyFill="1" applyBorder="1" applyAlignment="1">
      <alignment horizontal="right" vertical="center"/>
    </xf>
    <xf numFmtId="0" fontId="38" fillId="3" borderId="0" xfId="13" applyFont="1" applyFill="1">
      <alignment vertical="center"/>
    </xf>
    <xf numFmtId="0" fontId="56" fillId="0" borderId="0" xfId="0" applyFont="1">
      <alignment vertical="center"/>
    </xf>
    <xf numFmtId="0" fontId="19" fillId="0" borderId="8" xfId="13" applyFont="1" applyBorder="1">
      <alignment vertical="center"/>
    </xf>
    <xf numFmtId="0" fontId="10" fillId="0" borderId="8" xfId="13" applyFont="1" applyBorder="1" applyAlignment="1">
      <alignment vertical="top"/>
    </xf>
    <xf numFmtId="0" fontId="10" fillId="0" borderId="0" xfId="13" applyFont="1" applyAlignment="1">
      <alignment vertical="top"/>
    </xf>
    <xf numFmtId="0" fontId="10" fillId="0" borderId="25" xfId="13" applyFont="1" applyBorder="1" applyAlignment="1">
      <alignment vertical="top"/>
    </xf>
    <xf numFmtId="0" fontId="32" fillId="0" borderId="0" xfId="13" applyFont="1" applyAlignment="1">
      <alignment vertical="center" wrapText="1"/>
    </xf>
    <xf numFmtId="0" fontId="32" fillId="0" borderId="9" xfId="13" applyFont="1" applyBorder="1" applyAlignment="1">
      <alignment vertical="center" wrapText="1"/>
    </xf>
    <xf numFmtId="0" fontId="32" fillId="0" borderId="8" xfId="13" applyFont="1" applyBorder="1" applyAlignment="1">
      <alignment vertical="top"/>
    </xf>
    <xf numFmtId="0" fontId="19" fillId="0" borderId="9" xfId="13" applyFont="1" applyBorder="1">
      <alignment vertical="center"/>
    </xf>
    <xf numFmtId="0" fontId="19" fillId="0" borderId="26" xfId="13" applyFont="1" applyBorder="1">
      <alignment vertical="center"/>
    </xf>
    <xf numFmtId="0" fontId="32" fillId="0" borderId="0" xfId="13" applyFont="1" applyAlignment="1">
      <alignment vertical="top" wrapText="1"/>
    </xf>
    <xf numFmtId="0" fontId="32" fillId="0" borderId="9" xfId="13" applyFont="1" applyBorder="1" applyAlignment="1">
      <alignment vertical="top" wrapText="1"/>
    </xf>
    <xf numFmtId="15" fontId="10" fillId="0" borderId="0" xfId="13" applyNumberFormat="1" applyFont="1">
      <alignment vertical="center"/>
    </xf>
    <xf numFmtId="0" fontId="49" fillId="0" borderId="0" xfId="13" applyFont="1">
      <alignment vertical="center"/>
    </xf>
    <xf numFmtId="176" fontId="10" fillId="0" borderId="9" xfId="1" applyNumberFormat="1" applyFont="1" applyFill="1" applyBorder="1" applyAlignment="1">
      <alignment vertical="center"/>
    </xf>
    <xf numFmtId="177" fontId="32" fillId="0" borderId="0" xfId="13" applyNumberFormat="1" applyFont="1">
      <alignment vertical="center"/>
    </xf>
    <xf numFmtId="177" fontId="32" fillId="0" borderId="25" xfId="13" applyNumberFormat="1" applyFont="1" applyBorder="1">
      <alignment vertical="center"/>
    </xf>
    <xf numFmtId="179" fontId="10" fillId="0" borderId="25" xfId="14" applyNumberFormat="1" applyFont="1" applyFill="1" applyBorder="1" applyAlignment="1">
      <alignment vertical="center"/>
    </xf>
    <xf numFmtId="176" fontId="32" fillId="0" borderId="14" xfId="1" applyNumberFormat="1" applyFont="1" applyFill="1" applyBorder="1" applyAlignment="1">
      <alignment vertical="center"/>
    </xf>
    <xf numFmtId="176" fontId="13" fillId="2" borderId="0" xfId="11" applyNumberFormat="1" applyFont="1" applyFill="1" applyBorder="1" applyAlignment="1">
      <alignment horizontal="right" vertical="center"/>
    </xf>
    <xf numFmtId="41" fontId="22" fillId="0" borderId="1" xfId="14" applyFont="1" applyFill="1" applyBorder="1" applyAlignment="1">
      <alignment horizontal="center" vertical="center" wrapText="1"/>
    </xf>
    <xf numFmtId="0" fontId="22" fillId="0" borderId="1" xfId="13" applyFont="1" applyBorder="1" applyAlignment="1">
      <alignment horizontal="center" vertical="center" wrapText="1"/>
    </xf>
    <xf numFmtId="0" fontId="38" fillId="0" borderId="8" xfId="13" applyFont="1" applyBorder="1">
      <alignment vertical="center"/>
    </xf>
    <xf numFmtId="0" fontId="22" fillId="0" borderId="9" xfId="13" applyFont="1" applyBorder="1" applyAlignment="1">
      <alignment vertical="center" wrapText="1"/>
    </xf>
    <xf numFmtId="0" fontId="38" fillId="4" borderId="29" xfId="13" applyFont="1" applyFill="1" applyBorder="1" applyAlignment="1">
      <alignment horizontal="center" vertical="center"/>
    </xf>
    <xf numFmtId="40" fontId="38" fillId="0" borderId="29" xfId="14" applyNumberFormat="1" applyFont="1" applyFill="1" applyBorder="1" applyAlignment="1">
      <alignment horizontal="right" vertical="center"/>
    </xf>
    <xf numFmtId="178" fontId="38" fillId="0" borderId="29" xfId="14" applyNumberFormat="1" applyFont="1" applyBorder="1" applyAlignment="1">
      <alignment horizontal="right" vertical="center"/>
    </xf>
    <xf numFmtId="178" fontId="38" fillId="0" borderId="37" xfId="14" applyNumberFormat="1" applyFont="1" applyBorder="1" applyAlignment="1">
      <alignment horizontal="left" vertical="center"/>
    </xf>
    <xf numFmtId="184" fontId="38" fillId="0" borderId="29" xfId="1" applyNumberFormat="1" applyFont="1" applyFill="1" applyBorder="1" applyAlignment="1">
      <alignment horizontal="right" vertical="center"/>
    </xf>
    <xf numFmtId="184" fontId="38" fillId="4" borderId="1" xfId="1" applyNumberFormat="1" applyFont="1" applyFill="1" applyBorder="1" applyAlignment="1">
      <alignment horizontal="center" vertical="center"/>
    </xf>
    <xf numFmtId="0" fontId="58" fillId="0" borderId="7" xfId="13" applyFont="1" applyBorder="1">
      <alignment vertical="center"/>
    </xf>
    <xf numFmtId="0" fontId="22" fillId="0" borderId="8" xfId="13" applyFont="1" applyBorder="1" applyAlignment="1">
      <alignment vertical="center" wrapText="1"/>
    </xf>
    <xf numFmtId="0" fontId="60" fillId="0" borderId="4" xfId="13" applyFont="1" applyBorder="1">
      <alignment vertical="center"/>
    </xf>
    <xf numFmtId="0" fontId="61" fillId="0" borderId="18" xfId="13" applyFont="1" applyBorder="1">
      <alignment vertical="center"/>
    </xf>
    <xf numFmtId="0" fontId="62" fillId="0" borderId="12" xfId="13" applyFont="1" applyBorder="1" applyAlignment="1">
      <alignment vertical="center" wrapText="1"/>
    </xf>
    <xf numFmtId="177" fontId="14" fillId="0" borderId="0" xfId="14" applyNumberFormat="1" applyFont="1">
      <alignment vertical="center"/>
    </xf>
    <xf numFmtId="177" fontId="13" fillId="0" borderId="0" xfId="13" applyNumberFormat="1" applyFont="1" applyAlignment="1">
      <alignment horizontal="center" vertical="center"/>
    </xf>
    <xf numFmtId="177" fontId="10" fillId="0" borderId="0" xfId="14" applyNumberFormat="1" applyFont="1">
      <alignment vertical="center"/>
    </xf>
    <xf numFmtId="177" fontId="22" fillId="0" borderId="1" xfId="14" applyNumberFormat="1" applyFont="1" applyFill="1" applyBorder="1" applyAlignment="1">
      <alignment horizontal="center" vertical="center" wrapText="1"/>
    </xf>
    <xf numFmtId="177" fontId="22" fillId="2" borderId="1" xfId="14" applyNumberFormat="1" applyFont="1" applyFill="1" applyBorder="1" applyAlignment="1">
      <alignment horizontal="center" vertical="center"/>
    </xf>
    <xf numFmtId="177" fontId="38" fillId="4" borderId="29" xfId="14" applyNumberFormat="1" applyFont="1" applyFill="1" applyBorder="1" applyAlignment="1">
      <alignment horizontal="center" vertical="center"/>
    </xf>
    <xf numFmtId="177" fontId="14" fillId="0" borderId="0" xfId="14" applyNumberFormat="1" applyFont="1" applyBorder="1" applyAlignment="1">
      <alignment horizontal="center" vertical="center"/>
    </xf>
    <xf numFmtId="177" fontId="14" fillId="0" borderId="0" xfId="14" applyNumberFormat="1" applyFont="1" applyFill="1" applyBorder="1" applyAlignment="1">
      <alignment horizontal="center" vertical="center"/>
    </xf>
    <xf numFmtId="177" fontId="14" fillId="0" borderId="0" xfId="14" applyNumberFormat="1" applyFont="1" applyFill="1" applyBorder="1" applyAlignment="1">
      <alignment horizontal="left" vertical="center"/>
    </xf>
    <xf numFmtId="177" fontId="17" fillId="0" borderId="0" xfId="14" applyNumberFormat="1" applyFont="1" applyBorder="1">
      <alignment vertical="center"/>
    </xf>
    <xf numFmtId="177" fontId="17" fillId="0" borderId="0" xfId="14" applyNumberFormat="1" applyFont="1">
      <alignment vertical="center"/>
    </xf>
    <xf numFmtId="0" fontId="20" fillId="0" borderId="27" xfId="13" applyFont="1" applyBorder="1" applyAlignment="1">
      <alignment horizontal="center" vertical="center"/>
    </xf>
    <xf numFmtId="0" fontId="20" fillId="0" borderId="28" xfId="13" applyFont="1" applyBorder="1" applyAlignment="1">
      <alignment horizontal="center" vertical="center" wrapText="1"/>
    </xf>
    <xf numFmtId="41" fontId="20" fillId="0" borderId="28" xfId="1" applyFont="1" applyBorder="1" applyAlignment="1">
      <alignment horizontal="center" vertical="center" wrapText="1"/>
    </xf>
    <xf numFmtId="9" fontId="20" fillId="0" borderId="28" xfId="13" applyNumberFormat="1" applyFont="1" applyBorder="1" applyAlignment="1">
      <alignment horizontal="center" vertical="center" wrapText="1"/>
    </xf>
    <xf numFmtId="0" fontId="20" fillId="0" borderId="36" xfId="13" applyFont="1" applyBorder="1" applyAlignment="1">
      <alignment horizontal="center" vertical="center" wrapText="1"/>
    </xf>
    <xf numFmtId="0" fontId="63" fillId="0" borderId="0" xfId="13" applyFont="1">
      <alignment vertical="center"/>
    </xf>
    <xf numFmtId="0" fontId="20" fillId="0" borderId="15" xfId="13" applyFont="1" applyBorder="1" applyAlignment="1">
      <alignment horizontal="center" vertical="center"/>
    </xf>
    <xf numFmtId="0" fontId="20" fillId="0" borderId="1" xfId="13" applyFont="1" applyBorder="1" applyAlignment="1">
      <alignment horizontal="center" vertical="center"/>
    </xf>
    <xf numFmtId="0" fontId="20" fillId="0" borderId="1" xfId="13" applyFont="1" applyBorder="1" applyAlignment="1">
      <alignment horizontal="center" vertical="center" wrapText="1"/>
    </xf>
    <xf numFmtId="41" fontId="20" fillId="0" borderId="1" xfId="13" quotePrefix="1" applyNumberFormat="1" applyFont="1" applyBorder="1" applyAlignment="1">
      <alignment horizontal="center" vertical="center" wrapText="1"/>
    </xf>
    <xf numFmtId="177" fontId="20" fillId="0" borderId="1" xfId="1" applyNumberFormat="1" applyFont="1" applyFill="1" applyBorder="1" applyAlignment="1">
      <alignment horizontal="center" vertical="center" wrapText="1"/>
    </xf>
    <xf numFmtId="176" fontId="20" fillId="0" borderId="1" xfId="14" applyNumberFormat="1" applyFont="1" applyFill="1" applyBorder="1" applyAlignment="1">
      <alignment horizontal="center" vertical="center" wrapText="1"/>
    </xf>
    <xf numFmtId="40" fontId="20" fillId="0" borderId="1" xfId="14" applyNumberFormat="1" applyFont="1" applyBorder="1" applyAlignment="1">
      <alignment horizontal="center" vertical="center"/>
    </xf>
    <xf numFmtId="183" fontId="20" fillId="0" borderId="16" xfId="14" applyNumberFormat="1" applyFont="1" applyBorder="1" applyAlignment="1">
      <alignment horizontal="center" vertical="center"/>
    </xf>
    <xf numFmtId="0" fontId="63" fillId="3" borderId="40" xfId="13" applyFont="1" applyFill="1" applyBorder="1">
      <alignment vertical="center"/>
    </xf>
    <xf numFmtId="0" fontId="63" fillId="3" borderId="32" xfId="13" applyFont="1" applyFill="1" applyBorder="1">
      <alignment vertical="center"/>
    </xf>
    <xf numFmtId="0" fontId="64" fillId="3" borderId="29" xfId="13" applyFont="1" applyFill="1" applyBorder="1" applyAlignment="1">
      <alignment horizontal="center" vertical="center"/>
    </xf>
    <xf numFmtId="0" fontId="64" fillId="3" borderId="29" xfId="13" applyFont="1" applyFill="1" applyBorder="1">
      <alignment vertical="center"/>
    </xf>
    <xf numFmtId="176" fontId="64" fillId="3" borderId="29" xfId="13" applyNumberFormat="1" applyFont="1" applyFill="1" applyBorder="1" applyAlignment="1">
      <alignment horizontal="center" vertical="center"/>
    </xf>
    <xf numFmtId="176" fontId="64" fillId="3" borderId="29" xfId="14" applyNumberFormat="1" applyFont="1" applyFill="1" applyBorder="1" applyAlignment="1">
      <alignment horizontal="center" vertical="center"/>
    </xf>
    <xf numFmtId="40" fontId="20" fillId="3" borderId="29" xfId="14" applyNumberFormat="1" applyFont="1" applyFill="1" applyBorder="1">
      <alignment vertical="center"/>
    </xf>
    <xf numFmtId="38" fontId="20" fillId="3" borderId="37" xfId="14" applyNumberFormat="1" applyFont="1" applyFill="1" applyBorder="1" applyAlignment="1">
      <alignment horizontal="center" vertical="center"/>
    </xf>
    <xf numFmtId="43" fontId="10" fillId="0" borderId="0" xfId="13" applyNumberFormat="1" applyFont="1">
      <alignment vertical="center"/>
    </xf>
    <xf numFmtId="0" fontId="65" fillId="0" borderId="0" xfId="13" applyFont="1">
      <alignment vertical="center"/>
    </xf>
    <xf numFmtId="41" fontId="18" fillId="0" borderId="0" xfId="1" applyFont="1">
      <alignment vertical="center"/>
    </xf>
    <xf numFmtId="0" fontId="18" fillId="0" borderId="0" xfId="13" applyFont="1" applyAlignment="1">
      <alignment horizontal="right" vertical="center"/>
    </xf>
    <xf numFmtId="0" fontId="41" fillId="0" borderId="0" xfId="13" applyFont="1" applyAlignment="1">
      <alignment horizontal="right" vertical="center"/>
    </xf>
    <xf numFmtId="0" fontId="66" fillId="0" borderId="0" xfId="13" applyFont="1">
      <alignment vertical="center"/>
    </xf>
    <xf numFmtId="176" fontId="22" fillId="0" borderId="1" xfId="1" applyNumberFormat="1" applyFont="1" applyFill="1" applyBorder="1" applyAlignment="1">
      <alignment horizontal="right" vertical="center"/>
    </xf>
    <xf numFmtId="176" fontId="38" fillId="0" borderId="29" xfId="1" applyNumberFormat="1" applyFont="1" applyFill="1" applyBorder="1" applyAlignment="1">
      <alignment horizontal="right" vertical="center"/>
    </xf>
    <xf numFmtId="0" fontId="32" fillId="3" borderId="0" xfId="13" applyFont="1" applyFill="1" applyAlignment="1">
      <alignment horizontal="center" vertical="center"/>
    </xf>
    <xf numFmtId="0" fontId="32" fillId="3" borderId="9" xfId="13" applyFont="1" applyFill="1" applyBorder="1" applyAlignment="1">
      <alignment horizontal="center" vertical="center"/>
    </xf>
    <xf numFmtId="0" fontId="13" fillId="0" borderId="8" xfId="13" applyFont="1" applyBorder="1" applyAlignment="1">
      <alignment horizontal="center" vertical="center" wrapText="1"/>
    </xf>
    <xf numFmtId="0" fontId="13" fillId="0" borderId="0" xfId="13" applyFont="1" applyAlignment="1">
      <alignment horizontal="center" vertical="center"/>
    </xf>
    <xf numFmtId="0" fontId="13" fillId="0" borderId="9" xfId="13" applyFont="1" applyBorder="1" applyAlignment="1">
      <alignment horizontal="center" vertical="center"/>
    </xf>
    <xf numFmtId="0" fontId="32" fillId="3" borderId="5" xfId="13" applyFont="1" applyFill="1" applyBorder="1" applyAlignment="1">
      <alignment horizontal="center" vertical="center"/>
    </xf>
    <xf numFmtId="14" fontId="32" fillId="3" borderId="20" xfId="13" applyNumberFormat="1" applyFont="1" applyFill="1" applyBorder="1" applyAlignment="1">
      <alignment horizontal="center" vertical="center"/>
    </xf>
    <xf numFmtId="0" fontId="32" fillId="3" borderId="0" xfId="13" applyFont="1" applyFill="1" applyAlignment="1">
      <alignment horizontal="left" vertical="center" wrapText="1"/>
    </xf>
    <xf numFmtId="0" fontId="32" fillId="3" borderId="9" xfId="13" applyFont="1" applyFill="1" applyBorder="1" applyAlignment="1">
      <alignment horizontal="left" vertical="center" wrapText="1"/>
    </xf>
    <xf numFmtId="0" fontId="32" fillId="3" borderId="0" xfId="13" applyFont="1" applyFill="1" applyAlignment="1">
      <alignment horizontal="left" vertical="center"/>
    </xf>
    <xf numFmtId="0" fontId="32" fillId="3" borderId="9" xfId="13" applyFont="1" applyFill="1" applyBorder="1" applyAlignment="1">
      <alignment horizontal="left" vertical="center"/>
    </xf>
    <xf numFmtId="176" fontId="10" fillId="0" borderId="0" xfId="1" applyNumberFormat="1" applyFont="1" applyBorder="1" applyAlignment="1">
      <alignment vertical="center"/>
    </xf>
    <xf numFmtId="176" fontId="10" fillId="0" borderId="0" xfId="1" applyNumberFormat="1" applyFont="1" applyBorder="1" applyAlignment="1">
      <alignment horizontal="center" vertical="center"/>
    </xf>
    <xf numFmtId="186" fontId="10" fillId="0" borderId="0" xfId="13" applyNumberFormat="1" applyFont="1" applyAlignment="1">
      <alignment horizontal="center" vertical="center"/>
    </xf>
    <xf numFmtId="0" fontId="32" fillId="3" borderId="0" xfId="13" applyFont="1" applyFill="1" applyAlignment="1">
      <alignment horizontal="center" vertical="center" wrapText="1"/>
    </xf>
    <xf numFmtId="0" fontId="32" fillId="3" borderId="9" xfId="13" applyFont="1" applyFill="1" applyBorder="1" applyAlignment="1">
      <alignment horizontal="center" vertical="center" wrapText="1"/>
    </xf>
    <xf numFmtId="0" fontId="32" fillId="0" borderId="24" xfId="13" applyFont="1" applyBorder="1" applyAlignment="1">
      <alignment horizontal="left" vertical="center" wrapText="1"/>
    </xf>
    <xf numFmtId="0" fontId="32" fillId="0" borderId="20" xfId="13" applyFont="1" applyBorder="1" applyAlignment="1">
      <alignment horizontal="left" vertical="center" wrapText="1"/>
    </xf>
    <xf numFmtId="0" fontId="32" fillId="0" borderId="23" xfId="13" applyFont="1" applyBorder="1" applyAlignment="1">
      <alignment horizontal="left" vertical="center" wrapText="1"/>
    </xf>
    <xf numFmtId="0" fontId="32" fillId="0" borderId="26" xfId="13" applyFont="1" applyBorder="1" applyAlignment="1">
      <alignment horizontal="left" vertical="center" wrapText="1"/>
    </xf>
    <xf numFmtId="0" fontId="32" fillId="0" borderId="0" xfId="13" applyFont="1" applyAlignment="1">
      <alignment horizontal="left" vertical="center" wrapText="1"/>
    </xf>
    <xf numFmtId="0" fontId="32" fillId="0" borderId="25" xfId="13" applyFont="1" applyBorder="1" applyAlignment="1">
      <alignment horizontal="left" vertical="center" wrapText="1"/>
    </xf>
    <xf numFmtId="15" fontId="10" fillId="0" borderId="26" xfId="13" applyNumberFormat="1" applyFont="1" applyBorder="1" applyAlignment="1">
      <alignment horizontal="center" vertical="center" wrapText="1"/>
    </xf>
    <xf numFmtId="15" fontId="10" fillId="0" borderId="0" xfId="13" applyNumberFormat="1" applyFont="1" applyAlignment="1">
      <alignment horizontal="center" vertical="center" wrapText="1"/>
    </xf>
    <xf numFmtId="15" fontId="10" fillId="0" borderId="25" xfId="13" applyNumberFormat="1" applyFont="1" applyBorder="1" applyAlignment="1">
      <alignment horizontal="center" vertical="center" wrapText="1"/>
    </xf>
    <xf numFmtId="15" fontId="10" fillId="0" borderId="2" xfId="13" applyNumberFormat="1" applyFont="1" applyBorder="1" applyAlignment="1">
      <alignment horizontal="center" vertical="center" wrapText="1"/>
    </xf>
    <xf numFmtId="15" fontId="10" fillId="0" borderId="3" xfId="13" applyNumberFormat="1" applyFont="1" applyBorder="1" applyAlignment="1">
      <alignment horizontal="center" vertical="center" wrapText="1"/>
    </xf>
    <xf numFmtId="15" fontId="10" fillId="0" borderId="22" xfId="13" applyNumberFormat="1" applyFont="1" applyBorder="1" applyAlignment="1">
      <alignment horizontal="center" vertical="center" wrapText="1"/>
    </xf>
    <xf numFmtId="0" fontId="32" fillId="0" borderId="21" xfId="13" applyFont="1" applyBorder="1" applyAlignment="1">
      <alignment horizontal="left" vertical="center" wrapText="1"/>
    </xf>
    <xf numFmtId="41" fontId="10" fillId="0" borderId="0" xfId="1" applyFont="1" applyBorder="1" applyAlignment="1">
      <alignment horizontal="center" vertical="center"/>
    </xf>
    <xf numFmtId="0" fontId="31" fillId="0" borderId="20" xfId="13" applyFont="1" applyBorder="1" applyAlignment="1">
      <alignment horizontal="center" vertical="center"/>
    </xf>
    <xf numFmtId="0" fontId="31" fillId="0" borderId="21" xfId="13" applyFont="1" applyBorder="1" applyAlignment="1">
      <alignment horizontal="center" vertical="center"/>
    </xf>
    <xf numFmtId="0" fontId="32" fillId="0" borderId="13" xfId="13" applyFont="1" applyBorder="1" applyAlignment="1">
      <alignment horizontal="center" vertical="center"/>
    </xf>
    <xf numFmtId="176" fontId="32" fillId="0" borderId="13" xfId="13" applyNumberFormat="1" applyFont="1" applyBorder="1" applyAlignment="1">
      <alignment horizontal="center" vertical="center"/>
    </xf>
    <xf numFmtId="176" fontId="32" fillId="0" borderId="14" xfId="13" applyNumberFormat="1" applyFont="1" applyBorder="1" applyAlignment="1">
      <alignment horizontal="center" vertical="center"/>
    </xf>
    <xf numFmtId="0" fontId="32" fillId="0" borderId="2" xfId="13" applyFont="1" applyBorder="1" applyAlignment="1">
      <alignment horizontal="center" vertical="center"/>
    </xf>
    <xf numFmtId="0" fontId="32" fillId="0" borderId="3" xfId="13" applyFont="1" applyBorder="1" applyAlignment="1">
      <alignment horizontal="center" vertical="center"/>
    </xf>
    <xf numFmtId="0" fontId="32" fillId="0" borderId="22" xfId="13" applyFont="1" applyBorder="1" applyAlignment="1">
      <alignment horizontal="center" vertical="center"/>
    </xf>
    <xf numFmtId="0" fontId="32" fillId="0" borderId="11" xfId="13" applyFont="1" applyBorder="1" applyAlignment="1">
      <alignment horizontal="center" vertical="center"/>
    </xf>
    <xf numFmtId="185" fontId="10" fillId="0" borderId="24" xfId="14" quotePrefix="1" applyNumberFormat="1" applyFont="1" applyFill="1" applyBorder="1" applyAlignment="1">
      <alignment horizontal="center" vertical="center"/>
    </xf>
    <xf numFmtId="185" fontId="10" fillId="0" borderId="20" xfId="14" quotePrefix="1" applyNumberFormat="1" applyFont="1" applyFill="1" applyBorder="1" applyAlignment="1">
      <alignment horizontal="center" vertical="center"/>
    </xf>
    <xf numFmtId="185" fontId="10" fillId="0" borderId="23" xfId="14" quotePrefix="1" applyNumberFormat="1" applyFont="1" applyFill="1" applyBorder="1" applyAlignment="1">
      <alignment horizontal="center" vertical="center"/>
    </xf>
    <xf numFmtId="182" fontId="10" fillId="0" borderId="24" xfId="14" applyNumberFormat="1" applyFont="1" applyFill="1" applyBorder="1" applyAlignment="1">
      <alignment horizontal="center" vertical="center"/>
    </xf>
    <xf numFmtId="182" fontId="10" fillId="0" borderId="20" xfId="14" applyNumberFormat="1" applyFont="1" applyFill="1" applyBorder="1" applyAlignment="1">
      <alignment horizontal="center" vertical="center"/>
    </xf>
    <xf numFmtId="182" fontId="10" fillId="0" borderId="23" xfId="14" applyNumberFormat="1" applyFont="1" applyFill="1" applyBorder="1" applyAlignment="1">
      <alignment horizontal="center" vertical="center"/>
    </xf>
    <xf numFmtId="41" fontId="10" fillId="0" borderId="26" xfId="14" quotePrefix="1" applyFont="1" applyFill="1" applyBorder="1" applyAlignment="1">
      <alignment horizontal="center" vertical="center"/>
    </xf>
    <xf numFmtId="41" fontId="10" fillId="0" borderId="0" xfId="14" quotePrefix="1" applyFont="1" applyFill="1" applyBorder="1" applyAlignment="1">
      <alignment horizontal="center" vertical="center"/>
    </xf>
    <xf numFmtId="41" fontId="10" fillId="0" borderId="25" xfId="14" quotePrefix="1" applyFont="1" applyFill="1" applyBorder="1" applyAlignment="1">
      <alignment horizontal="center" vertical="center"/>
    </xf>
    <xf numFmtId="182" fontId="10" fillId="0" borderId="26" xfId="14" applyNumberFormat="1" applyFont="1" applyFill="1" applyBorder="1" applyAlignment="1">
      <alignment horizontal="center" vertical="center"/>
    </xf>
    <xf numFmtId="182" fontId="10" fillId="0" borderId="0" xfId="14" applyNumberFormat="1" applyFont="1" applyFill="1" applyBorder="1" applyAlignment="1">
      <alignment horizontal="center" vertical="center"/>
    </xf>
    <xf numFmtId="182" fontId="10" fillId="0" borderId="25" xfId="14" applyNumberFormat="1" applyFont="1" applyFill="1" applyBorder="1" applyAlignment="1">
      <alignment horizontal="center" vertical="center"/>
    </xf>
    <xf numFmtId="0" fontId="32" fillId="0" borderId="17" xfId="13" applyFont="1" applyBorder="1" applyAlignment="1">
      <alignment horizontal="center" vertical="center"/>
    </xf>
    <xf numFmtId="0" fontId="32" fillId="0" borderId="14" xfId="13" applyFont="1" applyBorder="1" applyAlignment="1">
      <alignment horizontal="center" vertical="center"/>
    </xf>
    <xf numFmtId="0" fontId="32" fillId="0" borderId="19" xfId="13" applyFont="1" applyBorder="1" applyAlignment="1">
      <alignment horizontal="left" vertical="top"/>
    </xf>
    <xf numFmtId="0" fontId="32" fillId="0" borderId="20" xfId="13" applyFont="1" applyBorder="1" applyAlignment="1">
      <alignment horizontal="left" vertical="top"/>
    </xf>
    <xf numFmtId="0" fontId="32" fillId="0" borderId="23" xfId="13" applyFont="1" applyBorder="1" applyAlignment="1">
      <alignment horizontal="left" vertical="top"/>
    </xf>
    <xf numFmtId="0" fontId="32" fillId="0" borderId="10" xfId="13" applyFont="1" applyBorder="1" applyAlignment="1">
      <alignment horizontal="left" vertical="top"/>
    </xf>
    <xf numFmtId="0" fontId="32" fillId="0" borderId="3" xfId="13" applyFont="1" applyBorder="1" applyAlignment="1">
      <alignment horizontal="left" vertical="top"/>
    </xf>
    <xf numFmtId="0" fontId="32" fillId="0" borderId="22" xfId="13" applyFont="1" applyBorder="1" applyAlignment="1">
      <alignment horizontal="left" vertical="top"/>
    </xf>
    <xf numFmtId="0" fontId="32" fillId="0" borderId="24" xfId="13" applyFont="1" applyBorder="1" applyAlignment="1">
      <alignment horizontal="center" vertical="center"/>
    </xf>
    <xf numFmtId="0" fontId="32" fillId="0" borderId="20" xfId="13" applyFont="1" applyBorder="1" applyAlignment="1">
      <alignment horizontal="center" vertical="center"/>
    </xf>
    <xf numFmtId="0" fontId="32" fillId="0" borderId="21" xfId="13" applyFont="1" applyBorder="1" applyAlignment="1">
      <alignment horizontal="center" vertical="center"/>
    </xf>
    <xf numFmtId="0" fontId="32" fillId="0" borderId="23" xfId="13" applyFont="1" applyBorder="1" applyAlignment="1">
      <alignment horizontal="center" vertical="center"/>
    </xf>
    <xf numFmtId="0" fontId="13" fillId="0" borderId="0" xfId="13" applyFont="1" applyAlignment="1">
      <alignment horizontal="center" vertical="center" wrapText="1"/>
    </xf>
    <xf numFmtId="0" fontId="32" fillId="0" borderId="39" xfId="13" applyFont="1" applyBorder="1" applyAlignment="1">
      <alignment horizontal="center" vertical="center"/>
    </xf>
    <xf numFmtId="176" fontId="10" fillId="0" borderId="24" xfId="1" applyNumberFormat="1" applyFont="1" applyFill="1" applyBorder="1" applyAlignment="1">
      <alignment horizontal="center" vertical="center"/>
    </xf>
    <xf numFmtId="176" fontId="10" fillId="0" borderId="20" xfId="1" applyNumberFormat="1" applyFont="1" applyFill="1" applyBorder="1" applyAlignment="1">
      <alignment horizontal="center" vertical="center"/>
    </xf>
    <xf numFmtId="176" fontId="10" fillId="0" borderId="23" xfId="1" applyNumberFormat="1" applyFont="1" applyFill="1" applyBorder="1" applyAlignment="1">
      <alignment horizontal="center" vertical="center"/>
    </xf>
    <xf numFmtId="177" fontId="10" fillId="0" borderId="26" xfId="14" applyNumberFormat="1" applyFont="1" applyFill="1" applyBorder="1" applyAlignment="1">
      <alignment horizontal="center" vertical="center"/>
    </xf>
    <xf numFmtId="177" fontId="10" fillId="0" borderId="0" xfId="14" applyNumberFormat="1" applyFont="1" applyFill="1" applyBorder="1" applyAlignment="1">
      <alignment horizontal="center" vertical="center"/>
    </xf>
    <xf numFmtId="177" fontId="10" fillId="0" borderId="25" xfId="14" applyNumberFormat="1" applyFont="1" applyFill="1" applyBorder="1" applyAlignment="1">
      <alignment horizontal="center" vertical="center"/>
    </xf>
    <xf numFmtId="176" fontId="32" fillId="0" borderId="38" xfId="13" applyNumberFormat="1" applyFont="1" applyBorder="1" applyAlignment="1">
      <alignment horizontal="center" vertical="center"/>
    </xf>
    <xf numFmtId="176" fontId="32" fillId="0" borderId="39" xfId="13" applyNumberFormat="1" applyFont="1" applyBorder="1" applyAlignment="1">
      <alignment horizontal="center" vertical="center"/>
    </xf>
    <xf numFmtId="176" fontId="32" fillId="0" borderId="38" xfId="14" applyNumberFormat="1" applyFont="1" applyFill="1" applyBorder="1" applyAlignment="1">
      <alignment horizontal="center" vertical="center"/>
    </xf>
    <xf numFmtId="176" fontId="32" fillId="0" borderId="13" xfId="14" applyNumberFormat="1" applyFont="1" applyFill="1" applyBorder="1" applyAlignment="1">
      <alignment horizontal="center" vertical="center"/>
    </xf>
    <xf numFmtId="176" fontId="32" fillId="0" borderId="39" xfId="14" applyNumberFormat="1" applyFont="1" applyFill="1" applyBorder="1" applyAlignment="1">
      <alignment horizontal="center" vertical="center"/>
    </xf>
    <xf numFmtId="177" fontId="32" fillId="0" borderId="38" xfId="13" applyNumberFormat="1" applyFont="1" applyBorder="1" applyAlignment="1">
      <alignment horizontal="center" vertical="center"/>
    </xf>
    <xf numFmtId="177" fontId="32" fillId="0" borderId="13" xfId="13" applyNumberFormat="1" applyFont="1" applyBorder="1" applyAlignment="1">
      <alignment horizontal="center" vertical="center"/>
    </xf>
    <xf numFmtId="177" fontId="32" fillId="0" borderId="39" xfId="13" applyNumberFormat="1" applyFont="1" applyBorder="1" applyAlignment="1">
      <alignment horizontal="center" vertical="center"/>
    </xf>
    <xf numFmtId="176" fontId="10" fillId="0" borderId="26" xfId="1" applyNumberFormat="1" applyFont="1" applyFill="1" applyBorder="1" applyAlignment="1">
      <alignment horizontal="center" vertical="center"/>
    </xf>
    <xf numFmtId="176" fontId="10" fillId="0" borderId="0" xfId="1" applyNumberFormat="1" applyFont="1" applyFill="1" applyBorder="1" applyAlignment="1">
      <alignment horizontal="center" vertical="center"/>
    </xf>
    <xf numFmtId="176" fontId="10" fillId="0" borderId="25" xfId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78" fontId="22" fillId="0" borderId="28" xfId="13" applyNumberFormat="1" applyFont="1" applyBorder="1" applyAlignment="1">
      <alignment horizontal="center" vertical="center" wrapText="1"/>
    </xf>
    <xf numFmtId="178" fontId="22" fillId="0" borderId="1" xfId="13" applyNumberFormat="1" applyFont="1" applyBorder="1" applyAlignment="1">
      <alignment horizontal="center" vertical="center" wrapText="1"/>
    </xf>
    <xf numFmtId="178" fontId="22" fillId="0" borderId="36" xfId="13" applyNumberFormat="1" applyFont="1" applyBorder="1" applyAlignment="1">
      <alignment horizontal="center" vertical="center" wrapText="1"/>
    </xf>
    <xf numFmtId="178" fontId="22" fillId="0" borderId="16" xfId="13" applyNumberFormat="1" applyFont="1" applyBorder="1" applyAlignment="1">
      <alignment horizontal="center" vertical="center" wrapText="1"/>
    </xf>
    <xf numFmtId="0" fontId="38" fillId="4" borderId="40" xfId="13" applyFont="1" applyFill="1" applyBorder="1" applyAlignment="1">
      <alignment horizontal="center" vertical="center"/>
    </xf>
    <xf numFmtId="0" fontId="38" fillId="4" borderId="29" xfId="13" applyFont="1" applyFill="1" applyBorder="1" applyAlignment="1">
      <alignment horizontal="center" vertical="center"/>
    </xf>
    <xf numFmtId="0" fontId="26" fillId="0" borderId="0" xfId="13" applyFont="1" applyAlignment="1">
      <alignment horizontal="center" vertical="center"/>
    </xf>
    <xf numFmtId="0" fontId="22" fillId="0" borderId="27" xfId="13" applyFont="1" applyBorder="1" applyAlignment="1">
      <alignment horizontal="center" vertical="center"/>
    </xf>
    <xf numFmtId="0" fontId="22" fillId="0" borderId="15" xfId="13" applyFont="1" applyBorder="1" applyAlignment="1">
      <alignment horizontal="center" vertical="center"/>
    </xf>
    <xf numFmtId="0" fontId="22" fillId="0" borderId="28" xfId="13" applyFont="1" applyBorder="1" applyAlignment="1">
      <alignment horizontal="center" vertical="center" wrapText="1"/>
    </xf>
    <xf numFmtId="0" fontId="22" fillId="0" borderId="1" xfId="13" applyFont="1" applyBorder="1" applyAlignment="1">
      <alignment horizontal="center" vertical="center" wrapText="1"/>
    </xf>
    <xf numFmtId="41" fontId="22" fillId="0" borderId="28" xfId="14" applyFont="1" applyFill="1" applyBorder="1" applyAlignment="1">
      <alignment horizontal="center" vertical="center" wrapText="1"/>
    </xf>
    <xf numFmtId="176" fontId="22" fillId="0" borderId="28" xfId="1" applyNumberFormat="1" applyFont="1" applyBorder="1" applyAlignment="1">
      <alignment horizontal="center" vertical="center" wrapText="1"/>
    </xf>
    <xf numFmtId="176" fontId="22" fillId="0" borderId="28" xfId="14" applyNumberFormat="1" applyFont="1" applyFill="1" applyBorder="1" applyAlignment="1">
      <alignment horizontal="center" vertical="center" wrapText="1"/>
    </xf>
    <xf numFmtId="176" fontId="22" fillId="0" borderId="1" xfId="14" applyNumberFormat="1" applyFont="1" applyFill="1" applyBorder="1" applyAlignment="1">
      <alignment horizontal="center" vertical="center" wrapText="1"/>
    </xf>
    <xf numFmtId="176" fontId="22" fillId="0" borderId="28" xfId="1" applyNumberFormat="1" applyFont="1" applyFill="1" applyBorder="1" applyAlignment="1">
      <alignment horizontal="center" vertical="center" wrapText="1"/>
    </xf>
    <xf numFmtId="176" fontId="22" fillId="0" borderId="1" xfId="1" applyNumberFormat="1" applyFont="1" applyFill="1" applyBorder="1" applyAlignment="1">
      <alignment horizontal="center" vertical="center" wrapText="1"/>
    </xf>
    <xf numFmtId="0" fontId="38" fillId="0" borderId="30" xfId="13" applyFont="1" applyBorder="1" applyAlignment="1">
      <alignment horizontal="center" vertical="center"/>
    </xf>
    <xf numFmtId="0" fontId="38" fillId="0" borderId="31" xfId="13" applyFont="1" applyBorder="1" applyAlignment="1">
      <alignment horizontal="center" vertical="center"/>
    </xf>
    <xf numFmtId="0" fontId="38" fillId="0" borderId="32" xfId="13" applyFont="1" applyBorder="1" applyAlignment="1">
      <alignment horizontal="center" vertical="center"/>
    </xf>
    <xf numFmtId="0" fontId="43" fillId="2" borderId="17" xfId="0" applyFont="1" applyFill="1" applyBorder="1" applyAlignment="1">
      <alignment horizontal="center" vertical="center" wrapText="1"/>
    </xf>
    <xf numFmtId="0" fontId="43" fillId="2" borderId="13" xfId="0" applyFont="1" applyFill="1" applyBorder="1" applyAlignment="1">
      <alignment horizontal="center" vertical="center" wrapText="1"/>
    </xf>
    <xf numFmtId="0" fontId="43" fillId="2" borderId="14" xfId="0" applyFont="1" applyFill="1" applyBorder="1" applyAlignment="1">
      <alignment horizontal="center" vertical="center" wrapText="1"/>
    </xf>
    <xf numFmtId="0" fontId="43" fillId="2" borderId="5" xfId="0" applyFont="1" applyFill="1" applyBorder="1" applyAlignment="1">
      <alignment horizontal="center" vertical="center" wrapText="1"/>
    </xf>
    <xf numFmtId="0" fontId="43" fillId="2" borderId="4" xfId="0" applyFont="1" applyFill="1" applyBorder="1" applyAlignment="1">
      <alignment horizontal="center" vertical="center" wrapText="1"/>
    </xf>
    <xf numFmtId="0" fontId="43" fillId="2" borderId="5" xfId="0" applyFont="1" applyFill="1" applyBorder="1" applyAlignment="1">
      <alignment horizontal="center" vertical="center"/>
    </xf>
    <xf numFmtId="0" fontId="43" fillId="2" borderId="4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left" vertical="center" wrapText="1"/>
    </xf>
    <xf numFmtId="0" fontId="13" fillId="2" borderId="9" xfId="0" applyFont="1" applyFill="1" applyBorder="1" applyAlignment="1">
      <alignment horizontal="left" vertical="center" wrapText="1"/>
    </xf>
  </cellXfs>
  <cellStyles count="21">
    <cellStyle name="Comma" xfId="16" xr:uid="{00000000-0005-0000-0000-000000000000}"/>
    <cellStyle name="Comma [0]" xfId="11" xr:uid="{00000000-0005-0000-0000-000001000000}"/>
    <cellStyle name="Normal 2" xfId="9" xr:uid="{00000000-0005-0000-0000-000002000000}"/>
    <cellStyle name="Standaard_Packing List(Sample for Hadjret HRSG)" xfId="4" xr:uid="{00000000-0005-0000-0000-000003000000}"/>
    <cellStyle name="쉼표 [0]" xfId="1" builtinId="6"/>
    <cellStyle name="쉼표 [0] 2" xfId="5" xr:uid="{00000000-0005-0000-0000-000005000000}"/>
    <cellStyle name="쉼표 [0] 2 2" xfId="12" xr:uid="{00000000-0005-0000-0000-000006000000}"/>
    <cellStyle name="쉼표 [0] 3" xfId="14" xr:uid="{00000000-0005-0000-0000-000007000000}"/>
    <cellStyle name="쉼표 [0] 4" xfId="18" xr:uid="{00000000-0005-0000-0000-000008000000}"/>
    <cellStyle name="쉼표 [0] 4 2" xfId="8" xr:uid="{00000000-0005-0000-0000-000009000000}"/>
    <cellStyle name="쉼표 2" xfId="7" xr:uid="{00000000-0005-0000-0000-00000A000000}"/>
    <cellStyle name="표준" xfId="0" builtinId="0"/>
    <cellStyle name="표준 2" xfId="2" xr:uid="{00000000-0005-0000-0000-00000C000000}"/>
    <cellStyle name="표준 2 2" xfId="6" xr:uid="{00000000-0005-0000-0000-00000D000000}"/>
    <cellStyle name="표준 2 3" xfId="3" xr:uid="{00000000-0005-0000-0000-00000E000000}"/>
    <cellStyle name="표준 2 4" xfId="19" xr:uid="{00000000-0005-0000-0000-00000F000000}"/>
    <cellStyle name="표준 3" xfId="13" xr:uid="{00000000-0005-0000-0000-000010000000}"/>
    <cellStyle name="표준 4" xfId="17" xr:uid="{00000000-0005-0000-0000-000011000000}"/>
    <cellStyle name="표준 4 2" xfId="20" xr:uid="{00000000-0005-0000-0000-000012000000}"/>
    <cellStyle name="표준_080407 3항차 final packing List(r3)통합" xfId="15" xr:uid="{00000000-0005-0000-0000-000013000000}"/>
    <cellStyle name="標準_SpecSheet1" xfId="10" xr:uid="{00000000-0005-0000-0000-000014000000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57150</xdr:rowOff>
    </xdr:from>
    <xdr:to>
      <xdr:col>4</xdr:col>
      <xdr:colOff>149622</xdr:colOff>
      <xdr:row>2</xdr:row>
      <xdr:rowOff>73025</xdr:rowOff>
    </xdr:to>
    <xdr:pic>
      <xdr:nvPicPr>
        <xdr:cNvPr id="2" name="그림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50"/>
          <a:ext cx="1060847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28</xdr:col>
      <xdr:colOff>294527</xdr:colOff>
      <xdr:row>46</xdr:row>
      <xdr:rowOff>100854</xdr:rowOff>
    </xdr:from>
    <xdr:to>
      <xdr:col>28</xdr:col>
      <xdr:colOff>1369130</xdr:colOff>
      <xdr:row>53</xdr:row>
      <xdr:rowOff>116833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5F8222AE-4179-42A1-A06C-2E8A032A6D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47292" y="9121589"/>
          <a:ext cx="1072426" cy="1161155"/>
        </a:xfrm>
        <a:prstGeom prst="rect">
          <a:avLst/>
        </a:prstGeom>
      </xdr:spPr>
    </xdr:pic>
    <xdr:clientData/>
  </xdr:twoCellAnchor>
  <xdr:twoCellAnchor editAs="oneCell">
    <xdr:from>
      <xdr:col>21</xdr:col>
      <xdr:colOff>179294</xdr:colOff>
      <xdr:row>48</xdr:row>
      <xdr:rowOff>78441</xdr:rowOff>
    </xdr:from>
    <xdr:to>
      <xdr:col>28</xdr:col>
      <xdr:colOff>171189</xdr:colOff>
      <xdr:row>52</xdr:row>
      <xdr:rowOff>153026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6917166D-BB94-4921-BFEF-DAE1939C07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827059" y="9412941"/>
          <a:ext cx="1902338" cy="7245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2406015</xdr:colOff>
      <xdr:row>0</xdr:row>
      <xdr:rowOff>0</xdr:rowOff>
    </xdr:from>
    <xdr:to>
      <xdr:col>8</xdr:col>
      <xdr:colOff>2375</xdr:colOff>
      <xdr:row>0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>
          <a:spLocks noChangeArrowheads="1"/>
        </xdr:cNvSpPr>
      </xdr:nvSpPr>
      <xdr:spPr bwMode="auto">
        <a:xfrm>
          <a:off x="6377940" y="0"/>
          <a:ext cx="872156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32004" anchor="ctr" upright="1"/>
        <a:lstStyle/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DOOSAN HEAVY INDUSTRIES &amp;</a:t>
          </a:r>
        </a:p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CONSTRUCTION CO., LTD</a:t>
          </a:r>
        </a:p>
      </xdr:txBody>
    </xdr:sp>
    <xdr:clientData/>
  </xdr:twoCellAnchor>
  <xdr:twoCellAnchor>
    <xdr:from>
      <xdr:col>2</xdr:col>
      <xdr:colOff>2406015</xdr:colOff>
      <xdr:row>0</xdr:row>
      <xdr:rowOff>0</xdr:rowOff>
    </xdr:from>
    <xdr:to>
      <xdr:col>8</xdr:col>
      <xdr:colOff>2375</xdr:colOff>
      <xdr:row>0</xdr:row>
      <xdr:rowOff>0</xdr:rowOff>
    </xdr:to>
    <xdr:sp macro="" textlink="">
      <xdr:nvSpPr>
        <xdr:cNvPr id="3" name="Text Box 3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>
          <a:spLocks noChangeArrowheads="1"/>
        </xdr:cNvSpPr>
      </xdr:nvSpPr>
      <xdr:spPr bwMode="auto">
        <a:xfrm>
          <a:off x="6377940" y="0"/>
          <a:ext cx="872156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32004" anchor="ctr" upright="1"/>
        <a:lstStyle/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DOOSAN HEAVY INDUSTRIES &amp;</a:t>
          </a:r>
        </a:p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CONSTRUCTION CO., LTD</a:t>
          </a:r>
        </a:p>
      </xdr:txBody>
    </xdr:sp>
    <xdr:clientData/>
  </xdr:twoCellAnchor>
  <xdr:twoCellAnchor editAs="oneCell">
    <xdr:from>
      <xdr:col>0</xdr:col>
      <xdr:colOff>0</xdr:colOff>
      <xdr:row>0</xdr:row>
      <xdr:rowOff>28575</xdr:rowOff>
    </xdr:from>
    <xdr:to>
      <xdr:col>1</xdr:col>
      <xdr:colOff>552027</xdr:colOff>
      <xdr:row>2</xdr:row>
      <xdr:rowOff>94161</xdr:rowOff>
    </xdr:to>
    <xdr:pic>
      <xdr:nvPicPr>
        <xdr:cNvPr id="4" name="그림 4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75"/>
          <a:ext cx="1482210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57150</xdr:rowOff>
    </xdr:from>
    <xdr:to>
      <xdr:col>4</xdr:col>
      <xdr:colOff>133839</xdr:colOff>
      <xdr:row>2</xdr:row>
      <xdr:rowOff>57242</xdr:rowOff>
    </xdr:to>
    <xdr:pic>
      <xdr:nvPicPr>
        <xdr:cNvPr id="2" name="그림 2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50"/>
          <a:ext cx="1060847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21</xdr:col>
      <xdr:colOff>126999</xdr:colOff>
      <xdr:row>49</xdr:row>
      <xdr:rowOff>150707</xdr:rowOff>
    </xdr:from>
    <xdr:to>
      <xdr:col>27</xdr:col>
      <xdr:colOff>172524</xdr:colOff>
      <xdr:row>53</xdr:row>
      <xdr:rowOff>170767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816CBB16-EB1F-4CDF-872B-EB49BA0262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902476" y="9699897"/>
          <a:ext cx="1861502" cy="654574"/>
        </a:xfrm>
        <a:prstGeom prst="rect">
          <a:avLst/>
        </a:prstGeom>
      </xdr:spPr>
    </xdr:pic>
    <xdr:clientData/>
  </xdr:twoCellAnchor>
  <xdr:twoCellAnchor editAs="oneCell">
    <xdr:from>
      <xdr:col>27</xdr:col>
      <xdr:colOff>194188</xdr:colOff>
      <xdr:row>48</xdr:row>
      <xdr:rowOff>6048</xdr:rowOff>
    </xdr:from>
    <xdr:to>
      <xdr:col>28</xdr:col>
      <xdr:colOff>994309</xdr:colOff>
      <xdr:row>54</xdr:row>
      <xdr:rowOff>96263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B6CA3DD4-0819-45BE-9FAC-85A05FF2E8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789998" y="9404048"/>
          <a:ext cx="1128869" cy="106992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58</xdr:row>
      <xdr:rowOff>0</xdr:rowOff>
    </xdr:from>
    <xdr:to>
      <xdr:col>11</xdr:col>
      <xdr:colOff>24779</xdr:colOff>
      <xdr:row>58</xdr:row>
      <xdr:rowOff>0</xdr:rowOff>
    </xdr:to>
    <xdr:sp macro="" textlink="">
      <xdr:nvSpPr>
        <xdr:cNvPr id="2" name="Text Box 3">
          <a:extLst>
            <a:ext uri="{FF2B5EF4-FFF2-40B4-BE49-F238E27FC236}">
              <a16:creationId xmlns:a16="http://schemas.microsoft.com/office/drawing/2014/main" id="{4DFC49A0-C097-4C84-9165-B7F9609ED7C7}"/>
            </a:ext>
          </a:extLst>
        </xdr:cNvPr>
        <xdr:cNvSpPr txBox="1">
          <a:spLocks noChangeArrowheads="1"/>
        </xdr:cNvSpPr>
      </xdr:nvSpPr>
      <xdr:spPr bwMode="auto">
        <a:xfrm>
          <a:off x="3898900" y="10109200"/>
          <a:ext cx="7514604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32004" anchor="ctr" upright="1"/>
        <a:lstStyle/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DOOSAN HEAVY INDUSTRIES &amp;</a:t>
          </a:r>
        </a:p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CONSTRUCTION CO., LTD</a:t>
          </a:r>
        </a:p>
      </xdr:txBody>
    </xdr:sp>
    <xdr:clientData/>
  </xdr:twoCellAnchor>
  <xdr:twoCellAnchor>
    <xdr:from>
      <xdr:col>4</xdr:col>
      <xdr:colOff>0</xdr:colOff>
      <xdr:row>58</xdr:row>
      <xdr:rowOff>0</xdr:rowOff>
    </xdr:from>
    <xdr:to>
      <xdr:col>11</xdr:col>
      <xdr:colOff>24779</xdr:colOff>
      <xdr:row>58</xdr:row>
      <xdr:rowOff>0</xdr:rowOff>
    </xdr:to>
    <xdr:sp macro="" textlink="">
      <xdr:nvSpPr>
        <xdr:cNvPr id="3" name="Text Box 4">
          <a:extLst>
            <a:ext uri="{FF2B5EF4-FFF2-40B4-BE49-F238E27FC236}">
              <a16:creationId xmlns:a16="http://schemas.microsoft.com/office/drawing/2014/main" id="{121D8B76-0F16-4707-9F42-A1F32AA596CA}"/>
            </a:ext>
          </a:extLst>
        </xdr:cNvPr>
        <xdr:cNvSpPr txBox="1">
          <a:spLocks noChangeArrowheads="1"/>
        </xdr:cNvSpPr>
      </xdr:nvSpPr>
      <xdr:spPr bwMode="auto">
        <a:xfrm>
          <a:off x="3898900" y="10109200"/>
          <a:ext cx="7514604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32004" anchor="ctr" upright="1"/>
        <a:lstStyle/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DOOSAN HEAVY INDUSTRIES &amp;</a:t>
          </a:r>
        </a:p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CONSTRUCTION CO., LTD</a:t>
          </a:r>
        </a:p>
      </xdr:txBody>
    </xdr:sp>
    <xdr:clientData/>
  </xdr:twoCellAnchor>
  <xdr:twoCellAnchor>
    <xdr:from>
      <xdr:col>4</xdr:col>
      <xdr:colOff>0</xdr:colOff>
      <xdr:row>58</xdr:row>
      <xdr:rowOff>0</xdr:rowOff>
    </xdr:from>
    <xdr:to>
      <xdr:col>11</xdr:col>
      <xdr:colOff>24779</xdr:colOff>
      <xdr:row>58</xdr:row>
      <xdr:rowOff>0</xdr:rowOff>
    </xdr:to>
    <xdr:sp macro="" textlink="">
      <xdr:nvSpPr>
        <xdr:cNvPr id="4" name="Text Box 5">
          <a:extLst>
            <a:ext uri="{FF2B5EF4-FFF2-40B4-BE49-F238E27FC236}">
              <a16:creationId xmlns:a16="http://schemas.microsoft.com/office/drawing/2014/main" id="{019A9522-0C22-462C-BD71-B0C4E8376C6B}"/>
            </a:ext>
          </a:extLst>
        </xdr:cNvPr>
        <xdr:cNvSpPr txBox="1">
          <a:spLocks noChangeArrowheads="1"/>
        </xdr:cNvSpPr>
      </xdr:nvSpPr>
      <xdr:spPr bwMode="auto">
        <a:xfrm>
          <a:off x="3898900" y="10109200"/>
          <a:ext cx="7514604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32004" anchor="ctr" upright="1"/>
        <a:lstStyle/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DOOSAN HEAVY INDUSTRIES &amp;</a:t>
          </a:r>
        </a:p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CONSTRUCTION CO., LTD</a:t>
          </a:r>
        </a:p>
      </xdr:txBody>
    </xdr:sp>
    <xdr:clientData/>
  </xdr:twoCellAnchor>
  <xdr:twoCellAnchor editAs="oneCell">
    <xdr:from>
      <xdr:col>0</xdr:col>
      <xdr:colOff>0</xdr:colOff>
      <xdr:row>0</xdr:row>
      <xdr:rowOff>1</xdr:rowOff>
    </xdr:from>
    <xdr:to>
      <xdr:col>1</xdr:col>
      <xdr:colOff>94554</xdr:colOff>
      <xdr:row>2</xdr:row>
      <xdr:rowOff>18807</xdr:rowOff>
    </xdr:to>
    <xdr:pic>
      <xdr:nvPicPr>
        <xdr:cNvPr id="6" name="그림 6">
          <a:extLst>
            <a:ext uri="{FF2B5EF4-FFF2-40B4-BE49-F238E27FC236}">
              <a16:creationId xmlns:a16="http://schemas.microsoft.com/office/drawing/2014/main" id="{F49A6F56-CD07-4288-BE55-C348C05312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"/>
          <a:ext cx="1437905" cy="4168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16</xdr:col>
      <xdr:colOff>88900</xdr:colOff>
      <xdr:row>4</xdr:row>
      <xdr:rowOff>5334</xdr:rowOff>
    </xdr:from>
    <xdr:to>
      <xdr:col>22</xdr:col>
      <xdr:colOff>437196</xdr:colOff>
      <xdr:row>7</xdr:row>
      <xdr:rowOff>132695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514A15B5-C74B-985B-8A98-89A32B9296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021550" y="792734"/>
          <a:ext cx="5801313" cy="125452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</xdr:rowOff>
    </xdr:from>
    <xdr:ext cx="1433300" cy="411417"/>
    <xdr:pic>
      <xdr:nvPicPr>
        <xdr:cNvPr id="5" name="그림 6">
          <a:extLst>
            <a:ext uri="{FF2B5EF4-FFF2-40B4-BE49-F238E27FC236}">
              <a16:creationId xmlns:a16="http://schemas.microsoft.com/office/drawing/2014/main" id="{08C3A478-FDEF-445C-A55F-9571D99742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"/>
          <a:ext cx="1433300" cy="4114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17</xdr:col>
      <xdr:colOff>145116</xdr:colOff>
      <xdr:row>5</xdr:row>
      <xdr:rowOff>14942</xdr:rowOff>
    </xdr:from>
    <xdr:ext cx="4371028" cy="933320"/>
    <xdr:pic>
      <xdr:nvPicPr>
        <xdr:cNvPr id="6" name="그림 5">
          <a:extLst>
            <a:ext uri="{FF2B5EF4-FFF2-40B4-BE49-F238E27FC236}">
              <a16:creationId xmlns:a16="http://schemas.microsoft.com/office/drawing/2014/main" id="{3519AE2A-1755-4869-8E90-B269080AB6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101293" y="1131817"/>
          <a:ext cx="4371028" cy="93332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AV58"/>
  <sheetViews>
    <sheetView showGridLines="0" tabSelected="1" view="pageBreakPreview" topLeftCell="A28" zoomScale="90" zoomScaleNormal="100" zoomScaleSheetLayoutView="90" workbookViewId="0">
      <selection activeCell="AA45" sqref="AA45:AC45"/>
    </sheetView>
  </sheetViews>
  <sheetFormatPr defaultColWidth="3" defaultRowHeight="12"/>
  <cols>
    <col min="1" max="6" width="3" style="5" customWidth="1"/>
    <col min="7" max="7" width="4" style="5" customWidth="1"/>
    <col min="8" max="8" width="9.09765625" style="5" customWidth="1"/>
    <col min="9" max="16" width="3" style="5" customWidth="1"/>
    <col min="17" max="17" width="7.69921875" style="5" customWidth="1"/>
    <col min="18" max="18" width="2.69921875" style="5" customWidth="1"/>
    <col min="19" max="21" width="3.69921875" style="5" customWidth="1"/>
    <col min="22" max="22" width="3.19921875" style="5" customWidth="1"/>
    <col min="23" max="25" width="3.69921875" style="5" customWidth="1"/>
    <col min="26" max="28" width="3.19921875" style="5" customWidth="1"/>
    <col min="29" max="29" width="20" style="5" customWidth="1"/>
    <col min="30" max="30" width="11.69921875" style="9" bestFit="1" customWidth="1"/>
    <col min="31" max="31" width="10.69921875" style="9" bestFit="1" customWidth="1"/>
    <col min="32" max="32" width="12.69921875" style="9" customWidth="1"/>
    <col min="33" max="16384" width="3" style="9"/>
  </cols>
  <sheetData>
    <row r="1" spans="1:30">
      <c r="A1" s="63"/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 t="s">
        <v>0</v>
      </c>
      <c r="X1" s="64"/>
      <c r="Y1" s="64"/>
      <c r="Z1" s="64"/>
      <c r="AA1" s="64"/>
      <c r="AB1" s="64"/>
      <c r="AC1" s="65"/>
    </row>
    <row r="2" spans="1:30">
      <c r="A2" s="66"/>
      <c r="W2" s="5" t="s">
        <v>1</v>
      </c>
      <c r="AC2" s="67"/>
    </row>
    <row r="3" spans="1:30">
      <c r="A3" s="66"/>
      <c r="W3" s="5" t="s">
        <v>2</v>
      </c>
      <c r="AC3" s="67"/>
    </row>
    <row r="4" spans="1:30">
      <c r="A4" s="66"/>
      <c r="W4" s="5" t="s">
        <v>3</v>
      </c>
      <c r="AC4" s="67"/>
    </row>
    <row r="5" spans="1:30">
      <c r="A5" s="66"/>
      <c r="W5" s="5" t="s">
        <v>4</v>
      </c>
      <c r="AC5" s="67"/>
    </row>
    <row r="6" spans="1:30" ht="40.200000000000003" customHeight="1">
      <c r="A6" s="297" t="s">
        <v>5</v>
      </c>
      <c r="B6" s="298"/>
      <c r="C6" s="298"/>
      <c r="D6" s="298"/>
      <c r="E6" s="298"/>
      <c r="F6" s="298"/>
      <c r="G6" s="298"/>
      <c r="H6" s="298"/>
      <c r="I6" s="298"/>
      <c r="J6" s="298"/>
      <c r="K6" s="298"/>
      <c r="L6" s="298"/>
      <c r="M6" s="298"/>
      <c r="N6" s="298"/>
      <c r="O6" s="298"/>
      <c r="P6" s="298"/>
      <c r="Q6" s="298"/>
      <c r="R6" s="298"/>
      <c r="S6" s="298"/>
      <c r="T6" s="298"/>
      <c r="U6" s="298"/>
      <c r="V6" s="298"/>
      <c r="W6" s="298"/>
      <c r="X6" s="298"/>
      <c r="Y6" s="298"/>
      <c r="Z6" s="298"/>
      <c r="AA6" s="298"/>
      <c r="AB6" s="298"/>
      <c r="AC6" s="299"/>
    </row>
    <row r="7" spans="1:30" ht="14.4" thickBot="1">
      <c r="A7" s="68"/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Z7" s="69"/>
      <c r="AA7" s="69"/>
      <c r="AB7" s="69"/>
      <c r="AC7" s="70"/>
      <c r="AD7" s="182"/>
    </row>
    <row r="8" spans="1:30" s="23" customFormat="1" ht="13.5" customHeight="1">
      <c r="A8" s="71" t="s">
        <v>6</v>
      </c>
      <c r="B8" s="72"/>
      <c r="C8" s="72"/>
      <c r="D8" s="72"/>
      <c r="E8" s="72"/>
      <c r="F8" s="72"/>
      <c r="G8" s="72"/>
      <c r="H8" s="72"/>
      <c r="I8" s="72"/>
      <c r="J8" s="72"/>
      <c r="K8" s="72"/>
      <c r="L8" s="72"/>
      <c r="M8" s="72"/>
      <c r="N8" s="72"/>
      <c r="O8" s="72"/>
      <c r="P8" s="72"/>
      <c r="Q8" s="73"/>
      <c r="R8" s="74" t="s">
        <v>7</v>
      </c>
      <c r="S8" s="72"/>
      <c r="T8" s="72"/>
      <c r="U8" s="74"/>
      <c r="V8" s="300" t="s">
        <v>8</v>
      </c>
      <c r="W8" s="300"/>
      <c r="X8" s="300"/>
      <c r="Y8" s="300"/>
      <c r="Z8" s="300"/>
      <c r="AA8" s="72"/>
      <c r="AB8" s="72"/>
      <c r="AC8" s="151"/>
      <c r="AD8" s="182"/>
    </row>
    <row r="9" spans="1:30" s="23" customFormat="1" ht="14.4">
      <c r="A9" s="75"/>
      <c r="B9" s="103" t="s">
        <v>9</v>
      </c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91"/>
      <c r="R9" s="89" t="s">
        <v>10</v>
      </c>
      <c r="S9" s="77"/>
      <c r="T9" s="77"/>
      <c r="U9" s="77"/>
      <c r="V9" s="77"/>
      <c r="W9" s="77"/>
      <c r="X9" s="77"/>
      <c r="Y9" s="77"/>
      <c r="Z9" s="77"/>
      <c r="AA9" s="77"/>
      <c r="AB9" s="77"/>
      <c r="AC9" s="152"/>
    </row>
    <row r="10" spans="1:30" s="23" customFormat="1" ht="14.4">
      <c r="A10" s="75"/>
      <c r="B10" s="20" t="s">
        <v>11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76"/>
      <c r="R10" s="103" t="s">
        <v>12</v>
      </c>
      <c r="S10" s="20"/>
      <c r="T10" s="20"/>
      <c r="U10" s="20"/>
      <c r="V10" s="301">
        <v>46157</v>
      </c>
      <c r="W10" s="301"/>
      <c r="X10" s="301"/>
      <c r="Y10" s="301"/>
      <c r="Z10" s="301"/>
      <c r="AA10" s="20"/>
      <c r="AB10" s="20"/>
      <c r="AC10" s="78"/>
    </row>
    <row r="11" spans="1:30" s="23" customFormat="1" ht="14.4">
      <c r="A11" s="79"/>
      <c r="B11" s="77" t="s">
        <v>13</v>
      </c>
      <c r="C11" s="77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80"/>
      <c r="R11" s="89" t="s">
        <v>14</v>
      </c>
      <c r="S11" s="77"/>
      <c r="T11" s="77"/>
      <c r="U11" s="77"/>
      <c r="V11" s="77"/>
      <c r="W11" s="77"/>
      <c r="X11" s="77"/>
      <c r="Y11" s="77"/>
      <c r="Z11" s="77"/>
      <c r="AA11" s="77"/>
      <c r="AB11" s="77"/>
      <c r="AC11" s="152"/>
    </row>
    <row r="12" spans="1:30" s="23" customFormat="1" ht="14.4">
      <c r="A12" s="81" t="s">
        <v>15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76"/>
      <c r="R12" s="103" t="s">
        <v>16</v>
      </c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78"/>
    </row>
    <row r="13" spans="1:30" s="23" customFormat="1" ht="14.4">
      <c r="A13" s="221"/>
      <c r="B13" s="103" t="s">
        <v>17</v>
      </c>
      <c r="C13" s="222"/>
      <c r="D13" s="222"/>
      <c r="E13" s="222"/>
      <c r="F13" s="222"/>
      <c r="G13" s="222"/>
      <c r="H13" s="222"/>
      <c r="I13" s="222"/>
      <c r="J13" s="222"/>
      <c r="K13" s="222"/>
      <c r="L13" s="222"/>
      <c r="M13" s="222"/>
      <c r="N13" s="222"/>
      <c r="O13" s="222"/>
      <c r="P13" s="222"/>
      <c r="Q13" s="223"/>
      <c r="R13" s="20"/>
      <c r="S13" s="224"/>
      <c r="T13" s="224"/>
      <c r="U13" s="224"/>
      <c r="V13" s="224"/>
      <c r="W13" s="224"/>
      <c r="X13" s="224"/>
      <c r="Y13" s="224"/>
      <c r="Z13" s="224"/>
      <c r="AA13" s="224"/>
      <c r="AB13" s="224"/>
      <c r="AC13" s="225"/>
    </row>
    <row r="14" spans="1:30" s="23" customFormat="1" ht="14.4">
      <c r="A14" s="226"/>
      <c r="B14" s="20" t="s">
        <v>18</v>
      </c>
      <c r="C14" s="222"/>
      <c r="D14" s="222"/>
      <c r="E14" s="222"/>
      <c r="F14" s="222"/>
      <c r="G14" s="222"/>
      <c r="H14" s="222"/>
      <c r="I14" s="222"/>
      <c r="J14" s="222"/>
      <c r="K14" s="222"/>
      <c r="L14" s="222"/>
      <c r="M14" s="222"/>
      <c r="N14" s="222"/>
      <c r="O14" s="222"/>
      <c r="P14" s="222"/>
      <c r="Q14" s="223"/>
      <c r="R14" s="103"/>
      <c r="S14" s="105" t="s">
        <v>19</v>
      </c>
      <c r="T14" s="20"/>
      <c r="U14" s="20"/>
      <c r="V14" s="20"/>
      <c r="W14" s="20"/>
      <c r="X14" s="20"/>
      <c r="Y14" s="20"/>
      <c r="Z14" s="20"/>
      <c r="AA14" s="20"/>
      <c r="AB14" s="20"/>
      <c r="AC14" s="78"/>
    </row>
    <row r="15" spans="1:30" s="23" customFormat="1" ht="14.4">
      <c r="A15" s="221"/>
      <c r="B15" s="20" t="s">
        <v>20</v>
      </c>
      <c r="C15" s="222"/>
      <c r="D15" s="222"/>
      <c r="E15" s="222"/>
      <c r="F15" s="222"/>
      <c r="G15" s="222"/>
      <c r="H15" s="222"/>
      <c r="I15" s="222"/>
      <c r="J15" s="222"/>
      <c r="K15" s="222"/>
      <c r="L15" s="222"/>
      <c r="M15" s="222"/>
      <c r="N15" s="222"/>
      <c r="O15" s="222"/>
      <c r="P15" s="222"/>
      <c r="Q15" s="223"/>
      <c r="R15" s="103"/>
      <c r="S15" s="302" t="s">
        <v>21</v>
      </c>
      <c r="T15" s="302"/>
      <c r="U15" s="302"/>
      <c r="V15" s="302"/>
      <c r="W15" s="302"/>
      <c r="X15" s="302"/>
      <c r="Y15" s="302"/>
      <c r="Z15" s="302"/>
      <c r="AA15" s="302"/>
      <c r="AB15" s="302"/>
      <c r="AC15" s="303"/>
    </row>
    <row r="16" spans="1:30" s="23" customFormat="1" ht="14.4">
      <c r="A16" s="75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76"/>
      <c r="R16" s="103"/>
      <c r="S16" s="304" t="s">
        <v>22</v>
      </c>
      <c r="T16" s="304"/>
      <c r="U16" s="304"/>
      <c r="V16" s="304"/>
      <c r="W16" s="304"/>
      <c r="X16" s="304"/>
      <c r="Y16" s="304"/>
      <c r="Z16" s="304"/>
      <c r="AA16" s="304"/>
      <c r="AB16" s="304"/>
      <c r="AC16" s="305"/>
    </row>
    <row r="17" spans="1:48" s="23" customFormat="1" ht="14.7" customHeight="1">
      <c r="A17" s="79"/>
      <c r="B17" s="209"/>
      <c r="C17" s="77"/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80"/>
      <c r="R17" s="103"/>
      <c r="S17" s="105" t="s">
        <v>23</v>
      </c>
      <c r="T17" s="20"/>
      <c r="U17" s="20"/>
      <c r="V17" s="20"/>
      <c r="W17" s="20"/>
      <c r="X17" s="20"/>
      <c r="Y17" s="20"/>
      <c r="Z17" s="20"/>
      <c r="AA17" s="20"/>
      <c r="AB17" s="20"/>
      <c r="AC17" s="78"/>
    </row>
    <row r="18" spans="1:48" s="23" customFormat="1" ht="14.4">
      <c r="A18" s="81" t="s">
        <v>24</v>
      </c>
      <c r="B18" s="1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76"/>
      <c r="R18" s="103"/>
      <c r="S18" s="295" t="s">
        <v>25</v>
      </c>
      <c r="T18" s="295"/>
      <c r="U18" s="295"/>
      <c r="V18" s="295"/>
      <c r="W18" s="295"/>
      <c r="X18" s="295"/>
      <c r="Y18" s="295"/>
      <c r="Z18" s="295"/>
      <c r="AA18" s="295"/>
      <c r="AB18" s="295"/>
      <c r="AC18" s="296"/>
    </row>
    <row r="19" spans="1:48" s="23" customFormat="1" ht="14.4">
      <c r="A19" s="75"/>
      <c r="B19" s="219" t="s">
        <v>26</v>
      </c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76"/>
      <c r="R19" s="103"/>
      <c r="S19" s="105" t="s">
        <v>27</v>
      </c>
      <c r="T19" s="20"/>
      <c r="U19" s="20"/>
      <c r="V19" s="20"/>
      <c r="W19" s="92"/>
      <c r="X19" s="92"/>
      <c r="Y19" s="92"/>
      <c r="Z19" s="103"/>
      <c r="AA19" s="103"/>
      <c r="AB19" s="103"/>
      <c r="AC19" s="78"/>
    </row>
    <row r="20" spans="1:48" s="23" customFormat="1" ht="14.4">
      <c r="A20" s="75"/>
      <c r="B20" s="183" t="s">
        <v>28</v>
      </c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76"/>
      <c r="R20" s="103"/>
      <c r="S20" s="295">
        <v>2026</v>
      </c>
      <c r="T20" s="295"/>
      <c r="U20" s="295"/>
      <c r="V20" s="295"/>
      <c r="W20" s="295"/>
      <c r="X20" s="295"/>
      <c r="Y20" s="295"/>
      <c r="Z20" s="295"/>
      <c r="AA20" s="295"/>
      <c r="AB20" s="295"/>
      <c r="AC20" s="296"/>
    </row>
    <row r="21" spans="1:48" s="23" customFormat="1" ht="14.4">
      <c r="A21" s="220"/>
      <c r="B21" s="183" t="s">
        <v>29</v>
      </c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76"/>
      <c r="R21" s="20"/>
      <c r="S21" s="105" t="s">
        <v>30</v>
      </c>
      <c r="T21" s="105"/>
      <c r="U21" s="105"/>
      <c r="V21" s="105"/>
      <c r="W21" s="158"/>
      <c r="X21" s="158"/>
      <c r="Y21" s="158"/>
      <c r="Z21" s="103"/>
      <c r="AA21" s="20"/>
      <c r="AB21" s="20"/>
      <c r="AC21" s="78"/>
      <c r="AV21" s="1"/>
    </row>
    <row r="22" spans="1:48" s="23" customFormat="1" ht="14.4">
      <c r="A22" s="75"/>
      <c r="B22" s="183" t="s">
        <v>31</v>
      </c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76"/>
      <c r="R22" s="82"/>
      <c r="S22" s="295" t="s">
        <v>32</v>
      </c>
      <c r="T22" s="295"/>
      <c r="U22" s="295"/>
      <c r="V22" s="295"/>
      <c r="W22" s="295"/>
      <c r="X22" s="295"/>
      <c r="Y22" s="295"/>
      <c r="Z22" s="295"/>
      <c r="AA22" s="295"/>
      <c r="AB22" s="295"/>
      <c r="AC22" s="296"/>
    </row>
    <row r="23" spans="1:48" s="23" customFormat="1" ht="14.4">
      <c r="A23" s="75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76"/>
      <c r="R23" s="83"/>
      <c r="S23" s="105" t="s">
        <v>33</v>
      </c>
      <c r="AC23" s="227"/>
    </row>
    <row r="24" spans="1:48" s="23" customFormat="1" ht="14.4">
      <c r="A24" s="75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76"/>
      <c r="R24" s="159"/>
      <c r="S24" s="295" t="s">
        <v>34</v>
      </c>
      <c r="T24" s="295"/>
      <c r="U24" s="295"/>
      <c r="V24" s="295"/>
      <c r="W24" s="295"/>
      <c r="X24" s="295"/>
      <c r="Y24" s="295"/>
      <c r="Z24" s="295"/>
      <c r="AA24" s="295"/>
      <c r="AB24" s="295"/>
      <c r="AC24" s="296"/>
    </row>
    <row r="25" spans="1:48" s="23" customFormat="1" ht="14.4">
      <c r="A25" s="75"/>
      <c r="B25" s="104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76"/>
      <c r="R25" s="228"/>
      <c r="S25" s="105" t="s">
        <v>35</v>
      </c>
      <c r="AC25" s="227"/>
    </row>
    <row r="26" spans="1:48" s="23" customFormat="1" ht="14.4" customHeight="1">
      <c r="A26" s="84" t="s">
        <v>36</v>
      </c>
      <c r="B26" s="85"/>
      <c r="C26" s="85"/>
      <c r="D26" s="85"/>
      <c r="E26" s="85"/>
      <c r="F26" s="85"/>
      <c r="G26" s="85"/>
      <c r="H26" s="86"/>
      <c r="I26" s="311" t="s">
        <v>37</v>
      </c>
      <c r="J26" s="312"/>
      <c r="K26" s="312"/>
      <c r="L26" s="312"/>
      <c r="M26" s="312"/>
      <c r="N26" s="312"/>
      <c r="O26" s="312"/>
      <c r="P26" s="312"/>
      <c r="Q26" s="313"/>
      <c r="R26" s="5"/>
      <c r="S26" s="309" t="s">
        <v>38</v>
      </c>
      <c r="T26" s="309"/>
      <c r="U26" s="309"/>
      <c r="V26" s="309"/>
      <c r="W26" s="309"/>
      <c r="X26" s="309"/>
      <c r="Y26" s="309"/>
      <c r="Z26" s="309"/>
      <c r="AA26" s="309"/>
      <c r="AB26" s="309"/>
      <c r="AC26" s="310"/>
    </row>
    <row r="27" spans="1:48" s="23" customFormat="1" ht="15" customHeight="1">
      <c r="A27" s="75"/>
      <c r="B27" s="20" t="s">
        <v>225</v>
      </c>
      <c r="C27" s="20"/>
      <c r="D27" s="20"/>
      <c r="E27" s="20"/>
      <c r="F27" s="20"/>
      <c r="G27" s="20"/>
      <c r="H27" s="76"/>
      <c r="I27" s="20"/>
      <c r="J27" s="20" t="s">
        <v>226</v>
      </c>
      <c r="K27" s="20"/>
      <c r="L27" s="20"/>
      <c r="M27" s="20"/>
      <c r="N27" s="20"/>
      <c r="O27" s="20"/>
      <c r="P27" s="20"/>
      <c r="Q27" s="76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67"/>
    </row>
    <row r="28" spans="1:48" s="23" customFormat="1" ht="15" customHeight="1">
      <c r="A28" s="79"/>
      <c r="B28" s="87"/>
      <c r="C28" s="77"/>
      <c r="D28" s="77"/>
      <c r="E28" s="77"/>
      <c r="F28" s="77"/>
      <c r="G28" s="77"/>
      <c r="H28" s="80"/>
      <c r="I28" s="77"/>
      <c r="J28" s="87"/>
      <c r="K28" s="77"/>
      <c r="L28" s="77"/>
      <c r="M28" s="77"/>
      <c r="N28" s="77"/>
      <c r="O28" s="77"/>
      <c r="P28" s="77"/>
      <c r="Q28" s="80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67"/>
    </row>
    <row r="29" spans="1:48" s="23" customFormat="1" ht="14.4" customHeight="1">
      <c r="A29" s="81" t="s">
        <v>39</v>
      </c>
      <c r="B29" s="20"/>
      <c r="C29" s="20"/>
      <c r="D29" s="20"/>
      <c r="E29" s="20"/>
      <c r="F29" s="20"/>
      <c r="G29" s="20"/>
      <c r="H29" s="76"/>
      <c r="I29" s="311" t="s">
        <v>40</v>
      </c>
      <c r="J29" s="312"/>
      <c r="K29" s="312"/>
      <c r="L29" s="312"/>
      <c r="M29" s="312"/>
      <c r="N29" s="312"/>
      <c r="O29" s="312"/>
      <c r="P29" s="312"/>
      <c r="Q29" s="313"/>
      <c r="R29" s="312" t="s">
        <v>41</v>
      </c>
      <c r="S29" s="312"/>
      <c r="T29" s="312"/>
      <c r="U29" s="312"/>
      <c r="V29" s="312"/>
      <c r="W29" s="312"/>
      <c r="X29" s="312"/>
      <c r="Y29" s="312"/>
      <c r="Z29" s="312"/>
      <c r="AA29" s="312"/>
      <c r="AB29" s="312"/>
      <c r="AC29" s="323"/>
    </row>
    <row r="30" spans="1:48" s="23" customFormat="1" ht="14.4">
      <c r="A30" s="81"/>
      <c r="B30" s="20"/>
      <c r="C30" s="20"/>
      <c r="D30" s="20"/>
      <c r="E30" s="20"/>
      <c r="F30" s="20"/>
      <c r="G30" s="20"/>
      <c r="H30" s="76"/>
      <c r="I30" s="314"/>
      <c r="J30" s="315"/>
      <c r="K30" s="315"/>
      <c r="L30" s="315"/>
      <c r="M30" s="315"/>
      <c r="N30" s="315"/>
      <c r="O30" s="315"/>
      <c r="P30" s="315"/>
      <c r="Q30" s="316"/>
      <c r="R30" s="20"/>
      <c r="AA30" s="20"/>
      <c r="AB30" s="20"/>
      <c r="AC30" s="78"/>
    </row>
    <row r="31" spans="1:48" s="23" customFormat="1" ht="14.7" customHeight="1">
      <c r="A31" s="75"/>
      <c r="B31" s="20" t="s">
        <v>227</v>
      </c>
      <c r="C31" s="20"/>
      <c r="D31" s="20"/>
      <c r="E31" s="20"/>
      <c r="F31" s="20"/>
      <c r="G31" s="20"/>
      <c r="H31" s="76"/>
      <c r="I31" s="317" t="s">
        <v>42</v>
      </c>
      <c r="J31" s="318"/>
      <c r="K31" s="318"/>
      <c r="L31" s="318"/>
      <c r="M31" s="318"/>
      <c r="N31" s="318"/>
      <c r="O31" s="318"/>
      <c r="P31" s="318"/>
      <c r="Q31" s="319"/>
      <c r="R31" s="20"/>
      <c r="S31" s="105" t="s">
        <v>43</v>
      </c>
      <c r="T31" s="20"/>
      <c r="U31" s="20"/>
      <c r="V31" s="20"/>
      <c r="W31" s="20"/>
      <c r="X31" s="20" t="s">
        <v>44</v>
      </c>
      <c r="Y31" s="20" t="s">
        <v>45</v>
      </c>
      <c r="Z31" s="20"/>
      <c r="AA31" s="20"/>
      <c r="AB31" s="20"/>
      <c r="AC31" s="78"/>
    </row>
    <row r="32" spans="1:48" s="23" customFormat="1" ht="14.4">
      <c r="A32" s="79"/>
      <c r="B32" s="77"/>
      <c r="C32" s="77"/>
      <c r="D32" s="77"/>
      <c r="E32" s="77"/>
      <c r="F32" s="77"/>
      <c r="G32" s="77"/>
      <c r="H32" s="80"/>
      <c r="I32" s="320"/>
      <c r="J32" s="321"/>
      <c r="K32" s="321"/>
      <c r="L32" s="321"/>
      <c r="M32" s="321"/>
      <c r="N32" s="321"/>
      <c r="O32" s="321"/>
      <c r="P32" s="321"/>
      <c r="Q32" s="322"/>
      <c r="R32" s="20"/>
      <c r="S32" s="105" t="s">
        <v>46</v>
      </c>
      <c r="T32" s="20"/>
      <c r="U32" s="20"/>
      <c r="V32" s="20"/>
      <c r="W32" s="20"/>
      <c r="X32" s="20" t="s">
        <v>44</v>
      </c>
      <c r="Y32" s="324">
        <f>COUNT('Summary PL'!A14:A19)</f>
        <v>6</v>
      </c>
      <c r="Z32" s="324"/>
      <c r="AA32" s="324"/>
      <c r="AB32" s="324"/>
      <c r="AC32" s="78" t="s">
        <v>47</v>
      </c>
    </row>
    <row r="33" spans="1:32" s="23" customFormat="1" ht="14.4" customHeight="1">
      <c r="A33" s="81" t="s">
        <v>48</v>
      </c>
      <c r="B33" s="20"/>
      <c r="C33" s="20"/>
      <c r="D33" s="20"/>
      <c r="E33" s="20"/>
      <c r="F33" s="20"/>
      <c r="G33" s="20"/>
      <c r="H33" s="76"/>
      <c r="I33" s="311" t="s">
        <v>49</v>
      </c>
      <c r="J33" s="312"/>
      <c r="K33" s="312"/>
      <c r="L33" s="312"/>
      <c r="M33" s="312"/>
      <c r="N33" s="312"/>
      <c r="O33" s="312"/>
      <c r="P33" s="312"/>
      <c r="Q33" s="313"/>
      <c r="R33" s="20"/>
      <c r="S33" s="105" t="s">
        <v>50</v>
      </c>
      <c r="T33" s="20"/>
      <c r="U33" s="20"/>
      <c r="V33" s="20"/>
      <c r="W33" s="20"/>
      <c r="X33" s="20" t="s">
        <v>44</v>
      </c>
      <c r="Y33" s="306">
        <f>'Summary PL'!L20</f>
        <v>2079</v>
      </c>
      <c r="Z33" s="306"/>
      <c r="AA33" s="306"/>
      <c r="AB33" s="306"/>
      <c r="AC33" s="78" t="s">
        <v>51</v>
      </c>
    </row>
    <row r="34" spans="1:32" s="23" customFormat="1" ht="14.4">
      <c r="A34" s="81"/>
      <c r="C34" s="20"/>
      <c r="D34" s="20"/>
      <c r="E34" s="20"/>
      <c r="F34" s="20"/>
      <c r="G34" s="20"/>
      <c r="H34" s="76"/>
      <c r="I34" s="314"/>
      <c r="J34" s="315"/>
      <c r="K34" s="315"/>
      <c r="L34" s="315"/>
      <c r="M34" s="315"/>
      <c r="N34" s="315"/>
      <c r="O34" s="315"/>
      <c r="P34" s="315"/>
      <c r="Q34" s="316"/>
      <c r="R34" s="20"/>
      <c r="S34" s="105" t="s">
        <v>52</v>
      </c>
      <c r="T34" s="20"/>
      <c r="U34" s="20"/>
      <c r="V34" s="20"/>
      <c r="W34" s="20"/>
      <c r="X34" s="20" t="s">
        <v>44</v>
      </c>
      <c r="Y34" s="307">
        <f>'Summary PL'!M20</f>
        <v>3130</v>
      </c>
      <c r="Z34" s="307"/>
      <c r="AA34" s="307"/>
      <c r="AB34" s="307"/>
      <c r="AC34" s="78" t="s">
        <v>51</v>
      </c>
    </row>
    <row r="35" spans="1:32" s="23" customFormat="1" ht="16.2">
      <c r="A35" s="75"/>
      <c r="B35" s="20" t="s">
        <v>228</v>
      </c>
      <c r="C35" s="20"/>
      <c r="D35" s="20"/>
      <c r="E35" s="20"/>
      <c r="F35" s="20"/>
      <c r="G35" s="20"/>
      <c r="H35" s="76"/>
      <c r="I35" s="20"/>
      <c r="J35" s="308">
        <v>46213</v>
      </c>
      <c r="K35" s="308"/>
      <c r="L35" s="308"/>
      <c r="M35" s="308"/>
      <c r="N35" s="308"/>
      <c r="O35" s="308"/>
      <c r="P35" s="308"/>
      <c r="Q35" s="76"/>
      <c r="R35" s="20"/>
      <c r="S35" s="105" t="s">
        <v>53</v>
      </c>
      <c r="T35" s="20"/>
      <c r="U35" s="20"/>
      <c r="V35" s="20"/>
      <c r="W35" s="20"/>
      <c r="X35" s="20" t="s">
        <v>44</v>
      </c>
      <c r="Y35" s="307">
        <f>'Summary PL'!K20</f>
        <v>7.726</v>
      </c>
      <c r="Z35" s="307"/>
      <c r="AA35" s="307"/>
      <c r="AB35" s="307"/>
      <c r="AC35" s="78" t="s">
        <v>54</v>
      </c>
    </row>
    <row r="36" spans="1:32" s="23" customFormat="1" ht="14.4">
      <c r="A36" s="79"/>
      <c r="B36" s="77"/>
      <c r="C36" s="77"/>
      <c r="D36" s="77"/>
      <c r="E36" s="77"/>
      <c r="F36" s="77"/>
      <c r="G36" s="77"/>
      <c r="H36" s="80"/>
      <c r="I36" s="77"/>
      <c r="J36" s="77"/>
      <c r="K36" s="77"/>
      <c r="L36" s="77"/>
      <c r="M36" s="77"/>
      <c r="N36" s="77"/>
      <c r="O36" s="77"/>
      <c r="P36" s="77"/>
      <c r="Q36" s="80"/>
      <c r="R36" s="20"/>
      <c r="S36" s="229"/>
      <c r="T36" s="229"/>
      <c r="U36" s="229"/>
      <c r="V36" s="229"/>
      <c r="W36" s="229"/>
      <c r="X36" s="229"/>
      <c r="Y36" s="229"/>
      <c r="Z36" s="229"/>
      <c r="AA36" s="229"/>
      <c r="AB36" s="229"/>
      <c r="AC36" s="230"/>
    </row>
    <row r="37" spans="1:32" s="23" customFormat="1" ht="14.4">
      <c r="A37" s="84" t="s">
        <v>55</v>
      </c>
      <c r="B37" s="85"/>
      <c r="C37" s="85"/>
      <c r="D37" s="85"/>
      <c r="E37" s="85"/>
      <c r="F37" s="85"/>
      <c r="G37" s="85"/>
      <c r="H37" s="85"/>
      <c r="I37" s="156"/>
      <c r="J37" s="85"/>
      <c r="K37" s="85"/>
      <c r="L37" s="85"/>
      <c r="M37" s="85"/>
      <c r="N37" s="85"/>
      <c r="O37" s="85"/>
      <c r="P37" s="85"/>
      <c r="Q37" s="86"/>
      <c r="R37" s="20"/>
      <c r="S37" s="229"/>
      <c r="T37" s="229"/>
      <c r="U37" s="229"/>
      <c r="V37" s="229"/>
      <c r="W37" s="229"/>
      <c r="X37" s="229"/>
      <c r="Y37" s="229"/>
      <c r="Z37" s="229"/>
      <c r="AA37" s="229"/>
      <c r="AB37" s="229"/>
      <c r="AC37" s="230"/>
    </row>
    <row r="38" spans="1:32" s="23" customFormat="1" ht="16.5" customHeight="1">
      <c r="A38" s="75"/>
      <c r="B38" s="20"/>
      <c r="C38" s="20"/>
      <c r="D38" s="20"/>
      <c r="E38" s="20"/>
      <c r="F38" s="20"/>
      <c r="G38" s="20"/>
      <c r="H38" s="20"/>
      <c r="I38" s="20"/>
      <c r="J38" s="231"/>
      <c r="K38" s="231"/>
      <c r="L38" s="231"/>
      <c r="M38" s="231"/>
      <c r="N38" s="231"/>
      <c r="O38" s="231"/>
      <c r="P38" s="231"/>
      <c r="Q38" s="76"/>
      <c r="R38" s="20"/>
      <c r="S38" s="229"/>
      <c r="T38" s="229"/>
      <c r="U38" s="229"/>
      <c r="V38" s="229"/>
      <c r="W38" s="229"/>
      <c r="X38" s="229"/>
      <c r="Y38" s="229"/>
      <c r="Z38" s="229"/>
      <c r="AA38" s="229"/>
      <c r="AB38" s="229"/>
      <c r="AC38" s="230"/>
    </row>
    <row r="39" spans="1:32" s="23" customFormat="1" ht="14.4">
      <c r="A39" s="79"/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8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78"/>
    </row>
    <row r="40" spans="1:32" s="23" customFormat="1" ht="16.5" customHeight="1">
      <c r="A40" s="348" t="s">
        <v>56</v>
      </c>
      <c r="B40" s="349"/>
      <c r="C40" s="349"/>
      <c r="D40" s="349"/>
      <c r="E40" s="349"/>
      <c r="F40" s="349"/>
      <c r="G40" s="349"/>
      <c r="H40" s="349"/>
      <c r="I40" s="349"/>
      <c r="J40" s="349"/>
      <c r="K40" s="349"/>
      <c r="L40" s="349"/>
      <c r="M40" s="349"/>
      <c r="N40" s="349"/>
      <c r="O40" s="349"/>
      <c r="P40" s="349"/>
      <c r="Q40" s="350"/>
      <c r="R40" s="354" t="s">
        <v>57</v>
      </c>
      <c r="S40" s="355"/>
      <c r="T40" s="355"/>
      <c r="U40" s="355"/>
      <c r="V40" s="357"/>
      <c r="W40" s="354" t="s">
        <v>58</v>
      </c>
      <c r="X40" s="355"/>
      <c r="Y40" s="355"/>
      <c r="Z40" s="357"/>
      <c r="AA40" s="354" t="s">
        <v>59</v>
      </c>
      <c r="AB40" s="355"/>
      <c r="AC40" s="356"/>
    </row>
    <row r="41" spans="1:32" s="23" customFormat="1" ht="16.5" customHeight="1">
      <c r="A41" s="351"/>
      <c r="B41" s="352"/>
      <c r="C41" s="352"/>
      <c r="D41" s="352"/>
      <c r="E41" s="352"/>
      <c r="F41" s="352"/>
      <c r="G41" s="352"/>
      <c r="H41" s="352"/>
      <c r="I41" s="352"/>
      <c r="J41" s="352"/>
      <c r="K41" s="352"/>
      <c r="L41" s="352"/>
      <c r="M41" s="352"/>
      <c r="N41" s="352"/>
      <c r="O41" s="352"/>
      <c r="P41" s="352"/>
      <c r="Q41" s="353"/>
      <c r="R41" s="330" t="s">
        <v>60</v>
      </c>
      <c r="S41" s="331"/>
      <c r="T41" s="331"/>
      <c r="U41" s="331"/>
      <c r="V41" s="332"/>
      <c r="W41" s="330" t="s">
        <v>61</v>
      </c>
      <c r="X41" s="331"/>
      <c r="Y41" s="331"/>
      <c r="Z41" s="332"/>
      <c r="AA41" s="330" t="s">
        <v>62</v>
      </c>
      <c r="AB41" s="331"/>
      <c r="AC41" s="333"/>
    </row>
    <row r="42" spans="1:32" s="88" customFormat="1" ht="19.95" customHeight="1">
      <c r="A42" s="75"/>
      <c r="B42" s="85" t="str">
        <f>PL!B42</f>
        <v>Fiber Optic Cable</v>
      </c>
      <c r="I42" s="85"/>
      <c r="J42" s="85"/>
      <c r="K42" s="85"/>
      <c r="L42" s="85"/>
      <c r="M42" s="85"/>
      <c r="N42" s="85"/>
      <c r="O42" s="85"/>
      <c r="P42" s="85"/>
      <c r="Q42" s="76"/>
      <c r="R42" s="334" t="s">
        <v>212</v>
      </c>
      <c r="S42" s="335"/>
      <c r="T42" s="335"/>
      <c r="U42" s="335"/>
      <c r="V42" s="336"/>
      <c r="W42" s="337" t="s">
        <v>63</v>
      </c>
      <c r="X42" s="338"/>
      <c r="Y42" s="338"/>
      <c r="Z42" s="339"/>
      <c r="AA42" s="110"/>
      <c r="AB42" s="111"/>
      <c r="AC42" s="112">
        <f>CI_BD!H15</f>
        <v>236916.38</v>
      </c>
      <c r="AD42" s="88" t="s">
        <v>221</v>
      </c>
    </row>
    <row r="43" spans="1:32" s="20" customFormat="1" ht="19.95" customHeight="1">
      <c r="A43" s="181"/>
      <c r="B43" s="288" t="s">
        <v>222</v>
      </c>
      <c r="Q43" s="76"/>
      <c r="R43" s="340"/>
      <c r="S43" s="341"/>
      <c r="T43" s="341"/>
      <c r="U43" s="341"/>
      <c r="V43" s="342"/>
      <c r="W43" s="343" t="s">
        <v>223</v>
      </c>
      <c r="X43" s="344"/>
      <c r="Y43" s="344"/>
      <c r="Z43" s="345"/>
      <c r="AA43" s="110"/>
      <c r="AB43" s="111"/>
      <c r="AC43" s="112"/>
    </row>
    <row r="44" spans="1:32" s="20" customFormat="1" ht="19.95" customHeight="1" thickBot="1">
      <c r="A44" s="81"/>
      <c r="B44" s="103"/>
      <c r="C44" s="103"/>
      <c r="D44" s="103"/>
      <c r="E44" s="103"/>
      <c r="F44" s="103"/>
      <c r="G44" s="103"/>
      <c r="H44" s="103"/>
      <c r="I44" s="157"/>
      <c r="J44" s="157"/>
      <c r="K44" s="157"/>
      <c r="L44" s="157"/>
      <c r="M44" s="157"/>
      <c r="N44" s="157"/>
      <c r="O44" s="157"/>
      <c r="P44" s="157"/>
      <c r="Q44" s="149"/>
      <c r="R44" s="103"/>
      <c r="S44" s="103"/>
      <c r="T44" s="103"/>
      <c r="U44" s="103"/>
      <c r="V44" s="149"/>
      <c r="W44" s="103"/>
      <c r="X44" s="94"/>
      <c r="Y44" s="94"/>
      <c r="Z44" s="94"/>
      <c r="AA44" s="93"/>
      <c r="AB44" s="94"/>
      <c r="AC44" s="95"/>
    </row>
    <row r="45" spans="1:32" s="20" customFormat="1" ht="19.95" customHeight="1" thickBot="1">
      <c r="A45" s="96"/>
      <c r="B45" s="150"/>
      <c r="C45" s="97"/>
      <c r="D45" s="97"/>
      <c r="E45" s="97"/>
      <c r="F45" s="97"/>
      <c r="G45" s="97"/>
      <c r="H45" s="97"/>
      <c r="I45" s="327" t="s">
        <v>64</v>
      </c>
      <c r="J45" s="327"/>
      <c r="K45" s="327"/>
      <c r="L45" s="327"/>
      <c r="M45" s="327"/>
      <c r="N45" s="327"/>
      <c r="O45" s="327"/>
      <c r="P45" s="327"/>
      <c r="Q45" s="327"/>
      <c r="R45" s="346"/>
      <c r="S45" s="327"/>
      <c r="T45" s="327"/>
      <c r="U45" s="327"/>
      <c r="V45" s="327"/>
      <c r="W45" s="327"/>
      <c r="X45" s="327"/>
      <c r="Y45" s="327"/>
      <c r="Z45" s="347"/>
      <c r="AA45" s="328">
        <f>SUM(AC42:AC44)</f>
        <v>236916.38</v>
      </c>
      <c r="AB45" s="328"/>
      <c r="AC45" s="329"/>
      <c r="AD45" s="56"/>
      <c r="AE45" s="56"/>
      <c r="AF45" s="287"/>
    </row>
    <row r="46" spans="1:32">
      <c r="A46" s="63"/>
      <c r="B46" s="64"/>
      <c r="C46" s="64"/>
      <c r="D46" s="64"/>
      <c r="E46" s="64"/>
      <c r="F46" s="64"/>
      <c r="G46" s="64"/>
      <c r="H46" s="64"/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4"/>
      <c r="AA46" s="64"/>
      <c r="AB46" s="64"/>
      <c r="AC46" s="65"/>
    </row>
    <row r="47" spans="1:32">
      <c r="A47" s="66"/>
      <c r="AC47" s="67"/>
    </row>
    <row r="48" spans="1:32">
      <c r="A48" s="66"/>
      <c r="AC48" s="67"/>
    </row>
    <row r="49" spans="1:29">
      <c r="A49" s="66"/>
      <c r="AC49" s="67"/>
    </row>
    <row r="50" spans="1:29">
      <c r="A50" s="66"/>
      <c r="AC50" s="67"/>
    </row>
    <row r="51" spans="1:29">
      <c r="A51" s="66"/>
      <c r="AC51" s="67"/>
    </row>
    <row r="52" spans="1:29" ht="14.4">
      <c r="A52" s="75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S52" s="20" t="s">
        <v>65</v>
      </c>
      <c r="X52" s="9"/>
      <c r="AC52" s="67"/>
    </row>
    <row r="53" spans="1:29" ht="14.4">
      <c r="A53" s="75" t="s">
        <v>66</v>
      </c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AC53" s="67"/>
    </row>
    <row r="54" spans="1:29" ht="14.4">
      <c r="A54" s="75" t="s">
        <v>67</v>
      </c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W54" s="98"/>
      <c r="X54" s="98"/>
      <c r="AC54" s="67"/>
    </row>
    <row r="55" spans="1:29" ht="14.4">
      <c r="A55" s="75" t="s">
        <v>68</v>
      </c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V55" s="325" t="s">
        <v>69</v>
      </c>
      <c r="W55" s="325"/>
      <c r="X55" s="325"/>
      <c r="Y55" s="325"/>
      <c r="Z55" s="325"/>
      <c r="AA55" s="325"/>
      <c r="AB55" s="325"/>
      <c r="AC55" s="326"/>
    </row>
    <row r="56" spans="1:29" ht="14.4">
      <c r="A56" s="75" t="s">
        <v>70</v>
      </c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S56" s="105"/>
      <c r="U56" s="8"/>
      <c r="V56" s="8"/>
      <c r="W56" s="8"/>
      <c r="X56" s="8"/>
      <c r="Y56" s="8"/>
      <c r="Z56" s="8"/>
      <c r="AA56" s="8"/>
      <c r="AB56" s="8"/>
      <c r="AC56" s="67"/>
    </row>
    <row r="57" spans="1:29" ht="12.6" thickBot="1">
      <c r="A57" s="99"/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  <c r="N57" s="69"/>
      <c r="O57" s="69"/>
      <c r="P57" s="69"/>
      <c r="Q57" s="69"/>
      <c r="R57" s="69"/>
      <c r="S57" s="69"/>
      <c r="T57" s="69"/>
      <c r="U57" s="69"/>
      <c r="V57" s="69"/>
      <c r="W57" s="69"/>
      <c r="X57" s="69"/>
      <c r="Y57" s="69"/>
      <c r="Z57" s="69"/>
      <c r="AA57" s="69"/>
      <c r="AB57" s="69"/>
      <c r="AC57" s="70"/>
    </row>
    <row r="58" spans="1:29" ht="15" thickBot="1">
      <c r="A58" s="100" t="s">
        <v>71</v>
      </c>
      <c r="B58" s="101"/>
      <c r="C58" s="101"/>
      <c r="D58" s="101"/>
      <c r="E58" s="101"/>
      <c r="F58" s="101"/>
      <c r="G58" s="101"/>
      <c r="H58" s="101"/>
      <c r="I58" s="101"/>
      <c r="J58" s="101"/>
      <c r="K58" s="101"/>
      <c r="L58" s="101"/>
      <c r="M58" s="101"/>
      <c r="N58" s="101"/>
      <c r="O58" s="101"/>
      <c r="P58" s="101"/>
      <c r="Q58" s="101"/>
      <c r="R58" s="101"/>
      <c r="S58" s="101"/>
      <c r="T58" s="101"/>
      <c r="U58" s="101"/>
      <c r="V58" s="101"/>
      <c r="W58" s="101"/>
      <c r="X58" s="101"/>
      <c r="Y58" s="101"/>
      <c r="Z58" s="101"/>
      <c r="AA58" s="101"/>
      <c r="AB58" s="101"/>
      <c r="AC58" s="102"/>
    </row>
  </sheetData>
  <mergeCells count="35">
    <mergeCell ref="V55:AC55"/>
    <mergeCell ref="I45:Q45"/>
    <mergeCell ref="AA45:AC45"/>
    <mergeCell ref="R41:V41"/>
    <mergeCell ref="W41:Z41"/>
    <mergeCell ref="AA41:AC41"/>
    <mergeCell ref="R42:V42"/>
    <mergeCell ref="W42:Z42"/>
    <mergeCell ref="R43:V43"/>
    <mergeCell ref="W43:Z43"/>
    <mergeCell ref="R45:Z45"/>
    <mergeCell ref="A40:Q41"/>
    <mergeCell ref="AA40:AC40"/>
    <mergeCell ref="R40:V40"/>
    <mergeCell ref="W40:Z40"/>
    <mergeCell ref="S22:AC22"/>
    <mergeCell ref="Y33:AB33"/>
    <mergeCell ref="Y34:AB34"/>
    <mergeCell ref="J35:P35"/>
    <mergeCell ref="Y35:AB35"/>
    <mergeCell ref="S24:AC24"/>
    <mergeCell ref="S26:AC26"/>
    <mergeCell ref="I33:Q34"/>
    <mergeCell ref="I31:Q32"/>
    <mergeCell ref="I26:Q26"/>
    <mergeCell ref="I29:Q30"/>
    <mergeCell ref="R29:AC29"/>
    <mergeCell ref="Y32:AB32"/>
    <mergeCell ref="S20:AC20"/>
    <mergeCell ref="A6:AC6"/>
    <mergeCell ref="V8:Z8"/>
    <mergeCell ref="V10:Z10"/>
    <mergeCell ref="S18:AC18"/>
    <mergeCell ref="S15:AC15"/>
    <mergeCell ref="S16:AC16"/>
  </mergeCells>
  <phoneticPr fontId="9" type="noConversion"/>
  <pageMargins left="0.39370078740157483" right="0.39370078740157483" top="0.59055118110236227" bottom="0.39370078740157483" header="0.31496062992125984" footer="0.23622047244094491"/>
  <pageSetup paperSize="9" scale="72" orientation="portrait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J17"/>
  <sheetViews>
    <sheetView showGridLines="0" zoomScale="75" zoomScaleNormal="75" zoomScaleSheetLayoutView="70" workbookViewId="0">
      <selection activeCell="V8" sqref="V8:Z8"/>
    </sheetView>
  </sheetViews>
  <sheetFormatPr defaultColWidth="10" defaultRowHeight="14.4"/>
  <cols>
    <col min="1" max="1" width="12.19921875" style="14" customWidth="1"/>
    <col min="2" max="2" width="28.59765625" style="49" customWidth="1"/>
    <col min="3" max="3" width="39" style="49" customWidth="1"/>
    <col min="4" max="4" width="18.69921875" style="49" customWidth="1"/>
    <col min="5" max="5" width="14.19921875" style="116" customWidth="1"/>
    <col min="6" max="6" width="10.19921875" style="49" customWidth="1"/>
    <col min="7" max="8" width="16.19921875" style="49" customWidth="1"/>
    <col min="9" max="9" width="17.5" style="114" customWidth="1"/>
    <col min="10" max="10" width="20.09765625" style="20" customWidth="1"/>
    <col min="11" max="16384" width="10" style="14"/>
  </cols>
  <sheetData>
    <row r="1" spans="1:10" s="9" customFormat="1">
      <c r="B1" s="5"/>
      <c r="C1" s="5"/>
      <c r="D1" s="5"/>
      <c r="E1" s="115"/>
      <c r="F1" s="5"/>
      <c r="G1" s="5"/>
      <c r="H1" s="5"/>
      <c r="I1" s="5" t="s">
        <v>0</v>
      </c>
      <c r="J1" s="20"/>
    </row>
    <row r="2" spans="1:10" s="9" customFormat="1">
      <c r="B2" s="5"/>
      <c r="C2" s="5"/>
      <c r="D2" s="5"/>
      <c r="E2" s="115"/>
      <c r="F2" s="5"/>
      <c r="G2" s="5"/>
      <c r="H2" s="5"/>
      <c r="I2" s="5" t="s">
        <v>1</v>
      </c>
      <c r="J2" s="20"/>
    </row>
    <row r="3" spans="1:10" s="9" customFormat="1">
      <c r="B3" s="5"/>
      <c r="C3" s="5"/>
      <c r="D3" s="5"/>
      <c r="E3" s="115"/>
      <c r="F3" s="5"/>
      <c r="G3" s="5"/>
      <c r="H3" s="5"/>
      <c r="I3" s="5" t="s">
        <v>2</v>
      </c>
      <c r="J3" s="20"/>
    </row>
    <row r="4" spans="1:10" s="9" customFormat="1">
      <c r="B4" s="5"/>
      <c r="C4" s="5"/>
      <c r="D4" s="5"/>
      <c r="E4" s="115"/>
      <c r="F4" s="5"/>
      <c r="G4" s="5"/>
      <c r="H4" s="5"/>
      <c r="I4" s="5" t="s">
        <v>3</v>
      </c>
      <c r="J4" s="20"/>
    </row>
    <row r="5" spans="1:10" s="9" customFormat="1">
      <c r="B5" s="5"/>
      <c r="C5" s="5"/>
      <c r="D5" s="5"/>
      <c r="E5" s="115"/>
      <c r="F5" s="5"/>
      <c r="G5" s="5"/>
      <c r="H5" s="5"/>
      <c r="I5" s="5" t="s">
        <v>4</v>
      </c>
      <c r="J5" s="20"/>
    </row>
    <row r="6" spans="1:10" ht="44.25" customHeight="1">
      <c r="A6" s="358" t="s">
        <v>72</v>
      </c>
      <c r="B6" s="298"/>
      <c r="C6" s="298"/>
      <c r="D6" s="298"/>
      <c r="E6" s="298"/>
      <c r="F6" s="298"/>
      <c r="G6" s="298"/>
      <c r="H6" s="298"/>
      <c r="I6" s="298"/>
      <c r="J6" s="298"/>
    </row>
    <row r="7" spans="1:10" s="292" customFormat="1" ht="25.2" customHeight="1" thickBot="1">
      <c r="A7" s="15" t="s">
        <v>73</v>
      </c>
      <c r="B7" s="15" t="str">
        <f>CI!V8</f>
        <v>PGU-DE-0581</v>
      </c>
      <c r="C7" s="15"/>
      <c r="D7" s="15"/>
      <c r="E7" s="289"/>
      <c r="F7" s="15"/>
      <c r="G7" s="15"/>
      <c r="H7" s="15"/>
      <c r="I7" s="290"/>
      <c r="J7" s="291"/>
    </row>
    <row r="8" spans="1:10" s="270" customFormat="1" ht="37.950000000000003" customHeight="1">
      <c r="A8" s="265" t="s">
        <v>74</v>
      </c>
      <c r="B8" s="266" t="s">
        <v>75</v>
      </c>
      <c r="C8" s="266" t="s">
        <v>76</v>
      </c>
      <c r="D8" s="266" t="s">
        <v>77</v>
      </c>
      <c r="E8" s="267" t="s">
        <v>78</v>
      </c>
      <c r="F8" s="266" t="s">
        <v>79</v>
      </c>
      <c r="G8" s="268" t="s">
        <v>80</v>
      </c>
      <c r="H8" s="268" t="s">
        <v>81</v>
      </c>
      <c r="I8" s="266" t="s">
        <v>82</v>
      </c>
      <c r="J8" s="269" t="s">
        <v>83</v>
      </c>
    </row>
    <row r="9" spans="1:10" s="270" customFormat="1" ht="30" customHeight="1">
      <c r="A9" s="271">
        <v>1</v>
      </c>
      <c r="B9" s="272" t="s">
        <v>84</v>
      </c>
      <c r="C9" s="273" t="s">
        <v>85</v>
      </c>
      <c r="D9" s="274" t="s">
        <v>213</v>
      </c>
      <c r="E9" s="275">
        <v>1</v>
      </c>
      <c r="F9" s="273" t="s">
        <v>219</v>
      </c>
      <c r="G9" s="276">
        <v>31790.7</v>
      </c>
      <c r="H9" s="276">
        <v>31790.7</v>
      </c>
      <c r="I9" s="277" t="s">
        <v>86</v>
      </c>
      <c r="J9" s="278"/>
    </row>
    <row r="10" spans="1:10" s="270" customFormat="1" ht="30" customHeight="1">
      <c r="A10" s="271">
        <v>2</v>
      </c>
      <c r="B10" s="272" t="s">
        <v>87</v>
      </c>
      <c r="C10" s="273" t="s">
        <v>85</v>
      </c>
      <c r="D10" s="274" t="s">
        <v>214</v>
      </c>
      <c r="E10" s="275">
        <v>1</v>
      </c>
      <c r="F10" s="273" t="s">
        <v>219</v>
      </c>
      <c r="G10" s="276">
        <v>35121.15</v>
      </c>
      <c r="H10" s="276">
        <v>35121.15</v>
      </c>
      <c r="I10" s="277" t="s">
        <v>86</v>
      </c>
      <c r="J10" s="278"/>
    </row>
    <row r="11" spans="1:10" s="270" customFormat="1" ht="30" customHeight="1">
      <c r="A11" s="271">
        <v>3</v>
      </c>
      <c r="B11" s="272" t="s">
        <v>88</v>
      </c>
      <c r="C11" s="273" t="s">
        <v>85</v>
      </c>
      <c r="D11" s="274" t="s">
        <v>215</v>
      </c>
      <c r="E11" s="275">
        <v>1</v>
      </c>
      <c r="F11" s="273" t="s">
        <v>219</v>
      </c>
      <c r="G11" s="276">
        <v>42614.67</v>
      </c>
      <c r="H11" s="276">
        <v>42614.67</v>
      </c>
      <c r="I11" s="277" t="s">
        <v>86</v>
      </c>
      <c r="J11" s="278"/>
    </row>
    <row r="12" spans="1:10" s="270" customFormat="1" ht="30" customHeight="1">
      <c r="A12" s="271">
        <v>4</v>
      </c>
      <c r="B12" s="272" t="s">
        <v>89</v>
      </c>
      <c r="C12" s="273" t="s">
        <v>85</v>
      </c>
      <c r="D12" s="274" t="s">
        <v>216</v>
      </c>
      <c r="E12" s="275">
        <v>1</v>
      </c>
      <c r="F12" s="273" t="s">
        <v>219</v>
      </c>
      <c r="G12" s="276">
        <v>42614.67</v>
      </c>
      <c r="H12" s="276">
        <v>42614.67</v>
      </c>
      <c r="I12" s="277" t="s">
        <v>86</v>
      </c>
      <c r="J12" s="278"/>
    </row>
    <row r="13" spans="1:10" s="270" customFormat="1" ht="30" customHeight="1">
      <c r="A13" s="271">
        <v>5</v>
      </c>
      <c r="B13" s="272" t="s">
        <v>90</v>
      </c>
      <c r="C13" s="273" t="s">
        <v>85</v>
      </c>
      <c r="D13" s="274" t="s">
        <v>217</v>
      </c>
      <c r="E13" s="275">
        <v>1</v>
      </c>
      <c r="F13" s="273" t="s">
        <v>219</v>
      </c>
      <c r="G13" s="276">
        <v>31487.93</v>
      </c>
      <c r="H13" s="276">
        <v>31487.93</v>
      </c>
      <c r="I13" s="277" t="s">
        <v>86</v>
      </c>
      <c r="J13" s="278"/>
    </row>
    <row r="14" spans="1:10" s="270" customFormat="1" ht="30" customHeight="1">
      <c r="A14" s="271">
        <v>6</v>
      </c>
      <c r="B14" s="272" t="s">
        <v>91</v>
      </c>
      <c r="C14" s="273" t="s">
        <v>85</v>
      </c>
      <c r="D14" s="274" t="s">
        <v>218</v>
      </c>
      <c r="E14" s="275">
        <v>1</v>
      </c>
      <c r="F14" s="273" t="s">
        <v>219</v>
      </c>
      <c r="G14" s="276">
        <v>53287.26</v>
      </c>
      <c r="H14" s="276">
        <v>53287.26</v>
      </c>
      <c r="I14" s="277" t="s">
        <v>86</v>
      </c>
      <c r="J14" s="278"/>
    </row>
    <row r="15" spans="1:10" s="270" customFormat="1" ht="30" customHeight="1" thickBot="1">
      <c r="A15" s="279"/>
      <c r="B15" s="280"/>
      <c r="C15" s="281" t="s">
        <v>92</v>
      </c>
      <c r="D15" s="282"/>
      <c r="E15" s="282"/>
      <c r="F15" s="282"/>
      <c r="G15" s="283"/>
      <c r="H15" s="284">
        <f>SUM(H9:H14)</f>
        <v>236916.38</v>
      </c>
      <c r="I15" s="285"/>
      <c r="J15" s="286"/>
    </row>
    <row r="16" spans="1:10" s="20" customFormat="1">
      <c r="A16" s="14"/>
      <c r="B16" s="49"/>
      <c r="C16" s="49"/>
      <c r="D16" s="49"/>
      <c r="E16" s="116"/>
      <c r="F16" s="49"/>
      <c r="G16" s="49"/>
      <c r="H16" s="49"/>
      <c r="I16" s="113"/>
    </row>
    <row r="17" spans="1:9" s="20" customFormat="1">
      <c r="A17" s="14"/>
      <c r="B17" s="49"/>
      <c r="C17" s="49"/>
      <c r="D17" s="49"/>
      <c r="E17" s="116"/>
      <c r="F17" s="49"/>
      <c r="G17" s="49"/>
      <c r="H17" s="49"/>
      <c r="I17" s="113"/>
    </row>
  </sheetData>
  <protectedRanges>
    <protectedRange sqref="C9:H14" name="범위1_12"/>
  </protectedRanges>
  <autoFilter ref="B8:J15" xr:uid="{00000000-0009-0000-0000-000001000000}"/>
  <mergeCells count="1">
    <mergeCell ref="A6:J6"/>
  </mergeCells>
  <phoneticPr fontId="3" type="noConversion"/>
  <printOptions horizontalCentered="1"/>
  <pageMargins left="0.59055118110236227" right="0.59055118110236227" top="0.35433070866141736" bottom="0.27559055118110237" header="0.23622047244094491" footer="0.23622047244094491"/>
  <pageSetup paperSize="9" scale="45" orientation="landscape" horizontalDpi="1200" verticalDpi="1200" r:id="rId1"/>
  <headerFooter alignWithMargins="0">
    <oddFooter>&amp;C&amp;"Calibri,보통"&amp;12Doosan Enerbility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AV59"/>
  <sheetViews>
    <sheetView showGridLines="0" topLeftCell="A19" zoomScale="90" zoomScaleNormal="90" zoomScaleSheetLayoutView="90" workbookViewId="0">
      <selection activeCell="B43" sqref="B43"/>
    </sheetView>
  </sheetViews>
  <sheetFormatPr defaultColWidth="3" defaultRowHeight="12"/>
  <cols>
    <col min="1" max="6" width="3" style="5" customWidth="1"/>
    <col min="7" max="7" width="4" style="5" customWidth="1"/>
    <col min="8" max="8" width="9.09765625" style="5" customWidth="1"/>
    <col min="9" max="16" width="3" style="5" customWidth="1"/>
    <col min="17" max="17" width="6.69921875" style="5" customWidth="1"/>
    <col min="18" max="18" width="2.3984375" style="5" customWidth="1"/>
    <col min="19" max="20" width="4.3984375" style="5" customWidth="1"/>
    <col min="21" max="21" width="2.3984375" style="5" customWidth="1"/>
    <col min="22" max="24" width="4.296875" style="5" customWidth="1"/>
    <col min="25" max="25" width="2.3984375" style="5" customWidth="1"/>
    <col min="26" max="28" width="4.296875" style="5" customWidth="1"/>
    <col min="29" max="29" width="16.8984375" style="5" customWidth="1"/>
    <col min="30" max="31" width="3" style="9" customWidth="1"/>
    <col min="32" max="32" width="12.69921875" style="9" customWidth="1"/>
    <col min="33" max="16384" width="3" style="9"/>
  </cols>
  <sheetData>
    <row r="1" spans="1:29">
      <c r="A1" s="63"/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 t="s">
        <v>0</v>
      </c>
      <c r="X1" s="64"/>
      <c r="Y1" s="64"/>
      <c r="Z1" s="64"/>
      <c r="AA1" s="64"/>
      <c r="AB1" s="64"/>
      <c r="AC1" s="65"/>
    </row>
    <row r="2" spans="1:29">
      <c r="A2" s="66"/>
      <c r="W2" s="5" t="s">
        <v>1</v>
      </c>
      <c r="AC2" s="67"/>
    </row>
    <row r="3" spans="1:29">
      <c r="A3" s="66"/>
      <c r="W3" s="5" t="s">
        <v>2</v>
      </c>
      <c r="AC3" s="67"/>
    </row>
    <row r="4" spans="1:29">
      <c r="A4" s="66"/>
      <c r="W4" s="5" t="s">
        <v>3</v>
      </c>
      <c r="AC4" s="67"/>
    </row>
    <row r="5" spans="1:29">
      <c r="A5" s="66"/>
      <c r="W5" s="5" t="s">
        <v>4</v>
      </c>
      <c r="AC5" s="67"/>
    </row>
    <row r="6" spans="1:29" ht="40.200000000000003" customHeight="1">
      <c r="A6" s="297" t="s">
        <v>93</v>
      </c>
      <c r="B6" s="298"/>
      <c r="C6" s="298"/>
      <c r="D6" s="298"/>
      <c r="E6" s="298"/>
      <c r="F6" s="298"/>
      <c r="G6" s="298"/>
      <c r="H6" s="298"/>
      <c r="I6" s="298"/>
      <c r="J6" s="298"/>
      <c r="K6" s="298"/>
      <c r="L6" s="298"/>
      <c r="M6" s="298"/>
      <c r="N6" s="298"/>
      <c r="O6" s="298"/>
      <c r="P6" s="298"/>
      <c r="Q6" s="298"/>
      <c r="R6" s="298"/>
      <c r="S6" s="298"/>
      <c r="T6" s="298"/>
      <c r="U6" s="298"/>
      <c r="V6" s="298"/>
      <c r="W6" s="298"/>
      <c r="X6" s="298"/>
      <c r="Y6" s="298"/>
      <c r="Z6" s="298"/>
      <c r="AA6" s="298"/>
      <c r="AB6" s="298"/>
      <c r="AC6" s="299"/>
    </row>
    <row r="7" spans="1:29" ht="14.4" thickBot="1">
      <c r="A7" s="68"/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Z7" s="69"/>
      <c r="AA7" s="69"/>
      <c r="AB7" s="69"/>
      <c r="AC7" s="70"/>
    </row>
    <row r="8" spans="1:29" s="20" customFormat="1" ht="16.2" customHeight="1">
      <c r="A8" s="71" t="s">
        <v>6</v>
      </c>
      <c r="B8" s="72"/>
      <c r="C8" s="72"/>
      <c r="D8" s="72"/>
      <c r="E8" s="72"/>
      <c r="F8" s="72"/>
      <c r="G8" s="72"/>
      <c r="H8" s="72"/>
      <c r="I8" s="72"/>
      <c r="J8" s="72"/>
      <c r="K8" s="72"/>
      <c r="L8" s="72"/>
      <c r="M8" s="72"/>
      <c r="N8" s="72"/>
      <c r="O8" s="72"/>
      <c r="P8" s="72"/>
      <c r="Q8" s="73"/>
      <c r="R8" s="74" t="s">
        <v>94</v>
      </c>
      <c r="S8" s="72"/>
      <c r="T8" s="72"/>
      <c r="U8" s="74"/>
      <c r="V8" s="300" t="s">
        <v>8</v>
      </c>
      <c r="W8" s="300"/>
      <c r="X8" s="300"/>
      <c r="Y8" s="300"/>
      <c r="Z8" s="300"/>
      <c r="AA8" s="72"/>
      <c r="AB8" s="72"/>
      <c r="AC8" s="151"/>
    </row>
    <row r="9" spans="1:29" s="23" customFormat="1" ht="15" customHeight="1">
      <c r="A9" s="75"/>
      <c r="B9" s="103" t="s">
        <v>9</v>
      </c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91"/>
      <c r="R9" s="89" t="s">
        <v>10</v>
      </c>
      <c r="S9" s="77"/>
      <c r="T9" s="77"/>
      <c r="U9" s="77"/>
      <c r="V9" s="77"/>
      <c r="W9" s="77"/>
      <c r="X9" s="77"/>
      <c r="Y9" s="77"/>
      <c r="Z9" s="77"/>
      <c r="AA9" s="77"/>
      <c r="AB9" s="77"/>
      <c r="AC9" s="152"/>
    </row>
    <row r="10" spans="1:29" s="23" customFormat="1" ht="16.2" customHeight="1">
      <c r="A10" s="75"/>
      <c r="B10" s="20" t="s">
        <v>11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76"/>
      <c r="R10" s="103" t="s">
        <v>95</v>
      </c>
      <c r="S10" s="20"/>
      <c r="T10" s="20"/>
      <c r="U10" s="20"/>
      <c r="V10" s="301">
        <v>46157</v>
      </c>
      <c r="W10" s="301"/>
      <c r="X10" s="301"/>
      <c r="Y10" s="301"/>
      <c r="Z10" s="301"/>
      <c r="AA10" s="20"/>
      <c r="AB10" s="20"/>
      <c r="AC10" s="78"/>
    </row>
    <row r="11" spans="1:29" s="23" customFormat="1" ht="15" customHeight="1">
      <c r="A11" s="79"/>
      <c r="B11" s="77" t="s">
        <v>13</v>
      </c>
      <c r="C11" s="77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80"/>
      <c r="R11" s="89" t="s">
        <v>14</v>
      </c>
      <c r="S11" s="77"/>
      <c r="T11" s="77"/>
      <c r="U11" s="77"/>
      <c r="V11" s="77"/>
      <c r="W11" s="77"/>
      <c r="X11" s="77"/>
      <c r="Y11" s="77"/>
      <c r="Z11" s="77"/>
      <c r="AA11" s="77"/>
      <c r="AB11" s="77"/>
      <c r="AC11" s="152"/>
    </row>
    <row r="12" spans="1:29" s="23" customFormat="1" ht="14.4">
      <c r="A12" s="81" t="s">
        <v>15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76"/>
      <c r="R12" s="103" t="s">
        <v>16</v>
      </c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78"/>
    </row>
    <row r="13" spans="1:29" s="23" customFormat="1" ht="14.4">
      <c r="A13" s="221"/>
      <c r="B13" s="103" t="s">
        <v>17</v>
      </c>
      <c r="C13" s="222"/>
      <c r="D13" s="222"/>
      <c r="E13" s="222"/>
      <c r="F13" s="222"/>
      <c r="G13" s="222"/>
      <c r="H13" s="222"/>
      <c r="I13" s="222"/>
      <c r="J13" s="222"/>
      <c r="K13" s="222"/>
      <c r="L13" s="222"/>
      <c r="M13" s="222"/>
      <c r="N13" s="222"/>
      <c r="O13" s="222"/>
      <c r="P13" s="222"/>
      <c r="Q13" s="223"/>
      <c r="R13" s="20"/>
      <c r="S13" s="224"/>
      <c r="T13" s="224"/>
      <c r="U13" s="224"/>
      <c r="V13" s="224"/>
      <c r="W13" s="224"/>
      <c r="X13" s="224"/>
      <c r="Y13" s="224"/>
      <c r="Z13" s="224"/>
      <c r="AA13" s="224"/>
      <c r="AB13" s="224"/>
      <c r="AC13" s="225"/>
    </row>
    <row r="14" spans="1:29" s="23" customFormat="1" ht="14.4">
      <c r="A14" s="226"/>
      <c r="B14" s="20" t="s">
        <v>18</v>
      </c>
      <c r="C14" s="222"/>
      <c r="D14" s="222"/>
      <c r="E14" s="222"/>
      <c r="F14" s="222"/>
      <c r="G14" s="222"/>
      <c r="H14" s="222"/>
      <c r="I14" s="222"/>
      <c r="J14" s="222"/>
      <c r="K14" s="222"/>
      <c r="L14" s="222"/>
      <c r="M14" s="222"/>
      <c r="N14" s="222"/>
      <c r="O14" s="222"/>
      <c r="P14" s="222"/>
      <c r="Q14" s="223"/>
      <c r="R14" s="103"/>
      <c r="S14" s="105" t="s">
        <v>19</v>
      </c>
      <c r="T14" s="20"/>
      <c r="U14" s="20"/>
      <c r="V14" s="20"/>
      <c r="W14" s="20"/>
      <c r="X14" s="20"/>
      <c r="Y14" s="20"/>
      <c r="Z14" s="20"/>
      <c r="AA14" s="20"/>
      <c r="AB14" s="20"/>
      <c r="AC14" s="78"/>
    </row>
    <row r="15" spans="1:29" s="23" customFormat="1" ht="14.7" customHeight="1">
      <c r="A15" s="221"/>
      <c r="B15" s="20" t="s">
        <v>20</v>
      </c>
      <c r="C15" s="222"/>
      <c r="D15" s="222"/>
      <c r="E15" s="222"/>
      <c r="F15" s="222"/>
      <c r="G15" s="222"/>
      <c r="H15" s="222"/>
      <c r="I15" s="222"/>
      <c r="J15" s="222"/>
      <c r="K15" s="222"/>
      <c r="L15" s="222"/>
      <c r="M15" s="222"/>
      <c r="N15" s="222"/>
      <c r="O15" s="222"/>
      <c r="P15" s="222"/>
      <c r="Q15" s="223"/>
      <c r="R15" s="103"/>
      <c r="S15" s="302" t="s">
        <v>21</v>
      </c>
      <c r="T15" s="302"/>
      <c r="U15" s="302"/>
      <c r="V15" s="302"/>
      <c r="W15" s="302"/>
      <c r="X15" s="302"/>
      <c r="Y15" s="302"/>
      <c r="Z15" s="302"/>
      <c r="AA15" s="302"/>
      <c r="AB15" s="302"/>
      <c r="AC15" s="303"/>
    </row>
    <row r="16" spans="1:29" s="23" customFormat="1" ht="14.4">
      <c r="A16" s="75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76"/>
      <c r="R16" s="103"/>
      <c r="S16" s="304" t="s">
        <v>22</v>
      </c>
      <c r="T16" s="304"/>
      <c r="U16" s="304"/>
      <c r="V16" s="304"/>
      <c r="W16" s="304"/>
      <c r="X16" s="304"/>
      <c r="Y16" s="304"/>
      <c r="Z16" s="304"/>
      <c r="AA16" s="304"/>
      <c r="AB16" s="304"/>
      <c r="AC16" s="305"/>
    </row>
    <row r="17" spans="1:48" s="23" customFormat="1" ht="14.4">
      <c r="A17" s="79"/>
      <c r="B17" s="209"/>
      <c r="C17" s="77"/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80"/>
      <c r="R17" s="103"/>
      <c r="S17" s="105" t="s">
        <v>23</v>
      </c>
      <c r="T17" s="20"/>
      <c r="U17" s="20"/>
      <c r="V17" s="20"/>
      <c r="W17" s="20"/>
      <c r="X17" s="20"/>
      <c r="Y17" s="20"/>
      <c r="Z17" s="20"/>
      <c r="AA17" s="20"/>
      <c r="AB17" s="20"/>
      <c r="AC17" s="78"/>
    </row>
    <row r="18" spans="1:48" s="23" customFormat="1" ht="14.4">
      <c r="A18" s="81" t="s">
        <v>24</v>
      </c>
      <c r="B18" s="1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76"/>
      <c r="R18" s="103"/>
      <c r="S18" s="295" t="s">
        <v>25</v>
      </c>
      <c r="T18" s="295"/>
      <c r="U18" s="295"/>
      <c r="V18" s="295"/>
      <c r="W18" s="295"/>
      <c r="X18" s="295"/>
      <c r="Y18" s="295"/>
      <c r="Z18" s="295"/>
      <c r="AA18" s="295"/>
      <c r="AB18" s="295"/>
      <c r="AC18" s="296"/>
    </row>
    <row r="19" spans="1:48" s="23" customFormat="1" ht="14.4">
      <c r="A19" s="75"/>
      <c r="B19" s="219" t="s">
        <v>26</v>
      </c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76"/>
      <c r="R19" s="103"/>
      <c r="S19" s="105" t="s">
        <v>27</v>
      </c>
      <c r="T19" s="20"/>
      <c r="U19" s="20"/>
      <c r="V19" s="20"/>
      <c r="W19" s="92"/>
      <c r="X19" s="92"/>
      <c r="Y19" s="92"/>
      <c r="Z19" s="103"/>
      <c r="AA19" s="103"/>
      <c r="AB19" s="103"/>
      <c r="AC19" s="78"/>
    </row>
    <row r="20" spans="1:48" s="23" customFormat="1" ht="14.4">
      <c r="A20" s="75"/>
      <c r="B20" s="183" t="s">
        <v>28</v>
      </c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76"/>
      <c r="R20" s="103"/>
      <c r="S20" s="295">
        <v>2026</v>
      </c>
      <c r="T20" s="295"/>
      <c r="U20" s="295"/>
      <c r="V20" s="295"/>
      <c r="W20" s="295"/>
      <c r="X20" s="295"/>
      <c r="Y20" s="295"/>
      <c r="Z20" s="295"/>
      <c r="AA20" s="295"/>
      <c r="AB20" s="295"/>
      <c r="AC20" s="296"/>
    </row>
    <row r="21" spans="1:48" s="23" customFormat="1" ht="14.4">
      <c r="A21" s="220"/>
      <c r="B21" s="183" t="s">
        <v>29</v>
      </c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76"/>
      <c r="R21" s="20"/>
      <c r="S21" s="105" t="s">
        <v>30</v>
      </c>
      <c r="T21" s="105"/>
      <c r="U21" s="105"/>
      <c r="V21" s="105"/>
      <c r="W21" s="158"/>
      <c r="X21" s="158"/>
      <c r="Y21" s="158"/>
      <c r="Z21" s="103"/>
      <c r="AA21" s="20"/>
      <c r="AB21" s="20"/>
      <c r="AC21" s="78"/>
      <c r="AV21" s="1"/>
    </row>
    <row r="22" spans="1:48" s="23" customFormat="1" ht="14.4">
      <c r="A22" s="75"/>
      <c r="B22" s="183" t="s">
        <v>31</v>
      </c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76"/>
      <c r="R22" s="82"/>
      <c r="S22" s="295" t="s">
        <v>32</v>
      </c>
      <c r="T22" s="295"/>
      <c r="U22" s="295"/>
      <c r="V22" s="295"/>
      <c r="W22" s="295"/>
      <c r="X22" s="295"/>
      <c r="Y22" s="295"/>
      <c r="Z22" s="295"/>
      <c r="AA22" s="295"/>
      <c r="AB22" s="295"/>
      <c r="AC22" s="296"/>
    </row>
    <row r="23" spans="1:48" s="23" customFormat="1" ht="14.4">
      <c r="A23" s="75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76"/>
      <c r="R23" s="83"/>
      <c r="S23" s="105" t="s">
        <v>33</v>
      </c>
      <c r="AC23" s="227"/>
    </row>
    <row r="24" spans="1:48" s="23" customFormat="1" ht="14.4">
      <c r="A24" s="75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76"/>
      <c r="R24" s="159"/>
      <c r="S24" s="295" t="s">
        <v>34</v>
      </c>
      <c r="T24" s="295"/>
      <c r="U24" s="295"/>
      <c r="V24" s="295"/>
      <c r="W24" s="295"/>
      <c r="X24" s="295"/>
      <c r="Y24" s="295"/>
      <c r="Z24" s="295"/>
      <c r="AA24" s="295"/>
      <c r="AB24" s="295"/>
      <c r="AC24" s="296"/>
    </row>
    <row r="25" spans="1:48" s="23" customFormat="1" ht="14.7" customHeight="1">
      <c r="A25" s="75"/>
      <c r="B25" s="104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76"/>
      <c r="R25" s="228"/>
      <c r="S25" s="105" t="s">
        <v>35</v>
      </c>
      <c r="AC25" s="227"/>
    </row>
    <row r="26" spans="1:48" s="23" customFormat="1" ht="15" customHeight="1">
      <c r="A26" s="84" t="s">
        <v>36</v>
      </c>
      <c r="B26" s="85"/>
      <c r="C26" s="85"/>
      <c r="D26" s="85"/>
      <c r="E26" s="85"/>
      <c r="F26" s="85"/>
      <c r="G26" s="85"/>
      <c r="H26" s="86"/>
      <c r="I26" s="311" t="s">
        <v>37</v>
      </c>
      <c r="J26" s="312"/>
      <c r="K26" s="312"/>
      <c r="L26" s="312"/>
      <c r="M26" s="312"/>
      <c r="N26" s="312"/>
      <c r="O26" s="312"/>
      <c r="P26" s="312"/>
      <c r="Q26" s="313"/>
      <c r="R26" s="5"/>
      <c r="S26" s="309" t="s">
        <v>38</v>
      </c>
      <c r="T26" s="309"/>
      <c r="U26" s="309"/>
      <c r="V26" s="309"/>
      <c r="W26" s="309"/>
      <c r="X26" s="309"/>
      <c r="Y26" s="309"/>
      <c r="Z26" s="309"/>
      <c r="AA26" s="309"/>
      <c r="AB26" s="309"/>
      <c r="AC26" s="310"/>
    </row>
    <row r="27" spans="1:48" s="23" customFormat="1" ht="14.4">
      <c r="A27" s="75"/>
      <c r="B27" s="20" t="s">
        <v>225</v>
      </c>
      <c r="C27" s="20"/>
      <c r="D27" s="20"/>
      <c r="E27" s="20"/>
      <c r="F27" s="20"/>
      <c r="G27" s="20"/>
      <c r="H27" s="76"/>
      <c r="I27" s="20"/>
      <c r="J27" s="20" t="s">
        <v>226</v>
      </c>
      <c r="K27" s="20"/>
      <c r="L27" s="20"/>
      <c r="M27" s="20"/>
      <c r="N27" s="20"/>
      <c r="O27" s="20"/>
      <c r="P27" s="20"/>
      <c r="Q27" s="76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67"/>
    </row>
    <row r="28" spans="1:48" s="23" customFormat="1" ht="14.4">
      <c r="A28" s="79"/>
      <c r="B28" s="87"/>
      <c r="C28" s="77"/>
      <c r="D28" s="77"/>
      <c r="E28" s="77"/>
      <c r="F28" s="77"/>
      <c r="G28" s="77"/>
      <c r="H28" s="80"/>
      <c r="I28" s="77"/>
      <c r="J28" s="87"/>
      <c r="K28" s="77"/>
      <c r="L28" s="77"/>
      <c r="M28" s="77"/>
      <c r="N28" s="77"/>
      <c r="O28" s="77"/>
      <c r="P28" s="77"/>
      <c r="Q28" s="80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67"/>
    </row>
    <row r="29" spans="1:48" s="23" customFormat="1" ht="14.7" customHeight="1">
      <c r="A29" s="81" t="s">
        <v>39</v>
      </c>
      <c r="B29" s="20"/>
      <c r="C29" s="20"/>
      <c r="D29" s="20"/>
      <c r="E29" s="20"/>
      <c r="F29" s="20"/>
      <c r="G29" s="20"/>
      <c r="H29" s="76"/>
      <c r="I29" s="311" t="s">
        <v>40</v>
      </c>
      <c r="J29" s="312"/>
      <c r="K29" s="312"/>
      <c r="L29" s="312"/>
      <c r="M29" s="312"/>
      <c r="N29" s="312"/>
      <c r="O29" s="312"/>
      <c r="P29" s="312"/>
      <c r="Q29" s="313"/>
      <c r="R29" s="312" t="s">
        <v>41</v>
      </c>
      <c r="S29" s="312"/>
      <c r="T29" s="312"/>
      <c r="U29" s="312"/>
      <c r="V29" s="312"/>
      <c r="W29" s="312"/>
      <c r="X29" s="312"/>
      <c r="Y29" s="312"/>
      <c r="Z29" s="312"/>
      <c r="AA29" s="312"/>
      <c r="AB29" s="312"/>
      <c r="AC29" s="323"/>
    </row>
    <row r="30" spans="1:48" s="23" customFormat="1" ht="14.4">
      <c r="A30" s="81"/>
      <c r="B30" s="20"/>
      <c r="C30" s="20"/>
      <c r="D30" s="20"/>
      <c r="E30" s="20"/>
      <c r="F30" s="20"/>
      <c r="G30" s="20"/>
      <c r="H30" s="76"/>
      <c r="I30" s="314"/>
      <c r="J30" s="315"/>
      <c r="K30" s="315"/>
      <c r="L30" s="315"/>
      <c r="M30" s="315"/>
      <c r="N30" s="315"/>
      <c r="O30" s="315"/>
      <c r="P30" s="315"/>
      <c r="Q30" s="316"/>
      <c r="R30" s="20"/>
      <c r="AA30" s="20"/>
      <c r="AB30" s="20"/>
      <c r="AC30" s="78"/>
    </row>
    <row r="31" spans="1:48" s="23" customFormat="1" ht="14.4" customHeight="1">
      <c r="A31" s="75"/>
      <c r="B31" s="20" t="s">
        <v>227</v>
      </c>
      <c r="C31" s="20"/>
      <c r="D31" s="20"/>
      <c r="E31" s="20"/>
      <c r="F31" s="20"/>
      <c r="G31" s="20"/>
      <c r="H31" s="76"/>
      <c r="I31" s="317" t="s">
        <v>42</v>
      </c>
      <c r="J31" s="318"/>
      <c r="K31" s="318"/>
      <c r="L31" s="318"/>
      <c r="M31" s="318"/>
      <c r="N31" s="318"/>
      <c r="O31" s="318"/>
      <c r="P31" s="318"/>
      <c r="Q31" s="319"/>
      <c r="R31" s="20"/>
      <c r="S31" s="105" t="s">
        <v>43</v>
      </c>
      <c r="T31" s="20"/>
      <c r="U31" s="20"/>
      <c r="V31" s="20"/>
      <c r="W31" s="20"/>
      <c r="X31" s="20" t="s">
        <v>44</v>
      </c>
      <c r="Y31" s="20" t="s">
        <v>45</v>
      </c>
      <c r="Z31" s="20"/>
      <c r="AA31" s="20"/>
      <c r="AB31" s="20"/>
      <c r="AC31" s="78"/>
    </row>
    <row r="32" spans="1:48" s="23" customFormat="1" ht="14.4">
      <c r="A32" s="79"/>
      <c r="B32" s="77"/>
      <c r="C32" s="77"/>
      <c r="D32" s="77"/>
      <c r="E32" s="77"/>
      <c r="F32" s="77"/>
      <c r="G32" s="77"/>
      <c r="H32" s="80"/>
      <c r="I32" s="320"/>
      <c r="J32" s="321"/>
      <c r="K32" s="321"/>
      <c r="L32" s="321"/>
      <c r="M32" s="321"/>
      <c r="N32" s="321"/>
      <c r="O32" s="321"/>
      <c r="P32" s="321"/>
      <c r="Q32" s="322"/>
      <c r="R32" s="20"/>
      <c r="S32" s="105" t="s">
        <v>46</v>
      </c>
      <c r="T32" s="20"/>
      <c r="U32" s="20"/>
      <c r="V32" s="20"/>
      <c r="W32" s="20"/>
      <c r="X32" s="20" t="s">
        <v>44</v>
      </c>
      <c r="Y32" s="324">
        <f>COUNT('Summary PL'!A14:A19)</f>
        <v>6</v>
      </c>
      <c r="Z32" s="324"/>
      <c r="AA32" s="324"/>
      <c r="AB32" s="324"/>
      <c r="AC32" s="78" t="s">
        <v>47</v>
      </c>
    </row>
    <row r="33" spans="1:39" s="23" customFormat="1" ht="14.4" customHeight="1">
      <c r="A33" s="81" t="s">
        <v>48</v>
      </c>
      <c r="B33" s="20"/>
      <c r="C33" s="20"/>
      <c r="D33" s="20"/>
      <c r="E33" s="20"/>
      <c r="F33" s="20"/>
      <c r="G33" s="20"/>
      <c r="H33" s="76"/>
      <c r="I33" s="311" t="s">
        <v>49</v>
      </c>
      <c r="J33" s="312"/>
      <c r="K33" s="312"/>
      <c r="L33" s="312"/>
      <c r="M33" s="312"/>
      <c r="N33" s="312"/>
      <c r="O33" s="312"/>
      <c r="P33" s="312"/>
      <c r="Q33" s="313"/>
      <c r="R33" s="20"/>
      <c r="S33" s="105" t="s">
        <v>50</v>
      </c>
      <c r="T33" s="20"/>
      <c r="U33" s="20"/>
      <c r="V33" s="20"/>
      <c r="W33" s="20"/>
      <c r="X33" s="20" t="s">
        <v>44</v>
      </c>
      <c r="Y33" s="306">
        <f>'Summary PL'!L20</f>
        <v>2079</v>
      </c>
      <c r="Z33" s="306"/>
      <c r="AA33" s="306"/>
      <c r="AB33" s="306"/>
      <c r="AC33" s="78" t="s">
        <v>51</v>
      </c>
    </row>
    <row r="34" spans="1:39" s="23" customFormat="1" ht="14.4">
      <c r="A34" s="81"/>
      <c r="C34" s="20"/>
      <c r="D34" s="20"/>
      <c r="E34" s="20"/>
      <c r="F34" s="20"/>
      <c r="G34" s="20"/>
      <c r="H34" s="76"/>
      <c r="I34" s="314"/>
      <c r="J34" s="315"/>
      <c r="K34" s="315"/>
      <c r="L34" s="315"/>
      <c r="M34" s="315"/>
      <c r="N34" s="315"/>
      <c r="O34" s="315"/>
      <c r="P34" s="315"/>
      <c r="Q34" s="316"/>
      <c r="R34" s="20"/>
      <c r="S34" s="105" t="s">
        <v>52</v>
      </c>
      <c r="T34" s="20"/>
      <c r="U34" s="20"/>
      <c r="V34" s="20"/>
      <c r="W34" s="20"/>
      <c r="X34" s="20" t="s">
        <v>44</v>
      </c>
      <c r="Y34" s="307">
        <f>'Summary PL'!M20</f>
        <v>3130</v>
      </c>
      <c r="Z34" s="307"/>
      <c r="AA34" s="307"/>
      <c r="AB34" s="307"/>
      <c r="AC34" s="78" t="s">
        <v>51</v>
      </c>
    </row>
    <row r="35" spans="1:39" s="23" customFormat="1" ht="16.2">
      <c r="A35" s="75"/>
      <c r="B35" s="20" t="s">
        <v>228</v>
      </c>
      <c r="C35" s="20"/>
      <c r="D35" s="20"/>
      <c r="E35" s="20"/>
      <c r="F35" s="20"/>
      <c r="G35" s="20"/>
      <c r="H35" s="76"/>
      <c r="I35" s="20"/>
      <c r="J35" s="308">
        <v>46213</v>
      </c>
      <c r="K35" s="308"/>
      <c r="L35" s="308"/>
      <c r="M35" s="308"/>
      <c r="N35" s="308"/>
      <c r="O35" s="308"/>
      <c r="P35" s="308"/>
      <c r="Q35" s="76"/>
      <c r="R35" s="20"/>
      <c r="S35" s="105" t="s">
        <v>53</v>
      </c>
      <c r="T35" s="20"/>
      <c r="U35" s="20"/>
      <c r="V35" s="20"/>
      <c r="W35" s="20"/>
      <c r="X35" s="20" t="s">
        <v>44</v>
      </c>
      <c r="Y35" s="307">
        <f>'Summary PL'!K20</f>
        <v>7.726</v>
      </c>
      <c r="Z35" s="307"/>
      <c r="AA35" s="307"/>
      <c r="AB35" s="307"/>
      <c r="AC35" s="78" t="s">
        <v>54</v>
      </c>
    </row>
    <row r="36" spans="1:39" s="20" customFormat="1" ht="16.5" customHeight="1">
      <c r="A36" s="79"/>
      <c r="B36" s="77"/>
      <c r="C36" s="77"/>
      <c r="D36" s="77"/>
      <c r="E36" s="77"/>
      <c r="F36" s="77"/>
      <c r="G36" s="77"/>
      <c r="H36" s="80"/>
      <c r="I36" s="77"/>
      <c r="J36" s="77"/>
      <c r="K36" s="77"/>
      <c r="L36" s="77"/>
      <c r="M36" s="77"/>
      <c r="N36" s="77"/>
      <c r="O36" s="77"/>
      <c r="P36" s="77"/>
      <c r="Q36" s="80"/>
      <c r="S36" s="229"/>
      <c r="T36" s="229"/>
      <c r="U36" s="229"/>
      <c r="V36" s="229"/>
      <c r="W36" s="229"/>
      <c r="X36" s="229"/>
      <c r="Y36" s="229"/>
      <c r="Z36" s="229"/>
      <c r="AA36" s="229"/>
      <c r="AB36" s="229"/>
      <c r="AC36" s="230"/>
    </row>
    <row r="37" spans="1:39" s="23" customFormat="1" ht="14.4">
      <c r="A37" s="84" t="s">
        <v>55</v>
      </c>
      <c r="B37" s="85"/>
      <c r="C37" s="85"/>
      <c r="D37" s="85"/>
      <c r="E37" s="85"/>
      <c r="F37" s="85"/>
      <c r="G37" s="85"/>
      <c r="H37" s="85"/>
      <c r="I37" s="156"/>
      <c r="J37" s="85"/>
      <c r="K37" s="85"/>
      <c r="L37" s="85"/>
      <c r="M37" s="85"/>
      <c r="N37" s="85"/>
      <c r="O37" s="85"/>
      <c r="P37" s="85"/>
      <c r="Q37" s="86"/>
      <c r="R37" s="20"/>
      <c r="S37" s="229"/>
      <c r="T37" s="229"/>
      <c r="U37" s="229"/>
      <c r="V37" s="229"/>
      <c r="W37" s="229"/>
      <c r="X37" s="229"/>
      <c r="Y37" s="229"/>
      <c r="Z37" s="229"/>
      <c r="AA37" s="229"/>
      <c r="AB37" s="229"/>
      <c r="AC37" s="230"/>
    </row>
    <row r="38" spans="1:39" s="23" customFormat="1" ht="14.4">
      <c r="A38" s="75"/>
      <c r="B38" s="20"/>
      <c r="C38" s="20"/>
      <c r="D38" s="20"/>
      <c r="E38" s="20"/>
      <c r="F38" s="20"/>
      <c r="G38" s="20"/>
      <c r="H38" s="20"/>
      <c r="I38" s="20"/>
      <c r="J38" s="231"/>
      <c r="K38" s="231"/>
      <c r="L38" s="231"/>
      <c r="M38" s="231"/>
      <c r="N38" s="231"/>
      <c r="O38" s="231"/>
      <c r="P38" s="231"/>
      <c r="Q38" s="76"/>
      <c r="R38" s="20"/>
      <c r="S38" s="229"/>
      <c r="T38" s="229"/>
      <c r="U38" s="229"/>
      <c r="V38" s="229"/>
      <c r="W38" s="229"/>
      <c r="X38" s="229"/>
      <c r="Y38" s="229"/>
      <c r="Z38" s="229"/>
      <c r="AA38" s="229"/>
      <c r="AB38" s="229"/>
      <c r="AC38" s="230"/>
    </row>
    <row r="39" spans="1:39" s="23" customFormat="1" ht="14.4">
      <c r="A39" s="79"/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8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78"/>
    </row>
    <row r="40" spans="1:39" s="23" customFormat="1" ht="16.5" customHeight="1">
      <c r="A40" s="348" t="s">
        <v>56</v>
      </c>
      <c r="B40" s="349"/>
      <c r="C40" s="349"/>
      <c r="D40" s="349"/>
      <c r="E40" s="349"/>
      <c r="F40" s="349"/>
      <c r="G40" s="349"/>
      <c r="H40" s="349"/>
      <c r="I40" s="349"/>
      <c r="J40" s="349"/>
      <c r="K40" s="349"/>
      <c r="L40" s="349"/>
      <c r="M40" s="349"/>
      <c r="N40" s="349"/>
      <c r="O40" s="349"/>
      <c r="P40" s="349"/>
      <c r="Q40" s="350"/>
      <c r="R40" s="354" t="s">
        <v>96</v>
      </c>
      <c r="S40" s="355"/>
      <c r="T40" s="357"/>
      <c r="U40" s="354" t="s">
        <v>97</v>
      </c>
      <c r="V40" s="355"/>
      <c r="W40" s="355"/>
      <c r="X40" s="357"/>
      <c r="Y40" s="354" t="s">
        <v>98</v>
      </c>
      <c r="Z40" s="355"/>
      <c r="AA40" s="355"/>
      <c r="AB40" s="357"/>
      <c r="AC40" s="208" t="s">
        <v>99</v>
      </c>
    </row>
    <row r="41" spans="1:39" s="23" customFormat="1" ht="16.5" customHeight="1">
      <c r="A41" s="351"/>
      <c r="B41" s="352"/>
      <c r="C41" s="352"/>
      <c r="D41" s="352"/>
      <c r="E41" s="352"/>
      <c r="F41" s="352"/>
      <c r="G41" s="352"/>
      <c r="H41" s="352"/>
      <c r="I41" s="352"/>
      <c r="J41" s="352"/>
      <c r="K41" s="352"/>
      <c r="L41" s="352"/>
      <c r="M41" s="352"/>
      <c r="N41" s="352"/>
      <c r="O41" s="352"/>
      <c r="P41" s="352"/>
      <c r="Q41" s="353"/>
      <c r="R41" s="330" t="s">
        <v>100</v>
      </c>
      <c r="S41" s="331"/>
      <c r="T41" s="332"/>
      <c r="U41" s="330" t="s">
        <v>101</v>
      </c>
      <c r="V41" s="331"/>
      <c r="W41" s="331"/>
      <c r="X41" s="332"/>
      <c r="Y41" s="330" t="s">
        <v>101</v>
      </c>
      <c r="Z41" s="331"/>
      <c r="AA41" s="331"/>
      <c r="AB41" s="332"/>
      <c r="AC41" s="207" t="s">
        <v>102</v>
      </c>
      <c r="AF41" s="377"/>
      <c r="AG41" s="377"/>
      <c r="AH41" s="377"/>
      <c r="AI41" s="377"/>
      <c r="AJ41" s="377"/>
      <c r="AK41" s="377"/>
      <c r="AL41" s="377"/>
      <c r="AM41" s="377"/>
    </row>
    <row r="42" spans="1:39" s="90" customFormat="1" ht="19.95" customHeight="1">
      <c r="A42" s="75"/>
      <c r="B42" s="232" t="s">
        <v>220</v>
      </c>
      <c r="C42" s="88"/>
      <c r="D42" s="88"/>
      <c r="E42" s="88"/>
      <c r="F42" s="88"/>
      <c r="G42" s="88"/>
      <c r="H42" s="88"/>
      <c r="I42" s="85"/>
      <c r="J42" s="85"/>
      <c r="K42" s="85"/>
      <c r="L42" s="85"/>
      <c r="M42" s="85"/>
      <c r="N42" s="85"/>
      <c r="O42" s="85"/>
      <c r="P42" s="85"/>
      <c r="Q42" s="76"/>
      <c r="R42" s="363" t="s">
        <v>63</v>
      </c>
      <c r="S42" s="364"/>
      <c r="T42" s="365"/>
      <c r="U42" s="360">
        <f>'Summary PL'!L20</f>
        <v>2079</v>
      </c>
      <c r="V42" s="361"/>
      <c r="W42" s="361"/>
      <c r="X42" s="362"/>
      <c r="Y42" s="360">
        <f>'Summary PL'!M20</f>
        <v>3130</v>
      </c>
      <c r="Z42" s="361"/>
      <c r="AA42" s="361"/>
      <c r="AB42" s="362"/>
      <c r="AC42" s="233">
        <f>'Summary PL'!K20</f>
        <v>7.726</v>
      </c>
      <c r="AE42" s="88"/>
    </row>
    <row r="43" spans="1:39" s="90" customFormat="1" ht="19.95" customHeight="1">
      <c r="A43" s="181"/>
      <c r="B43" s="288" t="str">
        <f>CI!B43</f>
        <v>Силовые кабели и кабели управления</v>
      </c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76"/>
      <c r="R43" s="363" t="s">
        <v>224</v>
      </c>
      <c r="S43" s="364"/>
      <c r="T43" s="365"/>
      <c r="U43" s="374"/>
      <c r="V43" s="375"/>
      <c r="W43" s="375"/>
      <c r="X43" s="376"/>
      <c r="Y43" s="374"/>
      <c r="Z43" s="375"/>
      <c r="AA43" s="375"/>
      <c r="AB43" s="376"/>
      <c r="AC43" s="233"/>
      <c r="AE43" s="88"/>
    </row>
    <row r="44" spans="1:39" s="90" customFormat="1" ht="19.95" customHeight="1" thickBot="1">
      <c r="A44" s="81"/>
      <c r="B44" s="103"/>
      <c r="C44" s="103"/>
      <c r="D44" s="103"/>
      <c r="E44" s="103"/>
      <c r="F44" s="103"/>
      <c r="G44" s="103"/>
      <c r="H44" s="103"/>
      <c r="I44" s="157"/>
      <c r="J44" s="157"/>
      <c r="K44" s="157"/>
      <c r="L44" s="157"/>
      <c r="M44" s="157"/>
      <c r="N44" s="157"/>
      <c r="O44" s="157"/>
      <c r="P44" s="157"/>
      <c r="Q44" s="149"/>
      <c r="R44" s="234"/>
      <c r="S44" s="234"/>
      <c r="T44" s="235"/>
      <c r="U44" s="103"/>
      <c r="V44" s="103"/>
      <c r="W44" s="103"/>
      <c r="X44" s="236"/>
      <c r="Y44" s="94"/>
      <c r="Z44" s="94"/>
      <c r="AA44" s="94"/>
      <c r="AB44" s="236"/>
      <c r="AC44" s="233"/>
      <c r="AE44" s="88"/>
    </row>
    <row r="45" spans="1:39" s="23" customFormat="1" ht="19.95" customHeight="1" thickBot="1">
      <c r="A45" s="96"/>
      <c r="B45" s="97"/>
      <c r="C45" s="97"/>
      <c r="D45" s="97"/>
      <c r="E45" s="97"/>
      <c r="F45" s="97"/>
      <c r="G45" s="97"/>
      <c r="H45" s="97"/>
      <c r="I45" s="327"/>
      <c r="J45" s="327"/>
      <c r="K45" s="327"/>
      <c r="L45" s="327"/>
      <c r="M45" s="327"/>
      <c r="N45" s="327"/>
      <c r="O45" s="327"/>
      <c r="P45" s="327"/>
      <c r="Q45" s="359"/>
      <c r="R45" s="371"/>
      <c r="S45" s="372"/>
      <c r="T45" s="373"/>
      <c r="U45" s="366">
        <f>SUM(U42:X43)</f>
        <v>2079</v>
      </c>
      <c r="V45" s="328"/>
      <c r="W45" s="328"/>
      <c r="X45" s="367"/>
      <c r="Y45" s="368">
        <f>SUM(Y42:AB43)</f>
        <v>3130</v>
      </c>
      <c r="Z45" s="369"/>
      <c r="AA45" s="369"/>
      <c r="AB45" s="370"/>
      <c r="AC45" s="237">
        <f>SUM(AC42:AC43)</f>
        <v>7.726</v>
      </c>
    </row>
    <row r="46" spans="1:39">
      <c r="A46" s="63"/>
      <c r="B46" s="64"/>
      <c r="C46" s="64"/>
      <c r="D46" s="64"/>
      <c r="E46" s="64"/>
      <c r="F46" s="64"/>
      <c r="G46" s="64"/>
      <c r="H46" s="64"/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4"/>
      <c r="AA46" s="64"/>
      <c r="AB46" s="64"/>
      <c r="AC46" s="65"/>
    </row>
    <row r="47" spans="1:39">
      <c r="A47" s="66"/>
      <c r="AC47" s="67"/>
    </row>
    <row r="48" spans="1:39">
      <c r="A48" s="66"/>
      <c r="AC48" s="67"/>
    </row>
    <row r="49" spans="1:29">
      <c r="A49" s="66"/>
      <c r="AC49" s="67"/>
    </row>
    <row r="50" spans="1:29">
      <c r="A50" s="66"/>
      <c r="AC50" s="67"/>
    </row>
    <row r="51" spans="1:29">
      <c r="A51" s="66"/>
      <c r="AC51" s="67"/>
    </row>
    <row r="52" spans="1:29">
      <c r="A52" s="66"/>
      <c r="AC52" s="67"/>
    </row>
    <row r="53" spans="1:29" ht="14.4">
      <c r="A53" s="75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S53" s="20" t="s">
        <v>65</v>
      </c>
      <c r="AC53" s="67"/>
    </row>
    <row r="54" spans="1:29" ht="14.4">
      <c r="A54" s="75" t="s">
        <v>66</v>
      </c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AC54" s="67"/>
    </row>
    <row r="55" spans="1:29" ht="14.4">
      <c r="A55" s="75" t="s">
        <v>67</v>
      </c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W55" s="98"/>
      <c r="X55" s="98"/>
      <c r="AC55" s="67"/>
    </row>
    <row r="56" spans="1:29" ht="14.4">
      <c r="A56" s="75" t="s">
        <v>103</v>
      </c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V56" s="325" t="s">
        <v>69</v>
      </c>
      <c r="W56" s="325"/>
      <c r="X56" s="325"/>
      <c r="Y56" s="325"/>
      <c r="Z56" s="325"/>
      <c r="AA56" s="325"/>
      <c r="AB56" s="325"/>
      <c r="AC56" s="326"/>
    </row>
    <row r="57" spans="1:29" ht="14.4">
      <c r="A57" s="75" t="s">
        <v>70</v>
      </c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S57" s="105"/>
      <c r="U57" s="106"/>
      <c r="V57" s="106"/>
      <c r="W57" s="106"/>
      <c r="X57" s="106"/>
      <c r="Y57" s="106"/>
      <c r="Z57" s="106"/>
      <c r="AA57" s="106"/>
      <c r="AB57" s="106"/>
      <c r="AC57" s="67"/>
    </row>
    <row r="58" spans="1:29" ht="12.6" thickBot="1">
      <c r="A58" s="99"/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  <c r="Z58" s="69"/>
      <c r="AA58" s="69"/>
      <c r="AB58" s="69"/>
      <c r="AC58" s="70"/>
    </row>
    <row r="59" spans="1:29" ht="15" thickBot="1">
      <c r="A59" s="100" t="s">
        <v>71</v>
      </c>
      <c r="B59" s="101"/>
      <c r="C59" s="101"/>
      <c r="D59" s="101"/>
      <c r="E59" s="101"/>
      <c r="F59" s="101"/>
      <c r="G59" s="101"/>
      <c r="H59" s="101"/>
      <c r="I59" s="101"/>
      <c r="J59" s="101"/>
      <c r="K59" s="101"/>
      <c r="L59" s="101"/>
      <c r="M59" s="101"/>
      <c r="N59" s="101"/>
      <c r="O59" s="101"/>
      <c r="P59" s="101"/>
      <c r="Q59" s="101"/>
      <c r="R59" s="101"/>
      <c r="S59" s="101"/>
      <c r="T59" s="101"/>
      <c r="U59" s="101"/>
      <c r="V59" s="101"/>
      <c r="W59" s="101"/>
      <c r="X59" s="101"/>
      <c r="Y59" s="101"/>
      <c r="Z59" s="101"/>
      <c r="AA59" s="101"/>
      <c r="AB59" s="101"/>
      <c r="AC59" s="102"/>
    </row>
  </sheetData>
  <mergeCells count="40">
    <mergeCell ref="V56:AC56"/>
    <mergeCell ref="AJ41:AM41"/>
    <mergeCell ref="U40:X40"/>
    <mergeCell ref="Y40:AB40"/>
    <mergeCell ref="U41:X41"/>
    <mergeCell ref="Y41:AB41"/>
    <mergeCell ref="AF41:AI41"/>
    <mergeCell ref="R42:T42"/>
    <mergeCell ref="U42:X42"/>
    <mergeCell ref="U45:X45"/>
    <mergeCell ref="Y45:AB45"/>
    <mergeCell ref="R45:T45"/>
    <mergeCell ref="U43:X43"/>
    <mergeCell ref="Y43:AB43"/>
    <mergeCell ref="R43:T43"/>
    <mergeCell ref="I45:Q45"/>
    <mergeCell ref="A40:Q41"/>
    <mergeCell ref="Y32:AB32"/>
    <mergeCell ref="I26:Q26"/>
    <mergeCell ref="I29:Q30"/>
    <mergeCell ref="R40:T40"/>
    <mergeCell ref="S26:AC26"/>
    <mergeCell ref="R29:AC29"/>
    <mergeCell ref="I31:Q32"/>
    <mergeCell ref="I33:Q34"/>
    <mergeCell ref="Y33:AB33"/>
    <mergeCell ref="Y34:AB34"/>
    <mergeCell ref="J35:P35"/>
    <mergeCell ref="Y35:AB35"/>
    <mergeCell ref="R41:T41"/>
    <mergeCell ref="Y42:AB42"/>
    <mergeCell ref="S18:AC18"/>
    <mergeCell ref="S20:AC20"/>
    <mergeCell ref="S22:AC22"/>
    <mergeCell ref="S24:AC24"/>
    <mergeCell ref="A6:AC6"/>
    <mergeCell ref="V8:Z8"/>
    <mergeCell ref="V10:Z10"/>
    <mergeCell ref="S15:AC15"/>
    <mergeCell ref="S16:AC16"/>
  </mergeCells>
  <phoneticPr fontId="9" type="noConversion"/>
  <pageMargins left="0.39370078740157483" right="0.39370078740157483" top="0.59055118110236227" bottom="0.39370078740157483" header="0.31496062992125984" footer="0.23622047244094491"/>
  <pageSetup paperSize="9" scale="72" orientation="portrait" horizontalDpi="1200" verticalDpi="120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  <pageSetUpPr fitToPage="1"/>
  </sheetPr>
  <dimension ref="A1:U68"/>
  <sheetViews>
    <sheetView showGridLines="0" topLeftCell="A4" zoomScale="80" zoomScaleNormal="80" zoomScaleSheetLayoutView="80" workbookViewId="0">
      <selection activeCell="I28" sqref="I28"/>
    </sheetView>
  </sheetViews>
  <sheetFormatPr defaultColWidth="10" defaultRowHeight="13.8"/>
  <cols>
    <col min="1" max="1" width="17.59765625" style="49" customWidth="1"/>
    <col min="2" max="2" width="20.59765625" style="49" customWidth="1"/>
    <col min="3" max="3" width="27.5" style="49" customWidth="1"/>
    <col min="4" max="4" width="40.19921875" style="49" customWidth="1"/>
    <col min="5" max="5" width="17.09765625" style="12" customWidth="1"/>
    <col min="6" max="6" width="11.19921875" style="264" customWidth="1"/>
    <col min="7" max="7" width="9.19921875" style="50" customWidth="1"/>
    <col min="8" max="8" width="11.5" style="62" customWidth="1"/>
    <col min="9" max="10" width="11.5" style="62" bestFit="1" customWidth="1"/>
    <col min="11" max="11" width="11.69921875" style="62" customWidth="1"/>
    <col min="12" max="12" width="15.59765625" style="62" customWidth="1"/>
    <col min="13" max="13" width="17.19921875" style="62" customWidth="1"/>
    <col min="14" max="14" width="18.19921875" style="54" customWidth="1"/>
    <col min="15" max="15" width="14.5" style="52" customWidth="1"/>
    <col min="16" max="16" width="16.09765625" style="119" customWidth="1"/>
    <col min="17" max="17" width="10" style="12"/>
    <col min="18" max="18" width="21.69921875" style="12" customWidth="1"/>
    <col min="19" max="20" width="10" style="13"/>
    <col min="21" max="16384" width="10" style="14"/>
  </cols>
  <sheetData>
    <row r="1" spans="1:21" s="9" customFormat="1" ht="15.6">
      <c r="A1" s="5"/>
      <c r="B1" s="5"/>
      <c r="C1" s="5"/>
      <c r="D1" s="5"/>
      <c r="E1" s="6"/>
      <c r="F1" s="254"/>
      <c r="G1" s="8"/>
      <c r="H1" s="123"/>
      <c r="I1" s="55"/>
      <c r="J1" s="55"/>
      <c r="K1" s="55"/>
      <c r="L1" s="215"/>
      <c r="M1" s="55"/>
      <c r="N1" s="5"/>
      <c r="O1" s="10" t="s">
        <v>0</v>
      </c>
      <c r="P1" s="47"/>
      <c r="Q1" s="6"/>
      <c r="R1" s="185" t="s">
        <v>104</v>
      </c>
      <c r="S1" s="185" t="s">
        <v>105</v>
      </c>
      <c r="T1" s="11"/>
    </row>
    <row r="2" spans="1:21" s="9" customFormat="1" ht="15.6">
      <c r="A2" s="5"/>
      <c r="B2" s="5"/>
      <c r="C2" s="5"/>
      <c r="D2" s="5"/>
      <c r="E2" s="6"/>
      <c r="F2" s="254"/>
      <c r="G2" s="8"/>
      <c r="H2" s="123"/>
      <c r="I2" s="55"/>
      <c r="J2" s="55"/>
      <c r="K2" s="55"/>
      <c r="L2" s="215"/>
      <c r="M2" s="55"/>
      <c r="N2" s="5"/>
      <c r="O2" s="10" t="s">
        <v>1</v>
      </c>
      <c r="P2" s="47"/>
      <c r="Q2" s="184" t="s">
        <v>106</v>
      </c>
      <c r="R2" s="185" t="s">
        <v>107</v>
      </c>
      <c r="S2" s="185" t="s">
        <v>108</v>
      </c>
    </row>
    <row r="3" spans="1:21" s="9" customFormat="1" ht="15.6">
      <c r="A3" s="5"/>
      <c r="B3" s="5"/>
      <c r="C3" s="5"/>
      <c r="D3" s="5"/>
      <c r="E3" s="6"/>
      <c r="F3" s="254"/>
      <c r="G3" s="8"/>
      <c r="H3" s="123"/>
      <c r="I3" s="55"/>
      <c r="J3" s="55"/>
      <c r="K3" s="55"/>
      <c r="L3" s="215"/>
      <c r="M3" s="55"/>
      <c r="N3" s="5"/>
      <c r="O3" s="10" t="s">
        <v>2</v>
      </c>
      <c r="P3" s="47"/>
      <c r="Q3" s="186"/>
      <c r="R3" s="185" t="s">
        <v>109</v>
      </c>
      <c r="S3" s="185" t="s">
        <v>110</v>
      </c>
    </row>
    <row r="4" spans="1:21" s="9" customFormat="1" ht="15.6">
      <c r="A4" s="5"/>
      <c r="B4" s="5"/>
      <c r="C4" s="5"/>
      <c r="D4" s="5"/>
      <c r="E4" s="6"/>
      <c r="F4" s="254"/>
      <c r="G4" s="8"/>
      <c r="H4" s="123"/>
      <c r="I4" s="55"/>
      <c r="J4" s="55"/>
      <c r="K4" s="55"/>
      <c r="L4" s="215"/>
      <c r="M4" s="55"/>
      <c r="N4" s="5"/>
      <c r="O4" s="10" t="s">
        <v>3</v>
      </c>
      <c r="P4" s="47"/>
      <c r="Q4" s="186"/>
      <c r="R4" s="185" t="s">
        <v>111</v>
      </c>
      <c r="S4" s="185" t="s">
        <v>112</v>
      </c>
    </row>
    <row r="5" spans="1:21" s="9" customFormat="1" ht="15.6">
      <c r="A5" s="5"/>
      <c r="B5" s="5"/>
      <c r="C5" s="5"/>
      <c r="D5" s="5"/>
      <c r="E5" s="6"/>
      <c r="F5" s="254"/>
      <c r="G5" s="8"/>
      <c r="H5" s="123"/>
      <c r="I5" s="55"/>
      <c r="J5" s="55"/>
      <c r="K5" s="55"/>
      <c r="L5" s="215"/>
      <c r="M5" s="55"/>
      <c r="N5" s="5"/>
      <c r="O5" s="10" t="s">
        <v>4</v>
      </c>
      <c r="P5" s="47"/>
      <c r="Q5" s="186"/>
    </row>
    <row r="6" spans="1:21" ht="52.2" customHeight="1">
      <c r="A6" s="358" t="s">
        <v>113</v>
      </c>
      <c r="B6" s="358"/>
      <c r="C6" s="298"/>
      <c r="D6" s="298"/>
      <c r="E6" s="298"/>
      <c r="F6" s="298"/>
      <c r="G6" s="298"/>
      <c r="H6" s="298"/>
      <c r="I6" s="298"/>
      <c r="J6" s="298"/>
      <c r="K6" s="298"/>
      <c r="L6" s="298"/>
      <c r="M6" s="298"/>
      <c r="N6" s="298"/>
      <c r="O6" s="298"/>
      <c r="P6" s="298"/>
      <c r="Q6" s="24"/>
    </row>
    <row r="7" spans="1:21" ht="20.100000000000001" customHeight="1">
      <c r="A7" s="189" t="s">
        <v>114</v>
      </c>
      <c r="B7" s="189" t="s">
        <v>115</v>
      </c>
      <c r="C7" s="190"/>
      <c r="D7" s="190"/>
      <c r="E7" s="190"/>
      <c r="F7" s="255"/>
      <c r="G7" s="155"/>
      <c r="H7" s="155"/>
      <c r="I7" s="155"/>
      <c r="J7" s="155"/>
      <c r="K7" s="216"/>
      <c r="L7" s="216"/>
      <c r="M7" s="216"/>
      <c r="N7" s="155"/>
      <c r="O7" s="155"/>
      <c r="P7" s="155"/>
      <c r="Q7" s="24"/>
    </row>
    <row r="8" spans="1:21" ht="20.100000000000001" customHeight="1">
      <c r="A8" s="189"/>
      <c r="B8" s="189" t="s">
        <v>116</v>
      </c>
      <c r="C8" s="190"/>
      <c r="D8" s="190"/>
      <c r="E8" s="190"/>
      <c r="F8" s="255"/>
      <c r="G8" s="155"/>
      <c r="H8" s="155"/>
      <c r="I8" s="155"/>
      <c r="J8" s="155"/>
      <c r="K8" s="216"/>
      <c r="L8" s="216"/>
      <c r="M8" s="216"/>
      <c r="N8" s="155"/>
      <c r="O8" s="155"/>
      <c r="P8" s="155"/>
      <c r="T8" s="186"/>
      <c r="U8" s="187"/>
    </row>
    <row r="9" spans="1:21" s="23" customFormat="1" ht="20.100000000000001" customHeight="1" thickBot="1">
      <c r="A9" s="189" t="s">
        <v>117</v>
      </c>
      <c r="B9" s="218" t="str">
        <f>PL!V8</f>
        <v>PGU-DE-0581</v>
      </c>
      <c r="C9" s="189"/>
      <c r="D9" s="191"/>
      <c r="E9" s="34"/>
      <c r="F9" s="256"/>
      <c r="G9" s="18"/>
      <c r="H9" s="56"/>
      <c r="I9" s="56"/>
      <c r="J9" s="56"/>
      <c r="K9" s="124"/>
      <c r="L9" s="56"/>
      <c r="M9" s="56"/>
      <c r="N9" s="19"/>
      <c r="O9" s="21"/>
      <c r="P9" s="21"/>
      <c r="T9" s="186"/>
      <c r="U9" s="187"/>
    </row>
    <row r="10" spans="1:21" s="23" customFormat="1" ht="20.100000000000001" customHeight="1">
      <c r="A10" s="192" t="s">
        <v>118</v>
      </c>
      <c r="B10" s="193" t="s">
        <v>119</v>
      </c>
      <c r="C10" s="193"/>
      <c r="D10" s="194"/>
      <c r="E10" s="195"/>
      <c r="F10" s="256"/>
      <c r="G10" s="18"/>
      <c r="H10" s="56"/>
      <c r="I10" s="56"/>
      <c r="J10" s="56"/>
      <c r="K10" s="124"/>
      <c r="L10" s="56"/>
      <c r="M10" s="56"/>
      <c r="N10" s="19"/>
      <c r="O10" s="21"/>
      <c r="P10" s="21"/>
      <c r="T10" s="186"/>
      <c r="U10" s="187"/>
    </row>
    <row r="11" spans="1:21" s="23" customFormat="1" ht="20.100000000000001" customHeight="1" thickBot="1">
      <c r="A11" s="241" t="s">
        <v>120</v>
      </c>
      <c r="B11" s="189" t="s">
        <v>121</v>
      </c>
      <c r="C11" s="189"/>
      <c r="D11" s="191"/>
      <c r="E11" s="242"/>
      <c r="F11" s="256"/>
      <c r="G11" s="18"/>
      <c r="H11" s="56"/>
      <c r="I11" s="56"/>
      <c r="J11" s="56"/>
      <c r="K11" s="124"/>
      <c r="L11" s="56"/>
      <c r="M11" s="56"/>
      <c r="N11" s="19"/>
      <c r="O11" s="21"/>
      <c r="P11" s="21"/>
      <c r="T11" s="186"/>
      <c r="U11" s="187"/>
    </row>
    <row r="12" spans="1:21" s="26" customFormat="1" ht="25.35" customHeight="1">
      <c r="A12" s="385" t="s">
        <v>122</v>
      </c>
      <c r="B12" s="387" t="s">
        <v>123</v>
      </c>
      <c r="C12" s="387" t="s">
        <v>124</v>
      </c>
      <c r="D12" s="387" t="s">
        <v>125</v>
      </c>
      <c r="E12" s="387" t="s">
        <v>126</v>
      </c>
      <c r="F12" s="389" t="s">
        <v>127</v>
      </c>
      <c r="G12" s="389"/>
      <c r="H12" s="390" t="s">
        <v>128</v>
      </c>
      <c r="I12" s="390"/>
      <c r="J12" s="390"/>
      <c r="K12" s="390"/>
      <c r="L12" s="391" t="s">
        <v>129</v>
      </c>
      <c r="M12" s="393" t="s">
        <v>130</v>
      </c>
      <c r="N12" s="391" t="s">
        <v>131</v>
      </c>
      <c r="O12" s="378" t="s">
        <v>132</v>
      </c>
      <c r="P12" s="380" t="s">
        <v>133</v>
      </c>
      <c r="R12" s="25"/>
      <c r="S12" s="25"/>
      <c r="T12" s="25"/>
    </row>
    <row r="13" spans="1:21" s="26" customFormat="1" ht="33" customHeight="1">
      <c r="A13" s="386"/>
      <c r="B13" s="388"/>
      <c r="C13" s="388"/>
      <c r="D13" s="388"/>
      <c r="E13" s="388"/>
      <c r="F13" s="257" t="s">
        <v>134</v>
      </c>
      <c r="G13" s="240" t="s">
        <v>135</v>
      </c>
      <c r="H13" s="125" t="s">
        <v>136</v>
      </c>
      <c r="I13" s="125" t="s">
        <v>137</v>
      </c>
      <c r="J13" s="125" t="s">
        <v>138</v>
      </c>
      <c r="K13" s="125" t="s">
        <v>139</v>
      </c>
      <c r="L13" s="392"/>
      <c r="M13" s="394"/>
      <c r="N13" s="392"/>
      <c r="O13" s="379"/>
      <c r="P13" s="381"/>
      <c r="R13" s="25"/>
      <c r="S13" s="25"/>
      <c r="T13" s="25"/>
    </row>
    <row r="14" spans="1:21" s="121" customFormat="1" ht="25.2" customHeight="1">
      <c r="A14" s="27">
        <v>1</v>
      </c>
      <c r="B14" s="31"/>
      <c r="C14" s="188" t="s">
        <v>140</v>
      </c>
      <c r="D14" s="29" t="s">
        <v>141</v>
      </c>
      <c r="E14" s="31" t="s">
        <v>142</v>
      </c>
      <c r="F14" s="258">
        <v>1</v>
      </c>
      <c r="G14" s="31" t="s">
        <v>143</v>
      </c>
      <c r="H14" s="57">
        <v>125</v>
      </c>
      <c r="I14" s="57">
        <v>75</v>
      </c>
      <c r="J14" s="57">
        <v>125</v>
      </c>
      <c r="K14" s="57">
        <f>ROUND(J14*I14*H14/1000000,3)</f>
        <v>1.1719999999999999</v>
      </c>
      <c r="L14" s="293">
        <f>'Detail PL'!K15</f>
        <v>261</v>
      </c>
      <c r="M14" s="57">
        <v>420</v>
      </c>
      <c r="N14" s="32" t="s">
        <v>144</v>
      </c>
      <c r="O14" s="29" t="s">
        <v>145</v>
      </c>
      <c r="P14" s="180" t="s">
        <v>144</v>
      </c>
      <c r="Q14" s="33"/>
      <c r="R14" s="34"/>
      <c r="S14" s="34"/>
      <c r="T14" s="120"/>
    </row>
    <row r="15" spans="1:21" s="121" customFormat="1" ht="25.2" customHeight="1">
      <c r="A15" s="27">
        <v>2</v>
      </c>
      <c r="B15" s="31"/>
      <c r="C15" s="188" t="s">
        <v>146</v>
      </c>
      <c r="D15" s="29" t="s">
        <v>147</v>
      </c>
      <c r="E15" s="31" t="s">
        <v>142</v>
      </c>
      <c r="F15" s="258">
        <v>1</v>
      </c>
      <c r="G15" s="31" t="s">
        <v>143</v>
      </c>
      <c r="H15" s="57">
        <v>125</v>
      </c>
      <c r="I15" s="57">
        <v>75</v>
      </c>
      <c r="J15" s="57">
        <v>125</v>
      </c>
      <c r="K15" s="57">
        <f t="shared" ref="K15:K19" si="0">ROUND(J15*I15*H15/1000000,3)</f>
        <v>1.1719999999999999</v>
      </c>
      <c r="L15" s="293">
        <f>'Detail PL'!K17</f>
        <v>296</v>
      </c>
      <c r="M15" s="57">
        <v>464</v>
      </c>
      <c r="N15" s="32" t="s">
        <v>144</v>
      </c>
      <c r="O15" s="29" t="s">
        <v>145</v>
      </c>
      <c r="P15" s="180" t="s">
        <v>144</v>
      </c>
      <c r="Q15" s="33"/>
      <c r="R15" s="34"/>
      <c r="S15" s="34"/>
      <c r="T15" s="120"/>
    </row>
    <row r="16" spans="1:21" s="121" customFormat="1" ht="25.2" customHeight="1">
      <c r="A16" s="27">
        <v>3</v>
      </c>
      <c r="B16" s="31"/>
      <c r="C16" s="188" t="s">
        <v>148</v>
      </c>
      <c r="D16" s="29" t="s">
        <v>149</v>
      </c>
      <c r="E16" s="31" t="s">
        <v>142</v>
      </c>
      <c r="F16" s="258">
        <v>1</v>
      </c>
      <c r="G16" s="31" t="s">
        <v>143</v>
      </c>
      <c r="H16" s="57">
        <v>132</v>
      </c>
      <c r="I16" s="57">
        <v>75</v>
      </c>
      <c r="J16" s="57">
        <v>132</v>
      </c>
      <c r="K16" s="57">
        <f t="shared" si="0"/>
        <v>1.3069999999999999</v>
      </c>
      <c r="L16" s="293">
        <f>'Detail PL'!K19</f>
        <v>387</v>
      </c>
      <c r="M16" s="57">
        <v>563</v>
      </c>
      <c r="N16" s="32" t="s">
        <v>144</v>
      </c>
      <c r="O16" s="29" t="s">
        <v>145</v>
      </c>
      <c r="P16" s="180" t="s">
        <v>144</v>
      </c>
      <c r="Q16" s="33"/>
      <c r="R16" s="34"/>
      <c r="S16" s="34"/>
      <c r="T16" s="120"/>
    </row>
    <row r="17" spans="1:20" s="121" customFormat="1" ht="25.2" customHeight="1">
      <c r="A17" s="27">
        <v>4</v>
      </c>
      <c r="B17" s="31"/>
      <c r="C17" s="188" t="s">
        <v>89</v>
      </c>
      <c r="D17" s="29" t="s">
        <v>149</v>
      </c>
      <c r="E17" s="31" t="s">
        <v>142</v>
      </c>
      <c r="F17" s="258">
        <v>1</v>
      </c>
      <c r="G17" s="31" t="s">
        <v>143</v>
      </c>
      <c r="H17" s="57">
        <v>132</v>
      </c>
      <c r="I17" s="57">
        <v>75</v>
      </c>
      <c r="J17" s="57">
        <v>132</v>
      </c>
      <c r="K17" s="57">
        <f t="shared" si="0"/>
        <v>1.3069999999999999</v>
      </c>
      <c r="L17" s="293">
        <f>'Detail PL'!K21</f>
        <v>387</v>
      </c>
      <c r="M17" s="57">
        <v>563</v>
      </c>
      <c r="N17" s="32" t="s">
        <v>144</v>
      </c>
      <c r="O17" s="29" t="s">
        <v>145</v>
      </c>
      <c r="P17" s="180" t="s">
        <v>144</v>
      </c>
      <c r="Q17" s="33"/>
      <c r="R17" s="34"/>
      <c r="S17" s="34"/>
      <c r="T17" s="120"/>
    </row>
    <row r="18" spans="1:20" s="121" customFormat="1" ht="25.2" customHeight="1">
      <c r="A18" s="27">
        <v>5</v>
      </c>
      <c r="B18" s="31"/>
      <c r="C18" s="188" t="s">
        <v>150</v>
      </c>
      <c r="D18" s="29" t="s">
        <v>151</v>
      </c>
      <c r="E18" s="31" t="s">
        <v>142</v>
      </c>
      <c r="F18" s="258">
        <v>1</v>
      </c>
      <c r="G18" s="31" t="s">
        <v>143</v>
      </c>
      <c r="H18" s="57">
        <v>120</v>
      </c>
      <c r="I18" s="57">
        <v>75</v>
      </c>
      <c r="J18" s="57">
        <v>120</v>
      </c>
      <c r="K18" s="57">
        <f t="shared" si="0"/>
        <v>1.08</v>
      </c>
      <c r="L18" s="293">
        <f>'Detail PL'!K23</f>
        <v>257</v>
      </c>
      <c r="M18" s="57">
        <v>416</v>
      </c>
      <c r="N18" s="32" t="s">
        <v>144</v>
      </c>
      <c r="O18" s="29" t="s">
        <v>145</v>
      </c>
      <c r="P18" s="180" t="s">
        <v>144</v>
      </c>
      <c r="Q18" s="33"/>
      <c r="R18" s="34"/>
      <c r="S18" s="34"/>
      <c r="T18" s="120"/>
    </row>
    <row r="19" spans="1:20" s="121" customFormat="1" ht="25.2" customHeight="1">
      <c r="A19" s="27">
        <v>6</v>
      </c>
      <c r="B19" s="31"/>
      <c r="C19" s="188" t="s">
        <v>152</v>
      </c>
      <c r="D19" s="29" t="s">
        <v>153</v>
      </c>
      <c r="E19" s="31" t="s">
        <v>142</v>
      </c>
      <c r="F19" s="258">
        <v>1</v>
      </c>
      <c r="G19" s="31" t="s">
        <v>143</v>
      </c>
      <c r="H19" s="57">
        <v>150</v>
      </c>
      <c r="I19" s="57">
        <v>75</v>
      </c>
      <c r="J19" s="57">
        <v>150</v>
      </c>
      <c r="K19" s="57">
        <f t="shared" si="0"/>
        <v>1.6879999999999999</v>
      </c>
      <c r="L19" s="293">
        <f>'Detail PL'!K25</f>
        <v>491</v>
      </c>
      <c r="M19" s="57">
        <v>704</v>
      </c>
      <c r="N19" s="32" t="s">
        <v>144</v>
      </c>
      <c r="O19" s="29" t="s">
        <v>145</v>
      </c>
      <c r="P19" s="180" t="s">
        <v>144</v>
      </c>
      <c r="Q19" s="33"/>
      <c r="R19" s="34"/>
      <c r="S19" s="34"/>
      <c r="T19" s="120"/>
    </row>
    <row r="20" spans="1:20" s="38" customFormat="1" ht="28.2" customHeight="1" thickBot="1">
      <c r="A20" s="382" t="s">
        <v>154</v>
      </c>
      <c r="B20" s="383"/>
      <c r="C20" s="383"/>
      <c r="D20" s="383"/>
      <c r="E20" s="383"/>
      <c r="F20" s="259">
        <f>SUM(F14:F19)</f>
        <v>6</v>
      </c>
      <c r="G20" s="243"/>
      <c r="H20" s="217"/>
      <c r="I20" s="217"/>
      <c r="J20" s="217"/>
      <c r="K20" s="217">
        <f>SUM(K14:K19)</f>
        <v>7.726</v>
      </c>
      <c r="L20" s="217">
        <f>SUM(L14:L19)</f>
        <v>2079</v>
      </c>
      <c r="M20" s="217">
        <f>SUM(M14:M19)</f>
        <v>3130</v>
      </c>
      <c r="N20" s="244"/>
      <c r="O20" s="245"/>
      <c r="P20" s="246"/>
      <c r="Q20" s="36"/>
      <c r="R20" s="36"/>
      <c r="S20" s="37"/>
      <c r="T20" s="37"/>
    </row>
    <row r="21" spans="1:20" s="9" customFormat="1" ht="22.5" customHeight="1">
      <c r="A21" s="5"/>
      <c r="B21" s="5"/>
      <c r="C21" s="8"/>
      <c r="D21" s="8"/>
      <c r="E21" s="39"/>
      <c r="F21" s="260"/>
      <c r="G21" s="8"/>
      <c r="H21" s="58"/>
      <c r="I21" s="58"/>
      <c r="J21" s="60"/>
      <c r="K21" s="60"/>
      <c r="L21" s="58"/>
      <c r="M21" s="58"/>
      <c r="N21" s="40"/>
      <c r="O21" s="42"/>
      <c r="P21" s="21"/>
      <c r="Q21" s="43"/>
      <c r="R21" s="43"/>
      <c r="S21" s="11"/>
      <c r="T21" s="11"/>
    </row>
    <row r="22" spans="1:20" s="9" customFormat="1" ht="12" customHeight="1">
      <c r="A22" s="5"/>
      <c r="B22" s="5"/>
      <c r="C22" s="8"/>
      <c r="D22" s="8"/>
      <c r="F22" s="260"/>
      <c r="G22" s="8"/>
      <c r="H22" s="58"/>
      <c r="I22" s="58"/>
      <c r="J22" s="60"/>
      <c r="K22" s="60"/>
      <c r="L22" s="58"/>
      <c r="M22" s="58"/>
      <c r="N22" s="40"/>
      <c r="O22" s="42"/>
      <c r="P22" s="21"/>
      <c r="Q22" s="6"/>
      <c r="R22" s="6"/>
      <c r="S22" s="11"/>
      <c r="T22" s="11"/>
    </row>
    <row r="23" spans="1:20" s="9" customFormat="1" ht="22.5" customHeight="1">
      <c r="A23" s="5"/>
      <c r="B23" s="5"/>
      <c r="C23" s="8"/>
      <c r="D23" s="8"/>
      <c r="F23" s="260"/>
      <c r="G23" s="8"/>
      <c r="H23" s="58"/>
      <c r="I23" s="58"/>
      <c r="J23" s="60"/>
      <c r="K23" s="60"/>
      <c r="L23" s="58"/>
      <c r="M23" s="58"/>
      <c r="N23" s="40"/>
      <c r="O23" s="42"/>
      <c r="P23" s="21"/>
      <c r="Q23" s="6"/>
      <c r="R23" s="6"/>
      <c r="S23" s="11"/>
      <c r="T23" s="11"/>
    </row>
    <row r="24" spans="1:20" s="9" customFormat="1" ht="12" customHeight="1">
      <c r="A24" s="5"/>
      <c r="B24" s="5"/>
      <c r="C24" s="8"/>
      <c r="D24" s="8"/>
      <c r="F24" s="260"/>
      <c r="G24" s="8"/>
      <c r="H24" s="58"/>
      <c r="I24" s="58"/>
      <c r="J24" s="60"/>
      <c r="K24" s="60"/>
      <c r="L24" s="58"/>
      <c r="M24" s="58"/>
      <c r="N24" s="40"/>
      <c r="O24" s="42"/>
      <c r="P24" s="21"/>
      <c r="Q24" s="6"/>
      <c r="R24" s="6"/>
      <c r="S24" s="11"/>
      <c r="T24" s="11"/>
    </row>
    <row r="25" spans="1:20" s="9" customFormat="1" ht="12" customHeight="1">
      <c r="A25" s="5"/>
      <c r="B25" s="5"/>
      <c r="C25" s="8"/>
      <c r="D25" s="8"/>
      <c r="F25" s="261"/>
      <c r="G25" s="44"/>
      <c r="H25" s="58"/>
      <c r="I25" s="58"/>
      <c r="J25" s="60"/>
      <c r="K25" s="60"/>
      <c r="L25" s="58"/>
      <c r="M25" s="58"/>
      <c r="N25" s="40"/>
      <c r="O25" s="42"/>
      <c r="P25" s="21"/>
      <c r="Q25" s="6"/>
      <c r="R25" s="6"/>
      <c r="S25" s="11"/>
      <c r="T25" s="11"/>
    </row>
    <row r="26" spans="1:20" s="9" customFormat="1" ht="12" customHeight="1">
      <c r="A26" s="5"/>
      <c r="B26" s="5"/>
      <c r="C26" s="8"/>
      <c r="D26" s="8"/>
      <c r="F26" s="261"/>
      <c r="G26" s="44"/>
      <c r="H26" s="58"/>
      <c r="I26" s="58"/>
      <c r="J26" s="60"/>
      <c r="K26" s="60"/>
      <c r="L26" s="58"/>
      <c r="M26" s="58"/>
      <c r="N26" s="40"/>
      <c r="O26" s="42"/>
      <c r="P26" s="21"/>
      <c r="Q26" s="6"/>
      <c r="R26" s="6"/>
      <c r="S26" s="11"/>
      <c r="T26" s="11"/>
    </row>
    <row r="27" spans="1:20" s="9" customFormat="1" ht="12" customHeight="1">
      <c r="A27" s="5"/>
      <c r="B27" s="5"/>
      <c r="C27" s="8"/>
      <c r="D27" s="8"/>
      <c r="F27" s="261"/>
      <c r="G27" s="44"/>
      <c r="H27" s="58"/>
      <c r="I27" s="58"/>
      <c r="J27" s="60"/>
      <c r="K27" s="60"/>
      <c r="L27" s="58"/>
      <c r="M27" s="58"/>
      <c r="N27" s="40"/>
      <c r="O27" s="42"/>
      <c r="P27" s="21"/>
      <c r="Q27" s="6"/>
      <c r="R27" s="6"/>
      <c r="S27" s="11"/>
      <c r="T27" s="11"/>
    </row>
    <row r="28" spans="1:20" s="47" customFormat="1" ht="29.25" customHeight="1">
      <c r="A28" s="10"/>
      <c r="B28" s="10"/>
      <c r="C28" s="10"/>
      <c r="D28" s="10"/>
      <c r="F28" s="262"/>
      <c r="G28" s="44"/>
      <c r="H28" s="59"/>
      <c r="I28" s="59"/>
      <c r="J28" s="127"/>
      <c r="K28" s="127"/>
      <c r="L28" s="59"/>
      <c r="M28" s="59"/>
      <c r="N28" s="45"/>
      <c r="O28" s="21"/>
      <c r="P28" s="21"/>
      <c r="Q28" s="6"/>
      <c r="R28" s="6"/>
      <c r="S28" s="46"/>
      <c r="T28" s="46"/>
    </row>
    <row r="29" spans="1:20" s="47" customFormat="1" ht="29.25" customHeight="1">
      <c r="A29" s="10"/>
      <c r="B29" s="10"/>
      <c r="C29" s="10"/>
      <c r="D29" s="10"/>
      <c r="F29" s="262"/>
      <c r="G29" s="44"/>
      <c r="H29" s="59"/>
      <c r="I29" s="59"/>
      <c r="J29" s="127"/>
      <c r="K29" s="127"/>
      <c r="L29" s="59"/>
      <c r="M29" s="59"/>
      <c r="N29" s="45"/>
      <c r="O29" s="21"/>
      <c r="P29" s="21"/>
      <c r="Q29" s="6"/>
      <c r="R29" s="6"/>
      <c r="S29" s="46"/>
      <c r="T29" s="46"/>
    </row>
    <row r="30" spans="1:20" s="9" customFormat="1" ht="12" customHeight="1">
      <c r="A30" s="5"/>
      <c r="B30" s="5"/>
      <c r="C30" s="8"/>
      <c r="D30" s="8"/>
      <c r="F30" s="261"/>
      <c r="G30" s="8"/>
      <c r="H30" s="58"/>
      <c r="I30" s="58"/>
      <c r="J30" s="60"/>
      <c r="K30" s="60"/>
      <c r="L30" s="58"/>
      <c r="M30" s="58"/>
      <c r="N30" s="40"/>
      <c r="O30" s="42"/>
      <c r="P30" s="21"/>
      <c r="Q30" s="6"/>
      <c r="R30" s="6"/>
      <c r="S30" s="11"/>
      <c r="T30" s="11"/>
    </row>
    <row r="31" spans="1:20" s="9" customFormat="1" ht="18" customHeight="1">
      <c r="A31" s="5"/>
      <c r="B31" s="5"/>
      <c r="C31" s="8"/>
      <c r="D31" s="8"/>
      <c r="E31" s="5"/>
      <c r="F31" s="261"/>
      <c r="G31" s="8"/>
      <c r="H31" s="58"/>
      <c r="I31" s="58"/>
      <c r="J31" s="60"/>
      <c r="K31" s="60"/>
      <c r="L31" s="58"/>
      <c r="M31" s="58"/>
      <c r="N31" s="40"/>
      <c r="O31" s="42"/>
      <c r="P31" s="21"/>
      <c r="Q31" s="6"/>
      <c r="R31" s="6"/>
      <c r="S31" s="11"/>
      <c r="T31" s="11"/>
    </row>
    <row r="32" spans="1:20" s="9" customFormat="1" ht="12" customHeight="1">
      <c r="A32" s="5"/>
      <c r="B32" s="5"/>
      <c r="C32" s="8"/>
      <c r="D32" s="8"/>
      <c r="E32" s="5"/>
      <c r="F32" s="261"/>
      <c r="G32" s="8"/>
      <c r="H32" s="58"/>
      <c r="I32" s="58"/>
      <c r="J32" s="60"/>
      <c r="K32" s="60"/>
      <c r="L32" s="58"/>
      <c r="M32" s="58"/>
      <c r="N32" s="40"/>
      <c r="O32" s="42"/>
      <c r="P32" s="21"/>
      <c r="Q32" s="6"/>
      <c r="R32" s="6"/>
      <c r="S32" s="11"/>
      <c r="T32" s="11"/>
    </row>
    <row r="33" spans="1:20" s="9" customFormat="1" ht="12" customHeight="1">
      <c r="A33" s="5"/>
      <c r="B33" s="5"/>
      <c r="C33" s="8"/>
      <c r="D33" s="8"/>
      <c r="E33" s="5"/>
      <c r="F33" s="261"/>
      <c r="G33" s="8"/>
      <c r="H33" s="58"/>
      <c r="I33" s="58"/>
      <c r="J33" s="60"/>
      <c r="K33" s="60"/>
      <c r="L33" s="58"/>
      <c r="M33" s="58"/>
      <c r="N33" s="40"/>
      <c r="O33" s="42"/>
      <c r="P33" s="21"/>
      <c r="Q33" s="6"/>
      <c r="R33" s="6"/>
      <c r="S33" s="11"/>
      <c r="T33" s="11"/>
    </row>
    <row r="34" spans="1:20" s="9" customFormat="1" ht="12" customHeight="1">
      <c r="A34" s="5"/>
      <c r="B34" s="5"/>
      <c r="C34" s="8"/>
      <c r="D34" s="8"/>
      <c r="E34" s="5"/>
      <c r="F34" s="261"/>
      <c r="G34" s="8"/>
      <c r="H34" s="58"/>
      <c r="I34" s="58"/>
      <c r="J34" s="60"/>
      <c r="K34" s="60"/>
      <c r="L34" s="58"/>
      <c r="M34" s="58"/>
      <c r="N34" s="40"/>
      <c r="O34" s="42"/>
      <c r="P34" s="21"/>
      <c r="Q34" s="6"/>
      <c r="R34" s="6"/>
      <c r="S34" s="11"/>
      <c r="T34" s="11"/>
    </row>
    <row r="35" spans="1:20" s="9" customFormat="1" ht="12" customHeight="1">
      <c r="A35" s="5"/>
      <c r="B35" s="5"/>
      <c r="C35" s="8"/>
      <c r="D35" s="8"/>
      <c r="E35" s="5"/>
      <c r="F35" s="261"/>
      <c r="G35" s="8"/>
      <c r="H35" s="58"/>
      <c r="I35" s="58"/>
      <c r="J35" s="60"/>
      <c r="K35" s="60"/>
      <c r="L35" s="58"/>
      <c r="M35" s="58"/>
      <c r="N35" s="40"/>
      <c r="O35" s="42"/>
      <c r="P35" s="21"/>
      <c r="Q35" s="6"/>
      <c r="R35" s="6"/>
      <c r="S35" s="11"/>
      <c r="T35" s="11"/>
    </row>
    <row r="36" spans="1:20" s="9" customFormat="1" ht="12" customHeight="1">
      <c r="A36" s="5"/>
      <c r="B36" s="5"/>
      <c r="C36" s="8"/>
      <c r="D36" s="8"/>
      <c r="E36" s="5"/>
      <c r="F36" s="261"/>
      <c r="G36" s="8"/>
      <c r="H36" s="58"/>
      <c r="I36" s="58"/>
      <c r="J36" s="60"/>
      <c r="K36" s="60"/>
      <c r="L36" s="58"/>
      <c r="M36" s="58"/>
      <c r="N36" s="40"/>
      <c r="O36" s="42"/>
      <c r="P36" s="21"/>
      <c r="Q36" s="6"/>
      <c r="R36" s="6"/>
      <c r="S36" s="11"/>
      <c r="T36" s="11"/>
    </row>
    <row r="37" spans="1:20" s="9" customFormat="1" ht="13.5" customHeight="1">
      <c r="A37" s="5"/>
      <c r="B37" s="5"/>
      <c r="C37" s="8"/>
      <c r="D37" s="8"/>
      <c r="E37" s="5"/>
      <c r="F37" s="261"/>
      <c r="G37" s="8"/>
      <c r="H37" s="58"/>
      <c r="I37" s="58"/>
      <c r="J37" s="60"/>
      <c r="K37" s="60"/>
      <c r="L37" s="58"/>
      <c r="M37" s="58"/>
      <c r="N37" s="40"/>
      <c r="O37" s="42"/>
      <c r="P37" s="21"/>
      <c r="Q37" s="6"/>
      <c r="R37" s="6"/>
      <c r="S37" s="11"/>
      <c r="T37" s="11"/>
    </row>
    <row r="38" spans="1:20" s="9" customFormat="1" ht="13.5" customHeight="1">
      <c r="A38" s="5"/>
      <c r="B38" s="5"/>
      <c r="C38" s="8"/>
      <c r="D38" s="8"/>
      <c r="E38" s="5"/>
      <c r="F38" s="261"/>
      <c r="G38" s="8"/>
      <c r="H38" s="58"/>
      <c r="I38" s="58"/>
      <c r="J38" s="60"/>
      <c r="K38" s="60"/>
      <c r="L38" s="58"/>
      <c r="M38" s="58"/>
      <c r="N38" s="40"/>
      <c r="O38" s="42"/>
      <c r="P38" s="21"/>
      <c r="Q38" s="6"/>
      <c r="R38" s="6"/>
      <c r="S38" s="11"/>
      <c r="T38" s="11"/>
    </row>
    <row r="39" spans="1:20" s="9" customFormat="1" ht="13.5" customHeight="1">
      <c r="A39" s="5"/>
      <c r="B39" s="5"/>
      <c r="C39" s="8"/>
      <c r="D39" s="8"/>
      <c r="E39" s="5"/>
      <c r="F39" s="261"/>
      <c r="G39" s="8"/>
      <c r="H39" s="58"/>
      <c r="I39" s="58"/>
      <c r="J39" s="60"/>
      <c r="K39" s="60"/>
      <c r="L39" s="58"/>
      <c r="M39" s="58"/>
      <c r="N39" s="40"/>
      <c r="O39" s="42"/>
      <c r="P39" s="21"/>
      <c r="Q39" s="6"/>
      <c r="R39" s="6"/>
      <c r="S39" s="11"/>
      <c r="T39" s="11"/>
    </row>
    <row r="40" spans="1:20" s="9" customFormat="1" ht="29.25" customHeight="1">
      <c r="A40" s="5"/>
      <c r="B40" s="5"/>
      <c r="C40" s="8"/>
      <c r="D40" s="8"/>
      <c r="E40" s="5"/>
      <c r="F40" s="261"/>
      <c r="G40" s="8"/>
      <c r="H40" s="58"/>
      <c r="I40" s="58"/>
      <c r="J40" s="60"/>
      <c r="K40" s="60"/>
      <c r="L40" s="58"/>
      <c r="M40" s="58"/>
      <c r="N40" s="40"/>
      <c r="O40" s="42"/>
      <c r="P40" s="21"/>
      <c r="Q40" s="6"/>
      <c r="R40" s="6"/>
      <c r="S40" s="11"/>
      <c r="T40" s="11"/>
    </row>
    <row r="41" spans="1:20" s="9" customFormat="1" ht="13.5" customHeight="1">
      <c r="A41" s="5"/>
      <c r="B41" s="5"/>
      <c r="C41" s="8"/>
      <c r="D41" s="8"/>
      <c r="E41" s="5"/>
      <c r="F41" s="261"/>
      <c r="G41" s="8"/>
      <c r="H41" s="58"/>
      <c r="I41" s="58"/>
      <c r="J41" s="60"/>
      <c r="K41" s="60"/>
      <c r="L41" s="58"/>
      <c r="M41" s="58"/>
      <c r="N41" s="40"/>
      <c r="O41" s="42"/>
      <c r="P41" s="21"/>
      <c r="Q41" s="6"/>
      <c r="R41" s="6"/>
      <c r="S41" s="11"/>
      <c r="T41" s="11"/>
    </row>
    <row r="42" spans="1:20" s="9" customFormat="1" ht="13.5" customHeight="1">
      <c r="A42" s="5"/>
      <c r="B42" s="5"/>
      <c r="C42" s="8"/>
      <c r="D42" s="8"/>
      <c r="E42" s="5"/>
      <c r="F42" s="261"/>
      <c r="G42" s="8"/>
      <c r="H42" s="58"/>
      <c r="I42" s="58"/>
      <c r="J42" s="60"/>
      <c r="K42" s="60"/>
      <c r="L42" s="58"/>
      <c r="M42" s="58"/>
      <c r="N42" s="40"/>
      <c r="O42" s="42"/>
      <c r="P42" s="21"/>
      <c r="Q42" s="6"/>
      <c r="R42" s="6"/>
      <c r="S42" s="11"/>
      <c r="T42" s="11"/>
    </row>
    <row r="43" spans="1:20" s="9" customFormat="1" ht="13.5" customHeight="1">
      <c r="A43" s="5"/>
      <c r="B43" s="5"/>
      <c r="C43" s="8"/>
      <c r="D43" s="8"/>
      <c r="E43" s="5"/>
      <c r="F43" s="261"/>
      <c r="G43" s="8"/>
      <c r="H43" s="58"/>
      <c r="I43" s="58"/>
      <c r="J43" s="60"/>
      <c r="K43" s="60"/>
      <c r="L43" s="58"/>
      <c r="M43" s="58"/>
      <c r="N43" s="40"/>
      <c r="O43" s="42"/>
      <c r="P43" s="21"/>
      <c r="Q43" s="6"/>
      <c r="R43" s="6"/>
      <c r="S43" s="11"/>
      <c r="T43" s="11"/>
    </row>
    <row r="44" spans="1:20" s="9" customFormat="1" ht="13.5" customHeight="1">
      <c r="A44" s="5"/>
      <c r="B44" s="5"/>
      <c r="C44" s="8"/>
      <c r="D44" s="8"/>
      <c r="E44" s="5"/>
      <c r="F44" s="261"/>
      <c r="G44" s="8"/>
      <c r="H44" s="58"/>
      <c r="I44" s="58"/>
      <c r="J44" s="60"/>
      <c r="K44" s="60"/>
      <c r="L44" s="58"/>
      <c r="M44" s="58"/>
      <c r="N44" s="40"/>
      <c r="O44" s="42"/>
      <c r="P44" s="21"/>
      <c r="Q44" s="6"/>
      <c r="R44" s="6"/>
      <c r="S44" s="11"/>
      <c r="T44" s="11"/>
    </row>
    <row r="45" spans="1:20" s="9" customFormat="1" ht="13.5" customHeight="1">
      <c r="A45" s="5"/>
      <c r="B45" s="5"/>
      <c r="C45" s="8"/>
      <c r="D45" s="8"/>
      <c r="E45" s="5"/>
      <c r="F45" s="261"/>
      <c r="G45" s="8"/>
      <c r="H45" s="58"/>
      <c r="I45" s="58"/>
      <c r="J45" s="60"/>
      <c r="K45" s="60"/>
      <c r="L45" s="58"/>
      <c r="M45" s="58"/>
      <c r="N45" s="40"/>
      <c r="O45" s="42"/>
      <c r="P45" s="21"/>
      <c r="Q45" s="6"/>
      <c r="R45" s="6"/>
      <c r="S45" s="11"/>
      <c r="T45" s="11"/>
    </row>
    <row r="46" spans="1:20" s="9" customFormat="1" ht="13.5" customHeight="1">
      <c r="A46" s="5"/>
      <c r="B46" s="5"/>
      <c r="C46" s="8"/>
      <c r="D46" s="8"/>
      <c r="E46" s="5"/>
      <c r="F46" s="261"/>
      <c r="G46" s="8"/>
      <c r="H46" s="58"/>
      <c r="I46" s="58"/>
      <c r="J46" s="60"/>
      <c r="K46" s="60"/>
      <c r="L46" s="58"/>
      <c r="M46" s="58"/>
      <c r="N46" s="40"/>
      <c r="O46" s="42"/>
      <c r="P46" s="21"/>
      <c r="Q46" s="6"/>
      <c r="R46" s="6"/>
      <c r="S46" s="11"/>
      <c r="T46" s="11"/>
    </row>
    <row r="47" spans="1:20" s="9" customFormat="1" ht="13.5" customHeight="1">
      <c r="A47" s="5"/>
      <c r="B47" s="5"/>
      <c r="C47" s="8"/>
      <c r="D47" s="8"/>
      <c r="E47" s="5"/>
      <c r="F47" s="261"/>
      <c r="G47" s="8"/>
      <c r="H47" s="58"/>
      <c r="I47" s="58"/>
      <c r="J47" s="60"/>
      <c r="K47" s="60"/>
      <c r="L47" s="58"/>
      <c r="M47" s="58"/>
      <c r="N47" s="40"/>
      <c r="O47" s="42"/>
      <c r="P47" s="21"/>
      <c r="Q47" s="6"/>
      <c r="R47" s="6"/>
      <c r="S47" s="11"/>
      <c r="T47" s="11"/>
    </row>
    <row r="48" spans="1:20" s="9" customFormat="1" ht="13.5" customHeight="1">
      <c r="A48" s="5"/>
      <c r="B48" s="5"/>
      <c r="C48" s="8"/>
      <c r="D48" s="8"/>
      <c r="E48" s="5"/>
      <c r="F48" s="261"/>
      <c r="G48" s="8"/>
      <c r="H48" s="58"/>
      <c r="I48" s="58"/>
      <c r="J48" s="60"/>
      <c r="K48" s="60"/>
      <c r="L48" s="58"/>
      <c r="M48" s="58"/>
      <c r="N48" s="40"/>
      <c r="O48" s="42"/>
      <c r="P48" s="21"/>
      <c r="Q48" s="6"/>
      <c r="R48" s="6"/>
      <c r="S48" s="11"/>
      <c r="T48" s="11"/>
    </row>
    <row r="49" spans="1:20" s="9" customFormat="1" ht="13.5" customHeight="1">
      <c r="A49" s="5"/>
      <c r="B49" s="5"/>
      <c r="C49" s="8"/>
      <c r="D49" s="8"/>
      <c r="E49" s="5"/>
      <c r="F49" s="261"/>
      <c r="G49" s="8"/>
      <c r="H49" s="58"/>
      <c r="I49" s="58"/>
      <c r="J49" s="60"/>
      <c r="K49" s="60"/>
      <c r="L49" s="58"/>
      <c r="M49" s="58"/>
      <c r="N49" s="40"/>
      <c r="O49" s="42"/>
      <c r="P49" s="21"/>
      <c r="Q49" s="6"/>
      <c r="R49" s="6"/>
      <c r="S49" s="11"/>
      <c r="T49" s="11"/>
    </row>
    <row r="50" spans="1:20" s="9" customFormat="1" ht="13.5" customHeight="1">
      <c r="A50" s="5"/>
      <c r="B50" s="5"/>
      <c r="C50" s="8"/>
      <c r="D50" s="8"/>
      <c r="E50" s="5"/>
      <c r="F50" s="261"/>
      <c r="G50" s="8"/>
      <c r="H50" s="58"/>
      <c r="I50" s="58"/>
      <c r="J50" s="60"/>
      <c r="K50" s="60"/>
      <c r="L50" s="58"/>
      <c r="M50" s="58"/>
      <c r="N50" s="40"/>
      <c r="O50" s="42"/>
      <c r="P50" s="21"/>
      <c r="Q50" s="6"/>
      <c r="R50" s="6"/>
      <c r="S50" s="11"/>
      <c r="T50" s="11"/>
    </row>
    <row r="51" spans="1:20" s="9" customFormat="1" ht="13.5" customHeight="1">
      <c r="A51" s="5"/>
      <c r="B51" s="5"/>
      <c r="C51" s="8"/>
      <c r="D51" s="8"/>
      <c r="E51" s="5"/>
      <c r="F51" s="261"/>
      <c r="G51" s="8"/>
      <c r="H51" s="58"/>
      <c r="I51" s="58"/>
      <c r="J51" s="60"/>
      <c r="K51" s="60"/>
      <c r="L51" s="58"/>
      <c r="M51" s="58"/>
      <c r="N51" s="40"/>
      <c r="O51" s="42"/>
      <c r="P51" s="21"/>
      <c r="Q51" s="6"/>
      <c r="R51" s="6"/>
      <c r="S51" s="11"/>
      <c r="T51" s="11"/>
    </row>
    <row r="52" spans="1:20" s="9" customFormat="1" ht="13.5" customHeight="1">
      <c r="A52" s="5"/>
      <c r="B52" s="5"/>
      <c r="C52" s="8"/>
      <c r="D52" s="8"/>
      <c r="E52" s="5"/>
      <c r="F52" s="261"/>
      <c r="G52" s="8"/>
      <c r="H52" s="58"/>
      <c r="I52" s="58"/>
      <c r="J52" s="60"/>
      <c r="K52" s="60"/>
      <c r="L52" s="58"/>
      <c r="M52" s="58"/>
      <c r="N52" s="40"/>
      <c r="O52" s="42"/>
      <c r="P52" s="21"/>
      <c r="Q52" s="6"/>
      <c r="R52" s="6"/>
      <c r="S52" s="11"/>
      <c r="T52" s="11"/>
    </row>
    <row r="53" spans="1:20" s="9" customFormat="1" ht="13.5" customHeight="1">
      <c r="A53" s="5"/>
      <c r="B53" s="5"/>
      <c r="C53" s="8"/>
      <c r="D53" s="8"/>
      <c r="E53" s="5"/>
      <c r="F53" s="261"/>
      <c r="G53" s="8"/>
      <c r="H53" s="58"/>
      <c r="I53" s="58"/>
      <c r="J53" s="60"/>
      <c r="K53" s="60"/>
      <c r="L53" s="58"/>
      <c r="M53" s="58"/>
      <c r="N53" s="40"/>
      <c r="O53" s="42"/>
      <c r="P53" s="21"/>
      <c r="Q53" s="6"/>
      <c r="R53" s="6"/>
      <c r="S53" s="11"/>
      <c r="T53" s="11"/>
    </row>
    <row r="54" spans="1:20" s="9" customFormat="1" ht="13.5" customHeight="1">
      <c r="A54" s="5"/>
      <c r="B54" s="5"/>
      <c r="C54" s="8"/>
      <c r="D54" s="8"/>
      <c r="E54" s="5"/>
      <c r="F54" s="261"/>
      <c r="G54" s="8"/>
      <c r="H54" s="58"/>
      <c r="I54" s="58"/>
      <c r="J54" s="60"/>
      <c r="K54" s="60"/>
      <c r="L54" s="58"/>
      <c r="M54" s="58"/>
      <c r="N54" s="40"/>
      <c r="O54" s="42"/>
      <c r="P54" s="21"/>
      <c r="Q54" s="6"/>
      <c r="R54" s="6"/>
      <c r="S54" s="11"/>
      <c r="T54" s="11"/>
    </row>
    <row r="55" spans="1:20" s="9" customFormat="1" ht="13.5" customHeight="1">
      <c r="A55" s="5"/>
      <c r="B55" s="5"/>
      <c r="C55" s="8"/>
      <c r="D55" s="8"/>
      <c r="E55" s="5"/>
      <c r="F55" s="261"/>
      <c r="G55" s="8"/>
      <c r="H55" s="58"/>
      <c r="I55" s="58"/>
      <c r="J55" s="60"/>
      <c r="K55" s="60"/>
      <c r="L55" s="58"/>
      <c r="M55" s="58"/>
      <c r="N55" s="40"/>
      <c r="O55" s="42"/>
      <c r="P55" s="21"/>
      <c r="Q55" s="12"/>
      <c r="R55" s="12"/>
      <c r="S55" s="11"/>
      <c r="T55" s="11"/>
    </row>
    <row r="56" spans="1:20" s="9" customFormat="1" ht="13.5" customHeight="1">
      <c r="A56" s="5"/>
      <c r="B56" s="5"/>
      <c r="C56" s="8"/>
      <c r="D56" s="8"/>
      <c r="E56" s="5"/>
      <c r="F56" s="261"/>
      <c r="G56" s="8"/>
      <c r="H56" s="58"/>
      <c r="I56" s="58"/>
      <c r="J56" s="60"/>
      <c r="K56" s="60"/>
      <c r="L56" s="58"/>
      <c r="M56" s="58"/>
      <c r="N56" s="40"/>
      <c r="O56" s="42"/>
      <c r="P56" s="21"/>
      <c r="Q56" s="12"/>
      <c r="R56" s="12"/>
      <c r="S56" s="11"/>
      <c r="T56" s="11"/>
    </row>
    <row r="57" spans="1:20" s="9" customFormat="1" ht="13.5" customHeight="1">
      <c r="A57" s="5"/>
      <c r="B57" s="5"/>
      <c r="C57" s="8"/>
      <c r="D57" s="8"/>
      <c r="E57" s="5"/>
      <c r="F57" s="261"/>
      <c r="G57" s="8"/>
      <c r="H57" s="58"/>
      <c r="I57" s="58"/>
      <c r="J57" s="60"/>
      <c r="K57" s="60"/>
      <c r="L57" s="58"/>
      <c r="M57" s="58"/>
      <c r="N57" s="40"/>
      <c r="O57" s="42"/>
      <c r="P57" s="21"/>
      <c r="Q57" s="12"/>
      <c r="R57" s="12"/>
      <c r="S57" s="11"/>
      <c r="T57" s="11"/>
    </row>
    <row r="58" spans="1:20" s="9" customFormat="1" ht="13.5" customHeight="1">
      <c r="A58" s="5"/>
      <c r="B58" s="5"/>
      <c r="C58" s="8"/>
      <c r="D58" s="8"/>
      <c r="E58" s="5"/>
      <c r="F58" s="261"/>
      <c r="G58" s="8"/>
      <c r="H58" s="58"/>
      <c r="I58" s="58"/>
      <c r="J58" s="60"/>
      <c r="K58" s="60"/>
      <c r="L58" s="58"/>
      <c r="M58" s="58"/>
      <c r="N58" s="40"/>
      <c r="O58" s="42"/>
      <c r="P58" s="21"/>
      <c r="Q58" s="12"/>
      <c r="R58" s="12"/>
      <c r="S58" s="11"/>
      <c r="T58" s="11"/>
    </row>
    <row r="59" spans="1:20" s="9" customFormat="1" ht="13.5" customHeight="1">
      <c r="A59" s="5"/>
      <c r="B59" s="5"/>
      <c r="C59" s="8"/>
      <c r="D59" s="8"/>
      <c r="E59" s="5"/>
      <c r="F59" s="261"/>
      <c r="G59" s="8"/>
      <c r="H59" s="58"/>
      <c r="I59" s="58"/>
      <c r="J59" s="60"/>
      <c r="K59" s="60"/>
      <c r="L59" s="58"/>
      <c r="M59" s="58"/>
      <c r="N59" s="40"/>
      <c r="O59" s="42"/>
      <c r="P59" s="21"/>
      <c r="Q59" s="12"/>
      <c r="R59" s="12"/>
      <c r="S59" s="11"/>
      <c r="T59" s="11"/>
    </row>
    <row r="60" spans="1:20" s="9" customFormat="1" ht="13.5" customHeight="1">
      <c r="A60" s="5"/>
      <c r="B60" s="5"/>
      <c r="C60" s="8"/>
      <c r="D60" s="8"/>
      <c r="E60" s="5"/>
      <c r="F60" s="261"/>
      <c r="G60" s="8"/>
      <c r="H60" s="58"/>
      <c r="I60" s="58"/>
      <c r="J60" s="60"/>
      <c r="K60" s="60"/>
      <c r="L60" s="58"/>
      <c r="M60" s="58"/>
      <c r="N60" s="40"/>
      <c r="O60" s="42"/>
      <c r="P60" s="21"/>
      <c r="Q60" s="12"/>
      <c r="R60" s="12"/>
      <c r="S60" s="11"/>
      <c r="T60" s="11"/>
    </row>
    <row r="61" spans="1:20" s="9" customFormat="1" ht="13.5" customHeight="1">
      <c r="A61" s="5"/>
      <c r="B61" s="5"/>
      <c r="C61" s="8"/>
      <c r="D61" s="8"/>
      <c r="E61" s="5"/>
      <c r="F61" s="260"/>
      <c r="G61" s="8"/>
      <c r="H61" s="58"/>
      <c r="I61" s="58"/>
      <c r="J61" s="60"/>
      <c r="K61" s="60"/>
      <c r="L61" s="58"/>
      <c r="M61" s="58"/>
      <c r="N61" s="40"/>
      <c r="O61" s="42"/>
      <c r="P61" s="21"/>
      <c r="Q61" s="12"/>
      <c r="R61" s="12"/>
      <c r="S61" s="11"/>
      <c r="T61" s="11"/>
    </row>
    <row r="62" spans="1:20" s="9" customFormat="1" ht="22.5" customHeight="1">
      <c r="A62" s="5"/>
      <c r="B62" s="5"/>
      <c r="C62" s="384"/>
      <c r="D62" s="384"/>
      <c r="E62" s="384"/>
      <c r="F62" s="260"/>
      <c r="G62" s="8"/>
      <c r="H62" s="60"/>
      <c r="I62" s="60"/>
      <c r="J62" s="60"/>
      <c r="K62" s="128"/>
      <c r="L62" s="60"/>
      <c r="M62" s="60"/>
      <c r="N62" s="41"/>
      <c r="O62" s="48"/>
      <c r="P62" s="118"/>
      <c r="Q62" s="12"/>
      <c r="R62" s="12"/>
      <c r="S62" s="11"/>
      <c r="T62" s="11"/>
    </row>
    <row r="63" spans="1:20">
      <c r="F63" s="263"/>
      <c r="H63" s="61"/>
      <c r="I63" s="61"/>
      <c r="L63" s="61"/>
      <c r="M63" s="61"/>
      <c r="N63" s="51"/>
    </row>
    <row r="64" spans="1:20">
      <c r="F64" s="263"/>
      <c r="H64" s="61"/>
      <c r="I64" s="61"/>
      <c r="L64" s="61"/>
      <c r="M64" s="61"/>
      <c r="N64" s="51"/>
    </row>
    <row r="65" spans="1:20">
      <c r="F65" s="263"/>
      <c r="H65" s="61"/>
      <c r="I65" s="61"/>
      <c r="L65" s="61"/>
      <c r="M65" s="61"/>
      <c r="N65" s="51"/>
    </row>
    <row r="66" spans="1:20">
      <c r="F66" s="263"/>
      <c r="H66" s="61"/>
      <c r="I66" s="61"/>
      <c r="L66" s="61"/>
      <c r="M66" s="61"/>
      <c r="N66" s="51"/>
    </row>
    <row r="67" spans="1:20">
      <c r="F67" s="263"/>
      <c r="H67" s="61"/>
      <c r="I67" s="61"/>
      <c r="L67" s="61"/>
      <c r="M67" s="61"/>
      <c r="N67" s="51"/>
    </row>
    <row r="68" spans="1:20" s="12" customFormat="1">
      <c r="A68" s="49"/>
      <c r="B68" s="49"/>
      <c r="C68" s="49"/>
      <c r="D68" s="49"/>
      <c r="F68" s="263"/>
      <c r="G68" s="50"/>
      <c r="H68" s="61"/>
      <c r="I68" s="61"/>
      <c r="J68" s="62"/>
      <c r="K68" s="62"/>
      <c r="L68" s="61"/>
      <c r="M68" s="61"/>
      <c r="N68" s="51"/>
      <c r="O68" s="52"/>
      <c r="P68" s="119"/>
      <c r="S68" s="13"/>
      <c r="T68" s="13"/>
    </row>
  </sheetData>
  <protectedRanges>
    <protectedRange sqref="D14:J19 L14:P19" name="범위1_1"/>
    <protectedRange sqref="K14:K19" name="범위1_1_1"/>
  </protectedRanges>
  <autoFilter ref="A12:P13" xr:uid="{00000000-0001-0000-0300-000000000000}">
    <filterColumn colId="5" showButton="0"/>
    <filterColumn colId="7" showButton="0"/>
    <filterColumn colId="8" showButton="0"/>
    <filterColumn colId="9" showButton="0"/>
  </autoFilter>
  <mergeCells count="15">
    <mergeCell ref="O12:O13"/>
    <mergeCell ref="P12:P13"/>
    <mergeCell ref="A20:E20"/>
    <mergeCell ref="C62:E62"/>
    <mergeCell ref="A6:P6"/>
    <mergeCell ref="A12:A13"/>
    <mergeCell ref="C12:C13"/>
    <mergeCell ref="D12:D13"/>
    <mergeCell ref="E12:E13"/>
    <mergeCell ref="F12:G12"/>
    <mergeCell ref="H12:K12"/>
    <mergeCell ref="L12:L13"/>
    <mergeCell ref="M12:M13"/>
    <mergeCell ref="N12:N13"/>
    <mergeCell ref="B12:B13"/>
  </mergeCells>
  <phoneticPr fontId="3" type="noConversion"/>
  <printOptions horizontalCentered="1"/>
  <pageMargins left="0.39370078740157483" right="0.39370078740157483" top="0.19685039370078741" bottom="0.19685039370078741" header="0.23622047244094491" footer="0"/>
  <pageSetup paperSize="9" scale="49" fitToHeight="0" orientation="landscape" horizontalDpi="1200" verticalDpi="1200" r:id="rId1"/>
  <headerFooter alignWithMargins="0">
    <oddFooter>&amp;C&amp;"Calibri,보통"&amp;12Doosan Enerbility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010B5-14DA-4262-B223-B406CA9539EA}">
  <sheetPr>
    <tabColor rgb="FFFFFF00"/>
    <pageSetUpPr fitToPage="1"/>
  </sheetPr>
  <dimension ref="A1:V26"/>
  <sheetViews>
    <sheetView showGridLines="0" topLeftCell="A4" zoomScale="78" zoomScaleNormal="78" zoomScaleSheetLayoutView="70" workbookViewId="0">
      <selection activeCell="K26" sqref="K26"/>
    </sheetView>
  </sheetViews>
  <sheetFormatPr defaultColWidth="10" defaultRowHeight="13.8"/>
  <cols>
    <col min="1" max="1" width="18.19921875" style="49" customWidth="1"/>
    <col min="2" max="2" width="25.5" style="49" customWidth="1"/>
    <col min="3" max="3" width="60.5" style="214" customWidth="1"/>
    <col min="4" max="4" width="21.09765625" style="12" customWidth="1"/>
    <col min="5" max="5" width="11.69921875" style="53" customWidth="1"/>
    <col min="6" max="6" width="10.09765625" style="50" customWidth="1"/>
    <col min="7" max="7" width="11.5" style="62" customWidth="1"/>
    <col min="8" max="9" width="11.5" style="62" bestFit="1" customWidth="1"/>
    <col min="10" max="10" width="11.69921875" style="179" customWidth="1"/>
    <col min="11" max="12" width="17.69921875" style="62" customWidth="1"/>
    <col min="13" max="14" width="14.69921875" style="62" customWidth="1"/>
    <col min="15" max="15" width="17.69921875" style="54" customWidth="1"/>
    <col min="16" max="16" width="17.69921875" style="52" customWidth="1"/>
    <col min="17" max="17" width="21.59765625" style="119" customWidth="1"/>
    <col min="18" max="18" width="10" style="12"/>
    <col min="19" max="19" width="20" style="12" bestFit="1" customWidth="1"/>
    <col min="20" max="20" width="28" style="12" customWidth="1"/>
    <col min="21" max="22" width="10" style="13"/>
    <col min="23" max="16384" width="10" style="14"/>
  </cols>
  <sheetData>
    <row r="1" spans="1:22" s="9" customFormat="1" ht="12">
      <c r="A1" s="5"/>
      <c r="B1" s="5"/>
      <c r="C1" s="10"/>
      <c r="D1" s="6"/>
      <c r="E1" s="7"/>
      <c r="F1" s="8"/>
      <c r="G1" s="123"/>
      <c r="H1" s="55"/>
      <c r="I1" s="55"/>
      <c r="J1" s="174"/>
      <c r="K1" s="215"/>
      <c r="L1" s="55"/>
      <c r="M1" s="55"/>
      <c r="N1" s="55"/>
      <c r="O1" s="5"/>
      <c r="P1" s="10" t="s">
        <v>155</v>
      </c>
      <c r="Q1" s="47"/>
      <c r="R1" s="6"/>
      <c r="S1" s="5"/>
      <c r="T1" s="6"/>
      <c r="U1" s="11"/>
      <c r="V1" s="11"/>
    </row>
    <row r="2" spans="1:22" s="9" customFormat="1" ht="12">
      <c r="A2" s="5"/>
      <c r="B2" s="5"/>
      <c r="C2" s="10"/>
      <c r="D2" s="6"/>
      <c r="E2" s="7"/>
      <c r="F2" s="8"/>
      <c r="G2" s="123"/>
      <c r="H2" s="55"/>
      <c r="I2" s="55"/>
      <c r="J2" s="174"/>
      <c r="K2" s="215"/>
      <c r="L2" s="55"/>
      <c r="M2" s="55"/>
      <c r="N2" s="55"/>
      <c r="O2" s="5"/>
      <c r="P2" s="10" t="s">
        <v>1</v>
      </c>
      <c r="Q2" s="47"/>
      <c r="R2" s="147" t="s">
        <v>106</v>
      </c>
      <c r="S2" s="146" t="s">
        <v>104</v>
      </c>
      <c r="T2" s="148" t="s">
        <v>105</v>
      </c>
      <c r="U2" s="11"/>
      <c r="V2" s="11"/>
    </row>
    <row r="3" spans="1:22" s="9" customFormat="1" ht="12">
      <c r="A3" s="5"/>
      <c r="B3" s="5"/>
      <c r="C3" s="10"/>
      <c r="D3" s="6"/>
      <c r="E3" s="7"/>
      <c r="F3" s="8"/>
      <c r="G3" s="123"/>
      <c r="H3" s="55"/>
      <c r="I3" s="55"/>
      <c r="J3" s="174"/>
      <c r="K3" s="215"/>
      <c r="L3" s="55"/>
      <c r="M3" s="55"/>
      <c r="N3" s="55"/>
      <c r="O3" s="5"/>
      <c r="P3" s="10" t="s">
        <v>2</v>
      </c>
      <c r="Q3" s="47"/>
      <c r="R3" s="6"/>
      <c r="S3" s="146" t="s">
        <v>107</v>
      </c>
      <c r="T3" s="148" t="s">
        <v>108</v>
      </c>
      <c r="U3" s="11"/>
      <c r="V3" s="11"/>
    </row>
    <row r="4" spans="1:22" s="9" customFormat="1" ht="12">
      <c r="A4" s="5"/>
      <c r="B4" s="5"/>
      <c r="C4" s="10"/>
      <c r="D4" s="6"/>
      <c r="E4" s="7"/>
      <c r="F4" s="8"/>
      <c r="G4" s="123"/>
      <c r="H4" s="55"/>
      <c r="I4" s="55"/>
      <c r="J4" s="174"/>
      <c r="K4" s="215"/>
      <c r="L4" s="55"/>
      <c r="M4" s="55"/>
      <c r="N4" s="55"/>
      <c r="O4" s="5"/>
      <c r="P4" s="10" t="s">
        <v>3</v>
      </c>
      <c r="Q4" s="47"/>
      <c r="R4" s="6"/>
      <c r="S4" s="146" t="s">
        <v>109</v>
      </c>
      <c r="T4" s="148" t="s">
        <v>110</v>
      </c>
      <c r="U4" s="11"/>
      <c r="V4" s="11"/>
    </row>
    <row r="5" spans="1:22" s="9" customFormat="1" ht="12">
      <c r="A5" s="5"/>
      <c r="B5" s="5"/>
      <c r="C5" s="10"/>
      <c r="D5" s="6"/>
      <c r="E5" s="7"/>
      <c r="F5" s="8"/>
      <c r="G5" s="123"/>
      <c r="H5" s="55"/>
      <c r="I5" s="55"/>
      <c r="J5" s="174"/>
      <c r="K5" s="215"/>
      <c r="L5" s="55"/>
      <c r="M5" s="55"/>
      <c r="N5" s="55"/>
      <c r="O5" s="5"/>
      <c r="P5" s="10" t="s">
        <v>4</v>
      </c>
      <c r="Q5" s="47"/>
      <c r="R5" s="6"/>
      <c r="S5" s="146" t="s">
        <v>111</v>
      </c>
      <c r="T5" s="148" t="s">
        <v>112</v>
      </c>
      <c r="U5" s="11"/>
      <c r="V5" s="11"/>
    </row>
    <row r="6" spans="1:22" ht="47.7" customHeight="1">
      <c r="A6" s="358" t="s">
        <v>156</v>
      </c>
      <c r="B6" s="298"/>
      <c r="C6" s="298"/>
      <c r="D6" s="298"/>
      <c r="E6" s="298"/>
      <c r="F6" s="298"/>
      <c r="G6" s="298"/>
      <c r="H6" s="298"/>
      <c r="I6" s="298"/>
      <c r="J6" s="298"/>
      <c r="K6" s="298"/>
      <c r="L6" s="298"/>
      <c r="M6" s="298"/>
      <c r="N6" s="298"/>
      <c r="O6" s="298"/>
      <c r="P6" s="298"/>
      <c r="Q6" s="298"/>
    </row>
    <row r="7" spans="1:22" ht="21" customHeight="1">
      <c r="A7" s="189" t="s">
        <v>114</v>
      </c>
      <c r="B7" s="189" t="s">
        <v>115</v>
      </c>
      <c r="C7" s="211"/>
      <c r="D7" s="190"/>
      <c r="E7" s="190"/>
      <c r="F7" s="190"/>
      <c r="G7" s="155"/>
      <c r="H7" s="155"/>
      <c r="I7" s="155"/>
      <c r="J7" s="175"/>
      <c r="K7" s="216"/>
      <c r="L7" s="216"/>
      <c r="M7" s="155"/>
      <c r="N7" s="155"/>
      <c r="O7" s="155"/>
      <c r="P7" s="155"/>
      <c r="Q7" s="12"/>
      <c r="S7" s="13"/>
      <c r="T7" s="13"/>
      <c r="U7" s="14"/>
      <c r="V7" s="14"/>
    </row>
    <row r="8" spans="1:22" ht="21" customHeight="1">
      <c r="A8" s="189"/>
      <c r="B8" s="189" t="s">
        <v>116</v>
      </c>
      <c r="C8" s="211"/>
      <c r="D8" s="190"/>
      <c r="E8" s="190"/>
      <c r="F8" s="190"/>
      <c r="G8" s="155"/>
      <c r="H8" s="155"/>
      <c r="I8" s="155"/>
      <c r="J8" s="175"/>
      <c r="K8" s="216"/>
      <c r="L8" s="216"/>
      <c r="M8" s="155"/>
      <c r="N8" s="155"/>
      <c r="O8" s="155"/>
      <c r="P8" s="155"/>
      <c r="Q8" s="12"/>
      <c r="S8" s="13"/>
      <c r="T8" s="13"/>
      <c r="U8" s="14"/>
      <c r="V8" s="14"/>
    </row>
    <row r="9" spans="1:22" s="23" customFormat="1" ht="21" customHeight="1" thickBot="1">
      <c r="A9" s="189" t="s">
        <v>117</v>
      </c>
      <c r="B9" s="218" t="s">
        <v>157</v>
      </c>
      <c r="C9" s="211"/>
      <c r="D9" s="191"/>
      <c r="E9" s="34"/>
      <c r="F9" s="210"/>
      <c r="G9" s="18"/>
      <c r="H9" s="56"/>
      <c r="I9" s="56"/>
      <c r="J9" s="176"/>
      <c r="K9" s="124"/>
      <c r="L9" s="56"/>
      <c r="M9" s="56"/>
      <c r="N9" s="19"/>
      <c r="O9" s="21"/>
      <c r="P9" s="21"/>
      <c r="Q9" s="16"/>
      <c r="R9" s="16"/>
      <c r="S9" s="22"/>
      <c r="T9" s="22"/>
    </row>
    <row r="10" spans="1:22" s="23" customFormat="1" ht="19.95" customHeight="1">
      <c r="A10" s="192" t="s">
        <v>118</v>
      </c>
      <c r="B10" s="193" t="s">
        <v>158</v>
      </c>
      <c r="C10" s="193"/>
      <c r="D10" s="249"/>
      <c r="E10" s="250"/>
      <c r="F10" s="17"/>
      <c r="G10" s="18"/>
      <c r="H10" s="56"/>
      <c r="I10" s="56"/>
      <c r="J10" s="56"/>
      <c r="K10" s="124"/>
      <c r="L10" s="56"/>
      <c r="M10" s="56"/>
      <c r="N10" s="19"/>
      <c r="O10" s="21"/>
      <c r="P10" s="21"/>
      <c r="T10" s="186"/>
      <c r="U10" s="187"/>
    </row>
    <row r="11" spans="1:22" s="23" customFormat="1" ht="20.100000000000001" customHeight="1" thickBot="1">
      <c r="A11" s="196" t="s">
        <v>120</v>
      </c>
      <c r="B11" s="251" t="s">
        <v>159</v>
      </c>
      <c r="C11" s="251"/>
      <c r="D11" s="252"/>
      <c r="E11" s="253"/>
      <c r="F11" s="17"/>
      <c r="G11" s="18"/>
      <c r="H11" s="56"/>
      <c r="I11" s="56"/>
      <c r="J11" s="56"/>
      <c r="K11" s="124"/>
      <c r="L11" s="56"/>
      <c r="M11" s="56"/>
      <c r="N11" s="19"/>
      <c r="O11" s="21"/>
      <c r="P11" s="21"/>
      <c r="T11" s="186"/>
      <c r="U11" s="187"/>
    </row>
    <row r="12" spans="1:22" s="26" customFormat="1" ht="23.85" customHeight="1">
      <c r="A12" s="385" t="s">
        <v>122</v>
      </c>
      <c r="B12" s="387" t="s">
        <v>160</v>
      </c>
      <c r="C12" s="387" t="s">
        <v>161</v>
      </c>
      <c r="D12" s="387" t="s">
        <v>162</v>
      </c>
      <c r="E12" s="389" t="s">
        <v>127</v>
      </c>
      <c r="F12" s="389"/>
      <c r="G12" s="390" t="s">
        <v>128</v>
      </c>
      <c r="H12" s="390"/>
      <c r="I12" s="390"/>
      <c r="J12" s="390"/>
      <c r="K12" s="393" t="s">
        <v>129</v>
      </c>
      <c r="L12" s="393" t="s">
        <v>130</v>
      </c>
      <c r="M12" s="393" t="s">
        <v>163</v>
      </c>
      <c r="N12" s="393" t="s">
        <v>164</v>
      </c>
      <c r="O12" s="391" t="s">
        <v>165</v>
      </c>
      <c r="P12" s="378" t="s">
        <v>166</v>
      </c>
      <c r="Q12" s="380" t="s">
        <v>167</v>
      </c>
      <c r="R12" s="24"/>
      <c r="S12" s="25"/>
      <c r="T12" s="25"/>
      <c r="U12" s="25"/>
      <c r="V12" s="25"/>
    </row>
    <row r="13" spans="1:22" s="26" customFormat="1" ht="39" customHeight="1">
      <c r="A13" s="386"/>
      <c r="B13" s="388"/>
      <c r="C13" s="388"/>
      <c r="D13" s="388"/>
      <c r="E13" s="239" t="s">
        <v>168</v>
      </c>
      <c r="F13" s="240" t="s">
        <v>169</v>
      </c>
      <c r="G13" s="125" t="s">
        <v>136</v>
      </c>
      <c r="H13" s="125" t="s">
        <v>137</v>
      </c>
      <c r="I13" s="125" t="s">
        <v>138</v>
      </c>
      <c r="J13" s="177" t="s">
        <v>139</v>
      </c>
      <c r="K13" s="394"/>
      <c r="L13" s="394"/>
      <c r="M13" s="394"/>
      <c r="N13" s="394"/>
      <c r="O13" s="392"/>
      <c r="P13" s="379"/>
      <c r="Q13" s="381"/>
      <c r="R13" s="24"/>
      <c r="S13" s="25"/>
      <c r="T13" s="25"/>
      <c r="U13" s="25"/>
      <c r="V13" s="25"/>
    </row>
    <row r="14" spans="1:22" s="121" customFormat="1" ht="25.2" customHeight="1">
      <c r="A14" s="27">
        <v>1</v>
      </c>
      <c r="B14" s="28" t="str">
        <f>'Summary PL'!C14</f>
        <v>PGU-DE-0581-PRP-FC-001</v>
      </c>
      <c r="C14" s="212" t="s">
        <v>170</v>
      </c>
      <c r="D14" s="31" t="s">
        <v>171</v>
      </c>
      <c r="E14" s="30">
        <v>1</v>
      </c>
      <c r="F14" s="31" t="s">
        <v>172</v>
      </c>
      <c r="G14" s="57">
        <v>125</v>
      </c>
      <c r="H14" s="57">
        <v>75</v>
      </c>
      <c r="I14" s="122">
        <v>125</v>
      </c>
      <c r="J14" s="178"/>
      <c r="K14" s="293"/>
      <c r="L14" s="57"/>
      <c r="M14" s="57"/>
      <c r="N14" s="57"/>
      <c r="O14" s="32"/>
      <c r="P14" s="29"/>
      <c r="Q14" s="129"/>
      <c r="R14" s="33"/>
      <c r="S14" s="34"/>
      <c r="T14" s="35"/>
      <c r="U14" s="34"/>
      <c r="V14" s="120"/>
    </row>
    <row r="15" spans="1:22" s="173" customFormat="1" ht="25.2" customHeight="1">
      <c r="A15" s="161"/>
      <c r="B15" s="162"/>
      <c r="C15" s="213"/>
      <c r="D15" s="164"/>
      <c r="E15" s="165"/>
      <c r="F15" s="166"/>
      <c r="G15" s="167">
        <f>SUM(G14)</f>
        <v>125</v>
      </c>
      <c r="H15" s="167">
        <f>SUM(H14)</f>
        <v>75</v>
      </c>
      <c r="I15" s="167">
        <f>SUM(I14)</f>
        <v>125</v>
      </c>
      <c r="J15" s="248">
        <f>ROUND(I15*H15*G15/1000000,3)</f>
        <v>1.1719999999999999</v>
      </c>
      <c r="K15" s="167">
        <v>261</v>
      </c>
      <c r="L15" s="167">
        <v>420</v>
      </c>
      <c r="M15" s="168"/>
      <c r="N15" s="168"/>
      <c r="O15" s="168"/>
      <c r="P15" s="163"/>
      <c r="Q15" s="169"/>
      <c r="R15" s="33"/>
      <c r="S15" s="170"/>
      <c r="T15" s="171"/>
      <c r="U15" s="170"/>
      <c r="V15" s="172"/>
    </row>
    <row r="16" spans="1:22" s="121" customFormat="1" ht="25.2" customHeight="1">
      <c r="A16" s="27">
        <v>2</v>
      </c>
      <c r="B16" s="28" t="str">
        <f>'Summary PL'!C15</f>
        <v>PGU-DE-0581-PRP-FC-002</v>
      </c>
      <c r="C16" s="212" t="s">
        <v>173</v>
      </c>
      <c r="D16" s="31" t="s">
        <v>171</v>
      </c>
      <c r="E16" s="30">
        <v>1</v>
      </c>
      <c r="F16" s="31" t="s">
        <v>172</v>
      </c>
      <c r="G16" s="57">
        <v>125</v>
      </c>
      <c r="H16" s="57">
        <v>75</v>
      </c>
      <c r="I16" s="122">
        <v>125</v>
      </c>
      <c r="J16" s="178"/>
      <c r="K16" s="293"/>
      <c r="L16" s="57"/>
      <c r="M16" s="57"/>
      <c r="N16" s="57"/>
      <c r="O16" s="32"/>
      <c r="P16" s="29"/>
      <c r="Q16" s="129"/>
      <c r="R16" s="33"/>
      <c r="S16" s="34"/>
      <c r="T16" s="35"/>
      <c r="U16" s="34"/>
      <c r="V16" s="120"/>
    </row>
    <row r="17" spans="1:22" s="173" customFormat="1" ht="25.2" customHeight="1">
      <c r="A17" s="161"/>
      <c r="B17" s="162"/>
      <c r="C17" s="213"/>
      <c r="D17" s="164"/>
      <c r="E17" s="165"/>
      <c r="F17" s="166"/>
      <c r="G17" s="167">
        <f>SUM(G16)</f>
        <v>125</v>
      </c>
      <c r="H17" s="167">
        <f>SUM(H16)</f>
        <v>75</v>
      </c>
      <c r="I17" s="167">
        <f>SUM(I16)</f>
        <v>125</v>
      </c>
      <c r="J17" s="248">
        <f>ROUND(I17*H17*G17/1000000,3)</f>
        <v>1.1719999999999999</v>
      </c>
      <c r="K17" s="167">
        <v>296</v>
      </c>
      <c r="L17" s="167">
        <v>464</v>
      </c>
      <c r="M17" s="168"/>
      <c r="N17" s="168"/>
      <c r="O17" s="168"/>
      <c r="P17" s="163"/>
      <c r="Q17" s="169"/>
      <c r="R17" s="33"/>
      <c r="S17" s="170"/>
      <c r="T17" s="171"/>
      <c r="U17" s="170"/>
      <c r="V17" s="172"/>
    </row>
    <row r="18" spans="1:22" s="121" customFormat="1" ht="25.2" customHeight="1">
      <c r="A18" s="27">
        <v>3</v>
      </c>
      <c r="B18" s="28" t="str">
        <f>'Summary PL'!C16</f>
        <v>PGU-DE-0581-PRP-FC-003</v>
      </c>
      <c r="C18" s="212" t="s">
        <v>174</v>
      </c>
      <c r="D18" s="31" t="s">
        <v>171</v>
      </c>
      <c r="E18" s="30">
        <v>1</v>
      </c>
      <c r="F18" s="31" t="s">
        <v>172</v>
      </c>
      <c r="G18" s="57">
        <v>132</v>
      </c>
      <c r="H18" s="57">
        <v>75</v>
      </c>
      <c r="I18" s="122">
        <v>132</v>
      </c>
      <c r="J18" s="178"/>
      <c r="K18" s="293"/>
      <c r="L18" s="57"/>
      <c r="M18" s="57"/>
      <c r="N18" s="57"/>
      <c r="O18" s="32"/>
      <c r="P18" s="29"/>
      <c r="Q18" s="129"/>
      <c r="R18" s="33"/>
      <c r="S18" s="34"/>
      <c r="T18" s="35"/>
      <c r="U18" s="34"/>
      <c r="V18" s="120"/>
    </row>
    <row r="19" spans="1:22" s="173" customFormat="1" ht="25.2" customHeight="1">
      <c r="A19" s="161"/>
      <c r="B19" s="162"/>
      <c r="C19" s="213"/>
      <c r="D19" s="164"/>
      <c r="E19" s="165"/>
      <c r="F19" s="166"/>
      <c r="G19" s="167">
        <f>SUM(G18)</f>
        <v>132</v>
      </c>
      <c r="H19" s="167">
        <f>SUM(H18)</f>
        <v>75</v>
      </c>
      <c r="I19" s="167">
        <f>SUM(I18)</f>
        <v>132</v>
      </c>
      <c r="J19" s="248">
        <f>ROUND(I19*H19*G19/1000000,3)</f>
        <v>1.3069999999999999</v>
      </c>
      <c r="K19" s="167">
        <v>387</v>
      </c>
      <c r="L19" s="167">
        <v>563</v>
      </c>
      <c r="M19" s="168"/>
      <c r="N19" s="168"/>
      <c r="O19" s="168"/>
      <c r="P19" s="163"/>
      <c r="Q19" s="169"/>
      <c r="R19" s="33"/>
      <c r="S19" s="170"/>
      <c r="T19" s="171"/>
      <c r="U19" s="170"/>
      <c r="V19" s="172"/>
    </row>
    <row r="20" spans="1:22" s="121" customFormat="1" ht="25.2" customHeight="1">
      <c r="A20" s="27">
        <v>4</v>
      </c>
      <c r="B20" s="28" t="str">
        <f>'Summary PL'!C17</f>
        <v>PGU-DE-0581-PRP-FC-004</v>
      </c>
      <c r="C20" s="212" t="s">
        <v>174</v>
      </c>
      <c r="D20" s="31" t="s">
        <v>171</v>
      </c>
      <c r="E20" s="30">
        <v>1</v>
      </c>
      <c r="F20" s="31" t="s">
        <v>172</v>
      </c>
      <c r="G20" s="57">
        <v>132</v>
      </c>
      <c r="H20" s="57">
        <v>75</v>
      </c>
      <c r="I20" s="122">
        <v>132</v>
      </c>
      <c r="J20" s="178"/>
      <c r="K20" s="293"/>
      <c r="L20" s="57"/>
      <c r="M20" s="57"/>
      <c r="N20" s="57"/>
      <c r="O20" s="32"/>
      <c r="P20" s="29"/>
      <c r="Q20" s="129"/>
      <c r="R20" s="33"/>
      <c r="S20" s="34"/>
      <c r="T20" s="35"/>
      <c r="U20" s="34"/>
      <c r="V20" s="120"/>
    </row>
    <row r="21" spans="1:22" s="173" customFormat="1" ht="25.2" customHeight="1">
      <c r="A21" s="161"/>
      <c r="B21" s="162"/>
      <c r="C21" s="213"/>
      <c r="D21" s="164"/>
      <c r="E21" s="165"/>
      <c r="F21" s="166"/>
      <c r="G21" s="167">
        <f>SUM(G20)</f>
        <v>132</v>
      </c>
      <c r="H21" s="167">
        <f>SUM(H20)</f>
        <v>75</v>
      </c>
      <c r="I21" s="167">
        <f>SUM(I20)</f>
        <v>132</v>
      </c>
      <c r="J21" s="248">
        <f>ROUND(I21*H21*G21/1000000,3)</f>
        <v>1.3069999999999999</v>
      </c>
      <c r="K21" s="167">
        <v>387</v>
      </c>
      <c r="L21" s="167">
        <v>563</v>
      </c>
      <c r="M21" s="168"/>
      <c r="N21" s="168"/>
      <c r="O21" s="168"/>
      <c r="P21" s="163"/>
      <c r="Q21" s="169"/>
      <c r="R21" s="33"/>
      <c r="S21" s="170"/>
      <c r="T21" s="171"/>
      <c r="U21" s="170"/>
      <c r="V21" s="172"/>
    </row>
    <row r="22" spans="1:22" s="121" customFormat="1" ht="25.2" customHeight="1">
      <c r="A22" s="27">
        <v>5</v>
      </c>
      <c r="B22" s="28" t="str">
        <f>'Summary PL'!C18</f>
        <v>PGU-DE-0581-PRP-FC-005</v>
      </c>
      <c r="C22" s="212" t="s">
        <v>175</v>
      </c>
      <c r="D22" s="31" t="s">
        <v>171</v>
      </c>
      <c r="E22" s="30">
        <v>1</v>
      </c>
      <c r="F22" s="31" t="s">
        <v>172</v>
      </c>
      <c r="G22" s="57">
        <v>120</v>
      </c>
      <c r="H22" s="57">
        <v>75</v>
      </c>
      <c r="I22" s="122">
        <v>120</v>
      </c>
      <c r="J22" s="178"/>
      <c r="K22" s="293"/>
      <c r="L22" s="57"/>
      <c r="M22" s="57"/>
      <c r="N22" s="57"/>
      <c r="O22" s="32"/>
      <c r="P22" s="29"/>
      <c r="Q22" s="129"/>
      <c r="R22" s="33"/>
      <c r="S22" s="34"/>
      <c r="T22" s="35"/>
      <c r="U22" s="34"/>
      <c r="V22" s="120"/>
    </row>
    <row r="23" spans="1:22" s="173" customFormat="1" ht="25.2" customHeight="1">
      <c r="A23" s="161"/>
      <c r="B23" s="162"/>
      <c r="C23" s="213"/>
      <c r="D23" s="164"/>
      <c r="E23" s="165"/>
      <c r="F23" s="166"/>
      <c r="G23" s="167">
        <f>SUM(G22)</f>
        <v>120</v>
      </c>
      <c r="H23" s="167">
        <f>SUM(H22)</f>
        <v>75</v>
      </c>
      <c r="I23" s="167">
        <f>SUM(I22)</f>
        <v>120</v>
      </c>
      <c r="J23" s="248">
        <f>ROUND(I23*H23*G23/1000000,3)</f>
        <v>1.08</v>
      </c>
      <c r="K23" s="167">
        <v>257</v>
      </c>
      <c r="L23" s="167">
        <v>416</v>
      </c>
      <c r="M23" s="168"/>
      <c r="N23" s="168"/>
      <c r="O23" s="168"/>
      <c r="P23" s="163"/>
      <c r="Q23" s="169"/>
      <c r="R23" s="33"/>
      <c r="S23" s="170"/>
      <c r="T23" s="171"/>
      <c r="U23" s="170"/>
      <c r="V23" s="172"/>
    </row>
    <row r="24" spans="1:22" s="121" customFormat="1" ht="25.2" customHeight="1">
      <c r="A24" s="27">
        <v>6</v>
      </c>
      <c r="B24" s="28" t="str">
        <f>'Summary PL'!C19</f>
        <v>PGU-DE-0581-PRP-FC-006</v>
      </c>
      <c r="C24" s="212" t="s">
        <v>176</v>
      </c>
      <c r="D24" s="31" t="s">
        <v>171</v>
      </c>
      <c r="E24" s="30">
        <v>1</v>
      </c>
      <c r="F24" s="31" t="s">
        <v>172</v>
      </c>
      <c r="G24" s="57">
        <v>150</v>
      </c>
      <c r="H24" s="57">
        <v>75</v>
      </c>
      <c r="I24" s="122">
        <v>150</v>
      </c>
      <c r="J24" s="178"/>
      <c r="K24" s="293"/>
      <c r="L24" s="57"/>
      <c r="M24" s="57"/>
      <c r="N24" s="57"/>
      <c r="O24" s="32"/>
      <c r="P24" s="29"/>
      <c r="Q24" s="129"/>
      <c r="R24" s="33"/>
      <c r="S24" s="34"/>
      <c r="T24" s="35"/>
      <c r="U24" s="34"/>
      <c r="V24" s="120"/>
    </row>
    <row r="25" spans="1:22" s="173" customFormat="1" ht="25.2" customHeight="1">
      <c r="A25" s="161"/>
      <c r="B25" s="162"/>
      <c r="C25" s="213"/>
      <c r="D25" s="164"/>
      <c r="E25" s="165"/>
      <c r="F25" s="166"/>
      <c r="G25" s="167">
        <f>SUM(G24)</f>
        <v>150</v>
      </c>
      <c r="H25" s="167">
        <f>SUM(H24)</f>
        <v>75</v>
      </c>
      <c r="I25" s="167">
        <f>SUM(I24)</f>
        <v>150</v>
      </c>
      <c r="J25" s="248">
        <f>ROUND(I25*H25*G25/1000000,3)</f>
        <v>1.6879999999999999</v>
      </c>
      <c r="K25" s="167">
        <v>491</v>
      </c>
      <c r="L25" s="167">
        <v>704</v>
      </c>
      <c r="M25" s="168"/>
      <c r="N25" s="168"/>
      <c r="O25" s="168"/>
      <c r="P25" s="163"/>
      <c r="Q25" s="169"/>
      <c r="R25" s="33"/>
      <c r="S25" s="170"/>
      <c r="T25" s="171"/>
      <c r="U25" s="170"/>
      <c r="V25" s="172"/>
    </row>
    <row r="26" spans="1:22" s="38" customFormat="1" ht="28.2" customHeight="1" thickBot="1">
      <c r="A26" s="395" t="s">
        <v>177</v>
      </c>
      <c r="B26" s="396"/>
      <c r="C26" s="396"/>
      <c r="D26" s="397"/>
      <c r="E26" s="107"/>
      <c r="F26" s="108"/>
      <c r="G26" s="126"/>
      <c r="H26" s="126"/>
      <c r="I26" s="126"/>
      <c r="J26" s="247">
        <f>SUM(J14:J25)</f>
        <v>7.726</v>
      </c>
      <c r="K26" s="294">
        <f>SUM(K14:K25)</f>
        <v>2079</v>
      </c>
      <c r="L26" s="294">
        <f>SUM(L14:L25)</f>
        <v>3130</v>
      </c>
      <c r="M26" s="154"/>
      <c r="N26" s="154"/>
      <c r="O26" s="153"/>
      <c r="P26" s="109"/>
      <c r="Q26" s="117"/>
      <c r="R26" s="36"/>
      <c r="S26" s="36"/>
      <c r="T26" s="36"/>
      <c r="U26" s="37"/>
      <c r="V26" s="37"/>
    </row>
  </sheetData>
  <protectedRanges>
    <protectedRange sqref="C14:H14 L14:Q14 L16:Q16 L18:Q18 L22:Q22 L24:Q24 C15:J15 C16:H16 C17:J17 C18:H18 C19:J19 L20:Q20 C20:H20 C21:J21 C22:H22 C23:J23 C24:H24 C25:J25 L15:Q15 L17:Q17 L19:Q19 L21:Q21 L23:Q23 L25:Q25" name="범위1_1"/>
    <protectedRange sqref="J22 J18 J14 J16 J24 J20" name="범위1_1_1"/>
    <protectedRange sqref="K14:K25" name="범위1_1_2"/>
  </protectedRanges>
  <autoFilter ref="A12:Q13" xr:uid="{326010B5-14DA-4262-B223-B406CA9539EA}">
    <filterColumn colId="4" showButton="0"/>
    <filterColumn colId="6" showButton="0"/>
    <filterColumn colId="7" showButton="0"/>
    <filterColumn colId="8" showButton="0"/>
  </autoFilter>
  <mergeCells count="15">
    <mergeCell ref="Q12:Q13"/>
    <mergeCell ref="A26:D26"/>
    <mergeCell ref="O12:O13"/>
    <mergeCell ref="A6:Q6"/>
    <mergeCell ref="A12:A13"/>
    <mergeCell ref="B12:B13"/>
    <mergeCell ref="C12:C13"/>
    <mergeCell ref="D12:D13"/>
    <mergeCell ref="E12:F12"/>
    <mergeCell ref="G12:J12"/>
    <mergeCell ref="K12:K13"/>
    <mergeCell ref="L12:L13"/>
    <mergeCell ref="P12:P13"/>
    <mergeCell ref="M12:M13"/>
    <mergeCell ref="N12:N13"/>
  </mergeCells>
  <phoneticPr fontId="3" type="noConversion"/>
  <printOptions horizontalCentered="1"/>
  <pageMargins left="0.39370078740157483" right="0.39370078740157483" top="0.19685039370078741" bottom="0.19685039370078741" header="0.23622047244094491" footer="0"/>
  <pageSetup paperSize="9" scale="44" fitToHeight="0" orientation="landscape" horizontalDpi="1200" verticalDpi="1200" r:id="rId1"/>
  <headerFooter alignWithMargins="0">
    <oddFooter>&amp;C&amp;"Calibri,보통"&amp;12Doosan Enerbility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N236"/>
  <sheetViews>
    <sheetView showGridLines="0" view="pageBreakPreview" topLeftCell="A5" zoomScale="55" zoomScaleNormal="100" zoomScaleSheetLayoutView="55" workbookViewId="0">
      <selection activeCell="G193" sqref="G193"/>
    </sheetView>
  </sheetViews>
  <sheetFormatPr defaultColWidth="9" defaultRowHeight="21"/>
  <cols>
    <col min="1" max="1" width="12.69921875" style="134" customWidth="1"/>
    <col min="2" max="3" width="9" style="134"/>
    <col min="4" max="4" width="1.69921875" style="134" customWidth="1"/>
    <col min="5" max="5" width="9" style="134"/>
    <col min="6" max="6" width="2.19921875" style="135" customWidth="1"/>
    <col min="7" max="7" width="16.69921875" style="135" customWidth="1"/>
    <col min="8" max="8" width="9" style="135" customWidth="1"/>
    <col min="9" max="9" width="12.09765625" style="135" bestFit="1" customWidth="1"/>
    <col min="10" max="10" width="9" style="135" customWidth="1"/>
    <col min="11" max="11" width="14.5" style="135" bestFit="1" customWidth="1"/>
    <col min="12" max="13" width="9" style="135"/>
    <col min="14" max="14" width="5.69921875" style="135" customWidth="1"/>
    <col min="15" max="16384" width="9" style="2"/>
  </cols>
  <sheetData>
    <row r="1" spans="1:14" ht="95.1" customHeight="1" thickBot="1">
      <c r="A1" s="398" t="s">
        <v>178</v>
      </c>
      <c r="B1" s="399"/>
      <c r="C1" s="399"/>
      <c r="D1" s="399"/>
      <c r="E1" s="399"/>
      <c r="F1" s="399"/>
      <c r="G1" s="399"/>
      <c r="H1" s="399"/>
      <c r="I1" s="399"/>
      <c r="J1" s="399"/>
      <c r="K1" s="399"/>
      <c r="L1" s="399"/>
      <c r="M1" s="399"/>
      <c r="N1" s="400"/>
    </row>
    <row r="2" spans="1:14" s="3" customFormat="1" ht="37.5" customHeight="1">
      <c r="A2" s="145" t="s">
        <v>179</v>
      </c>
      <c r="B2" s="197"/>
      <c r="C2" s="197"/>
      <c r="D2" s="134"/>
      <c r="E2" s="134"/>
      <c r="F2" s="198" t="s">
        <v>180</v>
      </c>
      <c r="G2" s="198" t="s">
        <v>181</v>
      </c>
      <c r="H2" s="198"/>
      <c r="I2" s="198"/>
      <c r="J2" s="198"/>
      <c r="K2" s="198"/>
      <c r="L2" s="198"/>
      <c r="M2" s="198"/>
      <c r="N2" s="160"/>
    </row>
    <row r="3" spans="1:14" s="4" customFormat="1" ht="25.2">
      <c r="A3" s="136" t="s">
        <v>182</v>
      </c>
      <c r="B3" s="134"/>
      <c r="C3" s="134"/>
      <c r="D3" s="134"/>
      <c r="E3" s="134"/>
      <c r="F3" s="198"/>
      <c r="G3" s="198" t="s">
        <v>183</v>
      </c>
      <c r="H3" s="198"/>
      <c r="I3" s="198"/>
      <c r="J3" s="198"/>
      <c r="K3" s="198"/>
      <c r="L3" s="198"/>
      <c r="M3" s="198"/>
      <c r="N3" s="160"/>
    </row>
    <row r="4" spans="1:14" s="3" customFormat="1" ht="10.199999999999999" customHeight="1">
      <c r="A4" s="136"/>
      <c r="B4" s="134"/>
      <c r="C4" s="134"/>
      <c r="D4" s="134"/>
      <c r="E4" s="134"/>
      <c r="F4" s="198"/>
      <c r="G4" s="134"/>
      <c r="H4" s="134"/>
      <c r="I4" s="134"/>
      <c r="J4" s="134"/>
      <c r="K4" s="134"/>
      <c r="L4" s="134"/>
      <c r="M4" s="134"/>
      <c r="N4" s="137"/>
    </row>
    <row r="5" spans="1:14" s="3" customFormat="1" ht="42.75" customHeight="1">
      <c r="A5" s="136" t="s">
        <v>184</v>
      </c>
      <c r="B5" s="134"/>
      <c r="C5" s="134"/>
      <c r="D5" s="134"/>
      <c r="E5" s="134"/>
      <c r="F5" s="198" t="s">
        <v>180</v>
      </c>
      <c r="G5" s="198" t="s">
        <v>185</v>
      </c>
      <c r="H5" s="134"/>
      <c r="I5" s="134"/>
      <c r="J5" s="134"/>
      <c r="K5" s="134"/>
      <c r="L5" s="134"/>
      <c r="M5" s="134"/>
      <c r="N5" s="137"/>
    </row>
    <row r="6" spans="1:14" s="4" customFormat="1" ht="25.2">
      <c r="A6" s="136" t="s">
        <v>186</v>
      </c>
      <c r="B6" s="134"/>
      <c r="C6" s="134"/>
      <c r="D6" s="134"/>
      <c r="E6" s="134"/>
      <c r="F6" s="199"/>
      <c r="G6" s="198"/>
      <c r="H6" s="134"/>
      <c r="I6" s="134"/>
      <c r="J6" s="134"/>
      <c r="K6" s="134"/>
      <c r="L6" s="134"/>
      <c r="M6" s="134"/>
      <c r="N6" s="137"/>
    </row>
    <row r="7" spans="1:14" s="3" customFormat="1" ht="10.199999999999999" customHeight="1">
      <c r="A7" s="136"/>
      <c r="B7" s="134"/>
      <c r="C7" s="134"/>
      <c r="D7" s="134"/>
      <c r="E7" s="134"/>
      <c r="F7" s="200"/>
      <c r="G7" s="200"/>
      <c r="H7" s="134"/>
      <c r="I7" s="134"/>
      <c r="J7" s="134"/>
      <c r="K7" s="134"/>
      <c r="L7" s="134"/>
      <c r="M7" s="134"/>
      <c r="N7" s="137"/>
    </row>
    <row r="8" spans="1:14" s="3" customFormat="1" ht="25.2">
      <c r="A8" s="136" t="s">
        <v>187</v>
      </c>
      <c r="B8" s="134"/>
      <c r="C8" s="134"/>
      <c r="D8" s="134"/>
      <c r="E8" s="134"/>
      <c r="F8" s="198" t="s">
        <v>188</v>
      </c>
      <c r="G8" s="134"/>
      <c r="H8" s="134"/>
      <c r="I8" s="134"/>
      <c r="J8" s="134"/>
      <c r="K8" s="134"/>
      <c r="L8" s="134"/>
      <c r="M8" s="134"/>
      <c r="N8" s="137"/>
    </row>
    <row r="9" spans="1:14" s="4" customFormat="1" ht="25.2">
      <c r="A9" s="136" t="s">
        <v>189</v>
      </c>
      <c r="B9" s="134"/>
      <c r="C9" s="134"/>
      <c r="D9" s="134"/>
      <c r="E9" s="134"/>
      <c r="F9" s="198" t="s">
        <v>190</v>
      </c>
      <c r="G9" s="134"/>
      <c r="H9" s="134"/>
      <c r="I9" s="134"/>
      <c r="J9" s="134"/>
      <c r="K9" s="134"/>
      <c r="L9" s="134"/>
      <c r="M9" s="134"/>
      <c r="N9" s="137"/>
    </row>
    <row r="10" spans="1:14" s="3" customFormat="1" ht="10.199999999999999" customHeight="1">
      <c r="A10" s="136"/>
      <c r="B10" s="134"/>
      <c r="C10" s="134"/>
      <c r="D10" s="134"/>
      <c r="E10" s="134"/>
      <c r="F10" s="198"/>
      <c r="G10" s="134"/>
      <c r="H10" s="134"/>
      <c r="I10" s="134"/>
      <c r="J10" s="134"/>
      <c r="K10" s="134"/>
      <c r="L10" s="134"/>
      <c r="M10" s="134"/>
      <c r="N10" s="137"/>
    </row>
    <row r="11" spans="1:14" s="3" customFormat="1" ht="25.2">
      <c r="A11" s="136" t="s">
        <v>191</v>
      </c>
      <c r="B11" s="134"/>
      <c r="C11" s="134"/>
      <c r="D11" s="134"/>
      <c r="E11" s="134"/>
      <c r="F11" s="198" t="s">
        <v>192</v>
      </c>
      <c r="G11" s="198" t="str">
        <f>CI!$V$8</f>
        <v>PGU-DE-0581</v>
      </c>
      <c r="H11" s="134"/>
      <c r="I11" s="134"/>
      <c r="J11" s="134"/>
      <c r="K11" s="134"/>
      <c r="L11" s="134"/>
      <c r="M11" s="134"/>
      <c r="N11" s="137"/>
    </row>
    <row r="12" spans="1:14" s="3" customFormat="1" ht="25.2">
      <c r="A12" s="136" t="s">
        <v>193</v>
      </c>
      <c r="B12" s="134"/>
      <c r="C12" s="134"/>
      <c r="D12" s="134"/>
      <c r="E12" s="134"/>
      <c r="F12" s="198"/>
      <c r="G12" s="134"/>
      <c r="H12" s="134"/>
      <c r="I12" s="134"/>
      <c r="J12" s="134"/>
      <c r="K12" s="134"/>
      <c r="L12" s="134"/>
      <c r="M12" s="134"/>
      <c r="N12" s="137"/>
    </row>
    <row r="13" spans="1:14" s="3" customFormat="1" ht="10.199999999999999" customHeight="1">
      <c r="A13" s="136"/>
      <c r="B13" s="134"/>
      <c r="C13" s="134"/>
      <c r="D13" s="134"/>
      <c r="E13" s="134"/>
      <c r="F13" s="198"/>
      <c r="G13" s="134"/>
      <c r="H13" s="134"/>
      <c r="I13" s="134"/>
      <c r="J13" s="134"/>
      <c r="K13" s="134"/>
      <c r="L13" s="134"/>
      <c r="M13" s="134"/>
      <c r="N13" s="137"/>
    </row>
    <row r="14" spans="1:14" s="3" customFormat="1" ht="25.2">
      <c r="A14" s="138" t="s">
        <v>194</v>
      </c>
      <c r="B14" s="201"/>
      <c r="C14" s="201"/>
      <c r="D14" s="201"/>
      <c r="E14" s="201"/>
      <c r="F14" s="202" t="s">
        <v>180</v>
      </c>
      <c r="G14" s="203" t="str">
        <f>'Summary PL'!D14</f>
        <v>FO Cable, MM Armoured (24C)-2000M</v>
      </c>
      <c r="H14" s="201"/>
      <c r="I14" s="201"/>
      <c r="J14" s="201"/>
      <c r="K14" s="201"/>
      <c r="L14" s="201"/>
      <c r="M14" s="201"/>
      <c r="N14" s="139"/>
    </row>
    <row r="15" spans="1:14" s="3" customFormat="1" ht="25.2">
      <c r="A15" s="138" t="s">
        <v>195</v>
      </c>
      <c r="B15" s="201"/>
      <c r="C15" s="201"/>
      <c r="D15" s="201"/>
      <c r="E15" s="201"/>
      <c r="F15" s="202"/>
      <c r="G15" s="201"/>
      <c r="H15" s="201"/>
      <c r="I15" s="201"/>
      <c r="J15" s="201"/>
      <c r="K15" s="201"/>
      <c r="L15" s="201"/>
      <c r="M15" s="201"/>
      <c r="N15" s="139"/>
    </row>
    <row r="16" spans="1:14" s="3" customFormat="1" ht="10.199999999999999" customHeight="1">
      <c r="A16" s="136"/>
      <c r="B16" s="134"/>
      <c r="C16" s="134"/>
      <c r="D16" s="134"/>
      <c r="E16" s="134"/>
      <c r="F16" s="198"/>
      <c r="G16" s="134"/>
      <c r="H16" s="134"/>
      <c r="I16" s="134"/>
      <c r="J16" s="134"/>
      <c r="K16" s="134"/>
      <c r="L16" s="134"/>
      <c r="M16" s="134"/>
      <c r="N16" s="137"/>
    </row>
    <row r="17" spans="1:14" s="3" customFormat="1" ht="25.2">
      <c r="A17" s="136" t="s">
        <v>196</v>
      </c>
      <c r="B17" s="134"/>
      <c r="C17" s="134"/>
      <c r="D17" s="134"/>
      <c r="E17" s="134"/>
      <c r="F17" s="202" t="s">
        <v>197</v>
      </c>
      <c r="G17" s="206" t="str">
        <f>'Summary PL'!C14</f>
        <v>PGU-DE-0581-PRP-FC-001</v>
      </c>
      <c r="H17" s="134"/>
      <c r="I17" s="134"/>
      <c r="J17" s="134"/>
      <c r="K17" s="134"/>
      <c r="L17" s="134"/>
      <c r="M17" s="134"/>
      <c r="N17" s="137"/>
    </row>
    <row r="18" spans="1:14" s="4" customFormat="1" ht="25.2">
      <c r="A18" s="136" t="s">
        <v>198</v>
      </c>
      <c r="B18" s="134"/>
      <c r="C18" s="134"/>
      <c r="D18" s="134"/>
      <c r="E18" s="134"/>
      <c r="F18" s="198"/>
      <c r="G18" s="198"/>
      <c r="H18" s="134"/>
      <c r="I18" s="134"/>
      <c r="J18" s="134"/>
      <c r="K18" s="134"/>
      <c r="L18" s="134"/>
      <c r="M18" s="134"/>
      <c r="N18" s="137"/>
    </row>
    <row r="19" spans="1:14" s="3" customFormat="1" ht="10.199999999999999" customHeight="1">
      <c r="A19" s="136"/>
      <c r="B19" s="134"/>
      <c r="C19" s="134"/>
      <c r="D19" s="134"/>
      <c r="E19" s="134"/>
      <c r="F19" s="198"/>
      <c r="G19" s="198"/>
      <c r="H19" s="134"/>
      <c r="I19" s="134"/>
      <c r="J19" s="134"/>
      <c r="K19" s="134"/>
      <c r="L19" s="134"/>
      <c r="M19" s="134"/>
      <c r="N19" s="137"/>
    </row>
    <row r="20" spans="1:14" s="3" customFormat="1" ht="25.2">
      <c r="A20" s="136" t="s">
        <v>199</v>
      </c>
      <c r="B20" s="134"/>
      <c r="C20" s="134"/>
      <c r="D20" s="134"/>
      <c r="E20" s="134"/>
      <c r="F20" s="198" t="s">
        <v>192</v>
      </c>
      <c r="G20" s="204">
        <f>'Detail PL'!K15</f>
        <v>261</v>
      </c>
      <c r="H20" s="198" t="s">
        <v>200</v>
      </c>
      <c r="I20" s="134"/>
      <c r="J20" s="134"/>
      <c r="K20" s="134"/>
      <c r="L20" s="134"/>
      <c r="M20" s="134"/>
      <c r="N20" s="137"/>
    </row>
    <row r="21" spans="1:14" s="4" customFormat="1" ht="25.2">
      <c r="A21" s="136" t="s">
        <v>201</v>
      </c>
      <c r="B21" s="134"/>
      <c r="C21" s="134"/>
      <c r="D21" s="134"/>
      <c r="E21" s="134"/>
      <c r="F21" s="198"/>
      <c r="G21" s="198"/>
      <c r="H21" s="198"/>
      <c r="I21" s="134"/>
      <c r="J21" s="134"/>
      <c r="K21" s="134"/>
      <c r="L21" s="134"/>
      <c r="M21" s="134"/>
      <c r="N21" s="137"/>
    </row>
    <row r="22" spans="1:14" s="3" customFormat="1" ht="10.199999999999999" customHeight="1">
      <c r="A22" s="136"/>
      <c r="B22" s="134"/>
      <c r="C22" s="134"/>
      <c r="D22" s="134"/>
      <c r="E22" s="134"/>
      <c r="F22" s="198"/>
      <c r="G22" s="198"/>
      <c r="H22" s="198"/>
      <c r="I22" s="134"/>
      <c r="J22" s="134"/>
      <c r="K22" s="134"/>
      <c r="L22" s="134"/>
      <c r="M22" s="134"/>
      <c r="N22" s="137"/>
    </row>
    <row r="23" spans="1:14" s="3" customFormat="1" ht="25.2">
      <c r="A23" s="136" t="s">
        <v>202</v>
      </c>
      <c r="B23" s="134"/>
      <c r="C23" s="134"/>
      <c r="D23" s="134"/>
      <c r="E23" s="134"/>
      <c r="F23" s="198" t="s">
        <v>192</v>
      </c>
      <c r="G23" s="204">
        <f>'Summary PL'!M14</f>
        <v>420</v>
      </c>
      <c r="H23" s="198" t="s">
        <v>200</v>
      </c>
      <c r="I23" s="134"/>
      <c r="J23" s="134"/>
      <c r="K23" s="134"/>
      <c r="L23" s="134"/>
      <c r="M23" s="134"/>
      <c r="N23" s="137"/>
    </row>
    <row r="24" spans="1:14" s="4" customFormat="1" ht="25.2">
      <c r="A24" s="136" t="s">
        <v>203</v>
      </c>
      <c r="B24" s="134"/>
      <c r="C24" s="134"/>
      <c r="D24" s="134"/>
      <c r="E24" s="134"/>
      <c r="F24" s="198"/>
      <c r="G24" s="198"/>
      <c r="H24" s="134"/>
      <c r="I24" s="134"/>
      <c r="J24" s="134"/>
      <c r="K24" s="134"/>
      <c r="L24" s="134"/>
      <c r="M24" s="134"/>
      <c r="N24" s="137"/>
    </row>
    <row r="25" spans="1:14" s="3" customFormat="1" ht="10.199999999999999" customHeight="1">
      <c r="A25" s="136"/>
      <c r="B25" s="134"/>
      <c r="C25" s="134"/>
      <c r="D25" s="134"/>
      <c r="E25" s="134"/>
      <c r="F25" s="198"/>
      <c r="G25" s="198"/>
      <c r="H25" s="134"/>
      <c r="I25" s="134"/>
      <c r="J25" s="134"/>
      <c r="K25" s="134"/>
      <c r="L25" s="134"/>
      <c r="M25" s="134"/>
      <c r="N25" s="137"/>
    </row>
    <row r="26" spans="1:14" s="3" customFormat="1" ht="25.2">
      <c r="A26" s="140" t="s">
        <v>204</v>
      </c>
      <c r="B26" s="134"/>
      <c r="C26" s="134"/>
      <c r="D26" s="134"/>
      <c r="E26" s="134"/>
      <c r="F26" s="198" t="s">
        <v>192</v>
      </c>
      <c r="G26" s="238">
        <f>'Summary PL'!K14</f>
        <v>1.1719999999999999</v>
      </c>
      <c r="H26" s="205" t="s">
        <v>205</v>
      </c>
      <c r="I26" s="205"/>
      <c r="J26" s="205"/>
      <c r="K26" s="205"/>
      <c r="L26" s="134"/>
      <c r="M26" s="134"/>
      <c r="N26" s="137"/>
    </row>
    <row r="27" spans="1:14" s="4" customFormat="1" ht="25.2">
      <c r="A27" s="136" t="s">
        <v>206</v>
      </c>
      <c r="B27" s="134"/>
      <c r="C27" s="134"/>
      <c r="D27" s="134"/>
      <c r="E27" s="134"/>
      <c r="F27" s="198"/>
      <c r="G27" s="198"/>
      <c r="H27" s="134"/>
      <c r="I27" s="134"/>
      <c r="J27" s="134"/>
      <c r="K27" s="134"/>
      <c r="L27" s="134"/>
      <c r="M27" s="134"/>
      <c r="N27" s="137"/>
    </row>
    <row r="28" spans="1:14" s="3" customFormat="1" ht="10.199999999999999" customHeight="1">
      <c r="A28" s="136"/>
      <c r="B28" s="134"/>
      <c r="C28" s="134"/>
      <c r="D28" s="134"/>
      <c r="E28" s="134"/>
      <c r="F28" s="198"/>
      <c r="G28" s="198"/>
      <c r="H28" s="134"/>
      <c r="I28" s="134"/>
      <c r="J28" s="134"/>
      <c r="K28" s="134"/>
      <c r="L28" s="134"/>
      <c r="M28" s="134"/>
      <c r="N28" s="137"/>
    </row>
    <row r="29" spans="1:14" s="3" customFormat="1" ht="42">
      <c r="A29" s="136" t="s">
        <v>207</v>
      </c>
      <c r="B29" s="134"/>
      <c r="C29" s="134"/>
      <c r="D29" s="134"/>
      <c r="E29" s="134"/>
      <c r="F29" s="197" t="s">
        <v>208</v>
      </c>
      <c r="G29" s="405" t="s">
        <v>209</v>
      </c>
      <c r="H29" s="405"/>
      <c r="I29" s="405"/>
      <c r="J29" s="405"/>
      <c r="K29" s="405"/>
      <c r="L29" s="405"/>
      <c r="M29" s="405"/>
      <c r="N29" s="406"/>
    </row>
    <row r="30" spans="1:14" s="4" customFormat="1" ht="25.8" thickBot="1">
      <c r="A30" s="136" t="s">
        <v>210</v>
      </c>
      <c r="B30" s="134"/>
      <c r="C30" s="134"/>
      <c r="D30" s="134"/>
      <c r="E30" s="134"/>
      <c r="F30" s="198"/>
      <c r="G30" s="405"/>
      <c r="H30" s="405"/>
      <c r="I30" s="405"/>
      <c r="J30" s="405"/>
      <c r="K30" s="405"/>
      <c r="L30" s="405"/>
      <c r="M30" s="405"/>
      <c r="N30" s="406"/>
    </row>
    <row r="31" spans="1:14" ht="21" customHeight="1">
      <c r="A31" s="130"/>
      <c r="B31" s="131"/>
      <c r="C31" s="131"/>
      <c r="D31" s="131"/>
      <c r="E31" s="401" t="s">
        <v>211</v>
      </c>
      <c r="F31" s="401"/>
      <c r="G31" s="401"/>
      <c r="H31" s="401"/>
      <c r="I31" s="401"/>
      <c r="J31" s="401"/>
      <c r="K31" s="401"/>
      <c r="L31" s="132"/>
      <c r="M31" s="132"/>
      <c r="N31" s="133"/>
    </row>
    <row r="32" spans="1:14" ht="25.5" customHeight="1" thickBot="1">
      <c r="A32" s="141"/>
      <c r="B32" s="142"/>
      <c r="C32" s="142"/>
      <c r="D32" s="142"/>
      <c r="E32" s="402"/>
      <c r="F32" s="402"/>
      <c r="G32" s="402"/>
      <c r="H32" s="402"/>
      <c r="I32" s="402"/>
      <c r="J32" s="402"/>
      <c r="K32" s="402"/>
      <c r="L32" s="143"/>
      <c r="M32" s="143"/>
      <c r="N32" s="144"/>
    </row>
    <row r="34" spans="1:14" ht="21.6" thickBot="1"/>
    <row r="35" spans="1:14" ht="95.1" customHeight="1" thickBot="1">
      <c r="A35" s="398" t="s">
        <v>178</v>
      </c>
      <c r="B35" s="399"/>
      <c r="C35" s="399"/>
      <c r="D35" s="399"/>
      <c r="E35" s="399"/>
      <c r="F35" s="399"/>
      <c r="G35" s="399"/>
      <c r="H35" s="399"/>
      <c r="I35" s="399"/>
      <c r="J35" s="399"/>
      <c r="K35" s="399"/>
      <c r="L35" s="399"/>
      <c r="M35" s="399"/>
      <c r="N35" s="400"/>
    </row>
    <row r="36" spans="1:14" s="3" customFormat="1" ht="37.5" customHeight="1">
      <c r="A36" s="145" t="s">
        <v>179</v>
      </c>
      <c r="B36" s="197"/>
      <c r="C36" s="197"/>
      <c r="D36" s="134"/>
      <c r="E36" s="134"/>
      <c r="F36" s="198" t="s">
        <v>180</v>
      </c>
      <c r="G36" s="198" t="s">
        <v>181</v>
      </c>
      <c r="H36" s="198"/>
      <c r="I36" s="198"/>
      <c r="J36" s="198"/>
      <c r="K36" s="198"/>
      <c r="L36" s="198"/>
      <c r="M36" s="198"/>
      <c r="N36" s="160"/>
    </row>
    <row r="37" spans="1:14" s="4" customFormat="1" ht="25.2">
      <c r="A37" s="136" t="s">
        <v>182</v>
      </c>
      <c r="B37" s="134"/>
      <c r="C37" s="134"/>
      <c r="D37" s="134"/>
      <c r="E37" s="134"/>
      <c r="F37" s="198"/>
      <c r="G37" s="198" t="s">
        <v>183</v>
      </c>
      <c r="H37" s="198"/>
      <c r="I37" s="198"/>
      <c r="J37" s="198"/>
      <c r="K37" s="198"/>
      <c r="L37" s="198"/>
      <c r="M37" s="198"/>
      <c r="N37" s="160"/>
    </row>
    <row r="38" spans="1:14" s="3" customFormat="1" ht="10.199999999999999" customHeight="1">
      <c r="A38" s="136"/>
      <c r="B38" s="134"/>
      <c r="C38" s="134"/>
      <c r="D38" s="134"/>
      <c r="E38" s="134"/>
      <c r="F38" s="198"/>
      <c r="G38" s="134"/>
      <c r="H38" s="134"/>
      <c r="I38" s="134"/>
      <c r="J38" s="134"/>
      <c r="K38" s="134"/>
      <c r="L38" s="134"/>
      <c r="M38" s="134"/>
      <c r="N38" s="137"/>
    </row>
    <row r="39" spans="1:14" s="3" customFormat="1" ht="42.75" customHeight="1">
      <c r="A39" s="136" t="s">
        <v>184</v>
      </c>
      <c r="B39" s="134"/>
      <c r="C39" s="134"/>
      <c r="D39" s="134"/>
      <c r="E39" s="134"/>
      <c r="F39" s="198" t="s">
        <v>180</v>
      </c>
      <c r="G39" s="198" t="s">
        <v>185</v>
      </c>
      <c r="H39" s="134"/>
      <c r="I39" s="134"/>
      <c r="J39" s="134"/>
      <c r="K39" s="134"/>
      <c r="L39" s="134"/>
      <c r="M39" s="134"/>
      <c r="N39" s="137"/>
    </row>
    <row r="40" spans="1:14" s="4" customFormat="1" ht="25.2">
      <c r="A40" s="136" t="s">
        <v>186</v>
      </c>
      <c r="B40" s="134"/>
      <c r="C40" s="134"/>
      <c r="D40" s="134"/>
      <c r="E40" s="134"/>
      <c r="F40" s="199"/>
      <c r="G40" s="198"/>
      <c r="H40" s="134"/>
      <c r="I40" s="134"/>
      <c r="J40" s="134"/>
      <c r="K40" s="134"/>
      <c r="L40" s="134"/>
      <c r="M40" s="134"/>
      <c r="N40" s="137"/>
    </row>
    <row r="41" spans="1:14" s="3" customFormat="1" ht="10.199999999999999" customHeight="1">
      <c r="A41" s="136"/>
      <c r="B41" s="134"/>
      <c r="C41" s="134"/>
      <c r="D41" s="134"/>
      <c r="E41" s="134"/>
      <c r="F41" s="200"/>
      <c r="G41" s="200"/>
      <c r="H41" s="134"/>
      <c r="I41" s="134"/>
      <c r="J41" s="134"/>
      <c r="K41" s="134"/>
      <c r="L41" s="134"/>
      <c r="M41" s="134"/>
      <c r="N41" s="137"/>
    </row>
    <row r="42" spans="1:14" s="3" customFormat="1" ht="25.2">
      <c r="A42" s="136" t="s">
        <v>187</v>
      </c>
      <c r="B42" s="134"/>
      <c r="C42" s="134"/>
      <c r="D42" s="134"/>
      <c r="E42" s="134"/>
      <c r="F42" s="198" t="s">
        <v>188</v>
      </c>
      <c r="G42" s="134"/>
      <c r="H42" s="134"/>
      <c r="I42" s="134"/>
      <c r="J42" s="134"/>
      <c r="K42" s="134"/>
      <c r="L42" s="134"/>
      <c r="M42" s="134"/>
      <c r="N42" s="137"/>
    </row>
    <row r="43" spans="1:14" s="4" customFormat="1" ht="25.2">
      <c r="A43" s="136" t="s">
        <v>189</v>
      </c>
      <c r="B43" s="134"/>
      <c r="C43" s="134"/>
      <c r="D43" s="134"/>
      <c r="E43" s="134"/>
      <c r="F43" s="198" t="s">
        <v>190</v>
      </c>
      <c r="G43" s="134"/>
      <c r="H43" s="134"/>
      <c r="I43" s="134"/>
      <c r="J43" s="134"/>
      <c r="K43" s="134"/>
      <c r="L43" s="134"/>
      <c r="M43" s="134"/>
      <c r="N43" s="137"/>
    </row>
    <row r="44" spans="1:14" s="3" customFormat="1" ht="10.199999999999999" customHeight="1">
      <c r="A44" s="136"/>
      <c r="B44" s="134"/>
      <c r="C44" s="134"/>
      <c r="D44" s="134"/>
      <c r="E44" s="134"/>
      <c r="F44" s="198"/>
      <c r="G44" s="134"/>
      <c r="H44" s="134"/>
      <c r="I44" s="134"/>
      <c r="J44" s="134"/>
      <c r="K44" s="134"/>
      <c r="L44" s="134"/>
      <c r="M44" s="134"/>
      <c r="N44" s="137"/>
    </row>
    <row r="45" spans="1:14" s="3" customFormat="1" ht="25.2">
      <c r="A45" s="136" t="s">
        <v>191</v>
      </c>
      <c r="B45" s="134"/>
      <c r="C45" s="134"/>
      <c r="D45" s="134"/>
      <c r="E45" s="134"/>
      <c r="F45" s="198" t="s">
        <v>192</v>
      </c>
      <c r="G45" s="198" t="str">
        <f>CI!$V$8</f>
        <v>PGU-DE-0581</v>
      </c>
      <c r="H45" s="134"/>
      <c r="I45" s="134"/>
      <c r="J45" s="134"/>
      <c r="K45" s="134"/>
      <c r="L45" s="134"/>
      <c r="M45" s="134"/>
      <c r="N45" s="137"/>
    </row>
    <row r="46" spans="1:14" s="3" customFormat="1" ht="25.2">
      <c r="A46" s="136" t="s">
        <v>193</v>
      </c>
      <c r="B46" s="134"/>
      <c r="C46" s="134"/>
      <c r="D46" s="134"/>
      <c r="E46" s="134"/>
      <c r="F46" s="198"/>
      <c r="G46" s="134"/>
      <c r="H46" s="134"/>
      <c r="I46" s="134"/>
      <c r="J46" s="134"/>
      <c r="K46" s="134"/>
      <c r="L46" s="134"/>
      <c r="M46" s="134"/>
      <c r="N46" s="137"/>
    </row>
    <row r="47" spans="1:14" s="3" customFormat="1" ht="10.199999999999999" customHeight="1">
      <c r="A47" s="136"/>
      <c r="B47" s="134"/>
      <c r="C47" s="134"/>
      <c r="D47" s="134"/>
      <c r="E47" s="134"/>
      <c r="F47" s="198"/>
      <c r="G47" s="134"/>
      <c r="H47" s="134"/>
      <c r="I47" s="134"/>
      <c r="J47" s="134"/>
      <c r="K47" s="134"/>
      <c r="L47" s="134"/>
      <c r="M47" s="134"/>
      <c r="N47" s="137"/>
    </row>
    <row r="48" spans="1:14" s="3" customFormat="1" ht="25.2">
      <c r="A48" s="138" t="s">
        <v>194</v>
      </c>
      <c r="B48" s="201"/>
      <c r="C48" s="201"/>
      <c r="D48" s="201"/>
      <c r="E48" s="201"/>
      <c r="F48" s="202" t="s">
        <v>180</v>
      </c>
      <c r="G48" s="203" t="str">
        <f>'Summary PL'!D15</f>
        <v>FO Cable, MM Armoured (4C)-2300M</v>
      </c>
      <c r="H48" s="201"/>
      <c r="I48" s="201"/>
      <c r="J48" s="201"/>
      <c r="K48" s="201"/>
      <c r="L48" s="201"/>
      <c r="M48" s="201"/>
      <c r="N48" s="139"/>
    </row>
    <row r="49" spans="1:14" s="3" customFormat="1" ht="25.2">
      <c r="A49" s="138" t="s">
        <v>195</v>
      </c>
      <c r="B49" s="201"/>
      <c r="C49" s="201"/>
      <c r="D49" s="201"/>
      <c r="E49" s="201"/>
      <c r="F49" s="202"/>
      <c r="G49" s="201"/>
      <c r="H49" s="201"/>
      <c r="I49" s="201"/>
      <c r="J49" s="201"/>
      <c r="K49" s="201"/>
      <c r="L49" s="201"/>
      <c r="M49" s="201"/>
      <c r="N49" s="139"/>
    </row>
    <row r="50" spans="1:14" s="3" customFormat="1" ht="10.199999999999999" customHeight="1">
      <c r="A50" s="136"/>
      <c r="B50" s="134"/>
      <c r="C50" s="134"/>
      <c r="D50" s="134"/>
      <c r="E50" s="134"/>
      <c r="F50" s="198"/>
      <c r="G50" s="134"/>
      <c r="H50" s="134"/>
      <c r="I50" s="134"/>
      <c r="J50" s="134"/>
      <c r="K50" s="134"/>
      <c r="L50" s="134"/>
      <c r="M50" s="134"/>
      <c r="N50" s="137"/>
    </row>
    <row r="51" spans="1:14" s="3" customFormat="1" ht="25.2">
      <c r="A51" s="136" t="s">
        <v>196</v>
      </c>
      <c r="B51" s="134"/>
      <c r="C51" s="134"/>
      <c r="D51" s="134"/>
      <c r="E51" s="134"/>
      <c r="F51" s="202" t="s">
        <v>197</v>
      </c>
      <c r="G51" s="198" t="str">
        <f>'Summary PL'!C15</f>
        <v>PGU-DE-0581-PRP-FC-002</v>
      </c>
      <c r="H51" s="134"/>
      <c r="I51" s="134"/>
      <c r="J51" s="134"/>
      <c r="K51" s="134"/>
      <c r="L51" s="134"/>
      <c r="M51" s="134"/>
      <c r="N51" s="137"/>
    </row>
    <row r="52" spans="1:14" s="4" customFormat="1" ht="25.2">
      <c r="A52" s="136" t="s">
        <v>198</v>
      </c>
      <c r="B52" s="134"/>
      <c r="C52" s="134"/>
      <c r="D52" s="134"/>
      <c r="E52" s="134"/>
      <c r="F52" s="198"/>
      <c r="G52" s="198"/>
      <c r="H52" s="134"/>
      <c r="I52" s="134"/>
      <c r="J52" s="134"/>
      <c r="K52" s="134"/>
      <c r="L52" s="134"/>
      <c r="M52" s="134"/>
      <c r="N52" s="137"/>
    </row>
    <row r="53" spans="1:14" s="3" customFormat="1" ht="10.199999999999999" customHeight="1">
      <c r="A53" s="136"/>
      <c r="B53" s="134"/>
      <c r="C53" s="134"/>
      <c r="D53" s="134"/>
      <c r="E53" s="134"/>
      <c r="F53" s="198"/>
      <c r="G53" s="198"/>
      <c r="H53" s="134"/>
      <c r="I53" s="134"/>
      <c r="J53" s="134"/>
      <c r="K53" s="134"/>
      <c r="L53" s="134"/>
      <c r="M53" s="134"/>
      <c r="N53" s="137"/>
    </row>
    <row r="54" spans="1:14" s="3" customFormat="1" ht="25.2">
      <c r="A54" s="136" t="s">
        <v>199</v>
      </c>
      <c r="B54" s="134"/>
      <c r="C54" s="134"/>
      <c r="D54" s="134"/>
      <c r="E54" s="134"/>
      <c r="F54" s="198" t="s">
        <v>192</v>
      </c>
      <c r="G54" s="204">
        <f>'Detail PL'!K17</f>
        <v>296</v>
      </c>
      <c r="H54" s="198" t="s">
        <v>200</v>
      </c>
      <c r="I54" s="134"/>
      <c r="J54" s="134"/>
      <c r="K54" s="134"/>
      <c r="L54" s="134"/>
      <c r="M54" s="134"/>
      <c r="N54" s="137"/>
    </row>
    <row r="55" spans="1:14" s="4" customFormat="1" ht="25.2">
      <c r="A55" s="136" t="s">
        <v>201</v>
      </c>
      <c r="B55" s="134"/>
      <c r="C55" s="134"/>
      <c r="D55" s="134"/>
      <c r="E55" s="134"/>
      <c r="F55" s="198"/>
      <c r="G55" s="198"/>
      <c r="H55" s="198"/>
      <c r="I55" s="134"/>
      <c r="J55" s="134"/>
      <c r="K55" s="134"/>
      <c r="L55" s="134"/>
      <c r="M55" s="134"/>
      <c r="N55" s="137"/>
    </row>
    <row r="56" spans="1:14" s="3" customFormat="1" ht="10.199999999999999" customHeight="1">
      <c r="A56" s="136"/>
      <c r="B56" s="134"/>
      <c r="C56" s="134"/>
      <c r="D56" s="134"/>
      <c r="E56" s="134"/>
      <c r="F56" s="198"/>
      <c r="G56" s="198"/>
      <c r="H56" s="198"/>
      <c r="I56" s="134"/>
      <c r="J56" s="134"/>
      <c r="K56" s="134"/>
      <c r="L56" s="134"/>
      <c r="M56" s="134"/>
      <c r="N56" s="137"/>
    </row>
    <row r="57" spans="1:14" s="3" customFormat="1" ht="25.2">
      <c r="A57" s="136" t="s">
        <v>202</v>
      </c>
      <c r="B57" s="134"/>
      <c r="C57" s="134"/>
      <c r="D57" s="134"/>
      <c r="E57" s="134"/>
      <c r="F57" s="198" t="s">
        <v>192</v>
      </c>
      <c r="G57" s="204">
        <f>'Summary PL'!M15</f>
        <v>464</v>
      </c>
      <c r="H57" s="198" t="s">
        <v>200</v>
      </c>
      <c r="I57" s="134"/>
      <c r="J57" s="134"/>
      <c r="K57" s="134"/>
      <c r="L57" s="134"/>
      <c r="M57" s="134"/>
      <c r="N57" s="137"/>
    </row>
    <row r="58" spans="1:14" s="4" customFormat="1" ht="25.2">
      <c r="A58" s="136" t="s">
        <v>203</v>
      </c>
      <c r="B58" s="134"/>
      <c r="C58" s="134"/>
      <c r="D58" s="134"/>
      <c r="E58" s="134"/>
      <c r="F58" s="198"/>
      <c r="G58" s="198"/>
      <c r="H58" s="134"/>
      <c r="I58" s="134"/>
      <c r="J58" s="134"/>
      <c r="K58" s="134"/>
      <c r="L58" s="134"/>
      <c r="M58" s="134"/>
      <c r="N58" s="137"/>
    </row>
    <row r="59" spans="1:14" s="3" customFormat="1" ht="10.199999999999999" customHeight="1">
      <c r="A59" s="136"/>
      <c r="B59" s="134"/>
      <c r="C59" s="134"/>
      <c r="D59" s="134"/>
      <c r="E59" s="134"/>
      <c r="F59" s="198"/>
      <c r="G59" s="198"/>
      <c r="H59" s="134"/>
      <c r="I59" s="134"/>
      <c r="J59" s="134"/>
      <c r="K59" s="134"/>
      <c r="L59" s="134"/>
      <c r="M59" s="134"/>
      <c r="N59" s="137"/>
    </row>
    <row r="60" spans="1:14" s="3" customFormat="1" ht="25.2">
      <c r="A60" s="140" t="s">
        <v>204</v>
      </c>
      <c r="B60" s="134"/>
      <c r="C60" s="134"/>
      <c r="D60" s="134"/>
      <c r="E60" s="134"/>
      <c r="F60" s="198" t="s">
        <v>192</v>
      </c>
      <c r="G60" s="238">
        <f>'Summary PL'!K15</f>
        <v>1.1719999999999999</v>
      </c>
      <c r="H60" s="205" t="s">
        <v>205</v>
      </c>
      <c r="I60" s="205"/>
      <c r="J60" s="205"/>
      <c r="K60" s="205"/>
      <c r="L60" s="134"/>
      <c r="M60" s="134"/>
      <c r="N60" s="137"/>
    </row>
    <row r="61" spans="1:14" s="4" customFormat="1" ht="25.2">
      <c r="A61" s="136" t="s">
        <v>206</v>
      </c>
      <c r="B61" s="134"/>
      <c r="C61" s="134"/>
      <c r="D61" s="134"/>
      <c r="E61" s="134"/>
      <c r="F61" s="198"/>
      <c r="G61" s="198"/>
      <c r="H61" s="134"/>
      <c r="I61" s="134"/>
      <c r="J61" s="134"/>
      <c r="K61" s="134"/>
      <c r="L61" s="134"/>
      <c r="M61" s="134"/>
      <c r="N61" s="137"/>
    </row>
    <row r="62" spans="1:14" s="3" customFormat="1" ht="10.199999999999999" customHeight="1">
      <c r="A62" s="136"/>
      <c r="B62" s="134"/>
      <c r="C62" s="134"/>
      <c r="D62" s="134"/>
      <c r="E62" s="134"/>
      <c r="F62" s="198"/>
      <c r="G62" s="198"/>
      <c r="H62" s="134"/>
      <c r="I62" s="134"/>
      <c r="J62" s="134"/>
      <c r="K62" s="134"/>
      <c r="L62" s="134"/>
      <c r="M62" s="134"/>
      <c r="N62" s="137"/>
    </row>
    <row r="63" spans="1:14" s="3" customFormat="1" ht="42">
      <c r="A63" s="136" t="s">
        <v>207</v>
      </c>
      <c r="B63" s="134"/>
      <c r="C63" s="134"/>
      <c r="D63" s="134"/>
      <c r="E63" s="134"/>
      <c r="F63" s="197" t="s">
        <v>208</v>
      </c>
      <c r="G63" s="405" t="s">
        <v>209</v>
      </c>
      <c r="H63" s="405"/>
      <c r="I63" s="405"/>
      <c r="J63" s="405"/>
      <c r="K63" s="405"/>
      <c r="L63" s="405"/>
      <c r="M63" s="405"/>
      <c r="N63" s="406"/>
    </row>
    <row r="64" spans="1:14" s="4" customFormat="1" ht="25.8" thickBot="1">
      <c r="A64" s="136" t="s">
        <v>210</v>
      </c>
      <c r="B64" s="134"/>
      <c r="C64" s="134"/>
      <c r="D64" s="134"/>
      <c r="E64" s="134"/>
      <c r="F64" s="198"/>
      <c r="G64" s="405"/>
      <c r="H64" s="405"/>
      <c r="I64" s="405"/>
      <c r="J64" s="405"/>
      <c r="K64" s="405"/>
      <c r="L64" s="405"/>
      <c r="M64" s="405"/>
      <c r="N64" s="406"/>
    </row>
    <row r="65" spans="1:14" ht="21" customHeight="1">
      <c r="A65" s="130"/>
      <c r="B65" s="131"/>
      <c r="C65" s="131"/>
      <c r="D65" s="131"/>
      <c r="E65" s="401" t="s">
        <v>211</v>
      </c>
      <c r="F65" s="403"/>
      <c r="G65" s="403"/>
      <c r="H65" s="403"/>
      <c r="I65" s="403"/>
      <c r="J65" s="403"/>
      <c r="K65" s="403"/>
      <c r="L65" s="132"/>
      <c r="M65" s="132"/>
      <c r="N65" s="133"/>
    </row>
    <row r="66" spans="1:14" ht="25.5" customHeight="1" thickBot="1">
      <c r="A66" s="141"/>
      <c r="B66" s="142"/>
      <c r="C66" s="142"/>
      <c r="D66" s="142"/>
      <c r="E66" s="404"/>
      <c r="F66" s="404"/>
      <c r="G66" s="404"/>
      <c r="H66" s="404"/>
      <c r="I66" s="404"/>
      <c r="J66" s="404"/>
      <c r="K66" s="404"/>
      <c r="L66" s="143"/>
      <c r="M66" s="143"/>
      <c r="N66" s="144"/>
    </row>
    <row r="68" spans="1:14" ht="21.6" thickBot="1"/>
    <row r="69" spans="1:14" ht="95.1" customHeight="1" thickBot="1">
      <c r="A69" s="398" t="s">
        <v>178</v>
      </c>
      <c r="B69" s="399"/>
      <c r="C69" s="399"/>
      <c r="D69" s="399"/>
      <c r="E69" s="399"/>
      <c r="F69" s="399"/>
      <c r="G69" s="399"/>
      <c r="H69" s="399"/>
      <c r="I69" s="399"/>
      <c r="J69" s="399"/>
      <c r="K69" s="399"/>
      <c r="L69" s="399"/>
      <c r="M69" s="399"/>
      <c r="N69" s="400"/>
    </row>
    <row r="70" spans="1:14" s="3" customFormat="1" ht="37.5" customHeight="1">
      <c r="A70" s="145" t="s">
        <v>179</v>
      </c>
      <c r="B70" s="197"/>
      <c r="C70" s="197"/>
      <c r="D70" s="134"/>
      <c r="E70" s="134"/>
      <c r="F70" s="198" t="s">
        <v>180</v>
      </c>
      <c r="G70" s="198" t="s">
        <v>181</v>
      </c>
      <c r="H70" s="198"/>
      <c r="I70" s="198"/>
      <c r="J70" s="198"/>
      <c r="K70" s="198"/>
      <c r="L70" s="198"/>
      <c r="M70" s="198"/>
      <c r="N70" s="160"/>
    </row>
    <row r="71" spans="1:14" s="4" customFormat="1" ht="25.2">
      <c r="A71" s="136" t="s">
        <v>182</v>
      </c>
      <c r="B71" s="134"/>
      <c r="C71" s="134"/>
      <c r="D71" s="134"/>
      <c r="E71" s="134"/>
      <c r="F71" s="198"/>
      <c r="G71" s="198" t="s">
        <v>183</v>
      </c>
      <c r="H71" s="198"/>
      <c r="I71" s="198"/>
      <c r="J71" s="198"/>
      <c r="K71" s="198"/>
      <c r="L71" s="198"/>
      <c r="M71" s="198"/>
      <c r="N71" s="160"/>
    </row>
    <row r="72" spans="1:14" s="3" customFormat="1" ht="10.199999999999999" customHeight="1">
      <c r="A72" s="136"/>
      <c r="B72" s="134"/>
      <c r="C72" s="134"/>
      <c r="D72" s="134"/>
      <c r="E72" s="134"/>
      <c r="F72" s="198"/>
      <c r="G72" s="134"/>
      <c r="H72" s="134"/>
      <c r="I72" s="134"/>
      <c r="J72" s="134"/>
      <c r="K72" s="134"/>
      <c r="L72" s="134"/>
      <c r="M72" s="134"/>
      <c r="N72" s="137"/>
    </row>
    <row r="73" spans="1:14" s="3" customFormat="1" ht="42.75" customHeight="1">
      <c r="A73" s="136" t="s">
        <v>184</v>
      </c>
      <c r="B73" s="134"/>
      <c r="C73" s="134"/>
      <c r="D73" s="134"/>
      <c r="E73" s="134"/>
      <c r="F73" s="198" t="s">
        <v>180</v>
      </c>
      <c r="G73" s="198" t="s">
        <v>185</v>
      </c>
      <c r="H73" s="134"/>
      <c r="I73" s="134"/>
      <c r="J73" s="134"/>
      <c r="K73" s="134"/>
      <c r="L73" s="134"/>
      <c r="M73" s="134"/>
      <c r="N73" s="137"/>
    </row>
    <row r="74" spans="1:14" s="4" customFormat="1" ht="25.2">
      <c r="A74" s="136" t="s">
        <v>186</v>
      </c>
      <c r="B74" s="134"/>
      <c r="C74" s="134"/>
      <c r="D74" s="134"/>
      <c r="E74" s="134"/>
      <c r="F74" s="199"/>
      <c r="G74" s="198"/>
      <c r="H74" s="134"/>
      <c r="I74" s="134"/>
      <c r="J74" s="134"/>
      <c r="K74" s="134"/>
      <c r="L74" s="134"/>
      <c r="M74" s="134"/>
      <c r="N74" s="137"/>
    </row>
    <row r="75" spans="1:14" s="3" customFormat="1" ht="10.199999999999999" customHeight="1">
      <c r="A75" s="136"/>
      <c r="B75" s="134"/>
      <c r="C75" s="134"/>
      <c r="D75" s="134"/>
      <c r="E75" s="134"/>
      <c r="F75" s="200"/>
      <c r="G75" s="200"/>
      <c r="H75" s="134"/>
      <c r="I75" s="134"/>
      <c r="J75" s="134"/>
      <c r="K75" s="134"/>
      <c r="L75" s="134"/>
      <c r="M75" s="134"/>
      <c r="N75" s="137"/>
    </row>
    <row r="76" spans="1:14" s="3" customFormat="1" ht="25.2">
      <c r="A76" s="136" t="s">
        <v>187</v>
      </c>
      <c r="B76" s="134"/>
      <c r="C76" s="134"/>
      <c r="D76" s="134"/>
      <c r="E76" s="134"/>
      <c r="F76" s="198" t="s">
        <v>188</v>
      </c>
      <c r="G76" s="134"/>
      <c r="H76" s="134"/>
      <c r="I76" s="134"/>
      <c r="J76" s="134"/>
      <c r="K76" s="134"/>
      <c r="L76" s="134"/>
      <c r="M76" s="134"/>
      <c r="N76" s="137"/>
    </row>
    <row r="77" spans="1:14" s="4" customFormat="1" ht="25.2">
      <c r="A77" s="136" t="s">
        <v>189</v>
      </c>
      <c r="B77" s="134"/>
      <c r="C77" s="134"/>
      <c r="D77" s="134"/>
      <c r="E77" s="134"/>
      <c r="F77" s="198" t="s">
        <v>190</v>
      </c>
      <c r="G77" s="134"/>
      <c r="H77" s="134"/>
      <c r="I77" s="134"/>
      <c r="J77" s="134"/>
      <c r="K77" s="134"/>
      <c r="L77" s="134"/>
      <c r="M77" s="134"/>
      <c r="N77" s="137"/>
    </row>
    <row r="78" spans="1:14" s="3" customFormat="1" ht="10.199999999999999" customHeight="1">
      <c r="A78" s="136"/>
      <c r="B78" s="134"/>
      <c r="C78" s="134"/>
      <c r="D78" s="134"/>
      <c r="E78" s="134"/>
      <c r="F78" s="198"/>
      <c r="G78" s="134"/>
      <c r="H78" s="134"/>
      <c r="I78" s="134"/>
      <c r="J78" s="134"/>
      <c r="K78" s="134"/>
      <c r="L78" s="134"/>
      <c r="M78" s="134"/>
      <c r="N78" s="137"/>
    </row>
    <row r="79" spans="1:14" s="3" customFormat="1" ht="25.2">
      <c r="A79" s="136" t="s">
        <v>191</v>
      </c>
      <c r="B79" s="134"/>
      <c r="C79" s="134"/>
      <c r="D79" s="134"/>
      <c r="E79" s="134"/>
      <c r="F79" s="198" t="s">
        <v>192</v>
      </c>
      <c r="G79" s="198" t="str">
        <f>CI!$V$8</f>
        <v>PGU-DE-0581</v>
      </c>
      <c r="H79" s="134"/>
      <c r="I79" s="134"/>
      <c r="J79" s="134"/>
      <c r="K79" s="134"/>
      <c r="L79" s="134"/>
      <c r="M79" s="134"/>
      <c r="N79" s="137"/>
    </row>
    <row r="80" spans="1:14" s="3" customFormat="1" ht="25.2">
      <c r="A80" s="136" t="s">
        <v>193</v>
      </c>
      <c r="B80" s="134"/>
      <c r="C80" s="134"/>
      <c r="D80" s="134"/>
      <c r="E80" s="134"/>
      <c r="F80" s="198"/>
      <c r="G80" s="134"/>
      <c r="H80" s="134"/>
      <c r="I80" s="134"/>
      <c r="J80" s="134"/>
      <c r="K80" s="134"/>
      <c r="L80" s="134"/>
      <c r="M80" s="134"/>
      <c r="N80" s="137"/>
    </row>
    <row r="81" spans="1:14" s="3" customFormat="1" ht="10.199999999999999" customHeight="1">
      <c r="A81" s="136"/>
      <c r="B81" s="134"/>
      <c r="C81" s="134"/>
      <c r="D81" s="134"/>
      <c r="E81" s="134"/>
      <c r="F81" s="198"/>
      <c r="G81" s="134"/>
      <c r="H81" s="134"/>
      <c r="I81" s="134"/>
      <c r="J81" s="134"/>
      <c r="K81" s="134"/>
      <c r="L81" s="134"/>
      <c r="M81" s="134"/>
      <c r="N81" s="137"/>
    </row>
    <row r="82" spans="1:14" s="3" customFormat="1" ht="25.2">
      <c r="A82" s="138" t="s">
        <v>194</v>
      </c>
      <c r="B82" s="201"/>
      <c r="C82" s="201"/>
      <c r="D82" s="201"/>
      <c r="E82" s="201"/>
      <c r="F82" s="202" t="s">
        <v>180</v>
      </c>
      <c r="G82" s="203" t="str">
        <f>'Summary PL'!D16</f>
        <v>FO Cable, MM Armoured (8C)-3000M</v>
      </c>
      <c r="H82" s="201"/>
      <c r="I82" s="201"/>
      <c r="J82" s="201"/>
      <c r="K82" s="201"/>
      <c r="L82" s="201"/>
      <c r="M82" s="201"/>
      <c r="N82" s="139"/>
    </row>
    <row r="83" spans="1:14" s="3" customFormat="1" ht="25.2">
      <c r="A83" s="138" t="s">
        <v>195</v>
      </c>
      <c r="B83" s="201"/>
      <c r="C83" s="201"/>
      <c r="D83" s="201"/>
      <c r="E83" s="201"/>
      <c r="F83" s="202"/>
      <c r="G83" s="201"/>
      <c r="H83" s="201"/>
      <c r="I83" s="201"/>
      <c r="J83" s="201"/>
      <c r="K83" s="201"/>
      <c r="L83" s="201"/>
      <c r="M83" s="201"/>
      <c r="N83" s="139"/>
    </row>
    <row r="84" spans="1:14" s="3" customFormat="1" ht="10.199999999999999" customHeight="1">
      <c r="A84" s="136"/>
      <c r="B84" s="134"/>
      <c r="C84" s="134"/>
      <c r="D84" s="134"/>
      <c r="E84" s="134"/>
      <c r="F84" s="198"/>
      <c r="G84" s="134"/>
      <c r="H84" s="134"/>
      <c r="I84" s="134"/>
      <c r="J84" s="134"/>
      <c r="K84" s="134"/>
      <c r="L84" s="134"/>
      <c r="M84" s="134"/>
      <c r="N84" s="137"/>
    </row>
    <row r="85" spans="1:14" s="3" customFormat="1" ht="25.2">
      <c r="A85" s="136" t="s">
        <v>196</v>
      </c>
      <c r="B85" s="134"/>
      <c r="C85" s="134"/>
      <c r="D85" s="134"/>
      <c r="E85" s="134"/>
      <c r="F85" s="202" t="s">
        <v>197</v>
      </c>
      <c r="G85" s="206" t="str">
        <f>'Summary PL'!C16</f>
        <v>PGU-DE-0581-PRP-FC-003</v>
      </c>
      <c r="H85" s="134"/>
      <c r="I85" s="134"/>
      <c r="J85" s="134"/>
      <c r="K85" s="134"/>
      <c r="L85" s="134"/>
      <c r="M85" s="134"/>
      <c r="N85" s="137"/>
    </row>
    <row r="86" spans="1:14" s="4" customFormat="1" ht="25.2">
      <c r="A86" s="136" t="s">
        <v>198</v>
      </c>
      <c r="B86" s="134"/>
      <c r="C86" s="134"/>
      <c r="D86" s="134"/>
      <c r="E86" s="134"/>
      <c r="F86" s="198"/>
      <c r="G86" s="198"/>
      <c r="H86" s="134"/>
      <c r="I86" s="134"/>
      <c r="J86" s="134"/>
      <c r="K86" s="134"/>
      <c r="L86" s="134"/>
      <c r="M86" s="134"/>
      <c r="N86" s="137"/>
    </row>
    <row r="87" spans="1:14" s="3" customFormat="1" ht="10.199999999999999" customHeight="1">
      <c r="A87" s="136"/>
      <c r="B87" s="134"/>
      <c r="C87" s="134"/>
      <c r="D87" s="134"/>
      <c r="E87" s="134"/>
      <c r="F87" s="198"/>
      <c r="G87" s="198"/>
      <c r="H87" s="134"/>
      <c r="I87" s="134"/>
      <c r="J87" s="134"/>
      <c r="K87" s="134"/>
      <c r="L87" s="134"/>
      <c r="M87" s="134"/>
      <c r="N87" s="137"/>
    </row>
    <row r="88" spans="1:14" s="3" customFormat="1" ht="25.2">
      <c r="A88" s="136" t="s">
        <v>199</v>
      </c>
      <c r="B88" s="134"/>
      <c r="C88" s="134"/>
      <c r="D88" s="134"/>
      <c r="E88" s="134"/>
      <c r="F88" s="198" t="s">
        <v>192</v>
      </c>
      <c r="G88" s="204">
        <f>'Detail PL'!K19</f>
        <v>387</v>
      </c>
      <c r="H88" s="198" t="s">
        <v>200</v>
      </c>
      <c r="I88" s="134"/>
      <c r="J88" s="134"/>
      <c r="K88" s="134"/>
      <c r="L88" s="134"/>
      <c r="M88" s="134"/>
      <c r="N88" s="137"/>
    </row>
    <row r="89" spans="1:14" s="4" customFormat="1" ht="25.2">
      <c r="A89" s="136" t="s">
        <v>201</v>
      </c>
      <c r="B89" s="134"/>
      <c r="C89" s="134"/>
      <c r="D89" s="134"/>
      <c r="E89" s="134"/>
      <c r="F89" s="198"/>
      <c r="G89" s="198"/>
      <c r="H89" s="198"/>
      <c r="I89" s="134"/>
      <c r="J89" s="134"/>
      <c r="K89" s="134"/>
      <c r="L89" s="134"/>
      <c r="M89" s="134"/>
      <c r="N89" s="137"/>
    </row>
    <row r="90" spans="1:14" s="3" customFormat="1" ht="10.199999999999999" customHeight="1">
      <c r="A90" s="136"/>
      <c r="B90" s="134"/>
      <c r="C90" s="134"/>
      <c r="D90" s="134"/>
      <c r="E90" s="134"/>
      <c r="F90" s="198"/>
      <c r="G90" s="198"/>
      <c r="H90" s="198"/>
      <c r="I90" s="134"/>
      <c r="J90" s="134"/>
      <c r="K90" s="134"/>
      <c r="L90" s="134"/>
      <c r="M90" s="134"/>
      <c r="N90" s="137"/>
    </row>
    <row r="91" spans="1:14" s="3" customFormat="1" ht="25.2">
      <c r="A91" s="136" t="s">
        <v>202</v>
      </c>
      <c r="B91" s="134"/>
      <c r="C91" s="134"/>
      <c r="D91" s="134"/>
      <c r="E91" s="134"/>
      <c r="F91" s="198" t="s">
        <v>192</v>
      </c>
      <c r="G91" s="204">
        <f>'Summary PL'!M16</f>
        <v>563</v>
      </c>
      <c r="H91" s="198" t="s">
        <v>200</v>
      </c>
      <c r="I91" s="134"/>
      <c r="J91" s="134"/>
      <c r="K91" s="134"/>
      <c r="L91" s="134"/>
      <c r="M91" s="134"/>
      <c r="N91" s="137"/>
    </row>
    <row r="92" spans="1:14" s="4" customFormat="1" ht="25.2">
      <c r="A92" s="136" t="s">
        <v>203</v>
      </c>
      <c r="B92" s="134"/>
      <c r="C92" s="134"/>
      <c r="D92" s="134"/>
      <c r="E92" s="134"/>
      <c r="F92" s="198"/>
      <c r="G92" s="198"/>
      <c r="H92" s="134"/>
      <c r="I92" s="134"/>
      <c r="J92" s="134"/>
      <c r="K92" s="134"/>
      <c r="L92" s="134"/>
      <c r="M92" s="134"/>
      <c r="N92" s="137"/>
    </row>
    <row r="93" spans="1:14" s="3" customFormat="1" ht="10.199999999999999" customHeight="1">
      <c r="A93" s="136"/>
      <c r="B93" s="134"/>
      <c r="C93" s="134"/>
      <c r="D93" s="134"/>
      <c r="E93" s="134"/>
      <c r="F93" s="198"/>
      <c r="G93" s="198"/>
      <c r="H93" s="134"/>
      <c r="I93" s="134"/>
      <c r="J93" s="134"/>
      <c r="K93" s="134"/>
      <c r="L93" s="134"/>
      <c r="M93" s="134"/>
      <c r="N93" s="137"/>
    </row>
    <row r="94" spans="1:14" s="3" customFormat="1" ht="25.2">
      <c r="A94" s="140" t="s">
        <v>204</v>
      </c>
      <c r="B94" s="134"/>
      <c r="C94" s="134"/>
      <c r="D94" s="134"/>
      <c r="E94" s="134"/>
      <c r="F94" s="198" t="s">
        <v>192</v>
      </c>
      <c r="G94" s="238">
        <f>'Summary PL'!K16</f>
        <v>1.3069999999999999</v>
      </c>
      <c r="H94" s="205" t="s">
        <v>205</v>
      </c>
      <c r="I94" s="205"/>
      <c r="J94" s="205"/>
      <c r="K94" s="205"/>
      <c r="L94" s="134"/>
      <c r="M94" s="134"/>
      <c r="N94" s="137"/>
    </row>
    <row r="95" spans="1:14" s="4" customFormat="1" ht="25.2">
      <c r="A95" s="136" t="s">
        <v>206</v>
      </c>
      <c r="B95" s="134"/>
      <c r="C95" s="134"/>
      <c r="D95" s="134"/>
      <c r="E95" s="134"/>
      <c r="F95" s="198"/>
      <c r="G95" s="198"/>
      <c r="H95" s="134"/>
      <c r="I95" s="134"/>
      <c r="J95" s="134"/>
      <c r="K95" s="134"/>
      <c r="L95" s="134"/>
      <c r="M95" s="134"/>
      <c r="N95" s="137"/>
    </row>
    <row r="96" spans="1:14" s="3" customFormat="1" ht="10.199999999999999" customHeight="1">
      <c r="A96" s="136"/>
      <c r="B96" s="134"/>
      <c r="C96" s="134"/>
      <c r="D96" s="134"/>
      <c r="E96" s="134"/>
      <c r="F96" s="198"/>
      <c r="G96" s="198"/>
      <c r="H96" s="134"/>
      <c r="I96" s="134"/>
      <c r="J96" s="134"/>
      <c r="K96" s="134"/>
      <c r="L96" s="134"/>
      <c r="M96" s="134"/>
      <c r="N96" s="137"/>
    </row>
    <row r="97" spans="1:14" s="3" customFormat="1" ht="42">
      <c r="A97" s="136" t="s">
        <v>207</v>
      </c>
      <c r="B97" s="134"/>
      <c r="C97" s="134"/>
      <c r="D97" s="134"/>
      <c r="E97" s="134"/>
      <c r="F97" s="197" t="s">
        <v>208</v>
      </c>
      <c r="G97" s="405" t="s">
        <v>209</v>
      </c>
      <c r="H97" s="405"/>
      <c r="I97" s="405"/>
      <c r="J97" s="405"/>
      <c r="K97" s="405"/>
      <c r="L97" s="405"/>
      <c r="M97" s="405"/>
      <c r="N97" s="406"/>
    </row>
    <row r="98" spans="1:14" s="4" customFormat="1" ht="25.8" thickBot="1">
      <c r="A98" s="136" t="s">
        <v>210</v>
      </c>
      <c r="B98" s="134"/>
      <c r="C98" s="134"/>
      <c r="D98" s="134"/>
      <c r="E98" s="134"/>
      <c r="F98" s="198"/>
      <c r="G98" s="405"/>
      <c r="H98" s="405"/>
      <c r="I98" s="405"/>
      <c r="J98" s="405"/>
      <c r="K98" s="405"/>
      <c r="L98" s="405"/>
      <c r="M98" s="405"/>
      <c r="N98" s="406"/>
    </row>
    <row r="99" spans="1:14" ht="21" customHeight="1">
      <c r="A99" s="130"/>
      <c r="B99" s="131"/>
      <c r="C99" s="131"/>
      <c r="D99" s="131"/>
      <c r="E99" s="401" t="s">
        <v>211</v>
      </c>
      <c r="F99" s="403"/>
      <c r="G99" s="403"/>
      <c r="H99" s="403"/>
      <c r="I99" s="403"/>
      <c r="J99" s="403"/>
      <c r="K99" s="403"/>
      <c r="L99" s="132"/>
      <c r="M99" s="132"/>
      <c r="N99" s="133"/>
    </row>
    <row r="100" spans="1:14" ht="25.5" customHeight="1" thickBot="1">
      <c r="A100" s="141"/>
      <c r="B100" s="142"/>
      <c r="C100" s="142"/>
      <c r="D100" s="142"/>
      <c r="E100" s="404"/>
      <c r="F100" s="404"/>
      <c r="G100" s="404"/>
      <c r="H100" s="404"/>
      <c r="I100" s="404"/>
      <c r="J100" s="404"/>
      <c r="K100" s="404"/>
      <c r="L100" s="143"/>
      <c r="M100" s="143"/>
      <c r="N100" s="144"/>
    </row>
    <row r="102" spans="1:14" ht="21.6" thickBot="1"/>
    <row r="103" spans="1:14" ht="95.1" customHeight="1" thickBot="1">
      <c r="A103" s="398" t="s">
        <v>178</v>
      </c>
      <c r="B103" s="399"/>
      <c r="C103" s="399"/>
      <c r="D103" s="399"/>
      <c r="E103" s="399"/>
      <c r="F103" s="399"/>
      <c r="G103" s="399"/>
      <c r="H103" s="399"/>
      <c r="I103" s="399"/>
      <c r="J103" s="399"/>
      <c r="K103" s="399"/>
      <c r="L103" s="399"/>
      <c r="M103" s="399"/>
      <c r="N103" s="400"/>
    </row>
    <row r="104" spans="1:14" s="3" customFormat="1" ht="37.5" customHeight="1">
      <c r="A104" s="145" t="s">
        <v>179</v>
      </c>
      <c r="B104" s="197"/>
      <c r="C104" s="197"/>
      <c r="D104" s="134"/>
      <c r="E104" s="134"/>
      <c r="F104" s="198" t="s">
        <v>180</v>
      </c>
      <c r="G104" s="198" t="s">
        <v>181</v>
      </c>
      <c r="H104" s="198"/>
      <c r="I104" s="198"/>
      <c r="J104" s="198"/>
      <c r="K104" s="198"/>
      <c r="L104" s="198"/>
      <c r="M104" s="198"/>
      <c r="N104" s="160"/>
    </row>
    <row r="105" spans="1:14" s="4" customFormat="1" ht="25.2">
      <c r="A105" s="136" t="s">
        <v>182</v>
      </c>
      <c r="B105" s="134"/>
      <c r="C105" s="134"/>
      <c r="D105" s="134"/>
      <c r="E105" s="134"/>
      <c r="F105" s="198"/>
      <c r="G105" s="198" t="s">
        <v>183</v>
      </c>
      <c r="H105" s="198"/>
      <c r="I105" s="198"/>
      <c r="J105" s="198"/>
      <c r="K105" s="198"/>
      <c r="L105" s="198"/>
      <c r="M105" s="198"/>
      <c r="N105" s="160"/>
    </row>
    <row r="106" spans="1:14" s="3" customFormat="1" ht="10.199999999999999" customHeight="1">
      <c r="A106" s="136"/>
      <c r="B106" s="134"/>
      <c r="C106" s="134"/>
      <c r="D106" s="134"/>
      <c r="E106" s="134"/>
      <c r="F106" s="198"/>
      <c r="G106" s="134"/>
      <c r="H106" s="134"/>
      <c r="I106" s="134"/>
      <c r="J106" s="134"/>
      <c r="K106" s="134"/>
      <c r="L106" s="134"/>
      <c r="M106" s="134"/>
      <c r="N106" s="137"/>
    </row>
    <row r="107" spans="1:14" s="3" customFormat="1" ht="42.75" customHeight="1">
      <c r="A107" s="136" t="s">
        <v>184</v>
      </c>
      <c r="B107" s="134"/>
      <c r="C107" s="134"/>
      <c r="D107" s="134"/>
      <c r="E107" s="134"/>
      <c r="F107" s="198" t="s">
        <v>180</v>
      </c>
      <c r="G107" s="198" t="s">
        <v>185</v>
      </c>
      <c r="H107" s="134"/>
      <c r="I107" s="134"/>
      <c r="J107" s="134"/>
      <c r="K107" s="134"/>
      <c r="L107" s="134"/>
      <c r="M107" s="134"/>
      <c r="N107" s="137"/>
    </row>
    <row r="108" spans="1:14" s="4" customFormat="1" ht="25.2">
      <c r="A108" s="136" t="s">
        <v>186</v>
      </c>
      <c r="B108" s="134"/>
      <c r="C108" s="134"/>
      <c r="D108" s="134"/>
      <c r="E108" s="134"/>
      <c r="F108" s="199"/>
      <c r="G108" s="198"/>
      <c r="H108" s="134"/>
      <c r="I108" s="134"/>
      <c r="J108" s="134"/>
      <c r="K108" s="134"/>
      <c r="L108" s="134"/>
      <c r="M108" s="134"/>
      <c r="N108" s="137"/>
    </row>
    <row r="109" spans="1:14" s="3" customFormat="1" ht="10.199999999999999" customHeight="1">
      <c r="A109" s="136"/>
      <c r="B109" s="134"/>
      <c r="C109" s="134"/>
      <c r="D109" s="134"/>
      <c r="E109" s="134"/>
      <c r="F109" s="200"/>
      <c r="G109" s="200"/>
      <c r="H109" s="134"/>
      <c r="I109" s="134"/>
      <c r="J109" s="134"/>
      <c r="K109" s="134"/>
      <c r="L109" s="134"/>
      <c r="M109" s="134"/>
      <c r="N109" s="137"/>
    </row>
    <row r="110" spans="1:14" s="3" customFormat="1" ht="25.2">
      <c r="A110" s="136" t="s">
        <v>187</v>
      </c>
      <c r="B110" s="134"/>
      <c r="C110" s="134"/>
      <c r="D110" s="134"/>
      <c r="E110" s="134"/>
      <c r="F110" s="198" t="s">
        <v>188</v>
      </c>
      <c r="G110" s="134"/>
      <c r="H110" s="134"/>
      <c r="I110" s="134"/>
      <c r="J110" s="134"/>
      <c r="K110" s="134"/>
      <c r="L110" s="134"/>
      <c r="M110" s="134"/>
      <c r="N110" s="137"/>
    </row>
    <row r="111" spans="1:14" s="4" customFormat="1" ht="25.2">
      <c r="A111" s="136" t="s">
        <v>189</v>
      </c>
      <c r="B111" s="134"/>
      <c r="C111" s="134"/>
      <c r="D111" s="134"/>
      <c r="E111" s="134"/>
      <c r="F111" s="198" t="s">
        <v>190</v>
      </c>
      <c r="G111" s="134"/>
      <c r="H111" s="134"/>
      <c r="I111" s="134"/>
      <c r="J111" s="134"/>
      <c r="K111" s="134"/>
      <c r="L111" s="134"/>
      <c r="M111" s="134"/>
      <c r="N111" s="137"/>
    </row>
    <row r="112" spans="1:14" s="3" customFormat="1" ht="10.199999999999999" customHeight="1">
      <c r="A112" s="136"/>
      <c r="B112" s="134"/>
      <c r="C112" s="134"/>
      <c r="D112" s="134"/>
      <c r="E112" s="134"/>
      <c r="F112" s="198"/>
      <c r="G112" s="134"/>
      <c r="H112" s="134"/>
      <c r="I112" s="134"/>
      <c r="J112" s="134"/>
      <c r="K112" s="134"/>
      <c r="L112" s="134"/>
      <c r="M112" s="134"/>
      <c r="N112" s="137"/>
    </row>
    <row r="113" spans="1:14" s="3" customFormat="1" ht="25.2">
      <c r="A113" s="136" t="s">
        <v>191</v>
      </c>
      <c r="B113" s="134"/>
      <c r="C113" s="134"/>
      <c r="D113" s="134"/>
      <c r="E113" s="134"/>
      <c r="F113" s="198" t="s">
        <v>192</v>
      </c>
      <c r="G113" s="198" t="str">
        <f>CI!$V$8</f>
        <v>PGU-DE-0581</v>
      </c>
      <c r="H113" s="134"/>
      <c r="I113" s="134"/>
      <c r="J113" s="134"/>
      <c r="K113" s="134"/>
      <c r="L113" s="134"/>
      <c r="M113" s="134"/>
      <c r="N113" s="137"/>
    </row>
    <row r="114" spans="1:14" s="3" customFormat="1" ht="25.2">
      <c r="A114" s="136" t="s">
        <v>193</v>
      </c>
      <c r="B114" s="134"/>
      <c r="C114" s="134"/>
      <c r="D114" s="134"/>
      <c r="E114" s="134"/>
      <c r="F114" s="198"/>
      <c r="G114" s="134"/>
      <c r="H114" s="134"/>
      <c r="I114" s="134"/>
      <c r="J114" s="134"/>
      <c r="K114" s="134"/>
      <c r="L114" s="134"/>
      <c r="M114" s="134"/>
      <c r="N114" s="137"/>
    </row>
    <row r="115" spans="1:14" s="3" customFormat="1" ht="10.199999999999999" customHeight="1">
      <c r="A115" s="136"/>
      <c r="B115" s="134"/>
      <c r="C115" s="134"/>
      <c r="D115" s="134"/>
      <c r="E115" s="134"/>
      <c r="F115" s="198"/>
      <c r="G115" s="134"/>
      <c r="H115" s="134"/>
      <c r="I115" s="134"/>
      <c r="J115" s="134"/>
      <c r="K115" s="134"/>
      <c r="L115" s="134"/>
      <c r="M115" s="134"/>
      <c r="N115" s="137"/>
    </row>
    <row r="116" spans="1:14" s="3" customFormat="1" ht="25.2">
      <c r="A116" s="138" t="s">
        <v>194</v>
      </c>
      <c r="B116" s="201"/>
      <c r="C116" s="201"/>
      <c r="D116" s="201"/>
      <c r="E116" s="201"/>
      <c r="F116" s="202" t="s">
        <v>180</v>
      </c>
      <c r="G116" s="203" t="str">
        <f>'Summary PL'!D17</f>
        <v>FO Cable, MM Armoured (8C)-3000M</v>
      </c>
      <c r="H116" s="201"/>
      <c r="I116" s="201"/>
      <c r="J116" s="201"/>
      <c r="K116" s="201"/>
      <c r="L116" s="201"/>
      <c r="M116" s="201"/>
      <c r="N116" s="139"/>
    </row>
    <row r="117" spans="1:14" s="3" customFormat="1" ht="25.2">
      <c r="A117" s="138" t="s">
        <v>195</v>
      </c>
      <c r="B117" s="201"/>
      <c r="C117" s="201"/>
      <c r="D117" s="201"/>
      <c r="E117" s="201"/>
      <c r="F117" s="202"/>
      <c r="G117" s="201"/>
      <c r="H117" s="201"/>
      <c r="I117" s="201"/>
      <c r="J117" s="201"/>
      <c r="K117" s="201"/>
      <c r="L117" s="201"/>
      <c r="M117" s="201"/>
      <c r="N117" s="139"/>
    </row>
    <row r="118" spans="1:14" s="3" customFormat="1" ht="10.199999999999999" customHeight="1">
      <c r="A118" s="136"/>
      <c r="B118" s="134"/>
      <c r="C118" s="134"/>
      <c r="D118" s="134"/>
      <c r="E118" s="134"/>
      <c r="F118" s="198"/>
      <c r="G118" s="134"/>
      <c r="H118" s="134"/>
      <c r="I118" s="134"/>
      <c r="J118" s="134"/>
      <c r="K118" s="134"/>
      <c r="L118" s="134"/>
      <c r="M118" s="134"/>
      <c r="N118" s="137"/>
    </row>
    <row r="119" spans="1:14" s="3" customFormat="1" ht="25.2">
      <c r="A119" s="136" t="s">
        <v>196</v>
      </c>
      <c r="B119" s="134"/>
      <c r="C119" s="134"/>
      <c r="D119" s="134"/>
      <c r="E119" s="134"/>
      <c r="F119" s="202" t="s">
        <v>197</v>
      </c>
      <c r="G119" s="198" t="str">
        <f>'Summary PL'!C17</f>
        <v>PGU-DE-0581-PRP-FC-004</v>
      </c>
      <c r="H119" s="134"/>
      <c r="I119" s="134"/>
      <c r="J119" s="134"/>
      <c r="K119" s="134"/>
      <c r="L119" s="134"/>
      <c r="M119" s="134"/>
      <c r="N119" s="137"/>
    </row>
    <row r="120" spans="1:14" s="4" customFormat="1" ht="25.2">
      <c r="A120" s="136" t="s">
        <v>198</v>
      </c>
      <c r="B120" s="134"/>
      <c r="C120" s="134"/>
      <c r="D120" s="134"/>
      <c r="E120" s="134"/>
      <c r="F120" s="198"/>
      <c r="G120" s="198"/>
      <c r="H120" s="134"/>
      <c r="I120" s="134"/>
      <c r="J120" s="134"/>
      <c r="K120" s="134"/>
      <c r="L120" s="134"/>
      <c r="M120" s="134"/>
      <c r="N120" s="137"/>
    </row>
    <row r="121" spans="1:14" s="3" customFormat="1" ht="10.199999999999999" customHeight="1">
      <c r="A121" s="136"/>
      <c r="B121" s="134"/>
      <c r="C121" s="134"/>
      <c r="D121" s="134"/>
      <c r="E121" s="134"/>
      <c r="F121" s="198"/>
      <c r="G121" s="198"/>
      <c r="H121" s="134"/>
      <c r="I121" s="134"/>
      <c r="J121" s="134"/>
      <c r="K121" s="134"/>
      <c r="L121" s="134"/>
      <c r="M121" s="134"/>
      <c r="N121" s="137"/>
    </row>
    <row r="122" spans="1:14" s="3" customFormat="1" ht="25.2">
      <c r="A122" s="136" t="s">
        <v>199</v>
      </c>
      <c r="B122" s="134"/>
      <c r="C122" s="134"/>
      <c r="D122" s="134"/>
      <c r="E122" s="134"/>
      <c r="F122" s="198" t="s">
        <v>192</v>
      </c>
      <c r="G122" s="204">
        <f>'Detail PL'!K21</f>
        <v>387</v>
      </c>
      <c r="H122" s="198" t="s">
        <v>200</v>
      </c>
      <c r="I122" s="134"/>
      <c r="J122" s="134"/>
      <c r="K122" s="134"/>
      <c r="L122" s="134"/>
      <c r="M122" s="134"/>
      <c r="N122" s="137"/>
    </row>
    <row r="123" spans="1:14" s="4" customFormat="1" ht="25.2">
      <c r="A123" s="136" t="s">
        <v>201</v>
      </c>
      <c r="B123" s="134"/>
      <c r="C123" s="134"/>
      <c r="D123" s="134"/>
      <c r="E123" s="134"/>
      <c r="F123" s="198"/>
      <c r="G123" s="198"/>
      <c r="H123" s="198"/>
      <c r="I123" s="134"/>
      <c r="J123" s="134"/>
      <c r="K123" s="134"/>
      <c r="L123" s="134"/>
      <c r="M123" s="134"/>
      <c r="N123" s="137"/>
    </row>
    <row r="124" spans="1:14" s="3" customFormat="1" ht="10.199999999999999" customHeight="1">
      <c r="A124" s="136"/>
      <c r="B124" s="134"/>
      <c r="C124" s="134"/>
      <c r="D124" s="134"/>
      <c r="E124" s="134"/>
      <c r="F124" s="198"/>
      <c r="G124" s="198"/>
      <c r="H124" s="198"/>
      <c r="I124" s="134"/>
      <c r="J124" s="134"/>
      <c r="K124" s="134"/>
      <c r="L124" s="134"/>
      <c r="M124" s="134"/>
      <c r="N124" s="137"/>
    </row>
    <row r="125" spans="1:14" s="3" customFormat="1" ht="25.2">
      <c r="A125" s="136" t="s">
        <v>202</v>
      </c>
      <c r="B125" s="134"/>
      <c r="C125" s="134"/>
      <c r="D125" s="134"/>
      <c r="E125" s="134"/>
      <c r="F125" s="198" t="s">
        <v>192</v>
      </c>
      <c r="G125" s="204">
        <f>'Summary PL'!M17</f>
        <v>563</v>
      </c>
      <c r="H125" s="198" t="s">
        <v>200</v>
      </c>
      <c r="I125" s="134"/>
      <c r="J125" s="134"/>
      <c r="K125" s="134"/>
      <c r="L125" s="134"/>
      <c r="M125" s="134"/>
      <c r="N125" s="137"/>
    </row>
    <row r="126" spans="1:14" s="4" customFormat="1" ht="25.2">
      <c r="A126" s="136" t="s">
        <v>203</v>
      </c>
      <c r="B126" s="134"/>
      <c r="C126" s="134"/>
      <c r="D126" s="134"/>
      <c r="E126" s="134"/>
      <c r="F126" s="198"/>
      <c r="G126" s="198"/>
      <c r="H126" s="134"/>
      <c r="I126" s="134"/>
      <c r="J126" s="134"/>
      <c r="K126" s="134"/>
      <c r="L126" s="134"/>
      <c r="M126" s="134"/>
      <c r="N126" s="137"/>
    </row>
    <row r="127" spans="1:14" s="3" customFormat="1" ht="10.199999999999999" customHeight="1">
      <c r="A127" s="136"/>
      <c r="B127" s="134"/>
      <c r="C127" s="134"/>
      <c r="D127" s="134"/>
      <c r="E127" s="134"/>
      <c r="F127" s="198"/>
      <c r="G127" s="198"/>
      <c r="H127" s="134"/>
      <c r="I127" s="134"/>
      <c r="J127" s="134"/>
      <c r="K127" s="134"/>
      <c r="L127" s="134"/>
      <c r="M127" s="134"/>
      <c r="N127" s="137"/>
    </row>
    <row r="128" spans="1:14" s="3" customFormat="1" ht="25.2">
      <c r="A128" s="140" t="s">
        <v>204</v>
      </c>
      <c r="B128" s="134"/>
      <c r="C128" s="134"/>
      <c r="D128" s="134"/>
      <c r="E128" s="134"/>
      <c r="F128" s="198" t="s">
        <v>192</v>
      </c>
      <c r="G128" s="238">
        <f>'Summary PL'!K17</f>
        <v>1.3069999999999999</v>
      </c>
      <c r="H128" s="205" t="s">
        <v>205</v>
      </c>
      <c r="I128" s="205"/>
      <c r="J128" s="205"/>
      <c r="K128" s="205"/>
      <c r="L128" s="134"/>
      <c r="M128" s="134"/>
      <c r="N128" s="137"/>
    </row>
    <row r="129" spans="1:14" s="4" customFormat="1" ht="25.2">
      <c r="A129" s="136" t="s">
        <v>206</v>
      </c>
      <c r="B129" s="134"/>
      <c r="C129" s="134"/>
      <c r="D129" s="134"/>
      <c r="E129" s="134"/>
      <c r="F129" s="198"/>
      <c r="G129" s="198"/>
      <c r="H129" s="134"/>
      <c r="I129" s="134"/>
      <c r="J129" s="134"/>
      <c r="K129" s="134"/>
      <c r="L129" s="134"/>
      <c r="M129" s="134"/>
      <c r="N129" s="137"/>
    </row>
    <row r="130" spans="1:14" s="3" customFormat="1" ht="10.199999999999999" customHeight="1">
      <c r="A130" s="136"/>
      <c r="B130" s="134"/>
      <c r="C130" s="134"/>
      <c r="D130" s="134"/>
      <c r="E130" s="134"/>
      <c r="F130" s="198"/>
      <c r="G130" s="198"/>
      <c r="H130" s="134"/>
      <c r="I130" s="134"/>
      <c r="J130" s="134"/>
      <c r="K130" s="134"/>
      <c r="L130" s="134"/>
      <c r="M130" s="134"/>
      <c r="N130" s="137"/>
    </row>
    <row r="131" spans="1:14" s="3" customFormat="1" ht="42">
      <c r="A131" s="136" t="s">
        <v>207</v>
      </c>
      <c r="B131" s="134"/>
      <c r="C131" s="134"/>
      <c r="D131" s="134"/>
      <c r="E131" s="134"/>
      <c r="F131" s="197" t="s">
        <v>208</v>
      </c>
      <c r="G131" s="405" t="s">
        <v>209</v>
      </c>
      <c r="H131" s="405"/>
      <c r="I131" s="405"/>
      <c r="J131" s="405"/>
      <c r="K131" s="405"/>
      <c r="L131" s="405"/>
      <c r="M131" s="405"/>
      <c r="N131" s="406"/>
    </row>
    <row r="132" spans="1:14" s="4" customFormat="1" ht="25.8" thickBot="1">
      <c r="A132" s="136" t="s">
        <v>210</v>
      </c>
      <c r="B132" s="134"/>
      <c r="C132" s="134"/>
      <c r="D132" s="134"/>
      <c r="E132" s="134"/>
      <c r="F132" s="198"/>
      <c r="G132" s="405"/>
      <c r="H132" s="405"/>
      <c r="I132" s="405"/>
      <c r="J132" s="405"/>
      <c r="K132" s="405"/>
      <c r="L132" s="405"/>
      <c r="M132" s="405"/>
      <c r="N132" s="406"/>
    </row>
    <row r="133" spans="1:14" ht="21" customHeight="1">
      <c r="A133" s="130"/>
      <c r="B133" s="131"/>
      <c r="C133" s="131"/>
      <c r="D133" s="131"/>
      <c r="E133" s="401" t="s">
        <v>211</v>
      </c>
      <c r="F133" s="403"/>
      <c r="G133" s="403"/>
      <c r="H133" s="403"/>
      <c r="I133" s="403"/>
      <c r="J133" s="403"/>
      <c r="K133" s="403"/>
      <c r="L133" s="132"/>
      <c r="M133" s="132"/>
      <c r="N133" s="133"/>
    </row>
    <row r="134" spans="1:14" ht="25.5" customHeight="1" thickBot="1">
      <c r="A134" s="141"/>
      <c r="B134" s="142"/>
      <c r="C134" s="142"/>
      <c r="D134" s="142"/>
      <c r="E134" s="404"/>
      <c r="F134" s="404"/>
      <c r="G134" s="404"/>
      <c r="H134" s="404"/>
      <c r="I134" s="404"/>
      <c r="J134" s="404"/>
      <c r="K134" s="404"/>
      <c r="L134" s="143"/>
      <c r="M134" s="143"/>
      <c r="N134" s="144"/>
    </row>
    <row r="136" spans="1:14" ht="21.6" thickBot="1"/>
    <row r="137" spans="1:14" ht="95.1" customHeight="1" thickBot="1">
      <c r="A137" s="398" t="s">
        <v>178</v>
      </c>
      <c r="B137" s="399"/>
      <c r="C137" s="399"/>
      <c r="D137" s="399"/>
      <c r="E137" s="399"/>
      <c r="F137" s="399"/>
      <c r="G137" s="399"/>
      <c r="H137" s="399"/>
      <c r="I137" s="399"/>
      <c r="J137" s="399"/>
      <c r="K137" s="399"/>
      <c r="L137" s="399"/>
      <c r="M137" s="399"/>
      <c r="N137" s="400"/>
    </row>
    <row r="138" spans="1:14" s="3" customFormat="1" ht="37.5" customHeight="1">
      <c r="A138" s="145" t="s">
        <v>179</v>
      </c>
      <c r="B138" s="197"/>
      <c r="C138" s="197"/>
      <c r="D138" s="134"/>
      <c r="E138" s="134"/>
      <c r="F138" s="198" t="s">
        <v>180</v>
      </c>
      <c r="G138" s="198" t="s">
        <v>181</v>
      </c>
      <c r="H138" s="198"/>
      <c r="I138" s="198"/>
      <c r="J138" s="198"/>
      <c r="K138" s="198"/>
      <c r="L138" s="198"/>
      <c r="M138" s="198"/>
      <c r="N138" s="160"/>
    </row>
    <row r="139" spans="1:14" s="4" customFormat="1" ht="25.2">
      <c r="A139" s="136" t="s">
        <v>182</v>
      </c>
      <c r="B139" s="134"/>
      <c r="C139" s="134"/>
      <c r="D139" s="134"/>
      <c r="E139" s="134"/>
      <c r="F139" s="198"/>
      <c r="G139" s="198" t="s">
        <v>183</v>
      </c>
      <c r="H139" s="198"/>
      <c r="I139" s="198"/>
      <c r="J139" s="198"/>
      <c r="K139" s="198"/>
      <c r="L139" s="198"/>
      <c r="M139" s="198"/>
      <c r="N139" s="160"/>
    </row>
    <row r="140" spans="1:14" s="3" customFormat="1" ht="10.199999999999999" customHeight="1">
      <c r="A140" s="136"/>
      <c r="B140" s="134"/>
      <c r="C140" s="134"/>
      <c r="D140" s="134"/>
      <c r="E140" s="134"/>
      <c r="F140" s="198"/>
      <c r="G140" s="134"/>
      <c r="H140" s="134"/>
      <c r="I140" s="134"/>
      <c r="J140" s="134"/>
      <c r="K140" s="134"/>
      <c r="L140" s="134"/>
      <c r="M140" s="134"/>
      <c r="N140" s="137"/>
    </row>
    <row r="141" spans="1:14" s="3" customFormat="1" ht="42.75" customHeight="1">
      <c r="A141" s="136" t="s">
        <v>184</v>
      </c>
      <c r="B141" s="134"/>
      <c r="C141" s="134"/>
      <c r="D141" s="134"/>
      <c r="E141" s="134"/>
      <c r="F141" s="198" t="s">
        <v>180</v>
      </c>
      <c r="G141" s="198" t="s">
        <v>185</v>
      </c>
      <c r="H141" s="134"/>
      <c r="I141" s="134"/>
      <c r="J141" s="134"/>
      <c r="K141" s="134"/>
      <c r="L141" s="134"/>
      <c r="M141" s="134"/>
      <c r="N141" s="137"/>
    </row>
    <row r="142" spans="1:14" s="4" customFormat="1" ht="25.2">
      <c r="A142" s="136" t="s">
        <v>186</v>
      </c>
      <c r="B142" s="134"/>
      <c r="C142" s="134"/>
      <c r="D142" s="134"/>
      <c r="E142" s="134"/>
      <c r="F142" s="199"/>
      <c r="G142" s="198"/>
      <c r="H142" s="134"/>
      <c r="I142" s="134"/>
      <c r="J142" s="134"/>
      <c r="K142" s="134"/>
      <c r="L142" s="134"/>
      <c r="M142" s="134"/>
      <c r="N142" s="137"/>
    </row>
    <row r="143" spans="1:14" s="3" customFormat="1" ht="10.199999999999999" customHeight="1">
      <c r="A143" s="136"/>
      <c r="B143" s="134"/>
      <c r="C143" s="134"/>
      <c r="D143" s="134"/>
      <c r="E143" s="134"/>
      <c r="F143" s="200"/>
      <c r="G143" s="200"/>
      <c r="H143" s="134"/>
      <c r="I143" s="134"/>
      <c r="J143" s="134"/>
      <c r="K143" s="134"/>
      <c r="L143" s="134"/>
      <c r="M143" s="134"/>
      <c r="N143" s="137"/>
    </row>
    <row r="144" spans="1:14" s="3" customFormat="1" ht="25.2">
      <c r="A144" s="136" t="s">
        <v>187</v>
      </c>
      <c r="B144" s="134"/>
      <c r="C144" s="134"/>
      <c r="D144" s="134"/>
      <c r="E144" s="134"/>
      <c r="F144" s="198" t="s">
        <v>188</v>
      </c>
      <c r="G144" s="134"/>
      <c r="H144" s="134"/>
      <c r="I144" s="134"/>
      <c r="J144" s="134"/>
      <c r="K144" s="134"/>
      <c r="L144" s="134"/>
      <c r="M144" s="134"/>
      <c r="N144" s="137"/>
    </row>
    <row r="145" spans="1:14" s="4" customFormat="1" ht="25.2">
      <c r="A145" s="136" t="s">
        <v>189</v>
      </c>
      <c r="B145" s="134"/>
      <c r="C145" s="134"/>
      <c r="D145" s="134"/>
      <c r="E145" s="134"/>
      <c r="F145" s="198" t="s">
        <v>190</v>
      </c>
      <c r="G145" s="134"/>
      <c r="H145" s="134"/>
      <c r="I145" s="134"/>
      <c r="J145" s="134"/>
      <c r="K145" s="134"/>
      <c r="L145" s="134"/>
      <c r="M145" s="134"/>
      <c r="N145" s="137"/>
    </row>
    <row r="146" spans="1:14" s="3" customFormat="1" ht="10.199999999999999" customHeight="1">
      <c r="A146" s="136"/>
      <c r="B146" s="134"/>
      <c r="C146" s="134"/>
      <c r="D146" s="134"/>
      <c r="E146" s="134"/>
      <c r="F146" s="198"/>
      <c r="G146" s="134"/>
      <c r="H146" s="134"/>
      <c r="I146" s="134"/>
      <c r="J146" s="134"/>
      <c r="K146" s="134"/>
      <c r="L146" s="134"/>
      <c r="M146" s="134"/>
      <c r="N146" s="137"/>
    </row>
    <row r="147" spans="1:14" s="3" customFormat="1" ht="25.2">
      <c r="A147" s="136" t="s">
        <v>191</v>
      </c>
      <c r="B147" s="134"/>
      <c r="C147" s="134"/>
      <c r="D147" s="134"/>
      <c r="E147" s="134"/>
      <c r="F147" s="198" t="s">
        <v>192</v>
      </c>
      <c r="G147" s="198" t="str">
        <f>CI!$V$8</f>
        <v>PGU-DE-0581</v>
      </c>
      <c r="H147" s="134"/>
      <c r="I147" s="134"/>
      <c r="J147" s="134"/>
      <c r="K147" s="134"/>
      <c r="L147" s="134"/>
      <c r="M147" s="134"/>
      <c r="N147" s="137"/>
    </row>
    <row r="148" spans="1:14" s="3" customFormat="1" ht="25.2">
      <c r="A148" s="136" t="s">
        <v>193</v>
      </c>
      <c r="B148" s="134"/>
      <c r="C148" s="134"/>
      <c r="D148" s="134"/>
      <c r="E148" s="134"/>
      <c r="F148" s="198"/>
      <c r="G148" s="134"/>
      <c r="H148" s="134"/>
      <c r="I148" s="134"/>
      <c r="J148" s="134"/>
      <c r="K148" s="134"/>
      <c r="L148" s="134"/>
      <c r="M148" s="134"/>
      <c r="N148" s="137"/>
    </row>
    <row r="149" spans="1:14" s="3" customFormat="1" ht="10.199999999999999" customHeight="1">
      <c r="A149" s="136"/>
      <c r="B149" s="134"/>
      <c r="C149" s="134"/>
      <c r="D149" s="134"/>
      <c r="E149" s="134"/>
      <c r="F149" s="198"/>
      <c r="G149" s="134"/>
      <c r="H149" s="134"/>
      <c r="I149" s="134"/>
      <c r="J149" s="134"/>
      <c r="K149" s="134"/>
      <c r="L149" s="134"/>
      <c r="M149" s="134"/>
      <c r="N149" s="137"/>
    </row>
    <row r="150" spans="1:14" s="3" customFormat="1" ht="25.2">
      <c r="A150" s="138" t="s">
        <v>194</v>
      </c>
      <c r="B150" s="201"/>
      <c r="C150" s="201"/>
      <c r="D150" s="201"/>
      <c r="E150" s="201"/>
      <c r="F150" s="202" t="s">
        <v>180</v>
      </c>
      <c r="G150" s="203" t="str">
        <f>'Summary PL'!D18</f>
        <v>FO Cable, SM Armoured (4C)-2000M</v>
      </c>
      <c r="H150" s="201"/>
      <c r="I150" s="201"/>
      <c r="J150" s="201"/>
      <c r="K150" s="201"/>
      <c r="L150" s="201"/>
      <c r="M150" s="201"/>
      <c r="N150" s="139"/>
    </row>
    <row r="151" spans="1:14" s="3" customFormat="1" ht="25.2">
      <c r="A151" s="138" t="s">
        <v>195</v>
      </c>
      <c r="B151" s="201"/>
      <c r="C151" s="201"/>
      <c r="D151" s="201"/>
      <c r="E151" s="201"/>
      <c r="F151" s="202"/>
      <c r="G151" s="201"/>
      <c r="H151" s="201"/>
      <c r="I151" s="201"/>
      <c r="J151" s="201"/>
      <c r="K151" s="201"/>
      <c r="L151" s="201"/>
      <c r="M151" s="201"/>
      <c r="N151" s="139"/>
    </row>
    <row r="152" spans="1:14" s="3" customFormat="1" ht="10.199999999999999" customHeight="1">
      <c r="A152" s="136"/>
      <c r="B152" s="134"/>
      <c r="C152" s="134"/>
      <c r="D152" s="134"/>
      <c r="E152" s="134"/>
      <c r="F152" s="198"/>
      <c r="G152" s="134"/>
      <c r="H152" s="134"/>
      <c r="I152" s="134"/>
      <c r="J152" s="134"/>
      <c r="K152" s="134"/>
      <c r="L152" s="134"/>
      <c r="M152" s="134"/>
      <c r="N152" s="137"/>
    </row>
    <row r="153" spans="1:14" s="3" customFormat="1" ht="25.2">
      <c r="A153" s="136" t="s">
        <v>196</v>
      </c>
      <c r="B153" s="134"/>
      <c r="C153" s="134"/>
      <c r="D153" s="134"/>
      <c r="E153" s="134"/>
      <c r="F153" s="202" t="s">
        <v>197</v>
      </c>
      <c r="G153" s="198" t="str">
        <f>'Summary PL'!C18</f>
        <v>PGU-DE-0581-PRP-FC-005</v>
      </c>
      <c r="H153" s="134"/>
      <c r="I153" s="134"/>
      <c r="J153" s="134"/>
      <c r="K153" s="134"/>
      <c r="L153" s="134"/>
      <c r="M153" s="134"/>
      <c r="N153" s="137"/>
    </row>
    <row r="154" spans="1:14" s="4" customFormat="1" ht="25.2">
      <c r="A154" s="136" t="s">
        <v>198</v>
      </c>
      <c r="B154" s="134"/>
      <c r="C154" s="134"/>
      <c r="D154" s="134"/>
      <c r="E154" s="134"/>
      <c r="F154" s="198"/>
      <c r="G154" s="198"/>
      <c r="H154" s="134"/>
      <c r="I154" s="134"/>
      <c r="J154" s="134"/>
      <c r="K154" s="134"/>
      <c r="L154" s="134"/>
      <c r="M154" s="134"/>
      <c r="N154" s="137"/>
    </row>
    <row r="155" spans="1:14" s="3" customFormat="1" ht="10.199999999999999" customHeight="1">
      <c r="A155" s="136"/>
      <c r="B155" s="134"/>
      <c r="C155" s="134"/>
      <c r="D155" s="134"/>
      <c r="E155" s="134"/>
      <c r="F155" s="198"/>
      <c r="G155" s="198"/>
      <c r="H155" s="134"/>
      <c r="I155" s="134"/>
      <c r="J155" s="134"/>
      <c r="K155" s="134"/>
      <c r="L155" s="134"/>
      <c r="M155" s="134"/>
      <c r="N155" s="137"/>
    </row>
    <row r="156" spans="1:14" s="3" customFormat="1" ht="25.2">
      <c r="A156" s="136" t="s">
        <v>199</v>
      </c>
      <c r="B156" s="134"/>
      <c r="C156" s="134"/>
      <c r="D156" s="134"/>
      <c r="E156" s="134"/>
      <c r="F156" s="198" t="s">
        <v>192</v>
      </c>
      <c r="G156" s="204">
        <f>'Detail PL'!K23</f>
        <v>257</v>
      </c>
      <c r="H156" s="198" t="s">
        <v>200</v>
      </c>
      <c r="I156" s="134"/>
      <c r="J156" s="134"/>
      <c r="K156" s="134"/>
      <c r="L156" s="134"/>
      <c r="M156" s="134"/>
      <c r="N156" s="137"/>
    </row>
    <row r="157" spans="1:14" s="4" customFormat="1" ht="25.2">
      <c r="A157" s="136" t="s">
        <v>201</v>
      </c>
      <c r="B157" s="134"/>
      <c r="C157" s="134"/>
      <c r="D157" s="134"/>
      <c r="E157" s="134"/>
      <c r="F157" s="198"/>
      <c r="G157" s="198"/>
      <c r="H157" s="198"/>
      <c r="I157" s="134"/>
      <c r="J157" s="134"/>
      <c r="K157" s="134"/>
      <c r="L157" s="134"/>
      <c r="M157" s="134"/>
      <c r="N157" s="137"/>
    </row>
    <row r="158" spans="1:14" s="3" customFormat="1" ht="10.199999999999999" customHeight="1">
      <c r="A158" s="136"/>
      <c r="B158" s="134"/>
      <c r="C158" s="134"/>
      <c r="D158" s="134"/>
      <c r="E158" s="134"/>
      <c r="F158" s="198"/>
      <c r="G158" s="198"/>
      <c r="H158" s="198"/>
      <c r="I158" s="134"/>
      <c r="J158" s="134"/>
      <c r="K158" s="134"/>
      <c r="L158" s="134"/>
      <c r="M158" s="134"/>
      <c r="N158" s="137"/>
    </row>
    <row r="159" spans="1:14" s="3" customFormat="1" ht="25.2">
      <c r="A159" s="136" t="s">
        <v>202</v>
      </c>
      <c r="B159" s="134"/>
      <c r="C159" s="134"/>
      <c r="D159" s="134"/>
      <c r="E159" s="134"/>
      <c r="F159" s="198" t="s">
        <v>192</v>
      </c>
      <c r="G159" s="204">
        <f>'Summary PL'!M18</f>
        <v>416</v>
      </c>
      <c r="H159" s="198" t="s">
        <v>200</v>
      </c>
      <c r="I159" s="134"/>
      <c r="J159" s="134"/>
      <c r="K159" s="134"/>
      <c r="L159" s="134"/>
      <c r="M159" s="134"/>
      <c r="N159" s="137"/>
    </row>
    <row r="160" spans="1:14" s="4" customFormat="1" ht="25.2">
      <c r="A160" s="136" t="s">
        <v>203</v>
      </c>
      <c r="B160" s="134"/>
      <c r="C160" s="134"/>
      <c r="D160" s="134"/>
      <c r="E160" s="134"/>
      <c r="F160" s="198"/>
      <c r="G160" s="198"/>
      <c r="H160" s="134"/>
      <c r="I160" s="134"/>
      <c r="J160" s="134"/>
      <c r="K160" s="134"/>
      <c r="L160" s="134"/>
      <c r="M160" s="134"/>
      <c r="N160" s="137"/>
    </row>
    <row r="161" spans="1:14" s="3" customFormat="1" ht="10.199999999999999" customHeight="1">
      <c r="A161" s="136"/>
      <c r="B161" s="134"/>
      <c r="C161" s="134"/>
      <c r="D161" s="134"/>
      <c r="E161" s="134"/>
      <c r="F161" s="198"/>
      <c r="G161" s="198"/>
      <c r="H161" s="134"/>
      <c r="I161" s="134"/>
      <c r="J161" s="134"/>
      <c r="K161" s="134"/>
      <c r="L161" s="134"/>
      <c r="M161" s="134"/>
      <c r="N161" s="137"/>
    </row>
    <row r="162" spans="1:14" s="3" customFormat="1" ht="25.2">
      <c r="A162" s="140" t="s">
        <v>204</v>
      </c>
      <c r="B162" s="134"/>
      <c r="C162" s="134"/>
      <c r="D162" s="134"/>
      <c r="E162" s="134"/>
      <c r="F162" s="198" t="s">
        <v>192</v>
      </c>
      <c r="G162" s="238">
        <f>'Summary PL'!K18</f>
        <v>1.08</v>
      </c>
      <c r="H162" s="205" t="s">
        <v>205</v>
      </c>
      <c r="I162" s="205"/>
      <c r="J162" s="205"/>
      <c r="K162" s="205"/>
      <c r="L162" s="134"/>
      <c r="M162" s="134"/>
      <c r="N162" s="137"/>
    </row>
    <row r="163" spans="1:14" s="4" customFormat="1" ht="25.2">
      <c r="A163" s="136" t="s">
        <v>206</v>
      </c>
      <c r="B163" s="134"/>
      <c r="C163" s="134"/>
      <c r="D163" s="134"/>
      <c r="E163" s="134"/>
      <c r="F163" s="198"/>
      <c r="G163" s="198"/>
      <c r="H163" s="134"/>
      <c r="I163" s="134"/>
      <c r="J163" s="134"/>
      <c r="K163" s="134"/>
      <c r="L163" s="134"/>
      <c r="M163" s="134"/>
      <c r="N163" s="137"/>
    </row>
    <row r="164" spans="1:14" s="3" customFormat="1" ht="10.199999999999999" customHeight="1">
      <c r="A164" s="136"/>
      <c r="B164" s="134"/>
      <c r="C164" s="134"/>
      <c r="D164" s="134"/>
      <c r="E164" s="134"/>
      <c r="F164" s="198"/>
      <c r="G164" s="198"/>
      <c r="H164" s="134"/>
      <c r="I164" s="134"/>
      <c r="J164" s="134"/>
      <c r="K164" s="134"/>
      <c r="L164" s="134"/>
      <c r="M164" s="134"/>
      <c r="N164" s="137"/>
    </row>
    <row r="165" spans="1:14" s="3" customFormat="1" ht="42">
      <c r="A165" s="136" t="s">
        <v>207</v>
      </c>
      <c r="B165" s="134"/>
      <c r="C165" s="134"/>
      <c r="D165" s="134"/>
      <c r="E165" s="134"/>
      <c r="F165" s="197" t="s">
        <v>208</v>
      </c>
      <c r="G165" s="405" t="s">
        <v>209</v>
      </c>
      <c r="H165" s="405"/>
      <c r="I165" s="405"/>
      <c r="J165" s="405"/>
      <c r="K165" s="405"/>
      <c r="L165" s="405"/>
      <c r="M165" s="405"/>
      <c r="N165" s="406"/>
    </row>
    <row r="166" spans="1:14" s="4" customFormat="1" ht="25.8" thickBot="1">
      <c r="A166" s="136" t="s">
        <v>210</v>
      </c>
      <c r="B166" s="134"/>
      <c r="C166" s="134"/>
      <c r="D166" s="134"/>
      <c r="E166" s="134"/>
      <c r="F166" s="198"/>
      <c r="G166" s="405"/>
      <c r="H166" s="405"/>
      <c r="I166" s="405"/>
      <c r="J166" s="405"/>
      <c r="K166" s="405"/>
      <c r="L166" s="405"/>
      <c r="M166" s="405"/>
      <c r="N166" s="406"/>
    </row>
    <row r="167" spans="1:14" ht="21" customHeight="1">
      <c r="A167" s="130"/>
      <c r="B167" s="131"/>
      <c r="C167" s="131"/>
      <c r="D167" s="131"/>
      <c r="E167" s="401" t="s">
        <v>211</v>
      </c>
      <c r="F167" s="403"/>
      <c r="G167" s="403"/>
      <c r="H167" s="403"/>
      <c r="I167" s="403"/>
      <c r="J167" s="403"/>
      <c r="K167" s="403"/>
      <c r="L167" s="132"/>
      <c r="M167" s="132"/>
      <c r="N167" s="133"/>
    </row>
    <row r="168" spans="1:14" ht="25.5" customHeight="1" thickBot="1">
      <c r="A168" s="141"/>
      <c r="B168" s="142"/>
      <c r="C168" s="142"/>
      <c r="D168" s="142"/>
      <c r="E168" s="404"/>
      <c r="F168" s="404"/>
      <c r="G168" s="404"/>
      <c r="H168" s="404"/>
      <c r="I168" s="404"/>
      <c r="J168" s="404"/>
      <c r="K168" s="404"/>
      <c r="L168" s="143"/>
      <c r="M168" s="143"/>
      <c r="N168" s="144"/>
    </row>
    <row r="170" spans="1:14" ht="21.6" thickBot="1"/>
    <row r="171" spans="1:14" ht="95.1" customHeight="1" thickBot="1">
      <c r="A171" s="398" t="s">
        <v>178</v>
      </c>
      <c r="B171" s="399"/>
      <c r="C171" s="399"/>
      <c r="D171" s="399"/>
      <c r="E171" s="399"/>
      <c r="F171" s="399"/>
      <c r="G171" s="399"/>
      <c r="H171" s="399"/>
      <c r="I171" s="399"/>
      <c r="J171" s="399"/>
      <c r="K171" s="399"/>
      <c r="L171" s="399"/>
      <c r="M171" s="399"/>
      <c r="N171" s="400"/>
    </row>
    <row r="172" spans="1:14" s="3" customFormat="1" ht="37.5" customHeight="1">
      <c r="A172" s="145" t="s">
        <v>179</v>
      </c>
      <c r="B172" s="197"/>
      <c r="C172" s="197"/>
      <c r="D172" s="134"/>
      <c r="E172" s="134"/>
      <c r="F172" s="198" t="s">
        <v>180</v>
      </c>
      <c r="G172" s="198" t="s">
        <v>181</v>
      </c>
      <c r="H172" s="198"/>
      <c r="I172" s="198"/>
      <c r="J172" s="198"/>
      <c r="K172" s="198"/>
      <c r="L172" s="198"/>
      <c r="M172" s="198"/>
      <c r="N172" s="160"/>
    </row>
    <row r="173" spans="1:14" s="4" customFormat="1" ht="25.2">
      <c r="A173" s="136" t="s">
        <v>182</v>
      </c>
      <c r="B173" s="134"/>
      <c r="C173" s="134"/>
      <c r="D173" s="134"/>
      <c r="E173" s="134"/>
      <c r="F173" s="198"/>
      <c r="G173" s="198" t="s">
        <v>183</v>
      </c>
      <c r="H173" s="198"/>
      <c r="I173" s="198"/>
      <c r="J173" s="198"/>
      <c r="K173" s="198"/>
      <c r="L173" s="198"/>
      <c r="M173" s="198"/>
      <c r="N173" s="160"/>
    </row>
    <row r="174" spans="1:14" s="3" customFormat="1" ht="10.199999999999999" customHeight="1">
      <c r="A174" s="136"/>
      <c r="B174" s="134"/>
      <c r="C174" s="134"/>
      <c r="D174" s="134"/>
      <c r="E174" s="134"/>
      <c r="F174" s="198"/>
      <c r="G174" s="134"/>
      <c r="H174" s="134"/>
      <c r="I174" s="134"/>
      <c r="J174" s="134"/>
      <c r="K174" s="134"/>
      <c r="L174" s="134"/>
      <c r="M174" s="134"/>
      <c r="N174" s="137"/>
    </row>
    <row r="175" spans="1:14" s="3" customFormat="1" ht="42.75" customHeight="1">
      <c r="A175" s="136" t="s">
        <v>184</v>
      </c>
      <c r="B175" s="134"/>
      <c r="C175" s="134"/>
      <c r="D175" s="134"/>
      <c r="E175" s="134"/>
      <c r="F175" s="198" t="s">
        <v>180</v>
      </c>
      <c r="G175" s="198" t="s">
        <v>185</v>
      </c>
      <c r="H175" s="134"/>
      <c r="I175" s="134"/>
      <c r="J175" s="134"/>
      <c r="K175" s="134"/>
      <c r="L175" s="134"/>
      <c r="M175" s="134"/>
      <c r="N175" s="137"/>
    </row>
    <row r="176" spans="1:14" s="4" customFormat="1" ht="25.2">
      <c r="A176" s="136" t="s">
        <v>186</v>
      </c>
      <c r="B176" s="134"/>
      <c r="C176" s="134"/>
      <c r="D176" s="134"/>
      <c r="E176" s="134"/>
      <c r="F176" s="199"/>
      <c r="G176" s="198"/>
      <c r="H176" s="134"/>
      <c r="I176" s="134"/>
      <c r="J176" s="134"/>
      <c r="K176" s="134"/>
      <c r="L176" s="134"/>
      <c r="M176" s="134"/>
      <c r="N176" s="137"/>
    </row>
    <row r="177" spans="1:14" s="3" customFormat="1" ht="10.199999999999999" customHeight="1">
      <c r="A177" s="136"/>
      <c r="B177" s="134"/>
      <c r="C177" s="134"/>
      <c r="D177" s="134"/>
      <c r="E177" s="134"/>
      <c r="F177" s="200"/>
      <c r="G177" s="200"/>
      <c r="H177" s="134"/>
      <c r="I177" s="134"/>
      <c r="J177" s="134"/>
      <c r="K177" s="134"/>
      <c r="L177" s="134"/>
      <c r="M177" s="134"/>
      <c r="N177" s="137"/>
    </row>
    <row r="178" spans="1:14" s="3" customFormat="1" ht="25.2">
      <c r="A178" s="136" t="s">
        <v>187</v>
      </c>
      <c r="B178" s="134"/>
      <c r="C178" s="134"/>
      <c r="D178" s="134"/>
      <c r="E178" s="134"/>
      <c r="F178" s="198" t="s">
        <v>188</v>
      </c>
      <c r="G178" s="134"/>
      <c r="H178" s="134"/>
      <c r="I178" s="134"/>
      <c r="J178" s="134"/>
      <c r="K178" s="134"/>
      <c r="L178" s="134"/>
      <c r="M178" s="134"/>
      <c r="N178" s="137"/>
    </row>
    <row r="179" spans="1:14" s="4" customFormat="1" ht="25.2">
      <c r="A179" s="136" t="s">
        <v>189</v>
      </c>
      <c r="B179" s="134"/>
      <c r="C179" s="134"/>
      <c r="D179" s="134"/>
      <c r="E179" s="134"/>
      <c r="F179" s="198" t="s">
        <v>190</v>
      </c>
      <c r="G179" s="134"/>
      <c r="H179" s="134"/>
      <c r="I179" s="134"/>
      <c r="J179" s="134"/>
      <c r="K179" s="134"/>
      <c r="L179" s="134"/>
      <c r="M179" s="134"/>
      <c r="N179" s="137"/>
    </row>
    <row r="180" spans="1:14" s="3" customFormat="1" ht="10.199999999999999" customHeight="1">
      <c r="A180" s="136"/>
      <c r="B180" s="134"/>
      <c r="C180" s="134"/>
      <c r="D180" s="134"/>
      <c r="E180" s="134"/>
      <c r="F180" s="198"/>
      <c r="G180" s="134"/>
      <c r="H180" s="134"/>
      <c r="I180" s="134"/>
      <c r="J180" s="134"/>
      <c r="K180" s="134"/>
      <c r="L180" s="134"/>
      <c r="M180" s="134"/>
      <c r="N180" s="137"/>
    </row>
    <row r="181" spans="1:14" s="3" customFormat="1" ht="25.2">
      <c r="A181" s="136" t="s">
        <v>191</v>
      </c>
      <c r="B181" s="134"/>
      <c r="C181" s="134"/>
      <c r="D181" s="134"/>
      <c r="E181" s="134"/>
      <c r="F181" s="198" t="s">
        <v>192</v>
      </c>
      <c r="G181" s="198" t="str">
        <f>CI!$V$8</f>
        <v>PGU-DE-0581</v>
      </c>
      <c r="H181" s="134"/>
      <c r="I181" s="134"/>
      <c r="J181" s="134"/>
      <c r="K181" s="134"/>
      <c r="L181" s="134"/>
      <c r="M181" s="134"/>
      <c r="N181" s="137"/>
    </row>
    <row r="182" spans="1:14" s="3" customFormat="1" ht="25.2">
      <c r="A182" s="136" t="s">
        <v>193</v>
      </c>
      <c r="B182" s="134"/>
      <c r="C182" s="134"/>
      <c r="D182" s="134"/>
      <c r="E182" s="134"/>
      <c r="F182" s="198"/>
      <c r="G182" s="134"/>
      <c r="H182" s="134"/>
      <c r="I182" s="134"/>
      <c r="J182" s="134"/>
      <c r="K182" s="134"/>
      <c r="L182" s="134"/>
      <c r="M182" s="134"/>
      <c r="N182" s="137"/>
    </row>
    <row r="183" spans="1:14" s="3" customFormat="1" ht="10.199999999999999" customHeight="1">
      <c r="A183" s="136"/>
      <c r="B183" s="134"/>
      <c r="C183" s="134"/>
      <c r="D183" s="134"/>
      <c r="E183" s="134"/>
      <c r="F183" s="198"/>
      <c r="G183" s="134"/>
      <c r="H183" s="134"/>
      <c r="I183" s="134"/>
      <c r="J183" s="134"/>
      <c r="K183" s="134"/>
      <c r="L183" s="134"/>
      <c r="M183" s="134"/>
      <c r="N183" s="137"/>
    </row>
    <row r="184" spans="1:14" s="3" customFormat="1" ht="25.2">
      <c r="A184" s="138" t="s">
        <v>194</v>
      </c>
      <c r="B184" s="201"/>
      <c r="C184" s="201"/>
      <c r="D184" s="201"/>
      <c r="E184" s="201"/>
      <c r="F184" s="202" t="s">
        <v>180</v>
      </c>
      <c r="G184" s="203" t="str">
        <f>'Summary PL'!D19</f>
        <v>FO Cable, SM Armoured (8C)-3800M</v>
      </c>
      <c r="H184" s="201"/>
      <c r="I184" s="201"/>
      <c r="J184" s="201"/>
      <c r="K184" s="201"/>
      <c r="L184" s="201"/>
      <c r="M184" s="201"/>
      <c r="N184" s="139"/>
    </row>
    <row r="185" spans="1:14" s="3" customFormat="1" ht="25.2">
      <c r="A185" s="138" t="s">
        <v>195</v>
      </c>
      <c r="B185" s="201"/>
      <c r="C185" s="201"/>
      <c r="D185" s="201"/>
      <c r="E185" s="201"/>
      <c r="F185" s="202"/>
      <c r="G185" s="201"/>
      <c r="H185" s="201"/>
      <c r="I185" s="201"/>
      <c r="J185" s="201"/>
      <c r="K185" s="201"/>
      <c r="L185" s="201"/>
      <c r="M185" s="201"/>
      <c r="N185" s="139"/>
    </row>
    <row r="186" spans="1:14" s="3" customFormat="1" ht="10.199999999999999" customHeight="1">
      <c r="A186" s="136"/>
      <c r="B186" s="134"/>
      <c r="C186" s="134"/>
      <c r="D186" s="134"/>
      <c r="E186" s="134"/>
      <c r="F186" s="198"/>
      <c r="G186" s="134"/>
      <c r="H186" s="134"/>
      <c r="I186" s="134"/>
      <c r="J186" s="134"/>
      <c r="K186" s="134"/>
      <c r="L186" s="134"/>
      <c r="M186" s="134"/>
      <c r="N186" s="137"/>
    </row>
    <row r="187" spans="1:14" s="3" customFormat="1" ht="25.2">
      <c r="A187" s="136" t="s">
        <v>196</v>
      </c>
      <c r="B187" s="134"/>
      <c r="C187" s="134"/>
      <c r="D187" s="134"/>
      <c r="E187" s="134"/>
      <c r="F187" s="202" t="s">
        <v>197</v>
      </c>
      <c r="G187" s="198" t="str">
        <f>'Summary PL'!C19</f>
        <v>PGU-DE-0581-PRP-FC-006</v>
      </c>
      <c r="H187" s="134"/>
      <c r="I187" s="134"/>
      <c r="J187" s="134"/>
      <c r="K187" s="134"/>
      <c r="L187" s="134"/>
      <c r="M187" s="134"/>
      <c r="N187" s="137"/>
    </row>
    <row r="188" spans="1:14" s="4" customFormat="1" ht="25.2">
      <c r="A188" s="136" t="s">
        <v>198</v>
      </c>
      <c r="B188" s="134"/>
      <c r="C188" s="134"/>
      <c r="D188" s="134"/>
      <c r="E188" s="134"/>
      <c r="F188" s="198"/>
      <c r="G188" s="198"/>
      <c r="H188" s="134"/>
      <c r="I188" s="134"/>
      <c r="J188" s="134"/>
      <c r="K188" s="134"/>
      <c r="L188" s="134"/>
      <c r="M188" s="134"/>
      <c r="N188" s="137"/>
    </row>
    <row r="189" spans="1:14" s="3" customFormat="1" ht="10.199999999999999" customHeight="1">
      <c r="A189" s="136"/>
      <c r="B189" s="134"/>
      <c r="C189" s="134"/>
      <c r="D189" s="134"/>
      <c r="E189" s="134"/>
      <c r="F189" s="198"/>
      <c r="G189" s="198"/>
      <c r="H189" s="134"/>
      <c r="I189" s="134"/>
      <c r="J189" s="134"/>
      <c r="K189" s="134"/>
      <c r="L189" s="134"/>
      <c r="M189" s="134"/>
      <c r="N189" s="137"/>
    </row>
    <row r="190" spans="1:14" s="3" customFormat="1" ht="25.2">
      <c r="A190" s="136" t="s">
        <v>199</v>
      </c>
      <c r="B190" s="134"/>
      <c r="C190" s="134"/>
      <c r="D190" s="134"/>
      <c r="E190" s="134"/>
      <c r="F190" s="198" t="s">
        <v>192</v>
      </c>
      <c r="G190" s="204">
        <f>'Detail PL'!K25</f>
        <v>491</v>
      </c>
      <c r="H190" s="198" t="s">
        <v>200</v>
      </c>
      <c r="I190" s="134"/>
      <c r="J190" s="134"/>
      <c r="K190" s="134"/>
      <c r="L190" s="134"/>
      <c r="M190" s="134"/>
      <c r="N190" s="137"/>
    </row>
    <row r="191" spans="1:14" s="4" customFormat="1" ht="25.2">
      <c r="A191" s="136" t="s">
        <v>201</v>
      </c>
      <c r="B191" s="134"/>
      <c r="C191" s="134"/>
      <c r="D191" s="134"/>
      <c r="E191" s="134"/>
      <c r="F191" s="198"/>
      <c r="G191" s="198"/>
      <c r="H191" s="198"/>
      <c r="I191" s="134"/>
      <c r="J191" s="134"/>
      <c r="K191" s="134"/>
      <c r="L191" s="134"/>
      <c r="M191" s="134"/>
      <c r="N191" s="137"/>
    </row>
    <row r="192" spans="1:14" s="3" customFormat="1" ht="10.199999999999999" customHeight="1">
      <c r="A192" s="136"/>
      <c r="B192" s="134"/>
      <c r="C192" s="134"/>
      <c r="D192" s="134"/>
      <c r="E192" s="134"/>
      <c r="F192" s="198"/>
      <c r="G192" s="198"/>
      <c r="H192" s="198"/>
      <c r="I192" s="134"/>
      <c r="J192" s="134"/>
      <c r="K192" s="134"/>
      <c r="L192" s="134"/>
      <c r="M192" s="134"/>
      <c r="N192" s="137"/>
    </row>
    <row r="193" spans="1:14" s="3" customFormat="1" ht="25.2">
      <c r="A193" s="136" t="s">
        <v>202</v>
      </c>
      <c r="B193" s="134"/>
      <c r="C193" s="134"/>
      <c r="D193" s="134"/>
      <c r="E193" s="134"/>
      <c r="F193" s="198" t="s">
        <v>192</v>
      </c>
      <c r="G193" s="204">
        <f>'Summary PL'!M19</f>
        <v>704</v>
      </c>
      <c r="H193" s="198" t="s">
        <v>200</v>
      </c>
      <c r="I193" s="134"/>
      <c r="J193" s="134"/>
      <c r="K193" s="134"/>
      <c r="L193" s="134"/>
      <c r="M193" s="134"/>
      <c r="N193" s="137"/>
    </row>
    <row r="194" spans="1:14" s="4" customFormat="1" ht="25.2">
      <c r="A194" s="136" t="s">
        <v>203</v>
      </c>
      <c r="B194" s="134"/>
      <c r="C194" s="134"/>
      <c r="D194" s="134"/>
      <c r="E194" s="134"/>
      <c r="F194" s="198"/>
      <c r="G194" s="198"/>
      <c r="H194" s="134"/>
      <c r="I194" s="134"/>
      <c r="J194" s="134"/>
      <c r="K194" s="134"/>
      <c r="L194" s="134"/>
      <c r="M194" s="134"/>
      <c r="N194" s="137"/>
    </row>
    <row r="195" spans="1:14" s="3" customFormat="1" ht="10.199999999999999" customHeight="1">
      <c r="A195" s="136"/>
      <c r="B195" s="134"/>
      <c r="C195" s="134"/>
      <c r="D195" s="134"/>
      <c r="E195" s="134"/>
      <c r="F195" s="198"/>
      <c r="G195" s="198"/>
      <c r="H195" s="134"/>
      <c r="I195" s="134"/>
      <c r="J195" s="134"/>
      <c r="K195" s="134"/>
      <c r="L195" s="134"/>
      <c r="M195" s="134"/>
      <c r="N195" s="137"/>
    </row>
    <row r="196" spans="1:14" s="3" customFormat="1" ht="25.2">
      <c r="A196" s="140" t="s">
        <v>204</v>
      </c>
      <c r="B196" s="134"/>
      <c r="C196" s="134"/>
      <c r="D196" s="134"/>
      <c r="E196" s="134"/>
      <c r="F196" s="198" t="s">
        <v>192</v>
      </c>
      <c r="G196" s="238">
        <f>'Summary PL'!K19</f>
        <v>1.6879999999999999</v>
      </c>
      <c r="H196" s="205" t="s">
        <v>205</v>
      </c>
      <c r="I196" s="205"/>
      <c r="J196" s="205"/>
      <c r="K196" s="205"/>
      <c r="L196" s="134"/>
      <c r="M196" s="134"/>
      <c r="N196" s="137"/>
    </row>
    <row r="197" spans="1:14" s="4" customFormat="1" ht="25.2">
      <c r="A197" s="136" t="s">
        <v>206</v>
      </c>
      <c r="B197" s="134"/>
      <c r="C197" s="134"/>
      <c r="D197" s="134"/>
      <c r="E197" s="134"/>
      <c r="F197" s="198"/>
      <c r="G197" s="198"/>
      <c r="H197" s="134"/>
      <c r="I197" s="134"/>
      <c r="J197" s="134"/>
      <c r="K197" s="134"/>
      <c r="L197" s="134"/>
      <c r="M197" s="134"/>
      <c r="N197" s="137"/>
    </row>
    <row r="198" spans="1:14" s="3" customFormat="1" ht="10.199999999999999" customHeight="1">
      <c r="A198" s="136"/>
      <c r="B198" s="134"/>
      <c r="C198" s="134"/>
      <c r="D198" s="134"/>
      <c r="E198" s="134"/>
      <c r="F198" s="198"/>
      <c r="G198" s="198"/>
      <c r="H198" s="134"/>
      <c r="I198" s="134"/>
      <c r="J198" s="134"/>
      <c r="K198" s="134"/>
      <c r="L198" s="134"/>
      <c r="M198" s="134"/>
      <c r="N198" s="137"/>
    </row>
    <row r="199" spans="1:14" s="3" customFormat="1" ht="42">
      <c r="A199" s="136" t="s">
        <v>207</v>
      </c>
      <c r="B199" s="134"/>
      <c r="C199" s="134"/>
      <c r="D199" s="134"/>
      <c r="E199" s="134"/>
      <c r="F199" s="197" t="s">
        <v>208</v>
      </c>
      <c r="G199" s="405" t="s">
        <v>209</v>
      </c>
      <c r="H199" s="405"/>
      <c r="I199" s="405"/>
      <c r="J199" s="405"/>
      <c r="K199" s="405"/>
      <c r="L199" s="405"/>
      <c r="M199" s="405"/>
      <c r="N199" s="406"/>
    </row>
    <row r="200" spans="1:14" s="4" customFormat="1" ht="25.8" thickBot="1">
      <c r="A200" s="136" t="s">
        <v>210</v>
      </c>
      <c r="B200" s="134"/>
      <c r="C200" s="134"/>
      <c r="D200" s="134"/>
      <c r="E200" s="134"/>
      <c r="F200" s="198"/>
      <c r="G200" s="405"/>
      <c r="H200" s="405"/>
      <c r="I200" s="405"/>
      <c r="J200" s="405"/>
      <c r="K200" s="405"/>
      <c r="L200" s="405"/>
      <c r="M200" s="405"/>
      <c r="N200" s="406"/>
    </row>
    <row r="201" spans="1:14" ht="21" customHeight="1">
      <c r="A201" s="130"/>
      <c r="B201" s="131"/>
      <c r="C201" s="131"/>
      <c r="D201" s="131"/>
      <c r="E201" s="401" t="s">
        <v>211</v>
      </c>
      <c r="F201" s="403"/>
      <c r="G201" s="403"/>
      <c r="H201" s="403"/>
      <c r="I201" s="403"/>
      <c r="J201" s="403"/>
      <c r="K201" s="403"/>
      <c r="L201" s="132"/>
      <c r="M201" s="132"/>
      <c r="N201" s="133"/>
    </row>
    <row r="202" spans="1:14" ht="25.5" customHeight="1" thickBot="1">
      <c r="A202" s="141"/>
      <c r="B202" s="142"/>
      <c r="C202" s="142"/>
      <c r="D202" s="142"/>
      <c r="E202" s="404"/>
      <c r="F202" s="404"/>
      <c r="G202" s="404"/>
      <c r="H202" s="404"/>
      <c r="I202" s="404"/>
      <c r="J202" s="404"/>
      <c r="K202" s="404"/>
      <c r="L202" s="143"/>
      <c r="M202" s="143"/>
      <c r="N202" s="144"/>
    </row>
    <row r="204" spans="1:14" ht="21.6" thickBot="1"/>
    <row r="205" spans="1:14" ht="95.1" customHeight="1" thickBot="1">
      <c r="A205" s="398" t="s">
        <v>178</v>
      </c>
      <c r="B205" s="399"/>
      <c r="C205" s="399"/>
      <c r="D205" s="399"/>
      <c r="E205" s="399"/>
      <c r="F205" s="399"/>
      <c r="G205" s="399"/>
      <c r="H205" s="399"/>
      <c r="I205" s="399"/>
      <c r="J205" s="399"/>
      <c r="K205" s="399"/>
      <c r="L205" s="399"/>
      <c r="M205" s="399"/>
      <c r="N205" s="400"/>
    </row>
    <row r="206" spans="1:14" s="3" customFormat="1" ht="37.5" customHeight="1">
      <c r="A206" s="145" t="s">
        <v>179</v>
      </c>
      <c r="B206" s="197"/>
      <c r="C206" s="197"/>
      <c r="D206" s="134"/>
      <c r="E206" s="134"/>
      <c r="F206" s="198" t="s">
        <v>180</v>
      </c>
      <c r="G206" s="198" t="s">
        <v>181</v>
      </c>
      <c r="H206" s="198"/>
      <c r="I206" s="198"/>
      <c r="J206" s="198"/>
      <c r="K206" s="198"/>
      <c r="L206" s="198"/>
      <c r="M206" s="198"/>
      <c r="N206" s="160"/>
    </row>
    <row r="207" spans="1:14" s="4" customFormat="1" ht="25.2">
      <c r="A207" s="136" t="s">
        <v>182</v>
      </c>
      <c r="B207" s="134"/>
      <c r="C207" s="134"/>
      <c r="D207" s="134"/>
      <c r="E207" s="134"/>
      <c r="F207" s="198"/>
      <c r="G207" s="198" t="s">
        <v>183</v>
      </c>
      <c r="H207" s="198"/>
      <c r="I207" s="198"/>
      <c r="J207" s="198"/>
      <c r="K207" s="198"/>
      <c r="L207" s="198"/>
      <c r="M207" s="198"/>
      <c r="N207" s="160"/>
    </row>
    <row r="208" spans="1:14" s="3" customFormat="1" ht="10.199999999999999" customHeight="1">
      <c r="A208" s="136"/>
      <c r="B208" s="134"/>
      <c r="C208" s="134"/>
      <c r="D208" s="134"/>
      <c r="E208" s="134"/>
      <c r="F208" s="198"/>
      <c r="G208" s="134"/>
      <c r="H208" s="134"/>
      <c r="I208" s="134"/>
      <c r="J208" s="134"/>
      <c r="K208" s="134"/>
      <c r="L208" s="134"/>
      <c r="M208" s="134"/>
      <c r="N208" s="137"/>
    </row>
    <row r="209" spans="1:14" s="3" customFormat="1" ht="42.75" customHeight="1">
      <c r="A209" s="136" t="s">
        <v>184</v>
      </c>
      <c r="B209" s="134"/>
      <c r="C209" s="134"/>
      <c r="D209" s="134"/>
      <c r="E209" s="134"/>
      <c r="F209" s="198" t="s">
        <v>180</v>
      </c>
      <c r="G209" s="198" t="s">
        <v>185</v>
      </c>
      <c r="H209" s="134"/>
      <c r="I209" s="134"/>
      <c r="J209" s="134"/>
      <c r="K209" s="134"/>
      <c r="L209" s="134"/>
      <c r="M209" s="134"/>
      <c r="N209" s="137"/>
    </row>
    <row r="210" spans="1:14" s="4" customFormat="1" ht="25.2">
      <c r="A210" s="136" t="s">
        <v>186</v>
      </c>
      <c r="B210" s="134"/>
      <c r="C210" s="134"/>
      <c r="D210" s="134"/>
      <c r="E210" s="134"/>
      <c r="F210" s="199"/>
      <c r="G210" s="198"/>
      <c r="H210" s="134"/>
      <c r="I210" s="134"/>
      <c r="J210" s="134"/>
      <c r="K210" s="134"/>
      <c r="L210" s="134"/>
      <c r="M210" s="134"/>
      <c r="N210" s="137"/>
    </row>
    <row r="211" spans="1:14" s="3" customFormat="1" ht="10.199999999999999" customHeight="1">
      <c r="A211" s="136"/>
      <c r="B211" s="134"/>
      <c r="C211" s="134"/>
      <c r="D211" s="134"/>
      <c r="E211" s="134"/>
      <c r="F211" s="200"/>
      <c r="G211" s="200"/>
      <c r="H211" s="134"/>
      <c r="I211" s="134"/>
      <c r="J211" s="134"/>
      <c r="K211" s="134"/>
      <c r="L211" s="134"/>
      <c r="M211" s="134"/>
      <c r="N211" s="137"/>
    </row>
    <row r="212" spans="1:14" s="3" customFormat="1" ht="25.2">
      <c r="A212" s="136" t="s">
        <v>187</v>
      </c>
      <c r="B212" s="134"/>
      <c r="C212" s="134"/>
      <c r="D212" s="134"/>
      <c r="E212" s="134"/>
      <c r="F212" s="198" t="s">
        <v>188</v>
      </c>
      <c r="G212" s="134"/>
      <c r="H212" s="134"/>
      <c r="I212" s="134"/>
      <c r="J212" s="134"/>
      <c r="K212" s="134"/>
      <c r="L212" s="134"/>
      <c r="M212" s="134"/>
      <c r="N212" s="137"/>
    </row>
    <row r="213" spans="1:14" s="4" customFormat="1" ht="25.2">
      <c r="A213" s="136" t="s">
        <v>189</v>
      </c>
      <c r="B213" s="134"/>
      <c r="C213" s="134"/>
      <c r="D213" s="134"/>
      <c r="E213" s="134"/>
      <c r="F213" s="198" t="s">
        <v>190</v>
      </c>
      <c r="G213" s="134"/>
      <c r="H213" s="134"/>
      <c r="I213" s="134"/>
      <c r="J213" s="134"/>
      <c r="K213" s="134"/>
      <c r="L213" s="134"/>
      <c r="M213" s="134"/>
      <c r="N213" s="137"/>
    </row>
    <row r="214" spans="1:14" s="3" customFormat="1" ht="10.199999999999999" customHeight="1">
      <c r="A214" s="136"/>
      <c r="B214" s="134"/>
      <c r="C214" s="134"/>
      <c r="D214" s="134"/>
      <c r="E214" s="134"/>
      <c r="F214" s="198"/>
      <c r="G214" s="134"/>
      <c r="H214" s="134"/>
      <c r="I214" s="134"/>
      <c r="J214" s="134"/>
      <c r="K214" s="134"/>
      <c r="L214" s="134"/>
      <c r="M214" s="134"/>
      <c r="N214" s="137"/>
    </row>
    <row r="215" spans="1:14" s="3" customFormat="1" ht="25.2">
      <c r="A215" s="136" t="s">
        <v>191</v>
      </c>
      <c r="B215" s="134"/>
      <c r="C215" s="134"/>
      <c r="D215" s="134"/>
      <c r="E215" s="134"/>
      <c r="F215" s="198" t="s">
        <v>192</v>
      </c>
      <c r="G215" s="198" t="str">
        <f>CI!$V$8</f>
        <v>PGU-DE-0581</v>
      </c>
      <c r="H215" s="134"/>
      <c r="I215" s="134"/>
      <c r="J215" s="134"/>
      <c r="K215" s="134"/>
      <c r="L215" s="134"/>
      <c r="M215" s="134"/>
      <c r="N215" s="137"/>
    </row>
    <row r="216" spans="1:14" s="3" customFormat="1" ht="25.2">
      <c r="A216" s="136" t="s">
        <v>193</v>
      </c>
      <c r="B216" s="134"/>
      <c r="C216" s="134"/>
      <c r="D216" s="134"/>
      <c r="E216" s="134"/>
      <c r="F216" s="198"/>
      <c r="G216" s="134"/>
      <c r="H216" s="134"/>
      <c r="I216" s="134"/>
      <c r="J216" s="134"/>
      <c r="K216" s="134"/>
      <c r="L216" s="134"/>
      <c r="M216" s="134"/>
      <c r="N216" s="137"/>
    </row>
    <row r="217" spans="1:14" s="3" customFormat="1" ht="10.199999999999999" customHeight="1">
      <c r="A217" s="136"/>
      <c r="B217" s="134"/>
      <c r="C217" s="134"/>
      <c r="D217" s="134"/>
      <c r="E217" s="134"/>
      <c r="F217" s="198"/>
      <c r="G217" s="134"/>
      <c r="H217" s="134"/>
      <c r="I217" s="134"/>
      <c r="J217" s="134"/>
      <c r="K217" s="134"/>
      <c r="L217" s="134"/>
      <c r="M217" s="134"/>
      <c r="N217" s="137"/>
    </row>
    <row r="218" spans="1:14" s="3" customFormat="1" ht="25.2">
      <c r="A218" s="138" t="s">
        <v>194</v>
      </c>
      <c r="B218" s="201"/>
      <c r="C218" s="201"/>
      <c r="D218" s="201"/>
      <c r="E218" s="201"/>
      <c r="F218" s="202" t="s">
        <v>180</v>
      </c>
      <c r="G218" s="203" t="e">
        <f>'Summary PL'!#REF!</f>
        <v>#REF!</v>
      </c>
      <c r="H218" s="201"/>
      <c r="I218" s="201"/>
      <c r="J218" s="201"/>
      <c r="K218" s="201"/>
      <c r="L218" s="201"/>
      <c r="M218" s="201"/>
      <c r="N218" s="139"/>
    </row>
    <row r="219" spans="1:14" s="3" customFormat="1" ht="25.2">
      <c r="A219" s="138" t="s">
        <v>195</v>
      </c>
      <c r="B219" s="201"/>
      <c r="C219" s="201"/>
      <c r="D219" s="201"/>
      <c r="E219" s="201"/>
      <c r="F219" s="202"/>
      <c r="G219" s="201"/>
      <c r="H219" s="201"/>
      <c r="I219" s="201"/>
      <c r="J219" s="201"/>
      <c r="K219" s="201"/>
      <c r="L219" s="201"/>
      <c r="M219" s="201"/>
      <c r="N219" s="139"/>
    </row>
    <row r="220" spans="1:14" s="3" customFormat="1" ht="10.199999999999999" customHeight="1">
      <c r="A220" s="136"/>
      <c r="B220" s="134"/>
      <c r="C220" s="134"/>
      <c r="D220" s="134"/>
      <c r="E220" s="134"/>
      <c r="F220" s="198"/>
      <c r="G220" s="134"/>
      <c r="H220" s="134"/>
      <c r="I220" s="134"/>
      <c r="J220" s="134"/>
      <c r="K220" s="134"/>
      <c r="L220" s="134"/>
      <c r="M220" s="134"/>
      <c r="N220" s="137"/>
    </row>
    <row r="221" spans="1:14" s="3" customFormat="1" ht="25.2">
      <c r="A221" s="136" t="s">
        <v>196</v>
      </c>
      <c r="B221" s="134"/>
      <c r="C221" s="134"/>
      <c r="D221" s="134"/>
      <c r="E221" s="134"/>
      <c r="F221" s="202" t="s">
        <v>197</v>
      </c>
      <c r="G221" s="198" t="e">
        <f>'Summary PL'!#REF!</f>
        <v>#REF!</v>
      </c>
      <c r="H221" s="134"/>
      <c r="I221" s="134"/>
      <c r="J221" s="134"/>
      <c r="K221" s="134"/>
      <c r="L221" s="134"/>
      <c r="M221" s="134"/>
      <c r="N221" s="137"/>
    </row>
    <row r="222" spans="1:14" s="4" customFormat="1" ht="25.2">
      <c r="A222" s="136" t="s">
        <v>198</v>
      </c>
      <c r="B222" s="134"/>
      <c r="C222" s="134"/>
      <c r="D222" s="134"/>
      <c r="E222" s="134"/>
      <c r="F222" s="198"/>
      <c r="G222" s="198"/>
      <c r="H222" s="134"/>
      <c r="I222" s="134"/>
      <c r="J222" s="134"/>
      <c r="K222" s="134"/>
      <c r="L222" s="134"/>
      <c r="M222" s="134"/>
      <c r="N222" s="137"/>
    </row>
    <row r="223" spans="1:14" s="3" customFormat="1" ht="10.199999999999999" customHeight="1">
      <c r="A223" s="136"/>
      <c r="B223" s="134"/>
      <c r="C223" s="134"/>
      <c r="D223" s="134"/>
      <c r="E223" s="134"/>
      <c r="F223" s="198"/>
      <c r="G223" s="198"/>
      <c r="H223" s="134"/>
      <c r="I223" s="134"/>
      <c r="J223" s="134"/>
      <c r="K223" s="134"/>
      <c r="L223" s="134"/>
      <c r="M223" s="134"/>
      <c r="N223" s="137"/>
    </row>
    <row r="224" spans="1:14" s="3" customFormat="1" ht="25.2">
      <c r="A224" s="136" t="s">
        <v>199</v>
      </c>
      <c r="B224" s="134"/>
      <c r="C224" s="134"/>
      <c r="D224" s="134"/>
      <c r="E224" s="134"/>
      <c r="F224" s="198" t="s">
        <v>192</v>
      </c>
      <c r="G224" s="204" t="e">
        <f>'Summary PL'!#REF!</f>
        <v>#REF!</v>
      </c>
      <c r="H224" s="198" t="s">
        <v>200</v>
      </c>
      <c r="I224" s="134"/>
      <c r="J224" s="134"/>
      <c r="K224" s="134"/>
      <c r="L224" s="134"/>
      <c r="M224" s="134"/>
      <c r="N224" s="137"/>
    </row>
    <row r="225" spans="1:14" s="4" customFormat="1" ht="25.2">
      <c r="A225" s="136" t="s">
        <v>201</v>
      </c>
      <c r="B225" s="134"/>
      <c r="C225" s="134"/>
      <c r="D225" s="134"/>
      <c r="E225" s="134"/>
      <c r="F225" s="198"/>
      <c r="G225" s="198"/>
      <c r="H225" s="198"/>
      <c r="I225" s="134"/>
      <c r="J225" s="134"/>
      <c r="K225" s="134"/>
      <c r="L225" s="134"/>
      <c r="M225" s="134"/>
      <c r="N225" s="137"/>
    </row>
    <row r="226" spans="1:14" s="3" customFormat="1" ht="10.199999999999999" customHeight="1">
      <c r="A226" s="136"/>
      <c r="B226" s="134"/>
      <c r="C226" s="134"/>
      <c r="D226" s="134"/>
      <c r="E226" s="134"/>
      <c r="F226" s="198"/>
      <c r="G226" s="198"/>
      <c r="H226" s="198"/>
      <c r="I226" s="134"/>
      <c r="J226" s="134"/>
      <c r="K226" s="134"/>
      <c r="L226" s="134"/>
      <c r="M226" s="134"/>
      <c r="N226" s="137"/>
    </row>
    <row r="227" spans="1:14" s="3" customFormat="1" ht="25.2">
      <c r="A227" s="136" t="s">
        <v>202</v>
      </c>
      <c r="B227" s="134"/>
      <c r="C227" s="134"/>
      <c r="D227" s="134"/>
      <c r="E227" s="134"/>
      <c r="F227" s="198" t="s">
        <v>192</v>
      </c>
      <c r="G227" s="204" t="e">
        <f>'Summary PL'!#REF!</f>
        <v>#REF!</v>
      </c>
      <c r="H227" s="198" t="s">
        <v>200</v>
      </c>
      <c r="I227" s="134"/>
      <c r="J227" s="134"/>
      <c r="K227" s="134"/>
      <c r="L227" s="134"/>
      <c r="M227" s="134"/>
      <c r="N227" s="137"/>
    </row>
    <row r="228" spans="1:14" s="4" customFormat="1" ht="25.2">
      <c r="A228" s="136" t="s">
        <v>203</v>
      </c>
      <c r="B228" s="134"/>
      <c r="C228" s="134"/>
      <c r="D228" s="134"/>
      <c r="E228" s="134"/>
      <c r="F228" s="198"/>
      <c r="G228" s="198"/>
      <c r="H228" s="134"/>
      <c r="I228" s="134"/>
      <c r="J228" s="134"/>
      <c r="K228" s="134"/>
      <c r="L228" s="134"/>
      <c r="M228" s="134"/>
      <c r="N228" s="137"/>
    </row>
    <row r="229" spans="1:14" s="3" customFormat="1" ht="10.199999999999999" customHeight="1">
      <c r="A229" s="136"/>
      <c r="B229" s="134"/>
      <c r="C229" s="134"/>
      <c r="D229" s="134"/>
      <c r="E229" s="134"/>
      <c r="F229" s="198"/>
      <c r="G229" s="198"/>
      <c r="H229" s="134"/>
      <c r="I229" s="134"/>
      <c r="J229" s="134"/>
      <c r="K229" s="134"/>
      <c r="L229" s="134"/>
      <c r="M229" s="134"/>
      <c r="N229" s="137"/>
    </row>
    <row r="230" spans="1:14" s="3" customFormat="1" ht="25.2">
      <c r="A230" s="140" t="s">
        <v>204</v>
      </c>
      <c r="B230" s="134"/>
      <c r="C230" s="134"/>
      <c r="D230" s="134"/>
      <c r="E230" s="134"/>
      <c r="F230" s="198" t="s">
        <v>192</v>
      </c>
      <c r="G230" s="238" t="e">
        <f>'Summary PL'!#REF!</f>
        <v>#REF!</v>
      </c>
      <c r="H230" s="205" t="s">
        <v>205</v>
      </c>
      <c r="I230" s="205"/>
      <c r="J230" s="205"/>
      <c r="K230" s="205"/>
      <c r="L230" s="134"/>
      <c r="M230" s="134"/>
      <c r="N230" s="137"/>
    </row>
    <row r="231" spans="1:14" s="4" customFormat="1" ht="25.2">
      <c r="A231" s="136" t="s">
        <v>206</v>
      </c>
      <c r="B231" s="134"/>
      <c r="C231" s="134"/>
      <c r="D231" s="134"/>
      <c r="E231" s="134"/>
      <c r="F231" s="198"/>
      <c r="G231" s="198"/>
      <c r="H231" s="134"/>
      <c r="I231" s="134"/>
      <c r="J231" s="134"/>
      <c r="K231" s="134"/>
      <c r="L231" s="134"/>
      <c r="M231" s="134"/>
      <c r="N231" s="137"/>
    </row>
    <row r="232" spans="1:14" s="3" customFormat="1" ht="10.199999999999999" customHeight="1">
      <c r="A232" s="136"/>
      <c r="B232" s="134"/>
      <c r="C232" s="134"/>
      <c r="D232" s="134"/>
      <c r="E232" s="134"/>
      <c r="F232" s="198"/>
      <c r="G232" s="198"/>
      <c r="H232" s="134"/>
      <c r="I232" s="134"/>
      <c r="J232" s="134"/>
      <c r="K232" s="134"/>
      <c r="L232" s="134"/>
      <c r="M232" s="134"/>
      <c r="N232" s="137"/>
    </row>
    <row r="233" spans="1:14" s="3" customFormat="1" ht="42">
      <c r="A233" s="136" t="s">
        <v>207</v>
      </c>
      <c r="B233" s="134"/>
      <c r="C233" s="134"/>
      <c r="D233" s="134"/>
      <c r="E233" s="134"/>
      <c r="F233" s="197" t="s">
        <v>208</v>
      </c>
      <c r="G233" s="405" t="s">
        <v>209</v>
      </c>
      <c r="H233" s="405"/>
      <c r="I233" s="405"/>
      <c r="J233" s="405"/>
      <c r="K233" s="405"/>
      <c r="L233" s="405"/>
      <c r="M233" s="405"/>
      <c r="N233" s="406"/>
    </row>
    <row r="234" spans="1:14" s="4" customFormat="1" ht="25.8" thickBot="1">
      <c r="A234" s="136" t="s">
        <v>210</v>
      </c>
      <c r="B234" s="134"/>
      <c r="C234" s="134"/>
      <c r="D234" s="134"/>
      <c r="E234" s="134"/>
      <c r="F234" s="198"/>
      <c r="G234" s="405"/>
      <c r="H234" s="405"/>
      <c r="I234" s="405"/>
      <c r="J234" s="405"/>
      <c r="K234" s="405"/>
      <c r="L234" s="405"/>
      <c r="M234" s="405"/>
      <c r="N234" s="406"/>
    </row>
    <row r="235" spans="1:14" ht="21" customHeight="1">
      <c r="A235" s="130"/>
      <c r="B235" s="131"/>
      <c r="C235" s="131"/>
      <c r="D235" s="131"/>
      <c r="E235" s="401" t="s">
        <v>211</v>
      </c>
      <c r="F235" s="403"/>
      <c r="G235" s="403"/>
      <c r="H235" s="403"/>
      <c r="I235" s="403"/>
      <c r="J235" s="403"/>
      <c r="K235" s="403"/>
      <c r="L235" s="132"/>
      <c r="M235" s="132"/>
      <c r="N235" s="133"/>
    </row>
    <row r="236" spans="1:14" ht="25.5" customHeight="1" thickBot="1">
      <c r="A236" s="141"/>
      <c r="B236" s="142"/>
      <c r="C236" s="142"/>
      <c r="D236" s="142"/>
      <c r="E236" s="404"/>
      <c r="F236" s="404"/>
      <c r="G236" s="404"/>
      <c r="H236" s="404"/>
      <c r="I236" s="404"/>
      <c r="J236" s="404"/>
      <c r="K236" s="404"/>
      <c r="L236" s="143"/>
      <c r="M236" s="143"/>
      <c r="N236" s="144"/>
    </row>
  </sheetData>
  <mergeCells count="21">
    <mergeCell ref="G233:N234"/>
    <mergeCell ref="E235:K236"/>
    <mergeCell ref="G97:N98"/>
    <mergeCell ref="G131:N132"/>
    <mergeCell ref="G165:N166"/>
    <mergeCell ref="G199:N200"/>
    <mergeCell ref="A205:N205"/>
    <mergeCell ref="A171:N171"/>
    <mergeCell ref="E201:K202"/>
    <mergeCell ref="E99:K100"/>
    <mergeCell ref="A103:N103"/>
    <mergeCell ref="E133:K134"/>
    <mergeCell ref="A137:N137"/>
    <mergeCell ref="E167:K168"/>
    <mergeCell ref="A1:N1"/>
    <mergeCell ref="E31:K32"/>
    <mergeCell ref="A35:N35"/>
    <mergeCell ref="E65:K66"/>
    <mergeCell ref="A69:N69"/>
    <mergeCell ref="G29:N30"/>
    <mergeCell ref="G63:N64"/>
  </mergeCells>
  <phoneticPr fontId="3" type="noConversion"/>
  <pageMargins left="0.51181102362204722" right="0.31496062992125984" top="0.74803149606299213" bottom="0.74803149606299213" header="0.31496062992125984" footer="0.31496062992125984"/>
  <pageSetup paperSize="9" scale="65" orientation="portrait" r:id="rId1"/>
  <rowBreaks count="6" manualBreakCount="6">
    <brk id="34" max="13" man="1"/>
    <brk id="68" max="13" man="1"/>
    <brk id="102" max="13" man="1"/>
    <brk id="136" max="13" man="1"/>
    <brk id="170" max="13" man="1"/>
    <brk id="202" max="1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9f7c1e1-83a5-4229-a38e-e6277fbbf6fd">
      <Terms xmlns="http://schemas.microsoft.com/office/infopath/2007/PartnerControls"/>
    </lcf76f155ced4ddcb4097134ff3c332f>
    <TaxCatchAll xmlns="fef966cc-bef1-4708-9a28-9bf000ac25c9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76A8A9E4CA0F45AAFC80BFBF834F74" ma:contentTypeVersion="15" ma:contentTypeDescription="Create a new document." ma:contentTypeScope="" ma:versionID="beef20afee5d77dd408cd1fd6a8dcc1b">
  <xsd:schema xmlns:xsd="http://www.w3.org/2001/XMLSchema" xmlns:xs="http://www.w3.org/2001/XMLSchema" xmlns:p="http://schemas.microsoft.com/office/2006/metadata/properties" xmlns:ns2="a9f7c1e1-83a5-4229-a38e-e6277fbbf6fd" xmlns:ns3="fef966cc-bef1-4708-9a28-9bf000ac25c9" targetNamespace="http://schemas.microsoft.com/office/2006/metadata/properties" ma:root="true" ma:fieldsID="9d8c174893f3f1cc9698c50a254fb350" ns2:_="" ns3:_="">
    <xsd:import namespace="a9f7c1e1-83a5-4229-a38e-e6277fbbf6fd"/>
    <xsd:import namespace="fef966cc-bef1-4708-9a28-9bf000ac25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OCR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f7c1e1-83a5-4229-a38e-e6277fbbf6f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c8a7d0b2-06ec-47a5-9bd5-a2ea2905d2b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f966cc-bef1-4708-9a28-9bf000ac25c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6b1c17e4-4bf8-4115-8d32-76efb337183c}" ma:internalName="TaxCatchAll" ma:showField="CatchAllData" ma:web="fef966cc-bef1-4708-9a28-9bf000ac25c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5B4D1C2-B3EB-4841-99C1-DE89D6CFBB09}">
  <ds:schemaRefs>
    <ds:schemaRef ds:uri="http://schemas.microsoft.com/office/2006/metadata/properties"/>
    <ds:schemaRef ds:uri="http://schemas.microsoft.com/office/infopath/2007/PartnerControls"/>
    <ds:schemaRef ds:uri="a9f7c1e1-83a5-4229-a38e-e6277fbbf6fd"/>
    <ds:schemaRef ds:uri="fef966cc-bef1-4708-9a28-9bf000ac25c9"/>
  </ds:schemaRefs>
</ds:datastoreItem>
</file>

<file path=customXml/itemProps2.xml><?xml version="1.0" encoding="utf-8"?>
<ds:datastoreItem xmlns:ds="http://schemas.openxmlformats.org/officeDocument/2006/customXml" ds:itemID="{1E2F6E15-20C8-4624-8B35-C780C648B2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9f7c1e1-83a5-4229-a38e-e6277fbbf6fd"/>
    <ds:schemaRef ds:uri="fef966cc-bef1-4708-9a28-9bf000ac25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322461D-902A-416E-9DA2-3663A258DF19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55c3c93c-4c7c-4709-9e9e-2b12e2d560ab}" enabled="1" method="Privileged" siteId="{9d1b3610-9ab0-42d5-93aa-46150d723d8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 지정된 범위</vt:lpstr>
      </vt:variant>
      <vt:variant>
        <vt:i4>8</vt:i4>
      </vt:variant>
    </vt:vector>
  </HeadingPairs>
  <TitlesOfParts>
    <vt:vector size="14" baseType="lpstr">
      <vt:lpstr>CI</vt:lpstr>
      <vt:lpstr>CI_BD</vt:lpstr>
      <vt:lpstr>PL</vt:lpstr>
      <vt:lpstr>Summary PL</vt:lpstr>
      <vt:lpstr>Detail PL</vt:lpstr>
      <vt:lpstr>Marking</vt:lpstr>
      <vt:lpstr>CI!Print_Area</vt:lpstr>
      <vt:lpstr>CI_BD!Print_Area</vt:lpstr>
      <vt:lpstr>'Detail PL'!Print_Area</vt:lpstr>
      <vt:lpstr>Marking!Print_Area</vt:lpstr>
      <vt:lpstr>PL!Print_Area</vt:lpstr>
      <vt:lpstr>'Summary PL'!Print_Area</vt:lpstr>
      <vt:lpstr>'Detail PL'!Print_Titles</vt:lpstr>
      <vt:lpstr>'Summary PL'!Print_Titles</vt:lpstr>
    </vt:vector>
  </TitlesOfParts>
  <Manager/>
  <Company>DHI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PL008564</dc:creator>
  <cp:keywords/>
  <dc:description/>
  <cp:lastModifiedBy>김유진(Yujin Kim) 선임 두산에너빌리티</cp:lastModifiedBy>
  <cp:revision/>
  <cp:lastPrinted>2026-06-29T06:47:33Z</cp:lastPrinted>
  <dcterms:created xsi:type="dcterms:W3CDTF">2016-03-15T11:01:58Z</dcterms:created>
  <dcterms:modified xsi:type="dcterms:W3CDTF">2026-07-07T01:34:48Z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0x010100F676A8A9E4CA0F45AAFC80BFBF834F74</vt:lpwstr>
  </property>
  <property fmtid="{D5CDD505-2E9C-101B-9397-08002B2CF9AE}" pid="3" name="MediaServiceImageTags">
    <vt:lpwstr/>
  </property>
</Properties>
</file>