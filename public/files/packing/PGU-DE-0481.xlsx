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urkistan\15. Cable\Packing List\"/>
    </mc:Choice>
  </mc:AlternateContent>
  <xr:revisionPtr revIDLastSave="0" documentId="8_{53F418C8-B139-4D0C-88D8-B866FB0E1686}" xr6:coauthVersionLast="47" xr6:coauthVersionMax="47" xr10:uidLastSave="{00000000-0000-0000-0000-000000000000}"/>
  <bookViews>
    <workbookView xWindow="-108" yWindow="-108" windowWidth="23256" windowHeight="12576" tabRatio="778" activeTab="3" xr2:uid="{00000000-000D-0000-FFFF-FFFF00000000}"/>
  </bookViews>
  <sheets>
    <sheet name="CI" sheetId="24" r:id="rId1"/>
    <sheet name="CI_BD" sheetId="25" r:id="rId2"/>
    <sheet name="PL" sheetId="20" r:id="rId3"/>
    <sheet name="Summary PL" sheetId="28" r:id="rId4"/>
    <sheet name="Detail PL" sheetId="30" r:id="rId5"/>
    <sheet name="Description" sheetId="31" state="hidden" r:id="rId6"/>
    <sheet name="Marking - 1" sheetId="32" state="hidden" r:id="rId7"/>
  </sheets>
  <externalReferences>
    <externalReference r:id="rId8"/>
  </externalReferences>
  <definedNames>
    <definedName name="_xlnm._FilterDatabase" localSheetId="1" hidden="1">CI_BD!$B$8:$M$35</definedName>
    <definedName name="_xlnm._FilterDatabase" localSheetId="4" hidden="1">'Detail PL'!$A$13:$V$66</definedName>
    <definedName name="_xlnm._FilterDatabase" localSheetId="3" hidden="1">'Summary PL'!$A$12:$P$13</definedName>
    <definedName name="AnnullaInseriscidata" localSheetId="5">#REF!</definedName>
    <definedName name="AnnullaInseriscidata">#REF!</definedName>
    <definedName name="InserisciData" localSheetId="5">#REF!</definedName>
    <definedName name="InserisciData">#REF!</definedName>
    <definedName name="_xlnm.Print_Area" localSheetId="0">CI!$A$1:$AC$59</definedName>
    <definedName name="_xlnm.Print_Area" localSheetId="1">CI_BD!$A$1:$M$35</definedName>
    <definedName name="_xlnm.Print_Area" localSheetId="5">Description!$A$1:$H$4</definedName>
    <definedName name="_xlnm.Print_Area" localSheetId="4">'Detail PL'!$A$1:$Q$67</definedName>
    <definedName name="_xlnm.Print_Area" localSheetId="6">'Marking - 1'!$A$1:$N$962</definedName>
    <definedName name="_xlnm.Print_Area" localSheetId="2">PL!$A$1:$AC$59</definedName>
    <definedName name="_xlnm.Print_Area" localSheetId="3">'Summary PL'!$A$1:$P$40</definedName>
    <definedName name="_xlnm.Print_Titles" localSheetId="4">'Detail PL'!$12:$13</definedName>
    <definedName name="_xlnm.Print_Titles" localSheetId="3">'Summary PL'!$9:$12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5" l="1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9" i="25"/>
  <c r="I34" i="25"/>
  <c r="I33" i="25"/>
  <c r="I32" i="25"/>
  <c r="I31" i="25"/>
  <c r="I30" i="25"/>
  <c r="I29" i="25"/>
  <c r="B10" i="28"/>
  <c r="B10" i="30" s="1"/>
  <c r="B11" i="28"/>
  <c r="B11" i="30" s="1"/>
  <c r="G837" i="32" l="1"/>
  <c r="G939" i="32"/>
  <c r="G934" i="32"/>
  <c r="G933" i="32"/>
  <c r="G932" i="32"/>
  <c r="G902" i="32"/>
  <c r="G897" i="32"/>
  <c r="G896" i="32"/>
  <c r="G895" i="32"/>
  <c r="G865" i="32"/>
  <c r="G860" i="32"/>
  <c r="G859" i="32"/>
  <c r="G858" i="32"/>
  <c r="G828" i="32"/>
  <c r="G823" i="32"/>
  <c r="G822" i="32"/>
  <c r="G821" i="32"/>
  <c r="G791" i="32"/>
  <c r="G786" i="32"/>
  <c r="G785" i="32"/>
  <c r="G784" i="32"/>
  <c r="G754" i="32"/>
  <c r="G749" i="32"/>
  <c r="G748" i="32"/>
  <c r="G747" i="32"/>
  <c r="G717" i="32"/>
  <c r="G712" i="32"/>
  <c r="G711" i="32"/>
  <c r="G710" i="32"/>
  <c r="G680" i="32"/>
  <c r="G675" i="32"/>
  <c r="G674" i="32"/>
  <c r="G673" i="32"/>
  <c r="G643" i="32"/>
  <c r="G638" i="32"/>
  <c r="G637" i="32"/>
  <c r="G636" i="32"/>
  <c r="G606" i="32"/>
  <c r="G601" i="32"/>
  <c r="G600" i="32"/>
  <c r="G599" i="32"/>
  <c r="G569" i="32"/>
  <c r="G564" i="32"/>
  <c r="G563" i="32"/>
  <c r="G562" i="32"/>
  <c r="J51" i="30"/>
  <c r="J49" i="30"/>
  <c r="J47" i="30"/>
  <c r="J45" i="30"/>
  <c r="J43" i="30"/>
  <c r="J41" i="30"/>
  <c r="J39" i="30"/>
  <c r="J37" i="30"/>
  <c r="J57" i="30"/>
  <c r="J55" i="30"/>
  <c r="J53" i="30"/>
  <c r="J65" i="30"/>
  <c r="K37" i="28"/>
  <c r="K34" i="28"/>
  <c r="K35" i="28"/>
  <c r="K30" i="28"/>
  <c r="K26" i="28"/>
  <c r="K25" i="28"/>
  <c r="K24" i="28"/>
  <c r="K23" i="28"/>
  <c r="K22" i="28"/>
  <c r="K21" i="28"/>
  <c r="K20" i="28"/>
  <c r="K19" i="28"/>
  <c r="K18" i="28"/>
  <c r="K17" i="28"/>
  <c r="K16" i="28"/>
  <c r="K15" i="28"/>
  <c r="M40" i="28"/>
  <c r="L40" i="28"/>
  <c r="E66" i="30"/>
  <c r="V8" i="24"/>
  <c r="G532" i="32"/>
  <c r="G527" i="32"/>
  <c r="G526" i="32"/>
  <c r="G525" i="32"/>
  <c r="G495" i="32"/>
  <c r="G490" i="32"/>
  <c r="G489" i="32"/>
  <c r="G488" i="32"/>
  <c r="G458" i="32"/>
  <c r="G453" i="32"/>
  <c r="G452" i="32"/>
  <c r="G451" i="32"/>
  <c r="G421" i="32"/>
  <c r="G416" i="32"/>
  <c r="G415" i="32"/>
  <c r="G414" i="32"/>
  <c r="G384" i="32"/>
  <c r="G379" i="32"/>
  <c r="G378" i="32"/>
  <c r="G377" i="32"/>
  <c r="G347" i="32"/>
  <c r="G342" i="32"/>
  <c r="G341" i="32"/>
  <c r="G340" i="32"/>
  <c r="G310" i="32"/>
  <c r="G305" i="32"/>
  <c r="G304" i="32"/>
  <c r="G303" i="32"/>
  <c r="G273" i="32"/>
  <c r="G268" i="32"/>
  <c r="G267" i="32"/>
  <c r="G266" i="32"/>
  <c r="G236" i="32"/>
  <c r="G231" i="32"/>
  <c r="G230" i="32"/>
  <c r="G229" i="32"/>
  <c r="G199" i="32"/>
  <c r="G194" i="32"/>
  <c r="G193" i="32"/>
  <c r="G192" i="32"/>
  <c r="G162" i="32"/>
  <c r="G157" i="32"/>
  <c r="G156" i="32"/>
  <c r="G155" i="32"/>
  <c r="G125" i="32"/>
  <c r="G120" i="32"/>
  <c r="G119" i="32"/>
  <c r="G118" i="32"/>
  <c r="P91" i="32"/>
  <c r="G91" i="32"/>
  <c r="G88" i="32"/>
  <c r="G83" i="32"/>
  <c r="G82" i="32"/>
  <c r="G81" i="32"/>
  <c r="P54" i="32"/>
  <c r="G51" i="32"/>
  <c r="G14" i="32"/>
  <c r="G63" i="32"/>
  <c r="G60" i="32"/>
  <c r="G57" i="32"/>
  <c r="G54" i="32"/>
  <c r="G46" i="32"/>
  <c r="G45" i="32"/>
  <c r="G44" i="32"/>
  <c r="G23" i="32"/>
  <c r="G26" i="32"/>
  <c r="G20" i="32"/>
  <c r="G17" i="32"/>
  <c r="J63" i="30"/>
  <c r="J61" i="30"/>
  <c r="J59" i="30"/>
  <c r="J35" i="30"/>
  <c r="J33" i="30"/>
  <c r="J31" i="30"/>
  <c r="J29" i="30"/>
  <c r="J27" i="30"/>
  <c r="J25" i="30"/>
  <c r="J23" i="30"/>
  <c r="J21" i="30"/>
  <c r="J19" i="30"/>
  <c r="J17" i="30"/>
  <c r="L66" i="30"/>
  <c r="K66" i="30"/>
  <c r="J15" i="30"/>
  <c r="V10" i="24"/>
  <c r="P128" i="32" l="1"/>
  <c r="G131" i="32" s="1"/>
  <c r="G94" i="32"/>
  <c r="G97" i="32"/>
  <c r="G100" i="32"/>
  <c r="G134" i="32" l="1"/>
  <c r="G128" i="32"/>
  <c r="P165" i="32"/>
  <c r="G137" i="32"/>
  <c r="Y29" i="20"/>
  <c r="F35" i="25"/>
  <c r="G174" i="32" l="1"/>
  <c r="G165" i="32"/>
  <c r="P202" i="32"/>
  <c r="G168" i="32"/>
  <c r="G171" i="32"/>
  <c r="G211" i="32" l="1"/>
  <c r="P239" i="32"/>
  <c r="G202" i="32"/>
  <c r="G205" i="32"/>
  <c r="G208" i="32"/>
  <c r="G9" i="32"/>
  <c r="G8" i="32"/>
  <c r="G7" i="32"/>
  <c r="G239" i="32" l="1"/>
  <c r="P276" i="32"/>
  <c r="G242" i="32"/>
  <c r="G245" i="32"/>
  <c r="G248" i="32"/>
  <c r="P313" i="32" l="1"/>
  <c r="G279" i="32"/>
  <c r="G282" i="32"/>
  <c r="G285" i="32"/>
  <c r="G276" i="32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9" i="25"/>
  <c r="U42" i="20"/>
  <c r="J66" i="30"/>
  <c r="Y30" i="20"/>
  <c r="Y30" i="24" s="1"/>
  <c r="Y29" i="24"/>
  <c r="K39" i="28"/>
  <c r="K38" i="28"/>
  <c r="K36" i="28"/>
  <c r="G288" i="32" s="1"/>
  <c r="K33" i="28"/>
  <c r="G251" i="32" s="1"/>
  <c r="K32" i="28"/>
  <c r="G214" i="32" s="1"/>
  <c r="K31" i="28"/>
  <c r="G177" i="32" s="1"/>
  <c r="K29" i="28"/>
  <c r="G140" i="32" s="1"/>
  <c r="K28" i="28"/>
  <c r="G103" i="32" s="1"/>
  <c r="K27" i="28"/>
  <c r="G66" i="32" s="1"/>
  <c r="K14" i="28"/>
  <c r="K40" i="28" l="1"/>
  <c r="Y32" i="20" s="1"/>
  <c r="G29" i="32"/>
  <c r="G313" i="32"/>
  <c r="G322" i="32"/>
  <c r="P350" i="32"/>
  <c r="G319" i="32"/>
  <c r="G325" i="32"/>
  <c r="G316" i="32"/>
  <c r="Y31" i="20"/>
  <c r="Y31" i="24" s="1"/>
  <c r="I35" i="25"/>
  <c r="F40" i="28"/>
  <c r="AA42" i="24" l="1"/>
  <c r="AA45" i="24" s="1"/>
  <c r="G353" i="32"/>
  <c r="P387" i="32"/>
  <c r="G350" i="32"/>
  <c r="G356" i="32"/>
  <c r="G362" i="32"/>
  <c r="G359" i="32"/>
  <c r="Y42" i="20"/>
  <c r="AC42" i="20"/>
  <c r="P424" i="32" l="1"/>
  <c r="G399" i="32"/>
  <c r="G396" i="32"/>
  <c r="G393" i="32"/>
  <c r="G387" i="32"/>
  <c r="G390" i="32"/>
  <c r="B9" i="30"/>
  <c r="G436" i="32" l="1"/>
  <c r="G424" i="32"/>
  <c r="P461" i="32"/>
  <c r="G430" i="32"/>
  <c r="G427" i="32"/>
  <c r="G433" i="32"/>
  <c r="B9" i="28"/>
  <c r="G473" i="32" l="1"/>
  <c r="P498" i="32"/>
  <c r="G461" i="32"/>
  <c r="G470" i="32"/>
  <c r="G464" i="32"/>
  <c r="G467" i="32"/>
  <c r="Y32" i="24"/>
  <c r="P535" i="32" l="1"/>
  <c r="P572" i="32" s="1"/>
  <c r="G498" i="32"/>
  <c r="G501" i="32"/>
  <c r="G504" i="32"/>
  <c r="G507" i="32"/>
  <c r="G510" i="32"/>
  <c r="B7" i="25"/>
  <c r="G584" i="32" l="1"/>
  <c r="G572" i="32"/>
  <c r="G575" i="32"/>
  <c r="P609" i="32"/>
  <c r="G581" i="32"/>
  <c r="G578" i="32"/>
  <c r="G535" i="32"/>
  <c r="G547" i="32"/>
  <c r="G544" i="32"/>
  <c r="G541" i="32"/>
  <c r="G538" i="32"/>
  <c r="AC45" i="20"/>
  <c r="Y45" i="20"/>
  <c r="U45" i="20"/>
  <c r="P646" i="32" l="1"/>
  <c r="G621" i="32"/>
  <c r="G618" i="32"/>
  <c r="G615" i="32"/>
  <c r="G612" i="32"/>
  <c r="G609" i="32"/>
  <c r="R45" i="20"/>
  <c r="G658" i="32" l="1"/>
  <c r="P683" i="32"/>
  <c r="G646" i="32"/>
  <c r="G649" i="32"/>
  <c r="G652" i="32"/>
  <c r="G655" i="32"/>
  <c r="G692" i="32" l="1"/>
  <c r="P720" i="32"/>
  <c r="G683" i="32"/>
  <c r="G686" i="32"/>
  <c r="G689" i="32"/>
  <c r="G695" i="32"/>
  <c r="P757" i="32" l="1"/>
  <c r="G720" i="32"/>
  <c r="G732" i="32"/>
  <c r="G729" i="32"/>
  <c r="G723" i="32"/>
  <c r="G726" i="32"/>
  <c r="G757" i="32" l="1"/>
  <c r="P794" i="32"/>
  <c r="G769" i="32"/>
  <c r="G763" i="32"/>
  <c r="G760" i="32"/>
  <c r="G766" i="32"/>
  <c r="G800" i="32" l="1"/>
  <c r="G797" i="32"/>
  <c r="G806" i="32"/>
  <c r="G803" i="32"/>
  <c r="G794" i="32"/>
  <c r="P831" i="32"/>
  <c r="G843" i="32" l="1"/>
  <c r="G831" i="32"/>
  <c r="G840" i="32"/>
  <c r="P868" i="32"/>
  <c r="G834" i="32"/>
  <c r="G880" i="32" l="1"/>
  <c r="G877" i="32"/>
  <c r="P905" i="32"/>
  <c r="G874" i="32"/>
  <c r="G871" i="32"/>
  <c r="G868" i="32"/>
  <c r="P942" i="32" l="1"/>
  <c r="G905" i="32"/>
  <c r="G917" i="32"/>
  <c r="G911" i="32"/>
  <c r="G908" i="32"/>
  <c r="G914" i="32"/>
  <c r="G942" i="32" l="1"/>
  <c r="G948" i="32"/>
  <c r="G945" i="32"/>
  <c r="G951" i="32"/>
  <c r="G954" i="32"/>
</calcChain>
</file>

<file path=xl/sharedStrings.xml><?xml version="1.0" encoding="utf-8"?>
<sst xmlns="http://schemas.openxmlformats.org/spreadsheetml/2006/main" count="1709" uniqueCount="258">
  <si>
    <t>HEAD OFFICE &amp; CHANGWON PLANT</t>
  </si>
  <si>
    <t>22, DoosanVolvo-ro, Seongsan-gu, Changwon-Si,</t>
    <phoneticPr fontId="9" type="noConversion"/>
  </si>
  <si>
    <t>Gyeongsangnam-do, Korea</t>
    <phoneticPr fontId="9" type="noConversion"/>
  </si>
  <si>
    <t>(P.O.BOX 77, Changwon, Korea)</t>
    <phoneticPr fontId="9" type="noConversion"/>
  </si>
  <si>
    <t>TEL:(055)278-6114,7114 FAX:(055)264-5551/2</t>
  </si>
  <si>
    <r>
      <t>PROFORMA INVOICE
ПРОФОРМА</t>
    </r>
    <r>
      <rPr>
        <b/>
        <sz val="16"/>
        <rFont val="맑은 고딕"/>
        <family val="2"/>
        <charset val="129"/>
      </rPr>
      <t xml:space="preserve"> </t>
    </r>
    <r>
      <rPr>
        <b/>
        <sz val="16"/>
        <rFont val="Calibri"/>
        <family val="2"/>
      </rPr>
      <t>ИНВОЙС</t>
    </r>
    <phoneticPr fontId="9" type="noConversion"/>
  </si>
  <si>
    <t>1. Shipper / Грузоотправитель</t>
    <phoneticPr fontId="9" type="noConversion"/>
  </si>
  <si>
    <t xml:space="preserve">11. Invoice № :  </t>
    <phoneticPr fontId="9" type="noConversion"/>
  </si>
  <si>
    <t>Doosan Enerbility Co., Ltd (DOOSAN)</t>
    <phoneticPr fontId="9" type="noConversion"/>
  </si>
  <si>
    <r>
      <t xml:space="preserve">Инвойс </t>
    </r>
    <r>
      <rPr>
        <b/>
        <sz val="9"/>
        <rFont val="Calibri"/>
        <family val="2"/>
      </rPr>
      <t>№</t>
    </r>
    <phoneticPr fontId="9" type="noConversion"/>
  </si>
  <si>
    <t xml:space="preserve">22, DoosanVolvo-ro, Seongsan-gu, Changwon-si, Gyeongsangnam-do, </t>
    <phoneticPr fontId="9" type="noConversion"/>
  </si>
  <si>
    <t xml:space="preserve">12. Date : </t>
    <phoneticPr fontId="9" type="noConversion"/>
  </si>
  <si>
    <t>Republic of Korea</t>
    <phoneticPr fontId="9" type="noConversion"/>
  </si>
  <si>
    <t xml:space="preserve">Дата </t>
    <phoneticPr fontId="9" type="noConversion"/>
  </si>
  <si>
    <t>2. Consignee / Грузополучатель</t>
    <phoneticPr fontId="9" type="noConversion"/>
  </si>
  <si>
    <t>13. Remarks / Примечания</t>
    <phoneticPr fontId="9" type="noConversion"/>
  </si>
  <si>
    <t>Branch of JSC "Doosan Enerbility" in the Turkestan region</t>
    <phoneticPr fontId="9" type="noConversion"/>
  </si>
  <si>
    <t>321 Tauke Khan Avenue, Turkestan region, Turkestan, Kazakhstan, 161200</t>
    <phoneticPr fontId="9" type="noConversion"/>
  </si>
  <si>
    <t>*Project Name / Название Проекта</t>
    <phoneticPr fontId="9" type="noConversion"/>
  </si>
  <si>
    <t>BIN: 230741006561</t>
    <phoneticPr fontId="9" type="noConversion"/>
  </si>
  <si>
    <t>Construction of a 1000 MW CCGT Power Plant in the Sairam District of</t>
    <phoneticPr fontId="9" type="noConversion"/>
  </si>
  <si>
    <t>Turkistan Region, Main Site. Without External Engineering Networks</t>
    <phoneticPr fontId="9" type="noConversion"/>
  </si>
  <si>
    <t>*MANUFACTURER'S NAME / НАЗВАНИЕ ПРОИЗВОДИТЕЛЯ</t>
    <phoneticPr fontId="9" type="noConversion"/>
  </si>
  <si>
    <t>3. Notify party / Уведомляемая сторона</t>
    <phoneticPr fontId="9" type="noConversion"/>
  </si>
  <si>
    <t>Wise Logistics</t>
  </si>
  <si>
    <t>*MANUFACTURE YEAR / ГОД ИЗГОТОВЛЕНИЯ</t>
    <phoneticPr fontId="9" type="noConversion"/>
  </si>
  <si>
    <t xml:space="preserve">ATTAN: MS. Aliya </t>
  </si>
  <si>
    <t>(E): a.kipshakbayeva@wiselogistics.kz</t>
  </si>
  <si>
    <t>*COUNTRY OF ORIGIN / СТРАНА ПРОИСХОЖДЕНИЯ</t>
    <phoneticPr fontId="9" type="noConversion"/>
  </si>
  <si>
    <t>(T): +7 701 512 19 69</t>
  </si>
  <si>
    <t>Republic of Korea</t>
  </si>
  <si>
    <t>*INCOTERMS / УСЛОВИЯ ПОСТАВКИ СОГЛАСНО ИНКОТЕРМС</t>
    <phoneticPr fontId="9" type="noConversion"/>
  </si>
  <si>
    <t>DDP Turkistan</t>
  </si>
  <si>
    <t>4. Port of Loading / Порт погрузки</t>
    <phoneticPr fontId="9" type="noConversion"/>
  </si>
  <si>
    <t>5. Carrier / Перевозчик</t>
    <phoneticPr fontId="9" type="noConversion"/>
  </si>
  <si>
    <t>14. Mark and Numbers of PKGS / Маркировка и количество упаковок</t>
    <phoneticPr fontId="9" type="noConversion"/>
  </si>
  <si>
    <t>Later</t>
    <phoneticPr fontId="3" type="noConversion"/>
  </si>
  <si>
    <t>PKG No.</t>
    <phoneticPr fontId="9" type="noConversion"/>
  </si>
  <si>
    <t>:</t>
    <phoneticPr fontId="9" type="noConversion"/>
  </si>
  <si>
    <t>PGU-DE-0481-PoCable-001,…026</t>
    <phoneticPr fontId="9" type="noConversion"/>
  </si>
  <si>
    <t>6. Port of Unloading / Порт разгрузки</t>
    <phoneticPr fontId="9" type="noConversion"/>
  </si>
  <si>
    <t>7. Final Destination / Конечный пункт назначения</t>
    <phoneticPr fontId="9" type="noConversion"/>
  </si>
  <si>
    <t>Q-ty of Package</t>
    <phoneticPr fontId="9" type="noConversion"/>
  </si>
  <si>
    <t>PKGS</t>
    <phoneticPr fontId="9" type="noConversion"/>
  </si>
  <si>
    <t>Net Weight (kg)</t>
    <phoneticPr fontId="9" type="noConversion"/>
  </si>
  <si>
    <t>KG</t>
    <phoneticPr fontId="9" type="noConversion"/>
  </si>
  <si>
    <t>Gross Weight (kg)</t>
    <phoneticPr fontId="9" type="noConversion"/>
  </si>
  <si>
    <t>Dimension (m3)</t>
    <phoneticPr fontId="9" type="noConversion"/>
  </si>
  <si>
    <r>
      <t>m</t>
    </r>
    <r>
      <rPr>
        <vertAlign val="superscript"/>
        <sz val="11"/>
        <rFont val="Calibri"/>
        <family val="2"/>
      </rPr>
      <t>3</t>
    </r>
    <phoneticPr fontId="9" type="noConversion"/>
  </si>
  <si>
    <r>
      <t xml:space="preserve">8. Voyage No / Рейс </t>
    </r>
    <r>
      <rPr>
        <b/>
        <sz val="11"/>
        <rFont val="Segoe UI Symbol"/>
        <family val="2"/>
      </rPr>
      <t>№</t>
    </r>
    <phoneticPr fontId="9" type="noConversion"/>
  </si>
  <si>
    <t>9. Sailing on or about / Дата или
ожидаемая дата</t>
    <phoneticPr fontId="9" type="noConversion"/>
  </si>
  <si>
    <t>10. Customs Place / Место таможенного оформления</t>
    <phoneticPr fontId="3" type="noConversion"/>
  </si>
  <si>
    <t>15. Description of Goods / Описание товара</t>
    <phoneticPr fontId="9" type="noConversion"/>
  </si>
  <si>
    <t>16. HS CODE /</t>
    <phoneticPr fontId="9" type="noConversion"/>
  </si>
  <si>
    <t>17. Quantity /</t>
    <phoneticPr fontId="9" type="noConversion"/>
  </si>
  <si>
    <t>18. Total Price (USD)</t>
    <phoneticPr fontId="9" type="noConversion"/>
  </si>
  <si>
    <t>Код ТН ВЭД</t>
    <phoneticPr fontId="9" type="noConversion"/>
  </si>
  <si>
    <t>Количество</t>
    <phoneticPr fontId="9" type="noConversion"/>
  </si>
  <si>
    <t>Общая сумма (Дол. США)</t>
    <phoneticPr fontId="9" type="noConversion"/>
  </si>
  <si>
    <t>Total (DDP Value)</t>
    <phoneticPr fontId="9" type="noConversion"/>
  </si>
  <si>
    <t>Signed by</t>
  </si>
  <si>
    <t>Doosan Enerbility Co., Ltd</t>
    <phoneticPr fontId="9" type="noConversion"/>
  </si>
  <si>
    <t>155, Jeongjail-ro, Bundang-gu, Seongnam-si, Gyeonggi-do, Korea</t>
    <phoneticPr fontId="9" type="noConversion"/>
  </si>
  <si>
    <t>Tel. +82 31 5179 2045</t>
    <phoneticPr fontId="9" type="noConversion"/>
  </si>
  <si>
    <t>Gihun Bek / Project Director</t>
    <phoneticPr fontId="38" type="noConversion"/>
  </si>
  <si>
    <t>Fax. +82 31 5179 2197</t>
    <phoneticPr fontId="9" type="noConversion"/>
  </si>
  <si>
    <t>Doosan Enerbility Co., Ltd.</t>
    <phoneticPr fontId="9" type="noConversion"/>
  </si>
  <si>
    <t>INVOICE (Break-down)</t>
    <phoneticPr fontId="9" type="noConversion"/>
  </si>
  <si>
    <t xml:space="preserve">Invoice № :  </t>
    <phoneticPr fontId="9" type="noConversion"/>
  </si>
  <si>
    <t>№</t>
    <phoneticPr fontId="9" type="noConversion"/>
  </si>
  <si>
    <t>№ Package</t>
    <phoneticPr fontId="9" type="noConversion"/>
  </si>
  <si>
    <t>Description of Goods Specification</t>
    <phoneticPr fontId="9" type="noConversion"/>
  </si>
  <si>
    <t>HS CODE</t>
    <phoneticPr fontId="9" type="noConversion"/>
  </si>
  <si>
    <t>Quantity</t>
    <phoneticPr fontId="9" type="noConversion"/>
  </si>
  <si>
    <t>Unit</t>
    <phoneticPr fontId="9" type="noConversion"/>
  </si>
  <si>
    <t>U/Price
(USD)</t>
    <phoneticPr fontId="3" type="noConversion"/>
  </si>
  <si>
    <t>Amount
(USD)</t>
    <phoneticPr fontId="3" type="noConversion"/>
  </si>
  <si>
    <t>Country of
Origin</t>
    <phoneticPr fontId="9" type="noConversion"/>
  </si>
  <si>
    <t>Remark</t>
    <phoneticPr fontId="9" type="noConversion"/>
  </si>
  <si>
    <t>EA</t>
    <phoneticPr fontId="3" type="noConversion"/>
  </si>
  <si>
    <t>TOTAL</t>
    <phoneticPr fontId="9" type="noConversion"/>
  </si>
  <si>
    <t>PACKING LIST
УПАКОВОЧНЫЙ ЛИСТ</t>
    <phoneticPr fontId="9" type="noConversion"/>
  </si>
  <si>
    <r>
      <t xml:space="preserve">11. Invoice </t>
    </r>
    <r>
      <rPr>
        <b/>
        <sz val="10"/>
        <rFont val="Calibri"/>
        <family val="2"/>
      </rPr>
      <t xml:space="preserve">№ :  </t>
    </r>
    <phoneticPr fontId="9" type="noConversion"/>
  </si>
  <si>
    <t>PGU-DE-0481</t>
    <phoneticPr fontId="9" type="noConversion"/>
  </si>
  <si>
    <t>16. Q-ty</t>
    <phoneticPr fontId="3" type="noConversion"/>
  </si>
  <si>
    <t>17. Net Weight</t>
    <phoneticPr fontId="3" type="noConversion"/>
  </si>
  <si>
    <t>18. Gross Weight</t>
    <phoneticPr fontId="3" type="noConversion"/>
  </si>
  <si>
    <t>19. Measurement</t>
    <phoneticPr fontId="3" type="noConversion"/>
  </si>
  <si>
    <t>(EA)</t>
    <phoneticPr fontId="3" type="noConversion"/>
  </si>
  <si>
    <t>(kg)</t>
    <phoneticPr fontId="3" type="noConversion"/>
  </si>
  <si>
    <t>(CBM)</t>
    <phoneticPr fontId="3" type="noConversion"/>
  </si>
  <si>
    <t>0.6/1kV CU/XLPE/LSZH for power cable</t>
    <phoneticPr fontId="9" type="noConversion"/>
  </si>
  <si>
    <t>Tel. +82 31 5179 2041</t>
    <phoneticPr fontId="9" type="noConversion"/>
  </si>
  <si>
    <t xml:space="preserve"> Gihun Bek / Project Director</t>
    <phoneticPr fontId="38" type="noConversion"/>
  </si>
  <si>
    <t>Note&gt;</t>
    <phoneticPr fontId="3" type="noConversion"/>
  </si>
  <si>
    <t>Storage Classification "A" :</t>
    <phoneticPr fontId="9" type="noConversion"/>
  </si>
  <si>
    <t>Indoor with Air-conditioning</t>
    <phoneticPr fontId="9" type="noConversion"/>
  </si>
  <si>
    <t>Storage Classification "B" :</t>
    <phoneticPr fontId="9" type="noConversion"/>
  </si>
  <si>
    <t>Indoor without Air-conditioning</t>
    <phoneticPr fontId="9" type="noConversion"/>
  </si>
  <si>
    <t>Storage Classification "C" :</t>
    <phoneticPr fontId="9" type="noConversion"/>
  </si>
  <si>
    <t>Outdoor with Waterproofing</t>
    <phoneticPr fontId="9" type="noConversion"/>
  </si>
  <si>
    <t>Storage Classification "D" :</t>
    <phoneticPr fontId="9" type="noConversion"/>
  </si>
  <si>
    <t>Outdoor without Waterproofing</t>
    <phoneticPr fontId="9" type="noConversion"/>
  </si>
  <si>
    <t>SUMMARY PACKING LIST
CВОДНЫЙ УПАКОВОЧНЫЙ ЛИСТ</t>
    <phoneticPr fontId="9" type="noConversion"/>
  </si>
  <si>
    <t>Project Name:</t>
    <phoneticPr fontId="9" type="noConversion"/>
  </si>
  <si>
    <t>Construction of a 1000 MW CCGT Power Plant in the Sairam District of the Turkistan Region</t>
    <phoneticPr fontId="3" type="noConversion"/>
  </si>
  <si>
    <t>Main Site. Without External Engineering Networks</t>
    <phoneticPr fontId="3" type="noConversion"/>
  </si>
  <si>
    <t xml:space="preserve">Invoice №: </t>
    <phoneticPr fontId="9" type="noConversion"/>
  </si>
  <si>
    <t xml:space="preserve">Name of Consignee: </t>
  </si>
  <si>
    <t xml:space="preserve">Consignee address: </t>
  </si>
  <si>
    <t>№</t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</si>
  <si>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3" type="noConversion"/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</si>
  <si>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9" type="noConversion"/>
  </si>
  <si>
    <t>Description / 
Описание</t>
    <phoneticPr fontId="9" type="noConversion"/>
  </si>
  <si>
    <t>Packing Style / 
Вид упаковки</t>
    <phoneticPr fontId="9" type="noConversion"/>
  </si>
  <si>
    <t>Quantity / Количество</t>
    <phoneticPr fontId="9" type="noConversion"/>
  </si>
  <si>
    <t>Shipping Dimension / Отгрузочные параметры</t>
    <phoneticPr fontId="3" type="noConversion"/>
  </si>
  <si>
    <t>Net Weight (kg) / 
Вес нетто (кг)</t>
    <phoneticPr fontId="9" type="noConversion"/>
  </si>
  <si>
    <t>Gross Weight (kg) / 
Вес брутто (кг)</t>
    <phoneticPr fontId="9" type="noConversion"/>
  </si>
  <si>
    <t xml:space="preserve">Hazardous Material 
(UN Number) </t>
    <phoneticPr fontId="9" type="noConversion"/>
  </si>
  <si>
    <t>Storage Class /
Класс хранения</t>
    <phoneticPr fontId="9" type="noConversion"/>
  </si>
  <si>
    <t>Stackable / 
Штабелируемый</t>
    <phoneticPr fontId="9" type="noConversion"/>
  </si>
  <si>
    <t>Q'ty / 
Количество</t>
    <phoneticPr fontId="9" type="noConversion"/>
  </si>
  <si>
    <t>Unit / 
Ед.изм.</t>
    <phoneticPr fontId="9" type="noConversion"/>
  </si>
  <si>
    <t>L (cm) /
Д (см)</t>
    <phoneticPr fontId="3" type="noConversion"/>
  </si>
  <si>
    <t>W (cm) / 
Ш (см)</t>
    <phoneticPr fontId="9" type="noConversion"/>
  </si>
  <si>
    <t>H (cm) / 
В (см)</t>
    <phoneticPr fontId="9" type="noConversion"/>
  </si>
  <si>
    <t>CBM (m3) /
Объем (м3)</t>
    <phoneticPr fontId="9" type="noConversion"/>
  </si>
  <si>
    <t>PGU-DE-0481-AIS-PoCable-001</t>
    <phoneticPr fontId="3" type="noConversion"/>
  </si>
  <si>
    <t>Power Cable</t>
  </si>
  <si>
    <t xml:space="preserve">Wooden drum </t>
    <phoneticPr fontId="3" type="noConversion"/>
  </si>
  <si>
    <t>EA/ШТ.</t>
    <phoneticPr fontId="3" type="noConversion"/>
  </si>
  <si>
    <t>NA</t>
    <phoneticPr fontId="3" type="noConversion"/>
  </si>
  <si>
    <t>D</t>
    <phoneticPr fontId="3" type="noConversion"/>
  </si>
  <si>
    <t>N</t>
    <phoneticPr fontId="3" type="noConversion"/>
  </si>
  <si>
    <t>PGU-DE-0481-AIS-PoCable-002</t>
  </si>
  <si>
    <t>PGU-DE-0481-AIS-PoCable-003</t>
  </si>
  <si>
    <t>PGU-DE-0481-AIS-PoCable-004</t>
  </si>
  <si>
    <t>PGU-DE-0481-AIS-PoCable-005</t>
  </si>
  <si>
    <t>PGU-DE-0481-AIS-PoCable-006</t>
  </si>
  <si>
    <t>PGU-DE-0481-AIS-PoCable-007</t>
  </si>
  <si>
    <t>PGU-DE-0481-AIS-PoCable-008</t>
  </si>
  <si>
    <t>PGU-DE-0481-AIS-PoCable-009</t>
  </si>
  <si>
    <t>PGU-DE-0481-AIS-PoCable-010</t>
  </si>
  <si>
    <t>PGU-DE-0481-AIS-PoCable-011</t>
  </si>
  <si>
    <t>PGU-DE-0481-AIS-PoCable-012</t>
  </si>
  <si>
    <t>PGU-DE-0481-AIS-PoCable-013</t>
  </si>
  <si>
    <t>PGU-DE-0481-AIS-PoCable-014</t>
  </si>
  <si>
    <t>PGU-DE-0481-AIS-PoCable-015</t>
  </si>
  <si>
    <t>PGU-DE-0481-AIS-PoCable-016</t>
  </si>
  <si>
    <t>PGU-DE-0481-AIS-PoCable-017</t>
  </si>
  <si>
    <t>PGU-DE-0481-AIS-PoCable-018</t>
  </si>
  <si>
    <t>PGU-DE-0481-AIS-PoCable-019</t>
  </si>
  <si>
    <t>PGU-DE-0481-AIS-PoCable-020</t>
  </si>
  <si>
    <t>PGU-DE-0481-AIS-PoCable-021</t>
  </si>
  <si>
    <t>PGU-DE-0481-AIS-PoCable-022</t>
  </si>
  <si>
    <t>PGU-DE-0481-AIS-PoCable-023</t>
  </si>
  <si>
    <t>PGU-DE-0481-AIS-PoCable-024</t>
  </si>
  <si>
    <t>PGU-DE-0481-AIS-PoCable-025</t>
  </si>
  <si>
    <t>PGU-DE-0481-AIS-PoCable-026</t>
  </si>
  <si>
    <t>TOTAL / ИТОГО</t>
    <phoneticPr fontId="9" type="noConversion"/>
  </si>
  <si>
    <t>HEAD OFFICE &amp; CHANGWON PLANT</t>
    <phoneticPr fontId="3" type="noConversion"/>
  </si>
  <si>
    <t>DETAILED PACKING LIST 
ПОДРОБНЫЙ УПАКОВОЧНЫЙ ЛИСТ</t>
    <phoneticPr fontId="9" type="noConversion"/>
  </si>
  <si>
    <r>
      <t>Package No./ 
Номер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упаковки</t>
    </r>
    <phoneticPr fontId="9" type="noConversion"/>
  </si>
  <si>
    <t>Description / Описание</t>
    <phoneticPr fontId="9" type="noConversion"/>
  </si>
  <si>
    <t>HS Code / Код ТН ВЭД</t>
    <phoneticPr fontId="3" type="noConversion"/>
  </si>
  <si>
    <t>Net Weight (kg) / Вес нетто (кг)</t>
    <phoneticPr fontId="9" type="noConversion"/>
  </si>
  <si>
    <t>Gross Weight (kg) / Вес брутто (кг)</t>
    <phoneticPr fontId="9" type="noConversion"/>
  </si>
  <si>
    <t>Drawing No. / 
№ чертежа</t>
    <phoneticPr fontId="3" type="noConversion"/>
  </si>
  <si>
    <t>Tag No. / 
№ Тег</t>
    <phoneticPr fontId="3" type="noConversion"/>
  </si>
  <si>
    <t>Unit Price (US$) / цена заединицу</t>
    <phoneticPr fontId="9" type="noConversion"/>
  </si>
  <si>
    <t>Total Price (US$) / Общая цена</t>
    <phoneticPr fontId="9" type="noConversion"/>
  </si>
  <si>
    <t>Remark / 
Примечания</t>
    <phoneticPr fontId="9" type="noConversion"/>
  </si>
  <si>
    <t>Q'ty / Кол-во</t>
    <phoneticPr fontId="9" type="noConversion"/>
  </si>
  <si>
    <t>Unit / Ед.
изм.</t>
    <phoneticPr fontId="9" type="noConversion"/>
  </si>
  <si>
    <t>W (cm) / Ш
(см)</t>
    <phoneticPr fontId="9" type="noConversion"/>
  </si>
  <si>
    <t>H (cm) / В
(см)</t>
    <phoneticPr fontId="9" type="noConversion"/>
  </si>
  <si>
    <t>PGU-DE-0481-AIS-PoCable-001</t>
  </si>
  <si>
    <t>0.6/1kV CU/XLPE/LSZH 3Cx4sqmm, 2000m</t>
  </si>
  <si>
    <t>8544.49.2012</t>
    <phoneticPr fontId="3" type="noConversion"/>
  </si>
  <si>
    <t>EA/ШТ.</t>
  </si>
  <si>
    <t>CCP-W-B022-35-EL-B16-0002</t>
  </si>
  <si>
    <t>0.6/1kV CU/XLPE/LSZH 3Cx4sqmm, 2000m</t>
    <phoneticPr fontId="3" type="noConversion"/>
  </si>
  <si>
    <t>0.6/1kV CU/XLPE/LSZH 3Cx4sqmm, 900m</t>
  </si>
  <si>
    <t>0.6/1kV CU/XLPE/LSZH 3Cx10sqmm, 500m</t>
  </si>
  <si>
    <t>0.6/1kV CU/XLPE/LSZH 4Cx50sqmm, 1000m</t>
    <phoneticPr fontId="3" type="noConversion"/>
  </si>
  <si>
    <t>0.6/1kV CU/XLPE/LSZH 4Cx50sqmm, 1100m</t>
  </si>
  <si>
    <t>0.6/1kV CU/XLPE/LSZH 5Cx4sqmm, 1800m</t>
  </si>
  <si>
    <t>0.6/1kV CU/XLPE/LSZH 5Cx10sqmm, 1600m</t>
    <phoneticPr fontId="3" type="noConversion"/>
  </si>
  <si>
    <t>0.6/1kV CU/XLPE/LSZH 5Cx16sqmm, 1600m</t>
    <phoneticPr fontId="3" type="noConversion"/>
  </si>
  <si>
    <t>0.6/1kV CU/XLPE/LSZH 5Cx16sqmm, 1500m</t>
  </si>
  <si>
    <t>0.6/1kV CU/XLPE/LSZH 2Cx50sqmm, 400m</t>
  </si>
  <si>
    <t>TOTAL/ ИТОГО</t>
    <phoneticPr fontId="9" type="noConversion"/>
  </si>
  <si>
    <t>Technical Description</t>
    <phoneticPr fontId="3" type="noConversion"/>
  </si>
  <si>
    <t>Name</t>
    <phoneticPr fontId="3" type="noConversion"/>
  </si>
  <si>
    <t>Q-ty</t>
    <phoneticPr fontId="3" type="noConversion"/>
  </si>
  <si>
    <t>Model-Part No.</t>
  </si>
  <si>
    <t>Kind of material</t>
    <phoneticPr fontId="3" type="noConversion"/>
  </si>
  <si>
    <t>Size/specification/ Usage</t>
  </si>
  <si>
    <t>Photo</t>
  </si>
  <si>
    <t xml:space="preserve">Manufacturer / Origin </t>
    <phoneticPr fontId="70" type="noConversion"/>
  </si>
  <si>
    <t>HS Code</t>
    <phoneticPr fontId="70" type="noConversion"/>
  </si>
  <si>
    <t>0.6/1kV CU/XLPE/LSZH</t>
  </si>
  <si>
    <t>8 EA</t>
    <phoneticPr fontId="3" type="noConversion"/>
  </si>
  <si>
    <t>XLPE, Copper</t>
    <phoneticPr fontId="3" type="noConversion"/>
  </si>
  <si>
    <t>Power cable for 220V AC/DC</t>
    <phoneticPr fontId="3" type="noConversion"/>
  </si>
  <si>
    <t>iljin Electric</t>
  </si>
  <si>
    <t>SHIPPING MARK
ГРУЗОВАЯ МАРКИРОВКА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</si>
  <si>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5" type="noConversion"/>
  </si>
  <si>
    <t xml:space="preserve">: </t>
    <phoneticPr fontId="5" type="noConversion"/>
  </si>
  <si>
    <t>Construction of a 1000 MW CCGT Power Plant in the Sairam District of the Turkistan Region, Main Site. Without External Engineering Networks</t>
  </si>
  <si>
    <t xml:space="preserve">    НАЗВАНИЕ ПРОЕКТА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</si>
  <si>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5" type="noConversion"/>
  </si>
  <si>
    <t xml:space="preserve">: </t>
    <phoneticPr fontId="3" type="noConversion"/>
  </si>
  <si>
    <t xml:space="preserve">    ГРУЗОПОЛУЧАТЕЛЬ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</si>
  <si>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5" type="noConversion"/>
  </si>
  <si>
    <t>: Doosan Enerbility Co., LTD</t>
    <phoneticPr fontId="5" type="noConversion"/>
  </si>
  <si>
    <t xml:space="preserve">     Грузоотправитель/Экспортер</t>
    <phoneticPr fontId="5" type="noConversion"/>
  </si>
  <si>
    <t xml:space="preserve">  22, Doosan Volvo-ro, Sengsan-gu, Changwon, Gyeongnam, South Korea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</si>
  <si>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5" type="noConversion"/>
  </si>
  <si>
    <t>:</t>
    <phoneticPr fontId="5" type="noConversion"/>
  </si>
  <si>
    <t xml:space="preserve">    № инвойса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</si>
  <si>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3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</si>
  <si>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</si>
  <si>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</si>
  <si>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3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</si>
  <si>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</si>
  <si>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5" type="noConversion"/>
  </si>
  <si>
    <t>Kg</t>
    <phoneticPr fontId="5" type="noConversion"/>
  </si>
  <si>
    <t xml:space="preserve">    ВЕС НЕТТО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</si>
  <si>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5" type="noConversion"/>
  </si>
  <si>
    <t xml:space="preserve">    ВЕС БРУТТО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</si>
  <si>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5" type="noConversion"/>
  </si>
  <si>
    <t>m3</t>
    <phoneticPr fontId="3" type="noConversion"/>
  </si>
  <si>
    <t xml:space="preserve">    РАЗМЕРЫ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</si>
  <si>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</si>
  <si>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 later 
</t>
    <phoneticPr fontId="5" type="noConversion"/>
  </si>
  <si>
    <t>Republic of Kazakhstan, Turkestan Oblast, Sairam district, Karamurt rural district, quarter 171</t>
  </si>
  <si>
    <t xml:space="preserve">    КОНЕЧНЫЙ ПУНКТ НАЗНАЧЕНИЯ</t>
  </si>
  <si>
    <t>Doosan Enerbility</t>
    <phoneticPr fontId="5" type="noConversion"/>
  </si>
  <si>
    <t xml:space="preserve">Name of Consignee: </t>
    <phoneticPr fontId="9" type="noConversion"/>
  </si>
  <si>
    <t>Кабель управления и кабель питания ОРУ</t>
    <phoneticPr fontId="9" type="noConversion"/>
  </si>
  <si>
    <t>/ комплект</t>
    <phoneticPr fontId="9" type="noConversion"/>
  </si>
  <si>
    <t>8544.49-2012</t>
    <phoneticPr fontId="3" type="noConversion"/>
  </si>
  <si>
    <t>Korea</t>
    <phoneticPr fontId="3" type="noConversion"/>
  </si>
  <si>
    <t>Turkestan region, Sairam district</t>
    <phoneticPr fontId="3" type="noConversion"/>
  </si>
  <si>
    <t>Busan, Korea</t>
  </si>
  <si>
    <t>Busan, Korea</t>
    <phoneticPr fontId="3" type="noConversion"/>
  </si>
  <si>
    <t>7. Final Destination / Конечный пункт 
назначения</t>
    <phoneticPr fontId="9" type="noConversion"/>
  </si>
  <si>
    <t>8544.49-2012</t>
    <phoneticPr fontId="9" type="noConversion"/>
  </si>
  <si>
    <t>YPP (Iljin Electric)</t>
  </si>
  <si>
    <t>YPP (Iljin Electric)</t>
    <phoneticPr fontId="9" type="noConversion"/>
  </si>
  <si>
    <t>Lianyungang, China</t>
    <phoneticPr fontId="3" type="noConversion"/>
  </si>
  <si>
    <t>LING YUN HE
746W</t>
    <phoneticPr fontId="3" type="noConversion"/>
  </si>
  <si>
    <t>PGU-DE-0481-AIS-PoCable-001</t>
    <phoneticPr fontId="3" type="noConversion"/>
  </si>
  <si>
    <r>
      <t xml:space="preserve">Power Cable / </t>
    </r>
    <r>
      <rPr>
        <sz val="12"/>
        <color rgb="FF000099"/>
        <rFont val="Calibri"/>
        <family val="2"/>
      </rPr>
      <t>Кабель питания для ОРУ</t>
    </r>
    <phoneticPr fontId="3" type="noConversion"/>
  </si>
  <si>
    <t>Кабель питания для ОРУ</t>
    <phoneticPr fontId="9" type="noConversion"/>
  </si>
  <si>
    <t>CNTR NO.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</si>
</sst>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_);[Red]\(0\)"/>
    <numFmt numFmtId="178" formatCode="0.000_);[Red]\(0.000\)"/>
    <numFmt numFmtId="179" formatCode="#,##0.00_ "/>
    <numFmt numFmtId="180" formatCode="#,##0_ "/>
    <numFmt numFmtId="181" formatCode="_(* #,##0_);_(* \(#,##0\);_(* &quot;-&quot;??_);_(@_)"/>
    <numFmt numFmtId="182" formatCode="#,##0\ &quot;EA&quot;"/>
    <numFmt numFmtId="183" formatCode="#,##0.000;[Red]\-#,##0.000"/>
    <numFmt numFmtId="184" formatCode="_-* #,##0.000_-;\-* #,##0.000_-;_-* &quot;-&quot;_-;_-@_-"/>
    <numFmt numFmtId="185" formatCode="#,##0\ &quot;SET&quot;"/>
  </numFmts>
  <fonts count="8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name val="ＭＳ Ｐゴシック"/>
      <family val="2"/>
      <charset val="128"/>
    </font>
    <font>
      <sz val="10.5"/>
      <color theme="1"/>
      <name val="Calibri"/>
      <family val="2"/>
    </font>
    <font>
      <sz val="8"/>
      <name val="돋움"/>
      <family val="3"/>
      <charset val="129"/>
    </font>
    <font>
      <sz val="11"/>
      <name val="Calibri"/>
      <family val="2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0"/>
      <name val="Calibri"/>
      <family val="2"/>
    </font>
    <font>
      <b/>
      <sz val="14"/>
      <name val="Calibri"/>
      <family val="2"/>
    </font>
    <font>
      <sz val="11"/>
      <name val="Arial"/>
      <family val="2"/>
    </font>
    <font>
      <sz val="13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  <font>
      <sz val="11"/>
      <name val="굴림체"/>
      <family val="3"/>
      <charset val="129"/>
    </font>
    <font>
      <i/>
      <sz val="12"/>
      <name val="Calibri"/>
      <family val="2"/>
    </font>
    <font>
      <b/>
      <sz val="12"/>
      <color theme="0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sz val="11"/>
      <color indexed="10"/>
      <name val="Calibri"/>
      <family val="2"/>
    </font>
    <font>
      <sz val="11"/>
      <color rgb="FF000000"/>
      <name val="Calibri"/>
      <family val="2"/>
    </font>
    <font>
      <sz val="11"/>
      <color rgb="FF0000CC"/>
      <name val="Calibri"/>
      <family val="2"/>
    </font>
    <font>
      <sz val="11"/>
      <color rgb="FF0000CC"/>
      <name val="Arial"/>
      <family val="2"/>
    </font>
    <font>
      <sz val="8"/>
      <name val="돋움"/>
      <family val="3"/>
    </font>
    <font>
      <b/>
      <sz val="12"/>
      <name val="Calibri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name val="Arial"/>
      <family val="2"/>
    </font>
    <font>
      <sz val="16"/>
      <name val="Calibri"/>
      <family val="2"/>
    </font>
    <font>
      <b/>
      <sz val="24"/>
      <name val="Calibri"/>
      <family val="2"/>
    </font>
    <font>
      <b/>
      <sz val="16"/>
      <name val="맑은 고딕"/>
      <family val="3"/>
      <charset val="129"/>
    </font>
    <font>
      <sz val="16"/>
      <name val="맑은 고딕"/>
      <family val="3"/>
      <charset val="129"/>
      <scheme val="minor"/>
    </font>
    <font>
      <b/>
      <sz val="16"/>
      <name val="Calibri"/>
      <family val="3"/>
    </font>
    <font>
      <b/>
      <sz val="16"/>
      <name val="Segoe UI Symbol"/>
      <family val="3"/>
    </font>
    <font>
      <sz val="11"/>
      <color theme="1"/>
      <name val="Calibri"/>
      <family val="2"/>
    </font>
    <font>
      <sz val="8"/>
      <name val="Arial"/>
      <family val="2"/>
    </font>
    <font>
      <b/>
      <sz val="11"/>
      <name val="Segoe UI Symbol"/>
      <family val="2"/>
    </font>
    <font>
      <sz val="12"/>
      <name val="Segoe UI Symbol"/>
      <family val="2"/>
    </font>
    <font>
      <sz val="12"/>
      <name val="맑은 고딕"/>
      <family val="2"/>
      <charset val="129"/>
    </font>
    <font>
      <b/>
      <i/>
      <sz val="12"/>
      <name val="Calibri"/>
      <family val="2"/>
    </font>
    <font>
      <vertAlign val="superscript"/>
      <sz val="11"/>
      <name val="Calibri"/>
      <family val="2"/>
    </font>
    <font>
      <sz val="9"/>
      <name val="맑은 고딕"/>
      <family val="3"/>
      <charset val="129"/>
      <scheme val="minor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i/>
      <sz val="12"/>
      <color rgb="FF0000CC"/>
      <name val="Calibri"/>
      <family val="2"/>
    </font>
    <font>
      <b/>
      <sz val="15"/>
      <color theme="3"/>
      <name val="맑은 고딕"/>
      <family val="2"/>
      <charset val="129"/>
      <scheme val="minor"/>
    </font>
    <font>
      <b/>
      <sz val="11"/>
      <color rgb="FF000000"/>
      <name val="Calibri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name val="Calibri"/>
      <family val="2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sz val="11.5"/>
      <color theme="0"/>
      <name val="Calibri"/>
      <family val="2"/>
    </font>
    <font>
      <sz val="11.5"/>
      <name val="Arial"/>
      <family val="2"/>
    </font>
    <font>
      <sz val="9"/>
      <name val="맑은 고딕"/>
      <family val="3"/>
      <charset val="134"/>
      <scheme val="minor"/>
    </font>
    <font>
      <sz val="16"/>
      <color theme="1"/>
      <name val="Calibri"/>
      <family val="2"/>
    </font>
    <font>
      <b/>
      <sz val="16"/>
      <name val="맑은 고딕"/>
      <family val="2"/>
      <charset val="129"/>
    </font>
    <font>
      <b/>
      <sz val="13"/>
      <name val="Calibri"/>
      <family val="2"/>
    </font>
    <font>
      <sz val="13"/>
      <name val="Arial"/>
      <family val="2"/>
    </font>
    <font>
      <b/>
      <sz val="13"/>
      <color theme="1"/>
      <name val="Calibri"/>
      <family val="2"/>
    </font>
    <font>
      <b/>
      <i/>
      <sz val="13"/>
      <color rgb="FF0000CC"/>
      <name val="Calibri"/>
      <family val="2"/>
    </font>
    <font>
      <b/>
      <sz val="12.5"/>
      <name val="Calibri"/>
      <family val="2"/>
    </font>
    <font>
      <sz val="12.5"/>
      <name val="Calibri"/>
      <family val="2"/>
    </font>
    <font>
      <sz val="12.5"/>
      <name val="Arial"/>
      <family val="2"/>
    </font>
    <font>
      <sz val="11"/>
      <color rgb="FF0000FF"/>
      <name val="Calibri"/>
      <family val="2"/>
    </font>
    <font>
      <sz val="12"/>
      <color rgb="FF000099"/>
      <name val="Calibri"/>
      <family val="2"/>
    </font>
    <font>
      <sz val="11"/>
      <color rgb="FF00009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/>
    <xf numFmtId="4" fontId="29" fillId="0" borderId="0">
      <protection locked="0"/>
    </xf>
    <xf numFmtId="0" fontId="40" fillId="0" borderId="0"/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0" fontId="61" fillId="0" borderId="47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516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0" borderId="0" xfId="12" applyFont="1">
      <alignment vertical="center"/>
    </xf>
    <xf numFmtId="0" fontId="14" fillId="0" borderId="0" xfId="12" applyFont="1" applyAlignment="1">
      <alignment vertical="center" wrapText="1"/>
    </xf>
    <xf numFmtId="41" fontId="14" fillId="0" borderId="0" xfId="13" applyFont="1">
      <alignment vertical="center"/>
    </xf>
    <xf numFmtId="0" fontId="14" fillId="0" borderId="0" xfId="12" applyFont="1" applyAlignment="1">
      <alignment horizontal="center" vertical="center"/>
    </xf>
    <xf numFmtId="0" fontId="16" fillId="0" borderId="0" xfId="12" applyFont="1">
      <alignment vertical="center"/>
    </xf>
    <xf numFmtId="0" fontId="14" fillId="0" borderId="0" xfId="12" applyFont="1" applyAlignment="1">
      <alignment horizontal="left" vertical="center"/>
    </xf>
    <xf numFmtId="0" fontId="16" fillId="0" borderId="0" xfId="12" applyFont="1" applyAlignment="1">
      <alignment vertical="center" wrapText="1"/>
    </xf>
    <xf numFmtId="0" fontId="17" fillId="0" borderId="0" xfId="12" applyFont="1" applyAlignment="1">
      <alignment vertical="center" wrapText="1"/>
    </xf>
    <xf numFmtId="0" fontId="4" fillId="0" borderId="0" xfId="12" applyFont="1" applyAlignment="1">
      <alignment vertical="center" wrapText="1"/>
    </xf>
    <xf numFmtId="0" fontId="4" fillId="0" borderId="0" xfId="12" applyFont="1">
      <alignment vertical="center"/>
    </xf>
    <xf numFmtId="0" fontId="18" fillId="0" borderId="0" xfId="12" applyFont="1">
      <alignment vertical="center"/>
    </xf>
    <xf numFmtId="0" fontId="10" fillId="0" borderId="0" xfId="12" applyFont="1" applyAlignment="1">
      <alignment horizontal="center" vertical="center"/>
    </xf>
    <xf numFmtId="176" fontId="10" fillId="0" borderId="0" xfId="13" applyNumberFormat="1" applyFont="1">
      <alignment vertical="center"/>
    </xf>
    <xf numFmtId="0" fontId="10" fillId="0" borderId="0" xfId="12" applyFont="1">
      <alignment vertical="center"/>
    </xf>
    <xf numFmtId="178" fontId="14" fillId="0" borderId="0" xfId="12" applyNumberFormat="1" applyFont="1" applyAlignment="1">
      <alignment horizontal="left" vertical="center"/>
    </xf>
    <xf numFmtId="0" fontId="19" fillId="0" borderId="0" xfId="12" applyFont="1">
      <alignment vertical="center"/>
    </xf>
    <xf numFmtId="0" fontId="21" fillId="0" borderId="0" xfId="12" applyFont="1">
      <alignment vertical="center"/>
    </xf>
    <xf numFmtId="0" fontId="20" fillId="0" borderId="0" xfId="12" applyFont="1" applyAlignment="1">
      <alignment vertical="center" wrapText="1"/>
    </xf>
    <xf numFmtId="0" fontId="20" fillId="0" borderId="0" xfId="12" applyFont="1">
      <alignment vertical="center"/>
    </xf>
    <xf numFmtId="40" fontId="22" fillId="0" borderId="1" xfId="13" applyNumberFormat="1" applyFont="1" applyFill="1" applyBorder="1" applyAlignment="1">
      <alignment horizontal="center" vertical="center"/>
    </xf>
    <xf numFmtId="41" fontId="22" fillId="2" borderId="1" xfId="13" applyFont="1" applyFill="1" applyBorder="1" applyAlignment="1">
      <alignment horizontal="center" vertical="center"/>
    </xf>
    <xf numFmtId="176" fontId="22" fillId="2" borderId="1" xfId="13" applyNumberFormat="1" applyFont="1" applyFill="1" applyBorder="1" applyAlignment="1">
      <alignment horizontal="center" vertical="center"/>
    </xf>
    <xf numFmtId="0" fontId="25" fillId="0" borderId="0" xfId="12" applyFont="1">
      <alignment vertical="center"/>
    </xf>
    <xf numFmtId="0" fontId="22" fillId="0" borderId="0" xfId="12" applyFont="1" applyAlignment="1">
      <alignment vertical="center" wrapText="1"/>
    </xf>
    <xf numFmtId="0" fontId="22" fillId="0" borderId="0" xfId="12" applyFont="1" applyAlignment="1">
      <alignment horizontal="left" vertical="center" wrapText="1"/>
    </xf>
    <xf numFmtId="0" fontId="26" fillId="0" borderId="0" xfId="12" applyFont="1" applyAlignment="1">
      <alignment horizontal="left" vertical="center" wrapText="1"/>
    </xf>
    <xf numFmtId="0" fontId="27" fillId="0" borderId="0" xfId="12" applyFont="1" applyAlignment="1">
      <alignment vertical="center" wrapText="1"/>
    </xf>
    <xf numFmtId="0" fontId="27" fillId="0" borderId="0" xfId="12" applyFont="1">
      <alignment vertical="center"/>
    </xf>
    <xf numFmtId="0" fontId="28" fillId="0" borderId="0" xfId="12" applyFont="1" applyAlignment="1">
      <alignment horizontal="left" vertical="center" wrapText="1"/>
    </xf>
    <xf numFmtId="41" fontId="14" fillId="0" borderId="0" xfId="13" applyFont="1" applyBorder="1" applyAlignment="1">
      <alignment horizontal="center" vertical="center"/>
    </xf>
    <xf numFmtId="38" fontId="14" fillId="0" borderId="0" xfId="13" applyNumberFormat="1" applyFont="1" applyBorder="1" applyAlignment="1">
      <alignment horizontal="center" vertical="center"/>
    </xf>
    <xf numFmtId="180" fontId="14" fillId="0" borderId="0" xfId="12" applyNumberFormat="1" applyFont="1" applyAlignment="1">
      <alignment horizontal="center" vertical="center"/>
    </xf>
    <xf numFmtId="178" fontId="14" fillId="0" borderId="0" xfId="12" applyNumberFormat="1" applyFont="1" applyAlignment="1">
      <alignment horizontal="center" vertical="center"/>
    </xf>
    <xf numFmtId="0" fontId="14" fillId="0" borderId="0" xfId="12" applyFont="1" applyAlignment="1">
      <alignment horizontal="left" vertical="center" wrapText="1"/>
    </xf>
    <xf numFmtId="41" fontId="14" fillId="0" borderId="0" xfId="13" applyFont="1" applyFill="1" applyBorder="1" applyAlignment="1">
      <alignment horizontal="center" vertical="center"/>
    </xf>
    <xf numFmtId="181" fontId="14" fillId="0" borderId="0" xfId="15" applyNumberFormat="1" applyFont="1" applyAlignment="1">
      <alignment horizontal="center" vertical="center"/>
      <protection locked="0"/>
    </xf>
    <xf numFmtId="41" fontId="14" fillId="0" borderId="0" xfId="13" applyFont="1" applyFill="1" applyBorder="1" applyAlignment="1">
      <alignment horizontal="left" vertical="center"/>
    </xf>
    <xf numFmtId="38" fontId="14" fillId="0" borderId="0" xfId="13" applyNumberFormat="1" applyFont="1" applyBorder="1" applyAlignment="1">
      <alignment horizontal="left" vertical="center"/>
    </xf>
    <xf numFmtId="0" fontId="16" fillId="0" borderId="0" xfId="12" applyFont="1" applyAlignment="1">
      <alignment horizontal="left" vertical="center" wrapText="1"/>
    </xf>
    <xf numFmtId="0" fontId="16" fillId="0" borderId="0" xfId="12" applyFont="1" applyAlignment="1">
      <alignment horizontal="left" vertical="center"/>
    </xf>
    <xf numFmtId="178" fontId="30" fillId="0" borderId="0" xfId="12" applyNumberFormat="1" applyFont="1" applyAlignment="1">
      <alignment horizontal="center" vertical="center"/>
    </xf>
    <xf numFmtId="0" fontId="17" fillId="0" borderId="0" xfId="12" applyFont="1">
      <alignment vertical="center"/>
    </xf>
    <xf numFmtId="41" fontId="17" fillId="0" borderId="0" xfId="13" applyFont="1" applyBorder="1">
      <alignment vertical="center"/>
    </xf>
    <xf numFmtId="0" fontId="17" fillId="0" borderId="0" xfId="12" applyFont="1" applyAlignment="1">
      <alignment horizontal="center" vertical="center"/>
    </xf>
    <xf numFmtId="176" fontId="17" fillId="0" borderId="0" xfId="13" applyNumberFormat="1" applyFont="1" applyBorder="1">
      <alignment vertical="center"/>
    </xf>
    <xf numFmtId="178" fontId="17" fillId="0" borderId="0" xfId="12" applyNumberFormat="1" applyFont="1">
      <alignment vertical="center"/>
    </xf>
    <xf numFmtId="41" fontId="17" fillId="0" borderId="0" xfId="13" applyFont="1">
      <alignment vertical="center"/>
    </xf>
    <xf numFmtId="176" fontId="17" fillId="0" borderId="0" xfId="13" applyNumberFormat="1" applyFont="1">
      <alignment vertical="center"/>
    </xf>
    <xf numFmtId="176" fontId="14" fillId="0" borderId="0" xfId="1" applyNumberFormat="1" applyFont="1">
      <alignment vertical="center"/>
    </xf>
    <xf numFmtId="176" fontId="10" fillId="0" borderId="0" xfId="1" applyNumberFormat="1" applyFont="1">
      <alignment vertical="center"/>
    </xf>
    <xf numFmtId="176" fontId="22" fillId="2" borderId="1" xfId="1" applyNumberFormat="1" applyFont="1" applyFill="1" applyBorder="1" applyAlignment="1">
      <alignment horizontal="right" vertical="center"/>
    </xf>
    <xf numFmtId="176" fontId="14" fillId="0" borderId="0" xfId="1" applyNumberFormat="1" applyFont="1" applyBorder="1" applyAlignment="1">
      <alignment horizontal="center" vertical="center"/>
    </xf>
    <xf numFmtId="176" fontId="14" fillId="0" borderId="0" xfId="1" applyNumberFormat="1" applyFont="1" applyBorder="1" applyAlignment="1">
      <alignment horizontal="left" vertical="center"/>
    </xf>
    <xf numFmtId="176" fontId="14" fillId="0" borderId="0" xfId="1" applyNumberFormat="1" applyFont="1" applyAlignment="1">
      <alignment horizontal="center" vertical="center"/>
    </xf>
    <xf numFmtId="176" fontId="17" fillId="0" borderId="0" xfId="1" applyNumberFormat="1" applyFont="1" applyBorder="1">
      <alignment vertical="center"/>
    </xf>
    <xf numFmtId="176" fontId="17" fillId="0" borderId="0" xfId="1" applyNumberFormat="1" applyFont="1">
      <alignment vertical="center"/>
    </xf>
    <xf numFmtId="0" fontId="36" fillId="0" borderId="0" xfId="12" applyFont="1">
      <alignment vertical="center"/>
    </xf>
    <xf numFmtId="0" fontId="37" fillId="0" borderId="0" xfId="12" applyFont="1">
      <alignment vertical="center"/>
    </xf>
    <xf numFmtId="176" fontId="32" fillId="0" borderId="0" xfId="13" applyNumberFormat="1" applyFont="1" applyFill="1" applyBorder="1" applyAlignment="1">
      <alignment vertical="center"/>
    </xf>
    <xf numFmtId="179" fontId="10" fillId="0" borderId="28" xfId="13" applyNumberFormat="1" applyFont="1" applyFill="1" applyBorder="1" applyAlignment="1">
      <alignment vertical="center"/>
    </xf>
    <xf numFmtId="179" fontId="10" fillId="0" borderId="0" xfId="13" applyNumberFormat="1" applyFont="1" applyFill="1" applyBorder="1" applyAlignment="1">
      <alignment vertical="center"/>
    </xf>
    <xf numFmtId="179" fontId="10" fillId="0" borderId="10" xfId="13" applyNumberFormat="1" applyFont="1" applyFill="1" applyBorder="1" applyAlignment="1">
      <alignment vertical="center"/>
    </xf>
    <xf numFmtId="178" fontId="39" fillId="0" borderId="41" xfId="13" applyNumberFormat="1" applyFont="1" applyBorder="1" applyAlignment="1">
      <alignment horizontal="right" vertical="center"/>
    </xf>
    <xf numFmtId="176" fontId="10" fillId="0" borderId="28" xfId="13" applyNumberFormat="1" applyFont="1" applyFill="1" applyBorder="1" applyAlignment="1">
      <alignment vertical="center"/>
    </xf>
    <xf numFmtId="176" fontId="10" fillId="0" borderId="0" xfId="13" applyNumberFormat="1" applyFont="1" applyFill="1" applyBorder="1" applyAlignment="1">
      <alignment vertical="center"/>
    </xf>
    <xf numFmtId="176" fontId="10" fillId="0" borderId="10" xfId="13" applyNumberFormat="1" applyFont="1" applyFill="1" applyBorder="1" applyAlignment="1">
      <alignment vertical="center"/>
    </xf>
    <xf numFmtId="0" fontId="31" fillId="0" borderId="0" xfId="12" applyFont="1">
      <alignment vertical="center"/>
    </xf>
    <xf numFmtId="0" fontId="31" fillId="0" borderId="0" xfId="12" applyFont="1" applyAlignment="1">
      <alignment horizontal="right" vertical="center"/>
    </xf>
    <xf numFmtId="0" fontId="17" fillId="0" borderId="0" xfId="12" applyFont="1" applyAlignment="1">
      <alignment horizontal="right" vertical="center"/>
    </xf>
    <xf numFmtId="0" fontId="43" fillId="0" borderId="0" xfId="12" applyFont="1">
      <alignment vertical="center"/>
    </xf>
    <xf numFmtId="0" fontId="42" fillId="0" borderId="1" xfId="12" applyFont="1" applyBorder="1" applyAlignment="1">
      <alignment horizontal="center" vertical="center"/>
    </xf>
    <xf numFmtId="0" fontId="42" fillId="0" borderId="1" xfId="12" applyFont="1" applyBorder="1" applyAlignment="1">
      <alignment horizontal="center" vertical="center" wrapText="1"/>
    </xf>
    <xf numFmtId="176" fontId="42" fillId="0" borderId="1" xfId="13" applyNumberFormat="1" applyFont="1" applyFill="1" applyBorder="1" applyAlignment="1">
      <alignment horizontal="center" vertical="center" wrapText="1"/>
    </xf>
    <xf numFmtId="40" fontId="42" fillId="0" borderId="1" xfId="13" applyNumberFormat="1" applyFont="1" applyBorder="1" applyAlignment="1">
      <alignment horizontal="center" vertical="center"/>
    </xf>
    <xf numFmtId="40" fontId="10" fillId="0" borderId="0" xfId="13" applyNumberFormat="1" applyFont="1" applyBorder="1">
      <alignment vertical="center"/>
    </xf>
    <xf numFmtId="40" fontId="10" fillId="0" borderId="0" xfId="13" applyNumberFormat="1" applyFont="1">
      <alignment vertical="center"/>
    </xf>
    <xf numFmtId="41" fontId="14" fillId="0" borderId="0" xfId="1" applyFont="1">
      <alignment vertical="center"/>
    </xf>
    <xf numFmtId="41" fontId="31" fillId="0" borderId="0" xfId="1" applyFont="1">
      <alignment vertical="center"/>
    </xf>
    <xf numFmtId="41" fontId="17" fillId="0" borderId="0" xfId="1" applyFont="1">
      <alignment vertical="center"/>
    </xf>
    <xf numFmtId="179" fontId="10" fillId="0" borderId="27" xfId="13" applyNumberFormat="1" applyFont="1" applyFill="1" applyBorder="1" applyAlignment="1">
      <alignment vertical="center"/>
    </xf>
    <xf numFmtId="176" fontId="19" fillId="0" borderId="0" xfId="1" applyNumberFormat="1" applyFont="1">
      <alignment vertical="center"/>
    </xf>
    <xf numFmtId="43" fontId="19" fillId="0" borderId="0" xfId="12" applyNumberFormat="1" applyFont="1">
      <alignment vertical="center"/>
    </xf>
    <xf numFmtId="178" fontId="39" fillId="0" borderId="42" xfId="13" applyNumberFormat="1" applyFont="1" applyBorder="1" applyAlignment="1">
      <alignment horizontal="left" vertical="center"/>
    </xf>
    <xf numFmtId="178" fontId="30" fillId="0" borderId="0" xfId="12" applyNumberFormat="1" applyFont="1" applyAlignment="1">
      <alignment horizontal="left" vertical="center"/>
    </xf>
    <xf numFmtId="178" fontId="17" fillId="0" borderId="0" xfId="12" applyNumberFormat="1" applyFont="1" applyAlignment="1">
      <alignment horizontal="left" vertical="center"/>
    </xf>
    <xf numFmtId="0" fontId="24" fillId="0" borderId="0" xfId="12" applyFont="1" applyAlignment="1">
      <alignment vertical="center" wrapText="1"/>
    </xf>
    <xf numFmtId="0" fontId="24" fillId="0" borderId="0" xfId="12" applyFont="1">
      <alignment vertical="center"/>
    </xf>
    <xf numFmtId="176" fontId="15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22" fillId="0" borderId="1" xfId="1" applyNumberFormat="1" applyFont="1" applyBorder="1" applyAlignment="1">
      <alignment horizontal="center" vertical="center" wrapText="1"/>
    </xf>
    <xf numFmtId="176" fontId="14" fillId="0" borderId="0" xfId="1" applyNumberFormat="1" applyFont="1" applyAlignment="1">
      <alignment horizontal="left" vertical="center"/>
    </xf>
    <xf numFmtId="176" fontId="30" fillId="0" borderId="0" xfId="1" applyNumberFormat="1" applyFont="1" applyAlignment="1">
      <alignment horizontal="center" vertical="center"/>
    </xf>
    <xf numFmtId="176" fontId="22" fillId="2" borderId="18" xfId="13" applyNumberFormat="1" applyFont="1" applyFill="1" applyBorder="1" applyAlignment="1">
      <alignment horizontal="left" vertical="center"/>
    </xf>
    <xf numFmtId="0" fontId="44" fillId="2" borderId="7" xfId="0" applyFont="1" applyFill="1" applyBorder="1">
      <alignment vertical="center"/>
    </xf>
    <xf numFmtId="0" fontId="44" fillId="2" borderId="6" xfId="0" applyFont="1" applyFill="1" applyBorder="1">
      <alignment vertical="center"/>
    </xf>
    <xf numFmtId="0" fontId="42" fillId="2" borderId="6" xfId="0" applyFont="1" applyFill="1" applyBorder="1">
      <alignment vertical="center"/>
    </xf>
    <xf numFmtId="0" fontId="42" fillId="2" borderId="8" xfId="0" applyFont="1" applyFill="1" applyBorder="1">
      <alignment vertical="center"/>
    </xf>
    <xf numFmtId="0" fontId="44" fillId="2" borderId="0" xfId="0" applyFont="1" applyFill="1">
      <alignment vertical="center"/>
    </xf>
    <xf numFmtId="0" fontId="42" fillId="2" borderId="0" xfId="0" applyFont="1" applyFill="1">
      <alignment vertical="center"/>
    </xf>
    <xf numFmtId="0" fontId="13" fillId="2" borderId="9" xfId="0" applyFont="1" applyFill="1" applyBorder="1">
      <alignment vertical="center"/>
    </xf>
    <xf numFmtId="0" fontId="44" fillId="2" borderId="10" xfId="0" applyFont="1" applyFill="1" applyBorder="1">
      <alignment vertical="center"/>
    </xf>
    <xf numFmtId="0" fontId="13" fillId="0" borderId="9" xfId="0" applyFont="1" applyBorder="1">
      <alignment vertical="center"/>
    </xf>
    <xf numFmtId="0" fontId="44" fillId="0" borderId="10" xfId="0" applyFont="1" applyBorder="1">
      <alignment vertical="center"/>
    </xf>
    <xf numFmtId="0" fontId="48" fillId="2" borderId="9" xfId="0" applyFont="1" applyFill="1" applyBorder="1">
      <alignment vertical="center"/>
    </xf>
    <xf numFmtId="0" fontId="44" fillId="2" borderId="14" xfId="0" applyFont="1" applyFill="1" applyBorder="1">
      <alignment vertical="center"/>
    </xf>
    <xf numFmtId="0" fontId="44" fillId="2" borderId="4" xfId="0" applyFont="1" applyFill="1" applyBorder="1">
      <alignment vertical="center"/>
    </xf>
    <xf numFmtId="0" fontId="42" fillId="2" borderId="4" xfId="0" applyFont="1" applyFill="1" applyBorder="1">
      <alignment vertical="center"/>
    </xf>
    <xf numFmtId="0" fontId="42" fillId="2" borderId="20" xfId="0" applyFont="1" applyFill="1" applyBorder="1">
      <alignment vertical="center"/>
    </xf>
    <xf numFmtId="41" fontId="42" fillId="0" borderId="1" xfId="12" quotePrefix="1" applyNumberFormat="1" applyFont="1" applyBorder="1" applyAlignment="1">
      <alignment horizontal="center" vertical="center" wrapText="1"/>
    </xf>
    <xf numFmtId="177" fontId="32" fillId="0" borderId="27" xfId="12" applyNumberFormat="1" applyFont="1" applyBorder="1">
      <alignment vertical="center"/>
    </xf>
    <xf numFmtId="0" fontId="48" fillId="2" borderId="9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4" fillId="0" borderId="0" xfId="12" applyFont="1" applyAlignment="1">
      <alignment horizontal="right" vertical="center" wrapText="1"/>
    </xf>
    <xf numFmtId="0" fontId="51" fillId="0" borderId="0" xfId="0" applyFont="1" applyAlignment="1">
      <alignment horizontal="left" vertical="center"/>
    </xf>
    <xf numFmtId="40" fontId="39" fillId="0" borderId="41" xfId="13" applyNumberFormat="1" applyFont="1" applyFill="1" applyBorder="1" applyAlignment="1">
      <alignment horizontal="right" vertical="center"/>
    </xf>
    <xf numFmtId="0" fontId="13" fillId="0" borderId="0" xfId="12" applyFont="1" applyAlignment="1">
      <alignment horizontal="center" vertical="center"/>
    </xf>
    <xf numFmtId="176" fontId="32" fillId="0" borderId="0" xfId="1" applyNumberFormat="1" applyFont="1" applyFill="1" applyBorder="1" applyAlignment="1">
      <alignment vertical="center"/>
    </xf>
    <xf numFmtId="0" fontId="19" fillId="0" borderId="2" xfId="12" applyFont="1" applyBorder="1">
      <alignment vertical="center"/>
    </xf>
    <xf numFmtId="0" fontId="32" fillId="0" borderId="3" xfId="12" applyFont="1" applyBorder="1" applyAlignment="1">
      <alignment vertical="top"/>
    </xf>
    <xf numFmtId="0" fontId="32" fillId="0" borderId="12" xfId="12" applyFont="1" applyBorder="1" applyAlignment="1">
      <alignment vertical="top"/>
    </xf>
    <xf numFmtId="0" fontId="39" fillId="0" borderId="0" xfId="12" applyFont="1" applyAlignment="1">
      <alignment vertical="center" wrapText="1"/>
    </xf>
    <xf numFmtId="0" fontId="39" fillId="0" borderId="0" xfId="12" applyFont="1" applyAlignment="1">
      <alignment horizontal="left" vertical="center" wrapText="1"/>
    </xf>
    <xf numFmtId="0" fontId="55" fillId="0" borderId="0" xfId="12" applyFont="1" applyAlignment="1">
      <alignment vertical="center" wrapText="1"/>
    </xf>
    <xf numFmtId="0" fontId="55" fillId="0" borderId="0" xfId="12" applyFont="1">
      <alignment vertical="center"/>
    </xf>
    <xf numFmtId="184" fontId="10" fillId="0" borderId="10" xfId="1" applyNumberFormat="1" applyFont="1" applyFill="1" applyBorder="1" applyAlignment="1">
      <alignment vertical="center"/>
    </xf>
    <xf numFmtId="184" fontId="32" fillId="0" borderId="16" xfId="1" applyNumberFormat="1" applyFont="1" applyFill="1" applyBorder="1" applyAlignment="1">
      <alignment vertical="center"/>
    </xf>
    <xf numFmtId="0" fontId="22" fillId="0" borderId="5" xfId="12" applyFont="1" applyBorder="1" applyAlignment="1">
      <alignment horizontal="center" vertical="center" wrapText="1"/>
    </xf>
    <xf numFmtId="0" fontId="57" fillId="0" borderId="0" xfId="12" applyFont="1">
      <alignment vertical="center"/>
    </xf>
    <xf numFmtId="0" fontId="59" fillId="0" borderId="0" xfId="12" applyFont="1" applyAlignment="1">
      <alignment vertical="center" wrapText="1"/>
    </xf>
    <xf numFmtId="0" fontId="59" fillId="0" borderId="0" xfId="12" applyFont="1">
      <alignment vertical="center"/>
    </xf>
    <xf numFmtId="0" fontId="39" fillId="0" borderId="0" xfId="12" applyFont="1">
      <alignment vertical="center"/>
    </xf>
    <xf numFmtId="0" fontId="39" fillId="0" borderId="0" xfId="12" applyFont="1" applyAlignment="1">
      <alignment horizontal="center" vertical="center"/>
    </xf>
    <xf numFmtId="0" fontId="60" fillId="0" borderId="0" xfId="12" applyFont="1">
      <alignment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>
      <alignment vertical="center"/>
    </xf>
    <xf numFmtId="0" fontId="47" fillId="2" borderId="0" xfId="0" applyFont="1" applyFill="1">
      <alignment vertical="center"/>
    </xf>
    <xf numFmtId="0" fontId="44" fillId="0" borderId="0" xfId="0" applyFont="1">
      <alignment vertical="center"/>
    </xf>
    <xf numFmtId="0" fontId="13" fillId="0" borderId="0" xfId="0" applyFont="1">
      <alignment vertical="center"/>
    </xf>
    <xf numFmtId="0" fontId="18" fillId="0" borderId="0" xfId="20" applyFont="1" applyBorder="1">
      <alignment vertical="center"/>
    </xf>
    <xf numFmtId="0" fontId="50" fillId="0" borderId="0" xfId="0" applyFont="1">
      <alignment vertical="center"/>
    </xf>
    <xf numFmtId="0" fontId="10" fillId="0" borderId="9" xfId="12" applyFont="1" applyBorder="1" applyAlignment="1">
      <alignment vertical="top"/>
    </xf>
    <xf numFmtId="0" fontId="19" fillId="0" borderId="0" xfId="12" applyFont="1" applyAlignment="1">
      <alignment vertical="top"/>
    </xf>
    <xf numFmtId="0" fontId="32" fillId="0" borderId="9" xfId="12" applyFont="1" applyBorder="1" applyAlignment="1">
      <alignment vertical="top"/>
    </xf>
    <xf numFmtId="0" fontId="10" fillId="0" borderId="27" xfId="12" applyFont="1" applyBorder="1" applyAlignment="1">
      <alignment vertical="top"/>
    </xf>
    <xf numFmtId="0" fontId="10" fillId="0" borderId="27" xfId="12" applyFont="1" applyBorder="1">
      <alignment vertical="center"/>
    </xf>
    <xf numFmtId="0" fontId="10" fillId="0" borderId="11" xfId="12" applyFont="1" applyBorder="1">
      <alignment vertical="center"/>
    </xf>
    <xf numFmtId="0" fontId="8" fillId="0" borderId="3" xfId="0" applyFont="1" applyBorder="1">
      <alignment vertical="center"/>
    </xf>
    <xf numFmtId="0" fontId="10" fillId="0" borderId="3" xfId="12" applyFont="1" applyBorder="1">
      <alignment vertical="center"/>
    </xf>
    <xf numFmtId="0" fontId="10" fillId="0" borderId="24" xfId="12" applyFont="1" applyBorder="1">
      <alignment vertical="center"/>
    </xf>
    <xf numFmtId="0" fontId="32" fillId="0" borderId="3" xfId="12" applyFont="1" applyBorder="1" applyAlignment="1">
      <alignment vertical="top" wrapText="1"/>
    </xf>
    <xf numFmtId="0" fontId="19" fillId="0" borderId="10" xfId="12" applyFont="1" applyBorder="1" applyAlignment="1">
      <alignment vertical="top"/>
    </xf>
    <xf numFmtId="0" fontId="22" fillId="2" borderId="17" xfId="12" applyFont="1" applyFill="1" applyBorder="1" applyAlignment="1">
      <alignment horizontal="center" vertical="center"/>
    </xf>
    <xf numFmtId="0" fontId="22" fillId="2" borderId="1" xfId="14" applyFont="1" applyFill="1" applyBorder="1" applyAlignment="1">
      <alignment horizontal="center" vertical="center"/>
    </xf>
    <xf numFmtId="0" fontId="22" fillId="2" borderId="1" xfId="12" applyFont="1" applyFill="1" applyBorder="1" applyAlignment="1">
      <alignment horizontal="center" vertical="center"/>
    </xf>
    <xf numFmtId="0" fontId="14" fillId="0" borderId="7" xfId="12" applyFont="1" applyBorder="1">
      <alignment vertical="center"/>
    </xf>
    <xf numFmtId="0" fontId="14" fillId="0" borderId="6" xfId="12" applyFont="1" applyBorder="1">
      <alignment vertical="center"/>
    </xf>
    <xf numFmtId="0" fontId="14" fillId="0" borderId="8" xfId="12" applyFont="1" applyBorder="1">
      <alignment vertical="center"/>
    </xf>
    <xf numFmtId="0" fontId="14" fillId="0" borderId="9" xfId="12" applyFont="1" applyBorder="1">
      <alignment vertical="center"/>
    </xf>
    <xf numFmtId="0" fontId="14" fillId="0" borderId="10" xfId="12" applyFont="1" applyBorder="1">
      <alignment vertical="center"/>
    </xf>
    <xf numFmtId="0" fontId="31" fillId="0" borderId="14" xfId="12" applyFont="1" applyBorder="1">
      <alignment vertical="center"/>
    </xf>
    <xf numFmtId="0" fontId="14" fillId="0" borderId="4" xfId="12" applyFont="1" applyBorder="1">
      <alignment vertical="center"/>
    </xf>
    <xf numFmtId="0" fontId="14" fillId="0" borderId="20" xfId="12" applyFont="1" applyBorder="1">
      <alignment vertical="center"/>
    </xf>
    <xf numFmtId="0" fontId="32" fillId="0" borderId="7" xfId="12" applyFont="1" applyBorder="1">
      <alignment vertical="center"/>
    </xf>
    <xf numFmtId="0" fontId="10" fillId="0" borderId="6" xfId="12" applyFont="1" applyBorder="1">
      <alignment vertical="center"/>
    </xf>
    <xf numFmtId="0" fontId="10" fillId="0" borderId="43" xfId="12" applyFont="1" applyBorder="1">
      <alignment vertical="center"/>
    </xf>
    <xf numFmtId="0" fontId="32" fillId="0" borderId="6" xfId="12" applyFont="1" applyBorder="1">
      <alignment vertical="center"/>
    </xf>
    <xf numFmtId="0" fontId="10" fillId="0" borderId="9" xfId="12" applyFont="1" applyBorder="1">
      <alignment vertical="center"/>
    </xf>
    <xf numFmtId="0" fontId="10" fillId="0" borderId="10" xfId="12" applyFont="1" applyBorder="1">
      <alignment vertical="center"/>
    </xf>
    <xf numFmtId="0" fontId="32" fillId="0" borderId="9" xfId="12" applyFont="1" applyBorder="1">
      <alignment vertical="center"/>
    </xf>
    <xf numFmtId="0" fontId="33" fillId="0" borderId="28" xfId="12" applyFont="1" applyBorder="1" applyAlignment="1"/>
    <xf numFmtId="0" fontId="33" fillId="0" borderId="28" xfId="12" applyFont="1" applyBorder="1">
      <alignment vertical="center"/>
    </xf>
    <xf numFmtId="0" fontId="32" fillId="0" borderId="21" xfId="12" applyFont="1" applyBorder="1">
      <alignment vertical="center"/>
    </xf>
    <xf numFmtId="0" fontId="10" fillId="0" borderId="22" xfId="12" applyFont="1" applyBorder="1">
      <alignment vertical="center"/>
    </xf>
    <xf numFmtId="0" fontId="10" fillId="0" borderId="25" xfId="12" applyFont="1" applyBorder="1">
      <alignment vertical="center"/>
    </xf>
    <xf numFmtId="0" fontId="32" fillId="0" borderId="3" xfId="12" applyFont="1" applyBorder="1">
      <alignment vertical="center"/>
    </xf>
    <xf numFmtId="0" fontId="32" fillId="0" borderId="2" xfId="12" applyFont="1" applyBorder="1">
      <alignment vertical="center"/>
    </xf>
    <xf numFmtId="0" fontId="32" fillId="0" borderId="27" xfId="12" applyFont="1" applyBorder="1">
      <alignment vertical="center"/>
    </xf>
    <xf numFmtId="0" fontId="10" fillId="0" borderId="19" xfId="12" applyFont="1" applyBorder="1">
      <alignment vertical="center"/>
    </xf>
    <xf numFmtId="0" fontId="10" fillId="0" borderId="15" xfId="12" applyFont="1" applyBorder="1">
      <alignment vertical="center"/>
    </xf>
    <xf numFmtId="0" fontId="14" fillId="0" borderId="3" xfId="12" applyFont="1" applyBorder="1">
      <alignment vertical="center"/>
    </xf>
    <xf numFmtId="0" fontId="14" fillId="0" borderId="14" xfId="12" applyFont="1" applyBorder="1">
      <alignment vertical="center"/>
    </xf>
    <xf numFmtId="0" fontId="32" fillId="0" borderId="14" xfId="12" applyFont="1" applyBorder="1" applyAlignment="1">
      <alignment horizontal="centerContinuous" vertical="center"/>
    </xf>
    <xf numFmtId="0" fontId="14" fillId="0" borderId="4" xfId="12" applyFont="1" applyBorder="1" applyAlignment="1">
      <alignment horizontal="centerContinuous" vertical="center"/>
    </xf>
    <xf numFmtId="0" fontId="14" fillId="0" borderId="20" xfId="12" applyFont="1" applyBorder="1" applyAlignment="1">
      <alignment horizontal="centerContinuous" vertical="center"/>
    </xf>
    <xf numFmtId="0" fontId="32" fillId="0" borderId="24" xfId="12" applyFont="1" applyBorder="1">
      <alignment vertical="center"/>
    </xf>
    <xf numFmtId="0" fontId="32" fillId="0" borderId="15" xfId="12" applyFont="1" applyBorder="1">
      <alignment vertical="center"/>
    </xf>
    <xf numFmtId="0" fontId="10" fillId="0" borderId="8" xfId="12" applyFont="1" applyBorder="1">
      <alignment vertical="center"/>
    </xf>
    <xf numFmtId="0" fontId="10" fillId="0" borderId="12" xfId="12" applyFont="1" applyBorder="1">
      <alignment vertical="center"/>
    </xf>
    <xf numFmtId="0" fontId="32" fillId="0" borderId="22" xfId="12" applyFont="1" applyBorder="1">
      <alignment vertical="center"/>
    </xf>
    <xf numFmtId="0" fontId="32" fillId="0" borderId="4" xfId="12" applyFont="1" applyBorder="1">
      <alignment vertical="center"/>
    </xf>
    <xf numFmtId="0" fontId="32" fillId="0" borderId="28" xfId="12" applyFont="1" applyBorder="1" applyAlignment="1">
      <alignment vertical="top"/>
    </xf>
    <xf numFmtId="0" fontId="32" fillId="0" borderId="10" xfId="12" applyFont="1" applyBorder="1" applyAlignment="1">
      <alignment vertical="top"/>
    </xf>
    <xf numFmtId="0" fontId="19" fillId="0" borderId="3" xfId="12" applyFont="1" applyBorder="1">
      <alignment vertical="center"/>
    </xf>
    <xf numFmtId="0" fontId="32" fillId="0" borderId="3" xfId="12" applyFont="1" applyBorder="1" applyAlignment="1">
      <alignment vertical="center" wrapText="1"/>
    </xf>
    <xf numFmtId="0" fontId="32" fillId="0" borderId="12" xfId="12" applyFont="1" applyBorder="1" applyAlignment="1">
      <alignment vertical="center" wrapText="1"/>
    </xf>
    <xf numFmtId="0" fontId="19" fillId="0" borderId="9" xfId="12" applyFont="1" applyBorder="1">
      <alignment vertical="center"/>
    </xf>
    <xf numFmtId="0" fontId="32" fillId="0" borderId="12" xfId="12" applyFont="1" applyBorder="1" applyAlignment="1">
      <alignment vertical="top" wrapText="1"/>
    </xf>
    <xf numFmtId="0" fontId="32" fillId="0" borderId="10" xfId="12" applyFont="1" applyBorder="1" applyAlignment="1">
      <alignment vertical="center" wrapText="1"/>
    </xf>
    <xf numFmtId="0" fontId="10" fillId="0" borderId="0" xfId="21" applyFont="1" applyBorder="1">
      <alignment vertical="center"/>
    </xf>
    <xf numFmtId="0" fontId="64" fillId="0" borderId="0" xfId="21" applyFont="1" applyBorder="1">
      <alignment vertical="center"/>
    </xf>
    <xf numFmtId="0" fontId="68" fillId="0" borderId="0" xfId="12" applyFont="1" applyAlignment="1">
      <alignment horizontal="right" vertical="center" wrapText="1"/>
    </xf>
    <xf numFmtId="0" fontId="68" fillId="0" borderId="0" xfId="0" applyFont="1" applyAlignment="1">
      <alignment horizontal="left" vertical="center"/>
    </xf>
    <xf numFmtId="0" fontId="69" fillId="0" borderId="0" xfId="12" applyFont="1" applyAlignment="1">
      <alignment vertical="center" wrapText="1"/>
    </xf>
    <xf numFmtId="0" fontId="69" fillId="0" borderId="0" xfId="12" applyFont="1">
      <alignment vertical="center"/>
    </xf>
    <xf numFmtId="0" fontId="68" fillId="0" borderId="0" xfId="12" applyFont="1" applyAlignment="1">
      <alignment vertical="center" wrapText="1"/>
    </xf>
    <xf numFmtId="0" fontId="13" fillId="2" borderId="0" xfId="0" applyFont="1" applyFill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22" fillId="2" borderId="18" xfId="13" applyNumberFormat="1" applyFont="1" applyFill="1" applyBorder="1" applyAlignment="1">
      <alignment horizontal="center" vertical="center"/>
    </xf>
    <xf numFmtId="176" fontId="13" fillId="0" borderId="0" xfId="1" applyNumberFormat="1" applyFont="1" applyAlignment="1">
      <alignment horizontal="center" vertical="center"/>
    </xf>
    <xf numFmtId="176" fontId="22" fillId="0" borderId="1" xfId="1" applyNumberFormat="1" applyFont="1" applyFill="1" applyBorder="1" applyAlignment="1">
      <alignment horizontal="center" vertical="center"/>
    </xf>
    <xf numFmtId="176" fontId="16" fillId="0" borderId="0" xfId="1" applyNumberFormat="1" applyFont="1">
      <alignment vertical="center"/>
    </xf>
    <xf numFmtId="184" fontId="17" fillId="0" borderId="0" xfId="1" applyNumberFormat="1" applyFont="1">
      <alignment vertical="center"/>
    </xf>
    <xf numFmtId="184" fontId="30" fillId="0" borderId="0" xfId="1" applyNumberFormat="1" applyFont="1" applyAlignment="1">
      <alignment horizontal="center" vertical="center"/>
    </xf>
    <xf numFmtId="184" fontId="14" fillId="0" borderId="0" xfId="1" applyNumberFormat="1" applyFont="1" applyAlignment="1">
      <alignment horizontal="center" vertical="center"/>
    </xf>
    <xf numFmtId="184" fontId="14" fillId="0" borderId="0" xfId="1" applyNumberFormat="1" applyFont="1" applyAlignment="1">
      <alignment horizontal="left" vertical="center"/>
    </xf>
    <xf numFmtId="176" fontId="39" fillId="0" borderId="41" xfId="13" applyNumberFormat="1" applyFont="1" applyBorder="1" applyAlignment="1">
      <alignment horizontal="center" vertical="center"/>
    </xf>
    <xf numFmtId="41" fontId="39" fillId="0" borderId="41" xfId="13" applyFont="1" applyBorder="1" applyAlignment="1">
      <alignment horizontal="center" vertical="center"/>
    </xf>
    <xf numFmtId="40" fontId="39" fillId="6" borderId="1" xfId="13" applyNumberFormat="1" applyFont="1" applyFill="1" applyBorder="1" applyAlignment="1">
      <alignment horizontal="center" vertical="center"/>
    </xf>
    <xf numFmtId="176" fontId="39" fillId="6" borderId="1" xfId="13" applyNumberFormat="1" applyFont="1" applyFill="1" applyBorder="1" applyAlignment="1">
      <alignment horizontal="center" vertical="center"/>
    </xf>
    <xf numFmtId="176" fontId="39" fillId="6" borderId="1" xfId="1" applyNumberFormat="1" applyFont="1" applyFill="1" applyBorder="1">
      <alignment vertical="center"/>
    </xf>
    <xf numFmtId="176" fontId="39" fillId="6" borderId="1" xfId="1" applyNumberFormat="1" applyFont="1" applyFill="1" applyBorder="1" applyAlignment="1">
      <alignment horizontal="right" vertical="center"/>
    </xf>
    <xf numFmtId="0" fontId="39" fillId="6" borderId="1" xfId="12" applyFont="1" applyFill="1" applyBorder="1" applyAlignment="1">
      <alignment horizontal="center" vertical="center"/>
    </xf>
    <xf numFmtId="41" fontId="39" fillId="6" borderId="1" xfId="13" applyFont="1" applyFill="1" applyBorder="1" applyAlignment="1">
      <alignment horizontal="center" vertical="center"/>
    </xf>
    <xf numFmtId="0" fontId="39" fillId="6" borderId="1" xfId="14" applyFont="1" applyFill="1" applyBorder="1" applyAlignment="1">
      <alignment horizontal="center" vertical="center"/>
    </xf>
    <xf numFmtId="0" fontId="39" fillId="6" borderId="17" xfId="12" applyFont="1" applyFill="1" applyBorder="1" applyAlignment="1">
      <alignment horizontal="center" vertical="center"/>
    </xf>
    <xf numFmtId="176" fontId="22" fillId="2" borderId="1" xfId="1" applyNumberFormat="1" applyFont="1" applyFill="1" applyBorder="1" applyAlignment="1">
      <alignment horizontal="center" vertical="center"/>
    </xf>
    <xf numFmtId="184" fontId="41" fillId="0" borderId="1" xfId="1" applyNumberFormat="1" applyFont="1" applyFill="1" applyBorder="1" applyAlignment="1">
      <alignment horizontal="center" vertical="center"/>
    </xf>
    <xf numFmtId="176" fontId="22" fillId="0" borderId="1" xfId="1" applyNumberFormat="1" applyFont="1" applyBorder="1">
      <alignment vertical="center"/>
    </xf>
    <xf numFmtId="184" fontId="22" fillId="0" borderId="1" xfId="1" applyNumberFormat="1" applyFont="1" applyBorder="1" applyAlignment="1">
      <alignment horizontal="center" vertical="center" wrapText="1"/>
    </xf>
    <xf numFmtId="41" fontId="22" fillId="0" borderId="5" xfId="13" applyFont="1" applyFill="1" applyBorder="1" applyAlignment="1">
      <alignment horizontal="center" vertical="center" wrapText="1"/>
    </xf>
    <xf numFmtId="184" fontId="14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71" fillId="0" borderId="0" xfId="0" applyFont="1">
      <alignment vertical="center"/>
    </xf>
    <xf numFmtId="0" fontId="13" fillId="2" borderId="0" xfId="0" applyFont="1" applyFill="1" applyAlignment="1">
      <alignment horizontal="left" vertical="center"/>
    </xf>
    <xf numFmtId="176" fontId="13" fillId="2" borderId="0" xfId="1" applyNumberFormat="1" applyFont="1" applyFill="1" applyAlignment="1">
      <alignment horizontal="center" vertical="center"/>
    </xf>
    <xf numFmtId="176" fontId="13" fillId="0" borderId="0" xfId="1" applyNumberFormat="1" applyFont="1">
      <alignment vertical="center"/>
    </xf>
    <xf numFmtId="0" fontId="42" fillId="2" borderId="10" xfId="0" applyFont="1" applyFill="1" applyBorder="1">
      <alignment vertical="center"/>
    </xf>
    <xf numFmtId="0" fontId="44" fillId="2" borderId="9" xfId="0" applyFont="1" applyFill="1" applyBorder="1">
      <alignment vertical="center"/>
    </xf>
    <xf numFmtId="0" fontId="62" fillId="5" borderId="29" xfId="0" applyFont="1" applyFill="1" applyBorder="1" applyAlignment="1">
      <alignment horizontal="center" vertical="center" wrapText="1"/>
    </xf>
    <xf numFmtId="0" fontId="62" fillId="5" borderId="30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41" fontId="22" fillId="0" borderId="1" xfId="12" quotePrefix="1" applyNumberFormat="1" applyFont="1" applyBorder="1" applyAlignment="1">
      <alignment horizontal="center" vertical="center" wrapText="1"/>
    </xf>
    <xf numFmtId="177" fontId="39" fillId="6" borderId="1" xfId="13" applyNumberFormat="1" applyFont="1" applyFill="1" applyBorder="1" applyAlignment="1">
      <alignment horizontal="center" vertical="center"/>
    </xf>
    <xf numFmtId="40" fontId="39" fillId="6" borderId="18" xfId="13" applyNumberFormat="1" applyFont="1" applyFill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176" fontId="22" fillId="6" borderId="1" xfId="1" applyNumberFormat="1" applyFont="1" applyFill="1" applyBorder="1" applyAlignment="1">
      <alignment horizontal="right" vertical="center"/>
    </xf>
    <xf numFmtId="176" fontId="10" fillId="0" borderId="0" xfId="30" applyNumberFormat="1" applyFont="1">
      <alignment vertical="center"/>
    </xf>
    <xf numFmtId="176" fontId="10" fillId="0" borderId="0" xfId="30" applyNumberFormat="1" applyFont="1" applyAlignment="1">
      <alignment horizontal="center" vertical="center"/>
    </xf>
    <xf numFmtId="176" fontId="16" fillId="0" borderId="0" xfId="30" applyNumberFormat="1" applyFont="1">
      <alignment vertical="center"/>
    </xf>
    <xf numFmtId="176" fontId="14" fillId="0" borderId="0" xfId="30" applyNumberFormat="1" applyFont="1">
      <alignment vertical="center"/>
    </xf>
    <xf numFmtId="176" fontId="22" fillId="2" borderId="1" xfId="30" applyNumberFormat="1" applyFont="1" applyFill="1" applyBorder="1" applyAlignment="1">
      <alignment horizontal="right" vertical="center"/>
    </xf>
    <xf numFmtId="176" fontId="39" fillId="6" borderId="1" xfId="30" applyNumberFormat="1" applyFont="1" applyFill="1" applyBorder="1" applyAlignment="1">
      <alignment horizontal="center" vertical="center"/>
    </xf>
    <xf numFmtId="176" fontId="14" fillId="0" borderId="0" xfId="30" applyNumberFormat="1" applyFont="1" applyBorder="1" applyAlignment="1">
      <alignment horizontal="center" vertical="center"/>
    </xf>
    <xf numFmtId="176" fontId="14" fillId="0" borderId="0" xfId="30" applyNumberFormat="1" applyFont="1" applyBorder="1" applyAlignment="1">
      <alignment horizontal="left" vertical="center"/>
    </xf>
    <xf numFmtId="176" fontId="14" fillId="0" borderId="0" xfId="30" applyNumberFormat="1" applyFont="1" applyAlignment="1">
      <alignment horizontal="center" vertical="center"/>
    </xf>
    <xf numFmtId="176" fontId="17" fillId="0" borderId="0" xfId="30" applyNumberFormat="1" applyFont="1" applyBorder="1">
      <alignment vertical="center"/>
    </xf>
    <xf numFmtId="176" fontId="17" fillId="0" borderId="0" xfId="30" applyNumberFormat="1" applyFont="1">
      <alignment vertical="center"/>
    </xf>
    <xf numFmtId="0" fontId="62" fillId="5" borderId="50" xfId="0" applyFont="1" applyFill="1" applyBorder="1" applyAlignment="1">
      <alignment horizontal="center" vertical="center" wrapText="1"/>
    </xf>
    <xf numFmtId="176" fontId="39" fillId="4" borderId="33" xfId="1" applyNumberFormat="1" applyFont="1" applyFill="1" applyBorder="1" applyAlignment="1">
      <alignment horizontal="right" vertical="center"/>
    </xf>
    <xf numFmtId="40" fontId="39" fillId="0" borderId="33" xfId="13" applyNumberFormat="1" applyFont="1" applyFill="1" applyBorder="1" applyAlignment="1">
      <alignment horizontal="right" vertical="center"/>
    </xf>
    <xf numFmtId="178" fontId="39" fillId="0" borderId="33" xfId="13" applyNumberFormat="1" applyFont="1" applyBorder="1" applyAlignment="1">
      <alignment horizontal="right" vertical="center"/>
    </xf>
    <xf numFmtId="178" fontId="39" fillId="0" borderId="44" xfId="13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39" fillId="4" borderId="33" xfId="30" applyNumberFormat="1" applyFont="1" applyFill="1" applyBorder="1" applyAlignment="1">
      <alignment horizontal="center" vertical="center"/>
    </xf>
    <xf numFmtId="40" fontId="13" fillId="0" borderId="0" xfId="0" applyNumberFormat="1" applyFont="1">
      <alignment vertical="center"/>
    </xf>
    <xf numFmtId="184" fontId="39" fillId="0" borderId="33" xfId="1" applyNumberFormat="1" applyFont="1" applyFill="1" applyBorder="1" applyAlignment="1">
      <alignment horizontal="right" vertical="center"/>
    </xf>
    <xf numFmtId="176" fontId="10" fillId="2" borderId="1" xfId="1" applyNumberFormat="1" applyFont="1" applyFill="1" applyBorder="1" applyAlignment="1">
      <alignment horizontal="center" vertical="center"/>
    </xf>
    <xf numFmtId="0" fontId="39" fillId="0" borderId="7" xfId="12" applyFont="1" applyBorder="1">
      <alignment vertical="center"/>
    </xf>
    <xf numFmtId="0" fontId="39" fillId="0" borderId="6" xfId="12" applyFont="1" applyBorder="1">
      <alignment vertical="center"/>
    </xf>
    <xf numFmtId="0" fontId="60" fillId="0" borderId="6" xfId="12" applyFont="1" applyBorder="1">
      <alignment vertical="center"/>
    </xf>
    <xf numFmtId="0" fontId="22" fillId="0" borderId="8" xfId="12" applyFont="1" applyBorder="1" applyAlignment="1">
      <alignment vertical="center" wrapText="1"/>
    </xf>
    <xf numFmtId="0" fontId="39" fillId="0" borderId="9" xfId="12" applyFont="1" applyBorder="1">
      <alignment vertical="center"/>
    </xf>
    <xf numFmtId="0" fontId="65" fillId="0" borderId="0" xfId="12" applyFont="1">
      <alignment vertical="center"/>
    </xf>
    <xf numFmtId="0" fontId="66" fillId="0" borderId="0" xfId="12" applyFont="1">
      <alignment vertical="center"/>
    </xf>
    <xf numFmtId="0" fontId="67" fillId="0" borderId="10" xfId="12" applyFont="1" applyBorder="1" applyAlignment="1">
      <alignment vertical="center" wrapText="1"/>
    </xf>
    <xf numFmtId="0" fontId="22" fillId="2" borderId="33" xfId="12" applyFont="1" applyFill="1" applyBorder="1" applyAlignment="1">
      <alignment horizontal="center" vertical="center"/>
    </xf>
    <xf numFmtId="0" fontId="22" fillId="2" borderId="1" xfId="12" applyFont="1" applyFill="1" applyBorder="1" applyAlignment="1">
      <alignment horizontal="center" vertical="center" wrapText="1"/>
    </xf>
    <xf numFmtId="0" fontId="39" fillId="4" borderId="33" xfId="12" applyFont="1" applyFill="1" applyBorder="1" applyAlignment="1">
      <alignment horizontal="center" vertical="center"/>
    </xf>
    <xf numFmtId="0" fontId="22" fillId="0" borderId="17" xfId="12" applyFont="1" applyBorder="1" applyAlignment="1">
      <alignment horizontal="center" vertical="center"/>
    </xf>
    <xf numFmtId="0" fontId="22" fillId="0" borderId="1" xfId="12" applyFont="1" applyBorder="1" applyAlignment="1">
      <alignment horizontal="center" vertical="center" wrapText="1"/>
    </xf>
    <xf numFmtId="176" fontId="13" fillId="0" borderId="0" xfId="1" applyNumberFormat="1" applyFont="1" applyAlignment="1">
      <alignment horizontal="right" vertical="center"/>
    </xf>
    <xf numFmtId="0" fontId="50" fillId="0" borderId="3" xfId="0" applyFont="1" applyBorder="1">
      <alignment vertical="center"/>
    </xf>
    <xf numFmtId="176" fontId="32" fillId="0" borderId="0" xfId="30" applyNumberFormat="1" applyFont="1" applyFill="1" applyBorder="1" applyAlignment="1">
      <alignment vertical="center"/>
    </xf>
    <xf numFmtId="176" fontId="22" fillId="0" borderId="1" xfId="30" applyNumberFormat="1" applyFont="1" applyBorder="1" applyAlignment="1">
      <alignment horizontal="center" vertical="center" wrapText="1"/>
    </xf>
    <xf numFmtId="0" fontId="42" fillId="0" borderId="29" xfId="12" applyFont="1" applyBorder="1" applyAlignment="1">
      <alignment horizontal="center" vertical="center"/>
    </xf>
    <xf numFmtId="0" fontId="42" fillId="0" borderId="30" xfId="12" applyFont="1" applyBorder="1" applyAlignment="1">
      <alignment horizontal="center" vertical="center" wrapText="1"/>
    </xf>
    <xf numFmtId="41" fontId="42" fillId="0" borderId="30" xfId="1" applyFont="1" applyBorder="1" applyAlignment="1">
      <alignment horizontal="center" vertical="center" wrapText="1"/>
    </xf>
    <xf numFmtId="9" fontId="42" fillId="0" borderId="30" xfId="12" applyNumberFormat="1" applyFont="1" applyBorder="1" applyAlignment="1">
      <alignment horizontal="center" vertical="center" wrapText="1"/>
    </xf>
    <xf numFmtId="0" fontId="42" fillId="0" borderId="50" xfId="12" applyFont="1" applyBorder="1" applyAlignment="1">
      <alignment horizontal="center" vertical="center" wrapText="1"/>
    </xf>
    <xf numFmtId="0" fontId="42" fillId="0" borderId="17" xfId="12" applyFont="1" applyBorder="1" applyAlignment="1">
      <alignment horizontal="center" vertical="center"/>
    </xf>
    <xf numFmtId="183" fontId="42" fillId="0" borderId="18" xfId="13" applyNumberFormat="1" applyFont="1" applyBorder="1" applyAlignment="1">
      <alignment horizontal="center" vertical="center"/>
    </xf>
    <xf numFmtId="0" fontId="18" fillId="3" borderId="33" xfId="12" applyFont="1" applyFill="1" applyBorder="1">
      <alignment vertical="center"/>
    </xf>
    <xf numFmtId="40" fontId="42" fillId="0" borderId="33" xfId="13" applyNumberFormat="1" applyFont="1" applyBorder="1">
      <alignment vertical="center"/>
    </xf>
    <xf numFmtId="38" fontId="42" fillId="0" borderId="44" xfId="13" applyNumberFormat="1" applyFont="1" applyBorder="1" applyAlignment="1">
      <alignment horizontal="center" vertical="center"/>
    </xf>
    <xf numFmtId="176" fontId="18" fillId="3" borderId="33" xfId="12" applyNumberFormat="1" applyFont="1" applyFill="1" applyBorder="1" applyAlignment="1">
      <alignment horizontal="center" vertical="center"/>
    </xf>
    <xf numFmtId="0" fontId="10" fillId="0" borderId="10" xfId="12" applyFont="1" applyBorder="1" applyAlignment="1">
      <alignment vertical="center" wrapText="1"/>
    </xf>
    <xf numFmtId="177" fontId="14" fillId="0" borderId="0" xfId="13" applyNumberFormat="1" applyFont="1">
      <alignment vertical="center"/>
    </xf>
    <xf numFmtId="177" fontId="13" fillId="0" borderId="0" xfId="12" applyNumberFormat="1" applyFont="1" applyAlignment="1">
      <alignment horizontal="center" vertical="center"/>
    </xf>
    <xf numFmtId="177" fontId="10" fillId="0" borderId="0" xfId="13" applyNumberFormat="1" applyFont="1">
      <alignment vertical="center"/>
    </xf>
    <xf numFmtId="177" fontId="22" fillId="0" borderId="1" xfId="13" applyNumberFormat="1" applyFont="1" applyFill="1" applyBorder="1" applyAlignment="1">
      <alignment horizontal="center" vertical="center" wrapText="1"/>
    </xf>
    <xf numFmtId="177" fontId="22" fillId="2" borderId="1" xfId="13" applyNumberFormat="1" applyFont="1" applyFill="1" applyBorder="1" applyAlignment="1">
      <alignment horizontal="center" vertical="center"/>
    </xf>
    <xf numFmtId="177" fontId="39" fillId="4" borderId="33" xfId="13" applyNumberFormat="1" applyFont="1" applyFill="1" applyBorder="1" applyAlignment="1">
      <alignment horizontal="center" vertical="center"/>
    </xf>
    <xf numFmtId="177" fontId="14" fillId="0" borderId="0" xfId="13" applyNumberFormat="1" applyFont="1" applyBorder="1" applyAlignment="1">
      <alignment horizontal="center" vertical="center"/>
    </xf>
    <xf numFmtId="177" fontId="14" fillId="0" borderId="0" xfId="13" applyNumberFormat="1" applyFont="1" applyFill="1" applyBorder="1" applyAlignment="1">
      <alignment horizontal="center" vertical="center"/>
    </xf>
    <xf numFmtId="177" fontId="14" fillId="0" borderId="0" xfId="13" applyNumberFormat="1" applyFont="1" applyFill="1" applyBorder="1" applyAlignment="1">
      <alignment horizontal="left" vertical="center"/>
    </xf>
    <xf numFmtId="177" fontId="17" fillId="0" borderId="0" xfId="13" applyNumberFormat="1" applyFont="1" applyBorder="1">
      <alignment vertical="center"/>
    </xf>
    <xf numFmtId="177" fontId="17" fillId="0" borderId="0" xfId="13" applyNumberFormat="1" applyFont="1">
      <alignment vertical="center"/>
    </xf>
    <xf numFmtId="0" fontId="73" fillId="0" borderId="0" xfId="12" applyFont="1">
      <alignment vertical="center"/>
    </xf>
    <xf numFmtId="0" fontId="73" fillId="0" borderId="0" xfId="12" applyFont="1" applyAlignment="1">
      <alignment horizontal="center" vertical="center"/>
    </xf>
    <xf numFmtId="184" fontId="73" fillId="0" borderId="0" xfId="1" applyNumberFormat="1" applyFont="1" applyAlignment="1">
      <alignment horizontal="center" vertical="center"/>
    </xf>
    <xf numFmtId="176" fontId="73" fillId="0" borderId="0" xfId="30" applyNumberFormat="1" applyFont="1" applyAlignment="1">
      <alignment horizontal="center" vertical="center"/>
    </xf>
    <xf numFmtId="0" fontId="74" fillId="0" borderId="0" xfId="12" applyFont="1" applyAlignment="1">
      <alignment vertical="center" wrapText="1"/>
    </xf>
    <xf numFmtId="0" fontId="74" fillId="0" borderId="0" xfId="12" applyFont="1">
      <alignment vertical="center"/>
    </xf>
    <xf numFmtId="0" fontId="75" fillId="0" borderId="0" xfId="12" applyFont="1">
      <alignment vertical="center"/>
    </xf>
    <xf numFmtId="0" fontId="76" fillId="0" borderId="0" xfId="12" applyFont="1">
      <alignment vertical="center"/>
    </xf>
    <xf numFmtId="41" fontId="20" fillId="0" borderId="0" xfId="13" applyFont="1">
      <alignment vertical="center"/>
    </xf>
    <xf numFmtId="0" fontId="20" fillId="0" borderId="0" xfId="12" applyFont="1" applyAlignment="1">
      <alignment horizontal="center" vertical="center"/>
    </xf>
    <xf numFmtId="176" fontId="20" fillId="0" borderId="0" xfId="1" applyNumberFormat="1" applyFont="1">
      <alignment vertical="center"/>
    </xf>
    <xf numFmtId="184" fontId="20" fillId="0" borderId="0" xfId="1" applyNumberFormat="1" applyFont="1">
      <alignment vertical="center"/>
    </xf>
    <xf numFmtId="176" fontId="20" fillId="0" borderId="0" xfId="30" applyNumberFormat="1" applyFont="1" applyAlignment="1">
      <alignment horizontal="center" vertical="center"/>
    </xf>
    <xf numFmtId="176" fontId="20" fillId="0" borderId="0" xfId="30" applyNumberFormat="1" applyFont="1">
      <alignment vertical="center"/>
    </xf>
    <xf numFmtId="176" fontId="20" fillId="0" borderId="0" xfId="13" applyNumberFormat="1" applyFont="1">
      <alignment vertical="center"/>
    </xf>
    <xf numFmtId="178" fontId="20" fillId="0" borderId="0" xfId="12" applyNumberFormat="1" applyFont="1" applyAlignment="1">
      <alignment horizontal="left" vertical="center"/>
    </xf>
    <xf numFmtId="0" fontId="77" fillId="0" borderId="7" xfId="12" applyFont="1" applyBorder="1">
      <alignment vertical="center"/>
    </xf>
    <xf numFmtId="0" fontId="77" fillId="0" borderId="6" xfId="12" applyFont="1" applyBorder="1">
      <alignment vertical="center"/>
    </xf>
    <xf numFmtId="0" fontId="77" fillId="0" borderId="8" xfId="12" applyFont="1" applyBorder="1" applyAlignment="1">
      <alignment horizontal="center" vertical="center"/>
    </xf>
    <xf numFmtId="0" fontId="77" fillId="0" borderId="0" xfId="12" applyFont="1" applyAlignment="1">
      <alignment horizontal="center" vertical="center"/>
    </xf>
    <xf numFmtId="184" fontId="77" fillId="0" borderId="0" xfId="1" applyNumberFormat="1" applyFont="1" applyAlignment="1">
      <alignment horizontal="center" vertical="center"/>
    </xf>
    <xf numFmtId="176" fontId="77" fillId="0" borderId="0" xfId="30" applyNumberFormat="1" applyFont="1" applyAlignment="1">
      <alignment horizontal="center" vertical="center"/>
    </xf>
    <xf numFmtId="0" fontId="78" fillId="0" borderId="0" xfId="12" applyFont="1" applyAlignment="1">
      <alignment vertical="center" wrapText="1"/>
    </xf>
    <xf numFmtId="0" fontId="79" fillId="0" borderId="0" xfId="12" applyFont="1" applyAlignment="1">
      <alignment vertical="center" wrapText="1"/>
    </xf>
    <xf numFmtId="0" fontId="79" fillId="0" borderId="0" xfId="12" applyFont="1">
      <alignment vertical="center"/>
    </xf>
    <xf numFmtId="0" fontId="77" fillId="0" borderId="14" xfId="12" applyFont="1" applyBorder="1">
      <alignment vertical="center"/>
    </xf>
    <xf numFmtId="0" fontId="77" fillId="0" borderId="4" xfId="12" applyFont="1" applyBorder="1">
      <alignment vertical="center"/>
    </xf>
    <xf numFmtId="0" fontId="77" fillId="0" borderId="20" xfId="12" applyFont="1" applyBorder="1" applyAlignment="1">
      <alignment horizontal="center" vertical="center"/>
    </xf>
    <xf numFmtId="0" fontId="10" fillId="0" borderId="0" xfId="12" applyFont="1" applyBorder="1">
      <alignment vertical="center"/>
    </xf>
    <xf numFmtId="0" fontId="19" fillId="0" borderId="0" xfId="12" applyFont="1" applyBorder="1">
      <alignment vertical="center"/>
    </xf>
    <xf numFmtId="40" fontId="80" fillId="0" borderId="0" xfId="12" quotePrefix="1" applyNumberFormat="1" applyFont="1" applyBorder="1">
      <alignment vertical="center"/>
    </xf>
    <xf numFmtId="0" fontId="14" fillId="0" borderId="0" xfId="12" applyFont="1" applyBorder="1">
      <alignment vertical="center"/>
    </xf>
    <xf numFmtId="0" fontId="32" fillId="0" borderId="0" xfId="12" applyFont="1" applyBorder="1">
      <alignment vertical="center"/>
    </xf>
    <xf numFmtId="0" fontId="32" fillId="0" borderId="0" xfId="12" applyFont="1" applyBorder="1" applyAlignment="1">
      <alignment vertical="center" wrapText="1"/>
    </xf>
    <xf numFmtId="0" fontId="32" fillId="0" borderId="0" xfId="12" applyFont="1" applyBorder="1" applyAlignment="1">
      <alignment horizontal="left" vertical="center"/>
    </xf>
    <xf numFmtId="0" fontId="50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33" fillId="0" borderId="0" xfId="12" applyFont="1" applyBorder="1">
      <alignment vertical="center"/>
    </xf>
    <xf numFmtId="0" fontId="35" fillId="0" borderId="0" xfId="12" applyFont="1" applyBorder="1" applyAlignment="1">
      <alignment horizontal="left" vertical="center"/>
    </xf>
    <xf numFmtId="0" fontId="34" fillId="0" borderId="0" xfId="12" applyFont="1" applyBorder="1">
      <alignment vertical="center"/>
    </xf>
    <xf numFmtId="0" fontId="10" fillId="0" borderId="0" xfId="12" applyFont="1" applyBorder="1" applyAlignment="1">
      <alignment vertical="center" wrapText="1"/>
    </xf>
    <xf numFmtId="0" fontId="36" fillId="0" borderId="0" xfId="12" applyFont="1" applyBorder="1">
      <alignment vertical="center"/>
    </xf>
    <xf numFmtId="0" fontId="14" fillId="0" borderId="0" xfId="12" applyFont="1" applyBorder="1" applyAlignment="1">
      <alignment horizontal="centerContinuous" vertical="center"/>
    </xf>
    <xf numFmtId="0" fontId="18" fillId="0" borderId="0" xfId="12" applyFont="1" applyAlignment="1">
      <alignment horizontal="center" vertical="center"/>
    </xf>
    <xf numFmtId="177" fontId="42" fillId="0" borderId="1" xfId="1" applyNumberFormat="1" applyFont="1" applyFill="1" applyBorder="1" applyAlignment="1">
      <alignment horizontal="center" vertical="center" wrapText="1"/>
    </xf>
    <xf numFmtId="177" fontId="18" fillId="3" borderId="33" xfId="1" applyNumberFormat="1" applyFont="1" applyFill="1" applyBorder="1" applyAlignment="1">
      <alignment horizontal="center" vertical="center"/>
    </xf>
    <xf numFmtId="15" fontId="10" fillId="0" borderId="0" xfId="12" applyNumberFormat="1" applyFont="1" applyBorder="1" applyAlignment="1">
      <alignment vertical="center"/>
    </xf>
    <xf numFmtId="176" fontId="18" fillId="3" borderId="33" xfId="1" applyNumberFormat="1" applyFont="1" applyFill="1" applyBorder="1" applyAlignment="1">
      <alignment vertical="center"/>
    </xf>
    <xf numFmtId="0" fontId="32" fillId="0" borderId="12" xfId="12" applyFont="1" applyBorder="1" applyAlignment="1">
      <alignment horizontal="center" vertical="center"/>
    </xf>
    <xf numFmtId="0" fontId="32" fillId="0" borderId="23" xfId="12" applyFont="1" applyBorder="1" applyAlignment="1">
      <alignment horizontal="center" vertical="center"/>
    </xf>
    <xf numFmtId="0" fontId="10" fillId="0" borderId="0" xfId="12" applyFont="1" applyBorder="1" applyAlignment="1">
      <alignment vertical="center"/>
    </xf>
    <xf numFmtId="40" fontId="41" fillId="2" borderId="1" xfId="0" applyNumberFormat="1" applyFont="1" applyFill="1" applyBorder="1" applyAlignment="1">
      <alignment horizontal="center" vertical="center"/>
    </xf>
    <xf numFmtId="40" fontId="82" fillId="0" borderId="0" xfId="12" quotePrefix="1" applyNumberFormat="1" applyFont="1" applyBorder="1">
      <alignment vertical="center"/>
    </xf>
    <xf numFmtId="0" fontId="10" fillId="0" borderId="0" xfId="12" applyFont="1" applyBorder="1" applyAlignment="1">
      <alignment vertical="top"/>
    </xf>
    <xf numFmtId="0" fontId="19" fillId="0" borderId="0" xfId="12" applyFont="1" applyBorder="1" applyAlignment="1">
      <alignment vertical="top"/>
    </xf>
    <xf numFmtId="0" fontId="32" fillId="0" borderId="0" xfId="12" applyFont="1" applyBorder="1" applyAlignment="1">
      <alignment vertical="top"/>
    </xf>
    <xf numFmtId="0" fontId="58" fillId="0" borderId="0" xfId="0" applyFont="1" applyBorder="1">
      <alignment vertical="center"/>
    </xf>
    <xf numFmtId="0" fontId="37" fillId="0" borderId="21" xfId="12" applyFont="1" applyBorder="1">
      <alignment vertical="center"/>
    </xf>
    <xf numFmtId="177" fontId="32" fillId="0" borderId="0" xfId="12" applyNumberFormat="1" applyFont="1" applyBorder="1">
      <alignment vertical="center"/>
    </xf>
    <xf numFmtId="43" fontId="17" fillId="0" borderId="0" xfId="12" applyNumberFormat="1" applyFont="1">
      <alignment vertical="center"/>
    </xf>
    <xf numFmtId="0" fontId="42" fillId="0" borderId="49" xfId="12" applyFont="1" applyBorder="1" applyAlignment="1">
      <alignment horizontal="center" vertical="center" wrapText="1"/>
    </xf>
    <xf numFmtId="40" fontId="42" fillId="0" borderId="51" xfId="13" applyNumberFormat="1" applyFont="1" applyBorder="1" applyAlignment="1">
      <alignment horizontal="center" vertical="center"/>
    </xf>
    <xf numFmtId="40" fontId="42" fillId="0" borderId="52" xfId="13" applyNumberFormat="1" applyFont="1" applyBorder="1">
      <alignment vertical="center"/>
    </xf>
    <xf numFmtId="176" fontId="10" fillId="0" borderId="26" xfId="13" applyNumberFormat="1" applyFont="1" applyFill="1" applyBorder="1" applyAlignment="1">
      <alignment horizontal="center" vertical="center"/>
    </xf>
    <xf numFmtId="176" fontId="10" fillId="0" borderId="22" xfId="13" applyNumberFormat="1" applyFont="1" applyFill="1" applyBorder="1" applyAlignment="1">
      <alignment horizontal="center" vertical="center"/>
    </xf>
    <xf numFmtId="176" fontId="10" fillId="0" borderId="23" xfId="13" applyNumberFormat="1" applyFont="1" applyFill="1" applyBorder="1" applyAlignment="1">
      <alignment horizontal="center" vertical="center"/>
    </xf>
    <xf numFmtId="0" fontId="31" fillId="0" borderId="22" xfId="12" applyFont="1" applyBorder="1" applyAlignment="1">
      <alignment horizontal="center" vertical="center"/>
    </xf>
    <xf numFmtId="0" fontId="31" fillId="0" borderId="23" xfId="12" applyFont="1" applyBorder="1" applyAlignment="1">
      <alignment horizontal="center" vertical="center"/>
    </xf>
    <xf numFmtId="0" fontId="32" fillId="0" borderId="15" xfId="12" applyFont="1" applyBorder="1" applyAlignment="1">
      <alignment horizontal="center" vertical="center"/>
    </xf>
    <xf numFmtId="176" fontId="32" fillId="0" borderId="15" xfId="12" applyNumberFormat="1" applyFont="1" applyBorder="1" applyAlignment="1">
      <alignment horizontal="center" vertical="center"/>
    </xf>
    <xf numFmtId="176" fontId="32" fillId="0" borderId="16" xfId="12" applyNumberFormat="1" applyFont="1" applyBorder="1" applyAlignment="1">
      <alignment horizontal="center" vertical="center"/>
    </xf>
    <xf numFmtId="0" fontId="32" fillId="0" borderId="2" xfId="12" applyFont="1" applyBorder="1" applyAlignment="1">
      <alignment horizontal="center" vertical="center"/>
    </xf>
    <xf numFmtId="0" fontId="32" fillId="0" borderId="3" xfId="12" applyFont="1" applyBorder="1" applyAlignment="1">
      <alignment horizontal="center" vertical="center"/>
    </xf>
    <xf numFmtId="0" fontId="32" fillId="0" borderId="24" xfId="12" applyFont="1" applyBorder="1" applyAlignment="1">
      <alignment horizontal="center" vertical="center"/>
    </xf>
    <xf numFmtId="0" fontId="32" fillId="0" borderId="12" xfId="12" applyFont="1" applyBorder="1" applyAlignment="1">
      <alignment horizontal="center" vertical="center"/>
    </xf>
    <xf numFmtId="41" fontId="10" fillId="0" borderId="26" xfId="13" quotePrefix="1" applyFont="1" applyFill="1" applyBorder="1" applyAlignment="1">
      <alignment horizontal="center" vertical="center"/>
    </xf>
    <xf numFmtId="41" fontId="10" fillId="0" borderId="22" xfId="13" quotePrefix="1" applyFont="1" applyFill="1" applyBorder="1" applyAlignment="1">
      <alignment horizontal="center" vertical="center"/>
    </xf>
    <xf numFmtId="41" fontId="10" fillId="0" borderId="25" xfId="13" quotePrefix="1" applyFont="1" applyFill="1" applyBorder="1" applyAlignment="1">
      <alignment horizontal="center" vertical="center"/>
    </xf>
    <xf numFmtId="185" fontId="10" fillId="0" borderId="26" xfId="13" applyNumberFormat="1" applyFont="1" applyFill="1" applyBorder="1" applyAlignment="1">
      <alignment horizontal="center" vertical="center"/>
    </xf>
    <xf numFmtId="185" fontId="10" fillId="0" borderId="22" xfId="13" applyNumberFormat="1" applyFont="1" applyFill="1" applyBorder="1" applyAlignment="1">
      <alignment horizontal="center" vertical="center"/>
    </xf>
    <xf numFmtId="185" fontId="10" fillId="0" borderId="25" xfId="13" applyNumberFormat="1" applyFont="1" applyFill="1" applyBorder="1" applyAlignment="1">
      <alignment horizontal="center" vertical="center"/>
    </xf>
    <xf numFmtId="41" fontId="10" fillId="0" borderId="28" xfId="13" quotePrefix="1" applyFont="1" applyFill="1" applyBorder="1" applyAlignment="1">
      <alignment horizontal="center" vertical="center"/>
    </xf>
    <xf numFmtId="41" fontId="10" fillId="0" borderId="0" xfId="13" quotePrefix="1" applyFont="1" applyFill="1" applyBorder="1" applyAlignment="1">
      <alignment horizontal="center" vertical="center"/>
    </xf>
    <xf numFmtId="41" fontId="10" fillId="0" borderId="27" xfId="13" quotePrefix="1" applyFont="1" applyFill="1" applyBorder="1" applyAlignment="1">
      <alignment horizontal="center" vertical="center"/>
    </xf>
    <xf numFmtId="182" fontId="10" fillId="0" borderId="28" xfId="13" applyNumberFormat="1" applyFont="1" applyFill="1" applyBorder="1" applyAlignment="1">
      <alignment horizontal="center" vertical="center"/>
    </xf>
    <xf numFmtId="182" fontId="10" fillId="0" borderId="0" xfId="13" applyNumberFormat="1" applyFont="1" applyFill="1" applyBorder="1" applyAlignment="1">
      <alignment horizontal="center" vertical="center"/>
    </xf>
    <xf numFmtId="182" fontId="10" fillId="0" borderId="27" xfId="13" applyNumberFormat="1" applyFont="1" applyFill="1" applyBorder="1" applyAlignment="1">
      <alignment horizontal="center" vertical="center"/>
    </xf>
    <xf numFmtId="0" fontId="32" fillId="0" borderId="19" xfId="12" applyFont="1" applyBorder="1" applyAlignment="1">
      <alignment horizontal="center" vertical="center"/>
    </xf>
    <xf numFmtId="0" fontId="32" fillId="0" borderId="16" xfId="12" applyFont="1" applyBorder="1" applyAlignment="1">
      <alignment horizontal="center" vertical="center"/>
    </xf>
    <xf numFmtId="0" fontId="32" fillId="0" borderId="21" xfId="12" applyFont="1" applyBorder="1" applyAlignment="1">
      <alignment horizontal="left" vertical="top"/>
    </xf>
    <xf numFmtId="0" fontId="32" fillId="0" borderId="22" xfId="12" applyFont="1" applyBorder="1" applyAlignment="1">
      <alignment horizontal="left" vertical="top"/>
    </xf>
    <xf numFmtId="0" fontId="32" fillId="0" borderId="25" xfId="12" applyFont="1" applyBorder="1" applyAlignment="1">
      <alignment horizontal="left" vertical="top"/>
    </xf>
    <xf numFmtId="0" fontId="32" fillId="0" borderId="11" xfId="12" applyFont="1" applyBorder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24" xfId="12" applyFont="1" applyBorder="1" applyAlignment="1">
      <alignment horizontal="left" vertical="top"/>
    </xf>
    <xf numFmtId="0" fontId="32" fillId="0" borderId="26" xfId="12" applyFont="1" applyBorder="1" applyAlignment="1">
      <alignment horizontal="center" vertical="center"/>
    </xf>
    <xf numFmtId="0" fontId="32" fillId="0" borderId="22" xfId="12" applyFont="1" applyBorder="1" applyAlignment="1">
      <alignment horizontal="center" vertical="center"/>
    </xf>
    <xf numFmtId="0" fontId="32" fillId="0" borderId="23" xfId="12" applyFont="1" applyBorder="1" applyAlignment="1">
      <alignment horizontal="center" vertical="center"/>
    </xf>
    <xf numFmtId="0" fontId="32" fillId="0" borderId="25" xfId="12" applyFont="1" applyBorder="1" applyAlignment="1">
      <alignment horizontal="center" vertical="center"/>
    </xf>
    <xf numFmtId="15" fontId="10" fillId="0" borderId="0" xfId="12" applyNumberFormat="1" applyFont="1" applyBorder="1" applyAlignment="1">
      <alignment horizontal="left" vertical="center"/>
    </xf>
    <xf numFmtId="0" fontId="32" fillId="0" borderId="22" xfId="12" applyFont="1" applyBorder="1" applyAlignment="1">
      <alignment horizontal="left" vertical="center" wrapText="1"/>
    </xf>
    <xf numFmtId="0" fontId="32" fillId="0" borderId="23" xfId="12" applyFont="1" applyBorder="1" applyAlignment="1">
      <alignment horizontal="left" vertical="center" wrapText="1"/>
    </xf>
    <xf numFmtId="15" fontId="10" fillId="0" borderId="0" xfId="12" applyNumberFormat="1" applyFont="1" applyAlignment="1">
      <alignment horizontal="center" vertical="center"/>
    </xf>
    <xf numFmtId="0" fontId="32" fillId="0" borderId="26" xfId="12" applyFont="1" applyBorder="1" applyAlignment="1">
      <alignment horizontal="left" vertical="center" wrapText="1"/>
    </xf>
    <xf numFmtId="0" fontId="32" fillId="0" borderId="25" xfId="12" applyFont="1" applyBorder="1" applyAlignment="1">
      <alignment horizontal="left" vertical="center" wrapText="1"/>
    </xf>
    <xf numFmtId="0" fontId="32" fillId="0" borderId="0" xfId="12" applyFont="1" applyBorder="1" applyAlignment="1">
      <alignment horizontal="left" vertical="center" wrapText="1"/>
    </xf>
    <xf numFmtId="0" fontId="32" fillId="0" borderId="27" xfId="12" applyFont="1" applyBorder="1" applyAlignment="1">
      <alignment horizontal="left" vertical="center" wrapText="1"/>
    </xf>
    <xf numFmtId="0" fontId="32" fillId="0" borderId="28" xfId="12" applyFont="1" applyBorder="1" applyAlignment="1">
      <alignment horizontal="left" vertical="center" wrapText="1"/>
    </xf>
    <xf numFmtId="184" fontId="10" fillId="0" borderId="0" xfId="1" applyNumberFormat="1" applyFont="1" applyBorder="1" applyAlignment="1">
      <alignment horizontal="center" vertical="center"/>
    </xf>
    <xf numFmtId="0" fontId="32" fillId="3" borderId="0" xfId="12" applyFont="1" applyFill="1" applyBorder="1" applyAlignment="1">
      <alignment horizontal="left" vertical="center"/>
    </xf>
    <xf numFmtId="0" fontId="32" fillId="3" borderId="10" xfId="12" applyFont="1" applyFill="1" applyBorder="1" applyAlignment="1">
      <alignment horizontal="left" vertical="center"/>
    </xf>
    <xf numFmtId="41" fontId="10" fillId="0" borderId="0" xfId="12" applyNumberFormat="1" applyFont="1" applyBorder="1" applyAlignment="1">
      <alignment horizontal="center" vertical="center"/>
    </xf>
    <xf numFmtId="176" fontId="10" fillId="0" borderId="0" xfId="1" applyNumberFormat="1" applyFont="1" applyBorder="1" applyAlignment="1">
      <alignment horizontal="center" vertical="center"/>
    </xf>
    <xf numFmtId="0" fontId="13" fillId="0" borderId="9" xfId="12" applyFont="1" applyBorder="1" applyAlignment="1">
      <alignment horizontal="center" vertical="center" wrapText="1"/>
    </xf>
    <xf numFmtId="0" fontId="13" fillId="0" borderId="0" xfId="12" applyFont="1" applyBorder="1" applyAlignment="1">
      <alignment horizontal="center" vertical="center"/>
    </xf>
    <xf numFmtId="0" fontId="13" fillId="0" borderId="10" xfId="12" applyFont="1" applyBorder="1" applyAlignment="1">
      <alignment horizontal="center" vertical="center"/>
    </xf>
    <xf numFmtId="0" fontId="32" fillId="3" borderId="6" xfId="12" applyFont="1" applyFill="1" applyBorder="1" applyAlignment="1">
      <alignment horizontal="center" vertical="center"/>
    </xf>
    <xf numFmtId="14" fontId="32" fillId="3" borderId="22" xfId="12" applyNumberFormat="1" applyFont="1" applyFill="1" applyBorder="1" applyAlignment="1">
      <alignment horizontal="center" vertical="center"/>
    </xf>
    <xf numFmtId="0" fontId="32" fillId="3" borderId="0" xfId="12" applyFont="1" applyFill="1" applyBorder="1" applyAlignment="1">
      <alignment horizontal="center" vertical="center"/>
    </xf>
    <xf numFmtId="0" fontId="32" fillId="3" borderId="10" xfId="12" applyFont="1" applyFill="1" applyBorder="1" applyAlignment="1">
      <alignment horizontal="center" vertical="center"/>
    </xf>
    <xf numFmtId="0" fontId="32" fillId="3" borderId="0" xfId="12" applyFont="1" applyFill="1" applyBorder="1" applyAlignment="1">
      <alignment horizontal="left" vertical="center" wrapText="1"/>
    </xf>
    <xf numFmtId="0" fontId="32" fillId="3" borderId="10" xfId="12" applyFont="1" applyFill="1" applyBorder="1" applyAlignment="1">
      <alignment horizontal="left" vertical="center" wrapText="1"/>
    </xf>
    <xf numFmtId="0" fontId="13" fillId="0" borderId="0" xfId="12" applyFont="1" applyAlignment="1">
      <alignment horizontal="center" vertical="center" wrapText="1"/>
    </xf>
    <xf numFmtId="0" fontId="13" fillId="0" borderId="0" xfId="12" applyFont="1" applyAlignment="1">
      <alignment horizontal="center" vertical="center"/>
    </xf>
    <xf numFmtId="0" fontId="18" fillId="3" borderId="48" xfId="12" applyFont="1" applyFill="1" applyBorder="1" applyAlignment="1">
      <alignment horizontal="center" vertical="center"/>
    </xf>
    <xf numFmtId="0" fontId="18" fillId="3" borderId="33" xfId="12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85" fontId="10" fillId="0" borderId="28" xfId="13" applyNumberFormat="1" applyFont="1" applyFill="1" applyBorder="1" applyAlignment="1">
      <alignment horizontal="center" vertical="center"/>
    </xf>
    <xf numFmtId="185" fontId="10" fillId="0" borderId="0" xfId="13" applyNumberFormat="1" applyFont="1" applyFill="1" applyBorder="1" applyAlignment="1">
      <alignment horizontal="center" vertical="center"/>
    </xf>
    <xf numFmtId="185" fontId="10" fillId="0" borderId="27" xfId="13" applyNumberFormat="1" applyFont="1" applyFill="1" applyBorder="1" applyAlignment="1">
      <alignment horizontal="center" vertical="center"/>
    </xf>
    <xf numFmtId="177" fontId="10" fillId="0" borderId="28" xfId="13" applyNumberFormat="1" applyFont="1" applyFill="1" applyBorder="1" applyAlignment="1">
      <alignment horizontal="center" vertical="center"/>
    </xf>
    <xf numFmtId="177" fontId="10" fillId="0" borderId="0" xfId="13" applyNumberFormat="1" applyFont="1" applyFill="1" applyBorder="1" applyAlignment="1">
      <alignment horizontal="center" vertical="center"/>
    </xf>
    <xf numFmtId="177" fontId="10" fillId="0" borderId="27" xfId="13" applyNumberFormat="1" applyFont="1" applyFill="1" applyBorder="1" applyAlignment="1">
      <alignment horizontal="center" vertical="center"/>
    </xf>
    <xf numFmtId="176" fontId="10" fillId="0" borderId="26" xfId="1" applyNumberFormat="1" applyFont="1" applyFill="1" applyBorder="1" applyAlignment="1">
      <alignment horizontal="center" vertical="center"/>
    </xf>
    <xf numFmtId="176" fontId="10" fillId="0" borderId="22" xfId="1" applyNumberFormat="1" applyFont="1" applyFill="1" applyBorder="1" applyAlignment="1">
      <alignment horizontal="center" vertical="center"/>
    </xf>
    <xf numFmtId="176" fontId="10" fillId="0" borderId="25" xfId="1" applyNumberFormat="1" applyFont="1" applyFill="1" applyBorder="1" applyAlignment="1">
      <alignment horizontal="center" vertical="center"/>
    </xf>
    <xf numFmtId="176" fontId="32" fillId="0" borderId="45" xfId="12" applyNumberFormat="1" applyFont="1" applyBorder="1" applyAlignment="1">
      <alignment horizontal="center" vertical="center"/>
    </xf>
    <xf numFmtId="176" fontId="32" fillId="0" borderId="46" xfId="12" applyNumberFormat="1" applyFont="1" applyBorder="1" applyAlignment="1">
      <alignment horizontal="center" vertical="center"/>
    </xf>
    <xf numFmtId="176" fontId="32" fillId="0" borderId="45" xfId="13" applyNumberFormat="1" applyFont="1" applyFill="1" applyBorder="1" applyAlignment="1">
      <alignment horizontal="center" vertical="center"/>
    </xf>
    <xf numFmtId="176" fontId="32" fillId="0" borderId="15" xfId="13" applyNumberFormat="1" applyFont="1" applyFill="1" applyBorder="1" applyAlignment="1">
      <alignment horizontal="center" vertical="center"/>
    </xf>
    <xf numFmtId="176" fontId="32" fillId="0" borderId="46" xfId="13" applyNumberFormat="1" applyFont="1" applyFill="1" applyBorder="1" applyAlignment="1">
      <alignment horizontal="center" vertical="center"/>
    </xf>
    <xf numFmtId="177" fontId="32" fillId="0" borderId="45" xfId="12" applyNumberFormat="1" applyFont="1" applyBorder="1" applyAlignment="1">
      <alignment horizontal="center" vertical="center"/>
    </xf>
    <xf numFmtId="177" fontId="32" fillId="0" borderId="15" xfId="12" applyNumberFormat="1" applyFont="1" applyBorder="1" applyAlignment="1">
      <alignment horizontal="center" vertical="center"/>
    </xf>
    <xf numFmtId="177" fontId="32" fillId="0" borderId="46" xfId="12" applyNumberFormat="1" applyFont="1" applyBorder="1" applyAlignment="1">
      <alignment horizontal="center" vertical="center"/>
    </xf>
    <xf numFmtId="0" fontId="32" fillId="0" borderId="46" xfId="12" applyFont="1" applyBorder="1" applyAlignment="1">
      <alignment horizontal="center" vertical="center"/>
    </xf>
    <xf numFmtId="176" fontId="10" fillId="0" borderId="28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176" fontId="10" fillId="0" borderId="27" xfId="1" applyNumberFormat="1" applyFont="1" applyFill="1" applyBorder="1" applyAlignment="1">
      <alignment horizontal="center" vertical="center"/>
    </xf>
    <xf numFmtId="41" fontId="10" fillId="0" borderId="0" xfId="1" applyFont="1" applyBorder="1" applyAlignment="1">
      <alignment horizontal="center" vertical="center"/>
    </xf>
    <xf numFmtId="176" fontId="10" fillId="0" borderId="0" xfId="1" applyNumberFormat="1" applyFont="1" applyBorder="1" applyAlignment="1">
      <alignment vertical="center"/>
    </xf>
    <xf numFmtId="15" fontId="10" fillId="0" borderId="0" xfId="12" applyNumberFormat="1" applyFont="1" applyBorder="1" applyAlignment="1">
      <alignment horizontal="center" vertical="center"/>
    </xf>
    <xf numFmtId="176" fontId="10" fillId="0" borderId="0" xfId="30" applyNumberFormat="1" applyFont="1" applyBorder="1" applyAlignment="1">
      <alignment horizontal="center" vertical="center"/>
    </xf>
    <xf numFmtId="0" fontId="32" fillId="0" borderId="0" xfId="12" applyFont="1" applyBorder="1" applyAlignment="1">
      <alignment horizontal="left" vertical="top" wrapText="1"/>
    </xf>
    <xf numFmtId="0" fontId="32" fillId="0" borderId="10" xfId="12" applyFont="1" applyBorder="1" applyAlignment="1">
      <alignment horizontal="left" vertical="top" wrapText="1"/>
    </xf>
    <xf numFmtId="178" fontId="22" fillId="0" borderId="30" xfId="12" applyNumberFormat="1" applyFont="1" applyBorder="1" applyAlignment="1">
      <alignment horizontal="center" vertical="center" wrapText="1"/>
    </xf>
    <xf numFmtId="178" fontId="22" fillId="0" borderId="1" xfId="12" applyNumberFormat="1" applyFont="1" applyBorder="1" applyAlignment="1">
      <alignment horizontal="center" vertical="center" wrapText="1"/>
    </xf>
    <xf numFmtId="178" fontId="22" fillId="0" borderId="50" xfId="12" applyNumberFormat="1" applyFont="1" applyBorder="1" applyAlignment="1">
      <alignment horizontal="center" vertical="center" wrapText="1"/>
    </xf>
    <xf numFmtId="178" fontId="22" fillId="0" borderId="18" xfId="12" applyNumberFormat="1" applyFont="1" applyBorder="1" applyAlignment="1">
      <alignment horizontal="center" vertical="center" wrapText="1"/>
    </xf>
    <xf numFmtId="0" fontId="39" fillId="4" borderId="48" xfId="12" applyFont="1" applyFill="1" applyBorder="1" applyAlignment="1">
      <alignment horizontal="center" vertical="center"/>
    </xf>
    <xf numFmtId="0" fontId="39" fillId="4" borderId="33" xfId="12" applyFont="1" applyFill="1" applyBorder="1" applyAlignment="1">
      <alignment horizontal="center" vertical="center"/>
    </xf>
    <xf numFmtId="0" fontId="26" fillId="0" borderId="0" xfId="12" applyFont="1" applyAlignment="1">
      <alignment horizontal="center" vertical="center"/>
    </xf>
    <xf numFmtId="0" fontId="22" fillId="0" borderId="29" xfId="12" applyFont="1" applyBorder="1" applyAlignment="1">
      <alignment horizontal="center" vertical="center"/>
    </xf>
    <xf numFmtId="0" fontId="22" fillId="0" borderId="17" xfId="12" applyFont="1" applyBorder="1" applyAlignment="1">
      <alignment horizontal="center" vertical="center"/>
    </xf>
    <xf numFmtId="0" fontId="22" fillId="0" borderId="30" xfId="12" applyFont="1" applyBorder="1" applyAlignment="1">
      <alignment horizontal="center" vertical="center" wrapText="1"/>
    </xf>
    <xf numFmtId="0" fontId="22" fillId="0" borderId="1" xfId="12" applyFont="1" applyBorder="1" applyAlignment="1">
      <alignment horizontal="center" vertical="center" wrapText="1"/>
    </xf>
    <xf numFmtId="41" fontId="22" fillId="0" borderId="30" xfId="13" applyFont="1" applyFill="1" applyBorder="1" applyAlignment="1">
      <alignment horizontal="center" vertical="center" wrapText="1"/>
    </xf>
    <xf numFmtId="176" fontId="22" fillId="0" borderId="30" xfId="30" applyNumberFormat="1" applyFont="1" applyBorder="1" applyAlignment="1">
      <alignment horizontal="center" vertical="center" wrapText="1"/>
    </xf>
    <xf numFmtId="176" fontId="22" fillId="0" borderId="30" xfId="13" applyNumberFormat="1" applyFont="1" applyFill="1" applyBorder="1" applyAlignment="1">
      <alignment horizontal="center" vertical="center" wrapText="1"/>
    </xf>
    <xf numFmtId="176" fontId="22" fillId="0" borderId="1" xfId="13" applyNumberFormat="1" applyFont="1" applyFill="1" applyBorder="1" applyAlignment="1">
      <alignment horizontal="center" vertical="center" wrapText="1"/>
    </xf>
    <xf numFmtId="176" fontId="22" fillId="0" borderId="30" xfId="30" applyNumberFormat="1" applyFont="1" applyFill="1" applyBorder="1" applyAlignment="1">
      <alignment horizontal="center" vertical="center" wrapText="1"/>
    </xf>
    <xf numFmtId="176" fontId="22" fillId="0" borderId="1" xfId="30" applyNumberFormat="1" applyFont="1" applyFill="1" applyBorder="1" applyAlignment="1">
      <alignment horizontal="center" vertical="center" wrapText="1"/>
    </xf>
    <xf numFmtId="178" fontId="22" fillId="0" borderId="32" xfId="12" applyNumberFormat="1" applyFont="1" applyBorder="1" applyAlignment="1">
      <alignment horizontal="center" vertical="center" wrapText="1"/>
    </xf>
    <xf numFmtId="178" fontId="22" fillId="0" borderId="13" xfId="12" applyNumberFormat="1" applyFont="1" applyBorder="1" applyAlignment="1">
      <alignment horizontal="center" vertical="center" wrapText="1"/>
    </xf>
    <xf numFmtId="0" fontId="39" fillId="0" borderId="38" xfId="12" applyFont="1" applyBorder="1" applyAlignment="1">
      <alignment horizontal="center" vertical="center"/>
    </xf>
    <xf numFmtId="0" fontId="39" fillId="0" borderId="39" xfId="12" applyFont="1" applyBorder="1" applyAlignment="1">
      <alignment horizontal="center" vertical="center"/>
    </xf>
    <xf numFmtId="0" fontId="39" fillId="0" borderId="40" xfId="12" applyFont="1" applyBorder="1" applyAlignment="1">
      <alignment horizontal="center" vertical="center"/>
    </xf>
    <xf numFmtId="176" fontId="22" fillId="0" borderId="31" xfId="13" applyNumberFormat="1" applyFont="1" applyFill="1" applyBorder="1" applyAlignment="1">
      <alignment horizontal="center" vertical="center" wrapText="1"/>
    </xf>
    <xf numFmtId="176" fontId="22" fillId="0" borderId="5" xfId="13" applyNumberFormat="1" applyFont="1" applyFill="1" applyBorder="1" applyAlignment="1">
      <alignment horizontal="center" vertical="center" wrapText="1"/>
    </xf>
    <xf numFmtId="0" fontId="22" fillId="0" borderId="34" xfId="12" applyFont="1" applyBorder="1" applyAlignment="1">
      <alignment horizontal="center" vertical="center"/>
    </xf>
    <xf numFmtId="0" fontId="22" fillId="0" borderId="37" xfId="12" applyFont="1" applyBorder="1" applyAlignment="1">
      <alignment horizontal="center" vertical="center"/>
    </xf>
    <xf numFmtId="0" fontId="22" fillId="0" borderId="31" xfId="12" applyFont="1" applyBorder="1" applyAlignment="1">
      <alignment horizontal="center" vertical="center" wrapText="1"/>
    </xf>
    <xf numFmtId="0" fontId="22" fillId="0" borderId="5" xfId="12" applyFont="1" applyBorder="1" applyAlignment="1">
      <alignment horizontal="center" vertical="center" wrapText="1"/>
    </xf>
    <xf numFmtId="41" fontId="22" fillId="0" borderId="49" xfId="13" applyFont="1" applyFill="1" applyBorder="1" applyAlignment="1">
      <alignment horizontal="center" vertical="center" wrapText="1"/>
    </xf>
    <xf numFmtId="41" fontId="22" fillId="0" borderId="35" xfId="13" applyFont="1" applyFill="1" applyBorder="1" applyAlignment="1">
      <alignment horizontal="center" vertical="center" wrapText="1"/>
    </xf>
    <xf numFmtId="176" fontId="22" fillId="0" borderId="36" xfId="1" applyNumberFormat="1" applyFont="1" applyBorder="1" applyAlignment="1">
      <alignment horizontal="center" vertical="center" wrapText="1"/>
    </xf>
    <xf numFmtId="176" fontId="22" fillId="0" borderId="35" xfId="1" applyNumberFormat="1" applyFont="1" applyBorder="1" applyAlignment="1">
      <alignment horizontal="center" vertical="center" wrapText="1"/>
    </xf>
    <xf numFmtId="176" fontId="22" fillId="0" borderId="31" xfId="30" applyNumberFormat="1" applyFont="1" applyFill="1" applyBorder="1" applyAlignment="1">
      <alignment horizontal="center" vertical="center" wrapText="1"/>
    </xf>
    <xf numFmtId="176" fontId="22" fillId="0" borderId="5" xfId="30" applyNumberFormat="1" applyFont="1" applyFill="1" applyBorder="1" applyAlignment="1">
      <alignment horizontal="center" vertical="center" wrapText="1"/>
    </xf>
    <xf numFmtId="178" fontId="22" fillId="0" borderId="31" xfId="12" applyNumberFormat="1" applyFont="1" applyBorder="1" applyAlignment="1">
      <alignment horizontal="center" vertical="center" wrapText="1"/>
    </xf>
    <xf numFmtId="178" fontId="22" fillId="0" borderId="5" xfId="12" applyNumberFormat="1" applyFont="1" applyBorder="1" applyAlignment="1">
      <alignment horizontal="center" vertical="center" wrapText="1"/>
    </xf>
    <xf numFmtId="176" fontId="22" fillId="0" borderId="31" xfId="1" applyNumberFormat="1" applyFont="1" applyFill="1" applyBorder="1" applyAlignment="1">
      <alignment horizontal="center" vertical="center" wrapText="1"/>
    </xf>
    <xf numFmtId="176" fontId="22" fillId="0" borderId="5" xfId="1" applyNumberFormat="1" applyFont="1" applyFill="1" applyBorder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13" fillId="2" borderId="0" xfId="0" applyFont="1" applyFill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45" fillId="2" borderId="6" xfId="0" applyFont="1" applyFill="1" applyBorder="1" applyAlignment="1">
      <alignment horizontal="center" vertical="center" wrapText="1"/>
    </xf>
    <xf numFmtId="0" fontId="45" fillId="2" borderId="6" xfId="0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center" vertical="center"/>
    </xf>
    <xf numFmtId="0" fontId="45" fillId="2" borderId="9" xfId="0" applyFont="1" applyFill="1" applyBorder="1" applyAlignment="1">
      <alignment horizontal="center" vertical="center" wrapText="1"/>
    </xf>
    <xf numFmtId="0" fontId="45" fillId="2" borderId="0" xfId="0" applyFont="1" applyFill="1" applyAlignment="1">
      <alignment horizontal="center" vertical="center" wrapText="1"/>
    </xf>
    <xf numFmtId="0" fontId="45" fillId="2" borderId="10" xfId="0" applyFont="1" applyFill="1" applyBorder="1" applyAlignment="1">
      <alignment horizontal="center" vertical="center" wrapText="1"/>
    </xf>
  </cellXfs>
  <cellStyles count="50">
    <cellStyle name="Comma" xfId="15" xr:uid="{00000000-0005-0000-0000-000000000000}"/>
    <cellStyle name="Comma [0]" xfId="1" xr:uid="{00000000-0005-0000-0000-000001000000}"/>
    <cellStyle name="Comma [0] 2" xfId="22" xr:uid="{00000000-0005-0000-0000-000002000000}"/>
    <cellStyle name="Comma [0] 2 2" xfId="38" xr:uid="{2A16B9B9-4639-40BF-99CD-DC48DA855BA9}"/>
    <cellStyle name="Comma [0] 3" xfId="31" xr:uid="{B0DFEF7D-C5A6-4EB8-8A49-85105A2A831A}"/>
    <cellStyle name="Normal 2" xfId="9" xr:uid="{00000000-0005-0000-0000-000003000000}"/>
    <cellStyle name="Standaard_Packing List(Sample for Hadjret HRSG)" xfId="4" xr:uid="{00000000-0005-0000-0000-000004000000}"/>
    <cellStyle name="쉼표 [0]" xfId="30" builtinId="6"/>
    <cellStyle name="쉼표 [0] 2" xfId="5" xr:uid="{00000000-0005-0000-0000-000006000000}"/>
    <cellStyle name="쉼표 [0] 2 2" xfId="11" xr:uid="{00000000-0005-0000-0000-000007000000}"/>
    <cellStyle name="쉼표 [0] 2 2 2" xfId="26" xr:uid="{00000000-0005-0000-0000-000008000000}"/>
    <cellStyle name="쉼표 [0] 2 2 2 2" xfId="42" xr:uid="{F36AD5E3-F4C0-4050-A50E-46C72126DA39}"/>
    <cellStyle name="쉼표 [0] 2 2 3" xfId="35" xr:uid="{93D138EF-86E2-46F1-B5B1-DDE4C5D3B774}"/>
    <cellStyle name="쉼표 [0] 2 3" xfId="23" xr:uid="{00000000-0005-0000-0000-000009000000}"/>
    <cellStyle name="쉼표 [0] 2 3 2" xfId="39" xr:uid="{FE4740D3-EC35-40C2-89C7-F54E5F317391}"/>
    <cellStyle name="쉼표 [0] 2 4" xfId="32" xr:uid="{68ED9358-B755-4097-BA98-A8D0AEA5D4F5}"/>
    <cellStyle name="쉼표 [0] 3" xfId="13" xr:uid="{00000000-0005-0000-0000-00000A000000}"/>
    <cellStyle name="쉼표 [0] 3 2" xfId="27" xr:uid="{00000000-0005-0000-0000-00000B000000}"/>
    <cellStyle name="쉼표 [0] 3 2 2" xfId="43" xr:uid="{21A72E9F-1715-4142-81D6-D7E361AFF9D5}"/>
    <cellStyle name="쉼표 [0] 3 3" xfId="36" xr:uid="{7333D759-D97C-4DFD-99EB-DB71D5E52924}"/>
    <cellStyle name="쉼표 [0] 4" xfId="17" xr:uid="{00000000-0005-0000-0000-00000C000000}"/>
    <cellStyle name="쉼표 [0] 4 2" xfId="8" xr:uid="{00000000-0005-0000-0000-00000D000000}"/>
    <cellStyle name="쉼표 [0] 4 2 2" xfId="25" xr:uid="{00000000-0005-0000-0000-00000E000000}"/>
    <cellStyle name="쉼표 [0] 4 2 2 2" xfId="41" xr:uid="{1354C4F5-374B-47CC-8DE9-CE4847BBE539}"/>
    <cellStyle name="쉼표 [0] 4 2 3" xfId="34" xr:uid="{8655344F-5AEA-46A2-A96A-F7BCB60CE6CE}"/>
    <cellStyle name="쉼표 [0] 4 3" xfId="28" xr:uid="{00000000-0005-0000-0000-00000F000000}"/>
    <cellStyle name="쉼표 [0] 4 3 2" xfId="44" xr:uid="{3E32A7D7-6363-434A-8F1E-8C667B5D51CC}"/>
    <cellStyle name="쉼표 [0] 4 4" xfId="37" xr:uid="{429EDA0C-A1A3-4BD0-A8C9-7D0791A06B1F}"/>
    <cellStyle name="쉼표 [0] 5" xfId="29" xr:uid="{00000000-0005-0000-0000-000010000000}"/>
    <cellStyle name="쉼표 [0] 5 2" xfId="45" xr:uid="{668CAE62-E0A6-4C39-A8C3-785BBEBD1C86}"/>
    <cellStyle name="쉼표 [0] 6" xfId="46" xr:uid="{28402AB6-6C77-4DEA-8EBC-4674A7D2F815}"/>
    <cellStyle name="쉼표 2" xfId="7" xr:uid="{00000000-0005-0000-0000-000011000000}"/>
    <cellStyle name="쉼표 2 2" xfId="24" xr:uid="{00000000-0005-0000-0000-000012000000}"/>
    <cellStyle name="쉼표 2 2 2" xfId="40" xr:uid="{A09508CB-87EB-401C-8790-FB01FF8E27D4}"/>
    <cellStyle name="쉼표 2 3" xfId="33" xr:uid="{A39CB1E8-3050-4F9D-BD64-310FAE5C160C}"/>
    <cellStyle name="쉼표 3" xfId="47" xr:uid="{21FA6616-757F-4807-A979-EB44609DF6CA}"/>
    <cellStyle name="쉼표 4" xfId="48" xr:uid="{9061D00A-AD6D-4475-8DBA-E6C0B9CD7398}"/>
    <cellStyle name="쉼표 5" xfId="49" xr:uid="{DA2FBC8A-8192-48F1-9B3B-1EB14C99AA18}"/>
    <cellStyle name="제목 1" xfId="20" builtinId="16"/>
    <cellStyle name="표준" xfId="0" builtinId="0"/>
    <cellStyle name="표준 2" xfId="2" xr:uid="{00000000-0005-0000-0000-000015000000}"/>
    <cellStyle name="표준 2 2" xfId="6" xr:uid="{00000000-0005-0000-0000-000016000000}"/>
    <cellStyle name="표준 2 3" xfId="3" xr:uid="{00000000-0005-0000-0000-000017000000}"/>
    <cellStyle name="표준 2 4" xfId="18" xr:uid="{00000000-0005-0000-0000-000018000000}"/>
    <cellStyle name="표준 3" xfId="12" xr:uid="{00000000-0005-0000-0000-000019000000}"/>
    <cellStyle name="표준 4" xfId="16" xr:uid="{00000000-0005-0000-0000-00001A000000}"/>
    <cellStyle name="표준 4 2" xfId="19" xr:uid="{00000000-0005-0000-0000-00001B000000}"/>
    <cellStyle name="표준_080407 3항차 final packing List(r3)통합" xfId="14" xr:uid="{00000000-0005-0000-0000-00001C000000}"/>
    <cellStyle name="標準_SpecSheet1" xfId="10" xr:uid="{00000000-0005-0000-0000-00001D000000}"/>
    <cellStyle name="하이퍼링크" xfId="21" builtinId="8"/>
  </cellStyles>
  <dxfs count="0"/>
  <tableStyles count="0" defaultTableStyle="TableStyleMedium2" defaultPivotStyle="PivotStyleLight16"/>
  <colors>
    <mruColors>
      <color rgb="FF000099"/>
      <color rgb="FF000066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154384</xdr:colOff>
      <xdr:row>2</xdr:row>
      <xdr:rowOff>77787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25400</xdr:colOff>
      <xdr:row>50</xdr:row>
      <xdr:rowOff>12700</xdr:rowOff>
    </xdr:from>
    <xdr:to>
      <xdr:col>28</xdr:col>
      <xdr:colOff>305828</xdr:colOff>
      <xdr:row>54</xdr:row>
      <xdr:rowOff>78069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043964A-DDD4-4096-A7FD-0C7B1781C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9000" y="10337800"/>
          <a:ext cx="1913965" cy="733707"/>
        </a:xfrm>
        <a:prstGeom prst="rect">
          <a:avLst/>
        </a:prstGeom>
      </xdr:spPr>
    </xdr:pic>
    <xdr:clientData/>
  </xdr:twoCellAnchor>
  <xdr:twoCellAnchor editAs="oneCell">
    <xdr:from>
      <xdr:col>28</xdr:col>
      <xdr:colOff>349250</xdr:colOff>
      <xdr:row>47</xdr:row>
      <xdr:rowOff>120650</xdr:rowOff>
    </xdr:from>
    <xdr:to>
      <xdr:col>28</xdr:col>
      <xdr:colOff>1429658</xdr:colOff>
      <xdr:row>54</xdr:row>
      <xdr:rowOff>151914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A959A1C-E119-4146-9539-9BD521810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1150" y="9988550"/>
          <a:ext cx="1085850" cy="1138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2406015</xdr:colOff>
      <xdr:row>0</xdr:row>
      <xdr:rowOff>0</xdr:rowOff>
    </xdr:from>
    <xdr:to>
      <xdr:col>9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6377940" y="0"/>
          <a:ext cx="87215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2406015</xdr:colOff>
      <xdr:row>0</xdr:row>
      <xdr:rowOff>0</xdr:rowOff>
    </xdr:from>
    <xdr:to>
      <xdr:col>9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6377940" y="0"/>
          <a:ext cx="87215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552570</xdr:colOff>
      <xdr:row>2</xdr:row>
      <xdr:rowOff>95796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48221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149622</xdr:colOff>
      <xdr:row>2</xdr:row>
      <xdr:rowOff>73025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59883</xdr:colOff>
      <xdr:row>49</xdr:row>
      <xdr:rowOff>87384</xdr:rowOff>
    </xdr:from>
    <xdr:to>
      <xdr:col>27</xdr:col>
      <xdr:colOff>37055</xdr:colOff>
      <xdr:row>54</xdr:row>
      <xdr:rowOff>1851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16EC03-E54E-4675-A689-6DDD581ED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2992" y="9852510"/>
          <a:ext cx="1859761" cy="751258"/>
        </a:xfrm>
        <a:prstGeom prst="rect">
          <a:avLst/>
        </a:prstGeom>
      </xdr:spPr>
    </xdr:pic>
    <xdr:clientData/>
  </xdr:twoCellAnchor>
  <xdr:twoCellAnchor editAs="oneCell">
    <xdr:from>
      <xdr:col>27</xdr:col>
      <xdr:colOff>19518</xdr:colOff>
      <xdr:row>47</xdr:row>
      <xdr:rowOff>75217</xdr:rowOff>
    </xdr:from>
    <xdr:to>
      <xdr:col>28</xdr:col>
      <xdr:colOff>765449</xdr:colOff>
      <xdr:row>54</xdr:row>
      <xdr:rowOff>72872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81A518-C2EC-4E6C-9669-BD5603C5C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5216" y="9532982"/>
          <a:ext cx="1091839" cy="11352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78</xdr:row>
      <xdr:rowOff>0</xdr:rowOff>
    </xdr:from>
    <xdr:to>
      <xdr:col>11</xdr:col>
      <xdr:colOff>24779</xdr:colOff>
      <xdr:row>78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DFC49A0-C097-4C84-9165-B7F9609ED7C7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78</xdr:row>
      <xdr:rowOff>0</xdr:rowOff>
    </xdr:from>
    <xdr:to>
      <xdr:col>11</xdr:col>
      <xdr:colOff>24779</xdr:colOff>
      <xdr:row>78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121D8B76-0F16-4707-9F42-A1F32AA596CA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78</xdr:row>
      <xdr:rowOff>0</xdr:rowOff>
    </xdr:from>
    <xdr:to>
      <xdr:col>11</xdr:col>
      <xdr:colOff>24779</xdr:colOff>
      <xdr:row>78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19A9522-0C22-462C-BD71-B0C4E8376C6B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77843</xdr:colOff>
      <xdr:row>2</xdr:row>
      <xdr:rowOff>58006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F49A6F56-CD07-4288-BE55-C348C053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7905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67733</xdr:colOff>
      <xdr:row>5</xdr:row>
      <xdr:rowOff>245224</xdr:rowOff>
    </xdr:from>
    <xdr:to>
      <xdr:col>22</xdr:col>
      <xdr:colOff>399519</xdr:colOff>
      <xdr:row>9</xdr:row>
      <xdr:rowOff>191475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14A15B5-C74B-985B-8A98-89A32B929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15011" y="1127168"/>
          <a:ext cx="5802020" cy="12608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104</xdr:row>
      <xdr:rowOff>0</xdr:rowOff>
    </xdr:from>
    <xdr:to>
      <xdr:col>10</xdr:col>
      <xdr:colOff>24779</xdr:colOff>
      <xdr:row>104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8B06B63-4DAD-4038-8BA9-C3A8D92A3852}"/>
            </a:ext>
          </a:extLst>
        </xdr:cNvPr>
        <xdr:cNvSpPr txBox="1">
          <a:spLocks noChangeArrowheads="1"/>
        </xdr:cNvSpPr>
      </xdr:nvSpPr>
      <xdr:spPr bwMode="auto">
        <a:xfrm>
          <a:off x="2286000" y="28930600"/>
          <a:ext cx="535877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104</xdr:row>
      <xdr:rowOff>0</xdr:rowOff>
    </xdr:from>
    <xdr:to>
      <xdr:col>10</xdr:col>
      <xdr:colOff>24779</xdr:colOff>
      <xdr:row>104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6377236-E8D4-4AC3-99DB-36383B0A11A0}"/>
            </a:ext>
          </a:extLst>
        </xdr:cNvPr>
        <xdr:cNvSpPr txBox="1">
          <a:spLocks noChangeArrowheads="1"/>
        </xdr:cNvSpPr>
      </xdr:nvSpPr>
      <xdr:spPr bwMode="auto">
        <a:xfrm>
          <a:off x="2286000" y="28930600"/>
          <a:ext cx="535877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104</xdr:row>
      <xdr:rowOff>0</xdr:rowOff>
    </xdr:from>
    <xdr:to>
      <xdr:col>10</xdr:col>
      <xdr:colOff>24779</xdr:colOff>
      <xdr:row>104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5993E9B-BFFA-491C-BA6C-7084B223E3D9}"/>
            </a:ext>
          </a:extLst>
        </xdr:cNvPr>
        <xdr:cNvSpPr txBox="1">
          <a:spLocks noChangeArrowheads="1"/>
        </xdr:cNvSpPr>
      </xdr:nvSpPr>
      <xdr:spPr bwMode="auto">
        <a:xfrm>
          <a:off x="2286000" y="28930600"/>
          <a:ext cx="535877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0</xdr:col>
      <xdr:colOff>0</xdr:colOff>
      <xdr:row>0</xdr:row>
      <xdr:rowOff>1</xdr:rowOff>
    </xdr:from>
    <xdr:ext cx="1456581" cy="410883"/>
    <xdr:pic>
      <xdr:nvPicPr>
        <xdr:cNvPr id="5" name="그림 6">
          <a:extLst>
            <a:ext uri="{FF2B5EF4-FFF2-40B4-BE49-F238E27FC236}">
              <a16:creationId xmlns:a16="http://schemas.microsoft.com/office/drawing/2014/main" id="{1EAFBA8C-AE03-4DEB-B8C1-29DBE7937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56581" cy="410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145116</xdr:colOff>
      <xdr:row>5</xdr:row>
      <xdr:rowOff>14942</xdr:rowOff>
    </xdr:from>
    <xdr:ext cx="4376463" cy="939201"/>
    <xdr:pic>
      <xdr:nvPicPr>
        <xdr:cNvPr id="6" name="그림 5">
          <a:extLst>
            <a:ext uri="{FF2B5EF4-FFF2-40B4-BE49-F238E27FC236}">
              <a16:creationId xmlns:a16="http://schemas.microsoft.com/office/drawing/2014/main" id="{93871D7F-CC21-4C2C-8482-0E8A174A1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99116" y="1094442"/>
          <a:ext cx="4376463" cy="93920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68035</xdr:colOff>
      <xdr:row>3</xdr:row>
      <xdr:rowOff>81643</xdr:rowOff>
    </xdr:from>
    <xdr:to>
      <xdr:col>5</xdr:col>
      <xdr:colOff>1834426</xdr:colOff>
      <xdr:row>3</xdr:row>
      <xdr:rowOff>1592036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E350A09-9C12-5644-1A94-C9C576D97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9071" y="979714"/>
          <a:ext cx="1766391" cy="151039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jin.kim\AppData\Local\Microsoft\Windows\INetCache\Content.Outlook\34303BNU\1113-&#46160;&#49328;&#50640;&#45320;&#48716;&#47532;&#54000;%20CLP(Turkistan114&#54637;&#52264;).xlsx" TargetMode="External"/><Relationship Id="rId1" Type="http://schemas.openxmlformats.org/officeDocument/2006/relationships/externalLinkPath" Target="file:///C:\Users\yujin.kim\AppData\Local\Microsoft\Windows\INetCache\Content.Outlook\34303BNU\1113-&#46160;&#49328;&#50640;&#45320;&#48716;&#47532;&#54000;%20CLP(Turkistan114&#54637;&#5226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13"/>
    </sheetNames>
    <sheetDataSet>
      <sheetData sheetId="0">
        <row r="1">
          <cell r="C1" t="str">
            <v>PGU-DE-0481-AIS-PoCable-001</v>
          </cell>
          <cell r="D1" t="str">
            <v>OCMU9396883</v>
          </cell>
        </row>
        <row r="2">
          <cell r="C2" t="str">
            <v>PGU-DE-0481-AIS-PoCable-002</v>
          </cell>
          <cell r="D2" t="str">
            <v>OCMU9396883</v>
          </cell>
        </row>
        <row r="3">
          <cell r="C3" t="str">
            <v>PGU-DE-0481-AIS-PoCable-003</v>
          </cell>
          <cell r="D3" t="str">
            <v>OCMU9396883</v>
          </cell>
        </row>
        <row r="4">
          <cell r="C4" t="str">
            <v>PGU-DE-0481-AIS-PoCable-004</v>
          </cell>
          <cell r="D4" t="str">
            <v>OCMU9396883</v>
          </cell>
        </row>
        <row r="5">
          <cell r="C5" t="str">
            <v>PGU-DE-0481-AIS-PoCable-005</v>
          </cell>
          <cell r="D5" t="str">
            <v>OCMU9396883</v>
          </cell>
        </row>
        <row r="6">
          <cell r="C6" t="str">
            <v>PGU-DE-0481-AIS-PoCable-006</v>
          </cell>
          <cell r="D6" t="str">
            <v>OCMU9396883</v>
          </cell>
        </row>
        <row r="7">
          <cell r="C7" t="str">
            <v>PGU-DE-0481-AIS-PoCable-007</v>
          </cell>
          <cell r="D7" t="str">
            <v>OCMU9396883</v>
          </cell>
        </row>
        <row r="8">
          <cell r="C8" t="str">
            <v>PGU-DE-0481-AIS-PoCable-008</v>
          </cell>
          <cell r="D8" t="str">
            <v>OCMU9396883</v>
          </cell>
        </row>
        <row r="9">
          <cell r="C9" t="str">
            <v>PGU-DE-0481-AIS-PoCable-009</v>
          </cell>
          <cell r="D9" t="str">
            <v>OCMU9396883</v>
          </cell>
        </row>
        <row r="10">
          <cell r="C10" t="str">
            <v>PGU-DE-0481-AIS-PoCable-010</v>
          </cell>
          <cell r="D10" t="str">
            <v>OCMU9396883</v>
          </cell>
        </row>
        <row r="11">
          <cell r="C11" t="str">
            <v>PGU-DE-0481-AIS-PoCable-011</v>
          </cell>
          <cell r="D11" t="str">
            <v>OCMU9396883</v>
          </cell>
        </row>
        <row r="12">
          <cell r="C12" t="str">
            <v>PGU-DE-0481-AIS-PoCable-013</v>
          </cell>
          <cell r="D12" t="str">
            <v>OCMU9396883</v>
          </cell>
        </row>
        <row r="13">
          <cell r="C13" t="str">
            <v>PGU-DE-0481-AIS-PoCable-016</v>
          </cell>
          <cell r="D13" t="str">
            <v>OCMU9396883</v>
          </cell>
        </row>
        <row r="14">
          <cell r="C14" t="str">
            <v>PGU-DE-0481-AIS-PoCable-017</v>
          </cell>
          <cell r="D14" t="str">
            <v>OCMU9396883</v>
          </cell>
        </row>
        <row r="15">
          <cell r="C15" t="str">
            <v>PGU-DE-0481-AIS-PoCable-012</v>
          </cell>
          <cell r="D15" t="str">
            <v>KPHU6954002</v>
          </cell>
        </row>
        <row r="16">
          <cell r="C16" t="str">
            <v>PGU-DE-0481-AIS-PoCable-014</v>
          </cell>
          <cell r="D16" t="str">
            <v>KPHU6954002</v>
          </cell>
        </row>
        <row r="17">
          <cell r="C17" t="str">
            <v>PGU-DE-0481-AIS-PoCable-015</v>
          </cell>
          <cell r="D17" t="str">
            <v>KPHU6954002</v>
          </cell>
        </row>
        <row r="18">
          <cell r="C18" t="str">
            <v>PGU-DE-0481-AIS-PoCable-018</v>
          </cell>
          <cell r="D18" t="str">
            <v>KPHU6954002</v>
          </cell>
        </row>
        <row r="19">
          <cell r="C19" t="str">
            <v>PGU-DE-0481-AIS-PoCable-019</v>
          </cell>
          <cell r="D19" t="str">
            <v>KPHU6954002</v>
          </cell>
        </row>
        <row r="20">
          <cell r="C20" t="str">
            <v>PGU-DE-0481-AIS-PoCable-020</v>
          </cell>
          <cell r="D20" t="str">
            <v>KPHU6954002</v>
          </cell>
        </row>
        <row r="21">
          <cell r="C21" t="str">
            <v>PGU-DE-0481-AIS-PoCable-021</v>
          </cell>
          <cell r="D21" t="str">
            <v>KPHU6954002</v>
          </cell>
        </row>
        <row r="22">
          <cell r="C22" t="str">
            <v>PGU-DE-0481-AIS-PoCable-022</v>
          </cell>
          <cell r="D22" t="str">
            <v>KPHU6954002</v>
          </cell>
        </row>
        <row r="23">
          <cell r="C23" t="str">
            <v>PGU-DE-0481-AIS-PoCable-023</v>
          </cell>
          <cell r="D23" t="str">
            <v>KPHU6954002</v>
          </cell>
        </row>
        <row r="24">
          <cell r="C24" t="str">
            <v>PGU-DE-0481-AIS-PoCable-024</v>
          </cell>
          <cell r="D24" t="str">
            <v>KPHU6954002</v>
          </cell>
        </row>
        <row r="25">
          <cell r="C25" t="str">
            <v>PGU-DE-0481-AIS-PoCable-025</v>
          </cell>
          <cell r="D25" t="str">
            <v>KPHU6954002</v>
          </cell>
        </row>
        <row r="26">
          <cell r="C26" t="str">
            <v>PGU-DE-0481-AIS-PoCable-026</v>
          </cell>
          <cell r="D26" t="str">
            <v>KPHU6954002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kipshakbayeva@wiselogistics.k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V59"/>
  <sheetViews>
    <sheetView showGridLines="0" view="pageBreakPreview" zoomScale="85" zoomScaleNormal="100" zoomScaleSheetLayoutView="85" workbookViewId="0">
      <selection activeCell="AE21" sqref="AE21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.69921875" style="5" customWidth="1"/>
    <col min="18" max="18" width="2.5" style="5" customWidth="1"/>
    <col min="19" max="20" width="2.59765625" style="5" customWidth="1"/>
    <col min="21" max="22" width="3.19921875" style="5" customWidth="1"/>
    <col min="23" max="25" width="3.69921875" style="5" customWidth="1"/>
    <col min="26" max="28" width="3.19921875" style="5" customWidth="1"/>
    <col min="29" max="29" width="23.69921875" style="5" customWidth="1"/>
    <col min="30" max="30" width="11.69921875" style="9" bestFit="1" customWidth="1"/>
    <col min="31" max="31" width="10.69921875" style="9" bestFit="1" customWidth="1"/>
    <col min="32" max="32" width="12.69921875" style="9" customWidth="1"/>
    <col min="33" max="16384" width="3" style="9"/>
  </cols>
  <sheetData>
    <row r="1" spans="1:30">
      <c r="A1" s="159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 t="s">
        <v>0</v>
      </c>
      <c r="X1" s="160"/>
      <c r="Y1" s="160"/>
      <c r="Z1" s="160"/>
      <c r="AA1" s="160"/>
      <c r="AB1" s="160"/>
      <c r="AC1" s="161"/>
    </row>
    <row r="2" spans="1:30">
      <c r="A2" s="162"/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 t="s">
        <v>1</v>
      </c>
      <c r="X2" s="346"/>
      <c r="Y2" s="346"/>
      <c r="Z2" s="346"/>
      <c r="AA2" s="346"/>
      <c r="AB2" s="346"/>
      <c r="AC2" s="163"/>
    </row>
    <row r="3" spans="1:30">
      <c r="A3" s="162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 t="s">
        <v>2</v>
      </c>
      <c r="X3" s="346"/>
      <c r="Y3" s="346"/>
      <c r="Z3" s="346"/>
      <c r="AA3" s="346"/>
      <c r="AB3" s="346"/>
      <c r="AC3" s="163"/>
    </row>
    <row r="4" spans="1:30">
      <c r="A4" s="162"/>
      <c r="B4" s="346"/>
      <c r="C4" s="346"/>
      <c r="D4" s="346"/>
      <c r="E4" s="346"/>
      <c r="F4" s="346"/>
      <c r="G4" s="346"/>
      <c r="H4" s="346"/>
      <c r="I4" s="346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 t="s">
        <v>3</v>
      </c>
      <c r="X4" s="346"/>
      <c r="Y4" s="346"/>
      <c r="Z4" s="346"/>
      <c r="AA4" s="346"/>
      <c r="AB4" s="346"/>
      <c r="AC4" s="163"/>
    </row>
    <row r="5" spans="1:30">
      <c r="A5" s="162"/>
      <c r="B5" s="346"/>
      <c r="C5" s="346"/>
      <c r="D5" s="346"/>
      <c r="E5" s="346"/>
      <c r="F5" s="346"/>
      <c r="G5" s="346"/>
      <c r="H5" s="346"/>
      <c r="I5" s="346"/>
      <c r="J5" s="346"/>
      <c r="K5" s="346"/>
      <c r="L5" s="346"/>
      <c r="M5" s="346"/>
      <c r="N5" s="346"/>
      <c r="O5" s="346"/>
      <c r="P5" s="346"/>
      <c r="Q5" s="346"/>
      <c r="R5" s="346"/>
      <c r="S5" s="346"/>
      <c r="T5" s="346"/>
      <c r="U5" s="346"/>
      <c r="V5" s="346"/>
      <c r="W5" s="346" t="s">
        <v>4</v>
      </c>
      <c r="X5" s="346"/>
      <c r="Y5" s="346"/>
      <c r="Z5" s="346"/>
      <c r="AA5" s="346"/>
      <c r="AB5" s="346"/>
      <c r="AC5" s="163"/>
    </row>
    <row r="6" spans="1:30" ht="40.200000000000003" customHeight="1">
      <c r="A6" s="428" t="s">
        <v>5</v>
      </c>
      <c r="B6" s="429"/>
      <c r="C6" s="429"/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30"/>
    </row>
    <row r="7" spans="1:30" ht="14.4" thickBot="1">
      <c r="A7" s="164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6"/>
      <c r="AD7" s="132"/>
    </row>
    <row r="8" spans="1:30" s="20" customFormat="1" ht="15.45" customHeight="1">
      <c r="A8" s="167" t="s">
        <v>6</v>
      </c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9"/>
      <c r="R8" s="170" t="s">
        <v>7</v>
      </c>
      <c r="S8" s="168"/>
      <c r="T8" s="168"/>
      <c r="U8" s="170"/>
      <c r="V8" s="431" t="str">
        <f>PL!V8</f>
        <v>PGU-DE-0481</v>
      </c>
      <c r="W8" s="431"/>
      <c r="X8" s="431"/>
      <c r="Y8" s="431"/>
      <c r="Z8" s="431"/>
      <c r="AA8" s="168"/>
      <c r="AB8" s="168"/>
      <c r="AC8" s="191"/>
      <c r="AD8" s="132"/>
    </row>
    <row r="9" spans="1:30" s="20" customFormat="1" ht="15.45" customHeight="1">
      <c r="A9" s="171"/>
      <c r="B9" s="347" t="s">
        <v>8</v>
      </c>
      <c r="C9" s="343"/>
      <c r="D9" s="343"/>
      <c r="E9" s="343"/>
      <c r="F9" s="343"/>
      <c r="G9" s="343"/>
      <c r="H9" s="343"/>
      <c r="I9" s="343"/>
      <c r="J9" s="343"/>
      <c r="K9" s="343"/>
      <c r="L9" s="343"/>
      <c r="M9" s="343"/>
      <c r="N9" s="343"/>
      <c r="O9" s="343"/>
      <c r="P9" s="343"/>
      <c r="Q9" s="181"/>
      <c r="R9" s="180" t="s">
        <v>9</v>
      </c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92"/>
    </row>
    <row r="10" spans="1:30" s="20" customFormat="1" ht="15.45" customHeight="1">
      <c r="A10" s="171"/>
      <c r="B10" s="343" t="s">
        <v>10</v>
      </c>
      <c r="C10" s="343"/>
      <c r="D10" s="343"/>
      <c r="E10" s="343"/>
      <c r="F10" s="343"/>
      <c r="G10" s="343"/>
      <c r="H10" s="343"/>
      <c r="I10" s="343"/>
      <c r="J10" s="343"/>
      <c r="K10" s="343"/>
      <c r="L10" s="343"/>
      <c r="M10" s="343"/>
      <c r="N10" s="343"/>
      <c r="O10" s="343"/>
      <c r="P10" s="343"/>
      <c r="Q10" s="149"/>
      <c r="R10" s="347" t="s">
        <v>11</v>
      </c>
      <c r="S10" s="343"/>
      <c r="T10" s="343"/>
      <c r="U10" s="343"/>
      <c r="V10" s="432">
        <f>PL!V10</f>
        <v>45896</v>
      </c>
      <c r="W10" s="432"/>
      <c r="X10" s="432"/>
      <c r="Y10" s="432"/>
      <c r="Z10" s="432"/>
      <c r="AA10" s="343"/>
      <c r="AB10" s="343"/>
      <c r="AC10" s="172"/>
    </row>
    <row r="11" spans="1:30" s="20" customFormat="1" ht="15.45" customHeight="1">
      <c r="A11" s="150"/>
      <c r="B11" s="152" t="s">
        <v>12</v>
      </c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3"/>
      <c r="R11" s="180" t="s">
        <v>13</v>
      </c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92"/>
    </row>
    <row r="12" spans="1:30" s="20" customFormat="1" ht="15.45" customHeight="1">
      <c r="A12" s="173" t="s">
        <v>14</v>
      </c>
      <c r="B12" s="343"/>
      <c r="C12" s="343"/>
      <c r="D12" s="343"/>
      <c r="E12" s="343"/>
      <c r="F12" s="343"/>
      <c r="G12" s="343"/>
      <c r="H12" s="343"/>
      <c r="I12" s="343"/>
      <c r="J12" s="343"/>
      <c r="K12" s="343"/>
      <c r="L12" s="343"/>
      <c r="M12" s="343"/>
      <c r="N12" s="343"/>
      <c r="O12" s="343"/>
      <c r="P12" s="343"/>
      <c r="Q12" s="149"/>
      <c r="R12" s="347" t="s">
        <v>15</v>
      </c>
      <c r="S12" s="343"/>
      <c r="T12" s="343"/>
      <c r="U12" s="343"/>
      <c r="V12" s="343"/>
      <c r="W12" s="343"/>
      <c r="X12" s="343"/>
      <c r="Y12" s="343"/>
      <c r="Z12" s="343"/>
      <c r="AA12" s="343"/>
      <c r="AB12" s="343"/>
      <c r="AC12" s="172"/>
    </row>
    <row r="13" spans="1:30" s="20" customFormat="1" ht="15.45" customHeight="1">
      <c r="A13" s="171"/>
      <c r="B13" s="347" t="s">
        <v>16</v>
      </c>
      <c r="C13" s="343"/>
      <c r="D13" s="343"/>
      <c r="E13" s="343"/>
      <c r="F13" s="343"/>
      <c r="G13" s="343"/>
      <c r="H13" s="343"/>
      <c r="I13" s="343"/>
      <c r="J13" s="343"/>
      <c r="K13" s="343"/>
      <c r="L13" s="343"/>
      <c r="M13" s="343"/>
      <c r="N13" s="343"/>
      <c r="O13" s="343"/>
      <c r="P13" s="343"/>
      <c r="Q13" s="149"/>
      <c r="R13" s="343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202"/>
    </row>
    <row r="14" spans="1:30" s="20" customFormat="1" ht="15.45" customHeight="1">
      <c r="A14" s="173"/>
      <c r="B14" s="343" t="s">
        <v>17</v>
      </c>
      <c r="C14" s="343"/>
      <c r="D14" s="343"/>
      <c r="E14" s="343"/>
      <c r="F14" s="343"/>
      <c r="G14" s="343"/>
      <c r="H14" s="343"/>
      <c r="I14" s="343"/>
      <c r="J14" s="343"/>
      <c r="K14" s="343"/>
      <c r="L14" s="343"/>
      <c r="M14" s="343"/>
      <c r="N14" s="343"/>
      <c r="O14" s="343"/>
      <c r="P14" s="343"/>
      <c r="Q14" s="149"/>
      <c r="R14" s="347"/>
      <c r="S14" s="349" t="s">
        <v>18</v>
      </c>
      <c r="T14" s="343"/>
      <c r="U14" s="343"/>
      <c r="V14" s="343"/>
      <c r="W14" s="343"/>
      <c r="X14" s="343"/>
      <c r="Y14" s="343"/>
      <c r="Z14" s="343"/>
      <c r="AA14" s="343"/>
      <c r="AB14" s="343"/>
      <c r="AC14" s="172"/>
    </row>
    <row r="15" spans="1:30" s="20" customFormat="1" ht="15.45" customHeight="1">
      <c r="A15" s="171"/>
      <c r="B15" s="343" t="s">
        <v>19</v>
      </c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149"/>
      <c r="R15" s="347"/>
      <c r="S15" s="435" t="s">
        <v>20</v>
      </c>
      <c r="T15" s="435"/>
      <c r="U15" s="435"/>
      <c r="V15" s="435"/>
      <c r="W15" s="435"/>
      <c r="X15" s="435"/>
      <c r="Y15" s="435"/>
      <c r="Z15" s="435"/>
      <c r="AA15" s="435"/>
      <c r="AB15" s="435"/>
      <c r="AC15" s="436"/>
    </row>
    <row r="16" spans="1:30" s="20" customFormat="1" ht="15.45" customHeight="1">
      <c r="A16" s="171"/>
      <c r="B16" s="350"/>
      <c r="C16" s="343"/>
      <c r="D16" s="343"/>
      <c r="E16" s="343"/>
      <c r="F16" s="343"/>
      <c r="G16" s="343"/>
      <c r="H16" s="343"/>
      <c r="I16" s="343"/>
      <c r="J16" s="343"/>
      <c r="K16" s="343"/>
      <c r="L16" s="343"/>
      <c r="M16" s="343"/>
      <c r="N16" s="343"/>
      <c r="O16" s="343"/>
      <c r="P16" s="343"/>
      <c r="Q16" s="149"/>
      <c r="R16" s="347"/>
      <c r="S16" s="424" t="s">
        <v>21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5"/>
    </row>
    <row r="17" spans="1:48" s="20" customFormat="1" ht="15.45" customHeight="1">
      <c r="A17" s="150"/>
      <c r="B17" s="151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3"/>
      <c r="R17" s="347"/>
      <c r="S17" s="349" t="s">
        <v>22</v>
      </c>
      <c r="T17" s="343"/>
      <c r="U17" s="343"/>
      <c r="V17" s="343"/>
      <c r="W17" s="343"/>
      <c r="X17" s="343"/>
      <c r="Y17" s="343"/>
      <c r="Z17" s="343"/>
      <c r="AA17" s="343"/>
      <c r="AB17" s="343"/>
      <c r="AC17" s="172"/>
    </row>
    <row r="18" spans="1:48" s="20" customFormat="1" ht="15.45" customHeight="1">
      <c r="A18" s="173" t="s">
        <v>23</v>
      </c>
      <c r="B18" s="351"/>
      <c r="C18" s="343"/>
      <c r="D18" s="343"/>
      <c r="E18" s="343"/>
      <c r="F18" s="343"/>
      <c r="G18" s="343"/>
      <c r="H18" s="343"/>
      <c r="I18" s="343"/>
      <c r="J18" s="343"/>
      <c r="K18" s="343"/>
      <c r="L18" s="343"/>
      <c r="M18" s="343"/>
      <c r="N18" s="343"/>
      <c r="O18" s="343"/>
      <c r="P18" s="343"/>
      <c r="Q18" s="149"/>
      <c r="R18" s="347"/>
      <c r="S18" s="433" t="s">
        <v>251</v>
      </c>
      <c r="T18" s="433"/>
      <c r="U18" s="433"/>
      <c r="V18" s="433"/>
      <c r="W18" s="433"/>
      <c r="X18" s="433"/>
      <c r="Y18" s="433"/>
      <c r="Z18" s="433"/>
      <c r="AA18" s="433"/>
      <c r="AB18" s="433"/>
      <c r="AC18" s="434"/>
    </row>
    <row r="19" spans="1:48" s="20" customFormat="1" ht="15.45" customHeight="1">
      <c r="A19" s="171"/>
      <c r="B19" s="347" t="s">
        <v>24</v>
      </c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149"/>
      <c r="R19" s="347"/>
      <c r="S19" s="349" t="s">
        <v>25</v>
      </c>
      <c r="T19" s="343"/>
      <c r="U19" s="343"/>
      <c r="V19" s="343"/>
      <c r="W19" s="63"/>
      <c r="X19" s="63"/>
      <c r="Y19" s="63"/>
      <c r="Z19" s="347"/>
      <c r="AA19" s="347"/>
      <c r="AB19" s="347"/>
      <c r="AC19" s="172"/>
    </row>
    <row r="20" spans="1:48" s="20" customFormat="1" ht="15.45" customHeight="1">
      <c r="A20" s="171"/>
      <c r="B20" s="203" t="s">
        <v>26</v>
      </c>
      <c r="C20" s="343"/>
      <c r="D20" s="343"/>
      <c r="E20" s="343"/>
      <c r="F20" s="343"/>
      <c r="G20" s="343"/>
      <c r="H20" s="343"/>
      <c r="I20" s="343"/>
      <c r="J20" s="343"/>
      <c r="K20" s="343"/>
      <c r="L20" s="343"/>
      <c r="M20" s="343"/>
      <c r="N20" s="343"/>
      <c r="O20" s="343"/>
      <c r="P20" s="343"/>
      <c r="Q20" s="149"/>
      <c r="R20" s="343"/>
      <c r="S20" s="433">
        <v>2025</v>
      </c>
      <c r="T20" s="433"/>
      <c r="U20" s="433"/>
      <c r="V20" s="433"/>
      <c r="W20" s="433"/>
      <c r="X20" s="433"/>
      <c r="Y20" s="433"/>
      <c r="Z20" s="433"/>
      <c r="AA20" s="433"/>
      <c r="AB20" s="433"/>
      <c r="AC20" s="434"/>
      <c r="AV20" s="1"/>
    </row>
    <row r="21" spans="1:48" s="20" customFormat="1" ht="15.45" customHeight="1">
      <c r="A21" s="200"/>
      <c r="B21" s="204" t="s">
        <v>27</v>
      </c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149"/>
      <c r="R21" s="174"/>
      <c r="S21" s="349" t="s">
        <v>28</v>
      </c>
      <c r="T21" s="349"/>
      <c r="U21" s="349"/>
      <c r="V21" s="349"/>
      <c r="W21" s="121"/>
      <c r="X21" s="121"/>
      <c r="Y21" s="121"/>
      <c r="Z21" s="347"/>
      <c r="AA21" s="343"/>
      <c r="AB21" s="343"/>
      <c r="AC21" s="172"/>
    </row>
    <row r="22" spans="1:48" s="20" customFormat="1" ht="15.45" customHeight="1">
      <c r="A22" s="171"/>
      <c r="B22" s="350" t="s">
        <v>29</v>
      </c>
      <c r="C22" s="343"/>
      <c r="D22" s="343"/>
      <c r="E22" s="343"/>
      <c r="F22" s="343"/>
      <c r="G22" s="343"/>
      <c r="H22" s="343"/>
      <c r="I22" s="343"/>
      <c r="J22" s="343"/>
      <c r="K22" s="343"/>
      <c r="L22" s="343"/>
      <c r="M22" s="343"/>
      <c r="N22" s="343"/>
      <c r="O22" s="343"/>
      <c r="P22" s="343"/>
      <c r="Q22" s="149"/>
      <c r="R22" s="175"/>
      <c r="S22" s="433" t="s">
        <v>30</v>
      </c>
      <c r="T22" s="433"/>
      <c r="U22" s="433"/>
      <c r="V22" s="433"/>
      <c r="W22" s="433"/>
      <c r="X22" s="433"/>
      <c r="Y22" s="433"/>
      <c r="Z22" s="433"/>
      <c r="AA22" s="433"/>
      <c r="AB22" s="433"/>
      <c r="AC22" s="434"/>
    </row>
    <row r="23" spans="1:48" s="20" customFormat="1" ht="15.45" customHeight="1">
      <c r="A23" s="171"/>
      <c r="B23" s="351"/>
      <c r="C23" s="343"/>
      <c r="D23" s="343"/>
      <c r="E23" s="343"/>
      <c r="F23" s="343"/>
      <c r="G23" s="343"/>
      <c r="H23" s="343"/>
      <c r="I23" s="343"/>
      <c r="J23" s="343"/>
      <c r="K23" s="343"/>
      <c r="L23" s="343"/>
      <c r="M23" s="343"/>
      <c r="N23" s="343"/>
      <c r="O23" s="343"/>
      <c r="P23" s="343"/>
      <c r="Q23" s="149"/>
      <c r="R23" s="352"/>
      <c r="S23" s="349" t="s">
        <v>31</v>
      </c>
      <c r="T23" s="353"/>
      <c r="U23" s="343"/>
      <c r="V23" s="343"/>
      <c r="W23" s="344"/>
      <c r="X23" s="344"/>
      <c r="Y23" s="344"/>
      <c r="Z23" s="344"/>
      <c r="AA23" s="343"/>
      <c r="AB23" s="343"/>
      <c r="AC23" s="172"/>
    </row>
    <row r="24" spans="1:48" s="20" customFormat="1" ht="15.45" customHeight="1">
      <c r="A24" s="171"/>
      <c r="B24" s="351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149"/>
      <c r="R24" s="343"/>
      <c r="S24" s="433" t="s">
        <v>32</v>
      </c>
      <c r="T24" s="433"/>
      <c r="U24" s="433"/>
      <c r="V24" s="433"/>
      <c r="W24" s="433"/>
      <c r="X24" s="433"/>
      <c r="Y24" s="433"/>
      <c r="Z24" s="433"/>
      <c r="AA24" s="433"/>
      <c r="AB24" s="433"/>
      <c r="AC24" s="434"/>
    </row>
    <row r="25" spans="1:48" s="20" customFormat="1" ht="15.45" customHeight="1">
      <c r="A25" s="171"/>
      <c r="B25" s="354"/>
      <c r="C25" s="343"/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149"/>
      <c r="R25" s="197"/>
      <c r="S25" s="198"/>
      <c r="T25" s="198"/>
      <c r="U25" s="198"/>
      <c r="V25" s="198"/>
      <c r="W25" s="198"/>
      <c r="X25" s="198"/>
      <c r="Y25" s="198"/>
      <c r="Z25" s="198"/>
      <c r="AA25" s="198"/>
      <c r="AB25" s="198"/>
      <c r="AC25" s="199"/>
    </row>
    <row r="26" spans="1:48" s="20" customFormat="1" ht="15.45" customHeight="1">
      <c r="A26" s="176" t="s">
        <v>33</v>
      </c>
      <c r="B26" s="177"/>
      <c r="C26" s="177"/>
      <c r="D26" s="177"/>
      <c r="E26" s="177"/>
      <c r="F26" s="177"/>
      <c r="G26" s="177"/>
      <c r="H26" s="178"/>
      <c r="I26" s="418" t="s">
        <v>34</v>
      </c>
      <c r="J26" s="415"/>
      <c r="K26" s="415"/>
      <c r="L26" s="415"/>
      <c r="M26" s="415"/>
      <c r="N26" s="415"/>
      <c r="O26" s="415"/>
      <c r="P26" s="415"/>
      <c r="Q26" s="419"/>
      <c r="R26" s="415" t="s">
        <v>35</v>
      </c>
      <c r="S26" s="415"/>
      <c r="T26" s="415"/>
      <c r="U26" s="415"/>
      <c r="V26" s="415"/>
      <c r="W26" s="415"/>
      <c r="X26" s="415"/>
      <c r="Y26" s="415"/>
      <c r="Z26" s="415"/>
      <c r="AA26" s="415"/>
      <c r="AB26" s="415"/>
      <c r="AC26" s="416"/>
    </row>
    <row r="27" spans="1:48" s="20" customFormat="1" ht="15.45" customHeight="1">
      <c r="A27" s="171"/>
      <c r="B27" s="343" t="s">
        <v>246</v>
      </c>
      <c r="C27" s="343"/>
      <c r="D27" s="343"/>
      <c r="E27" s="343"/>
      <c r="F27" s="343"/>
      <c r="G27" s="343"/>
      <c r="H27" s="149"/>
      <c r="I27" s="343"/>
      <c r="J27" s="343" t="s">
        <v>36</v>
      </c>
      <c r="K27" s="343"/>
      <c r="L27" s="343"/>
      <c r="M27" s="343"/>
      <c r="N27" s="343"/>
      <c r="O27" s="343"/>
      <c r="P27" s="343"/>
      <c r="Q27" s="149"/>
      <c r="R27" s="343"/>
      <c r="S27" s="344"/>
      <c r="T27" s="344"/>
      <c r="U27" s="344"/>
      <c r="V27" s="344"/>
      <c r="W27" s="344"/>
      <c r="X27" s="344"/>
      <c r="Y27" s="344"/>
      <c r="Z27" s="344"/>
      <c r="AA27" s="343"/>
      <c r="AB27" s="343"/>
      <c r="AC27" s="172"/>
    </row>
    <row r="28" spans="1:48" s="20" customFormat="1" ht="15.45" customHeight="1">
      <c r="A28" s="150"/>
      <c r="B28" s="179"/>
      <c r="C28" s="152"/>
      <c r="D28" s="152"/>
      <c r="E28" s="152"/>
      <c r="F28" s="152"/>
      <c r="G28" s="152"/>
      <c r="H28" s="153"/>
      <c r="I28" s="152"/>
      <c r="J28" s="179"/>
      <c r="K28" s="152"/>
      <c r="L28" s="152"/>
      <c r="M28" s="152"/>
      <c r="N28" s="152"/>
      <c r="O28" s="152"/>
      <c r="P28" s="152"/>
      <c r="Q28" s="153"/>
      <c r="R28" s="343"/>
      <c r="S28" s="349" t="s">
        <v>37</v>
      </c>
      <c r="T28" s="344"/>
      <c r="U28" s="343"/>
      <c r="V28" s="343"/>
      <c r="W28" s="344"/>
      <c r="X28" s="343" t="s">
        <v>38</v>
      </c>
      <c r="Y28" s="343" t="s">
        <v>39</v>
      </c>
      <c r="Z28" s="344"/>
      <c r="AA28" s="343"/>
      <c r="AB28" s="343"/>
      <c r="AC28" s="172"/>
    </row>
    <row r="29" spans="1:48" s="20" customFormat="1" ht="15.45" customHeight="1">
      <c r="A29" s="173" t="s">
        <v>40</v>
      </c>
      <c r="B29" s="343"/>
      <c r="C29" s="343"/>
      <c r="D29" s="343"/>
      <c r="E29" s="343"/>
      <c r="F29" s="343"/>
      <c r="G29" s="343"/>
      <c r="H29" s="149"/>
      <c r="I29" s="418" t="s">
        <v>248</v>
      </c>
      <c r="J29" s="415"/>
      <c r="K29" s="415"/>
      <c r="L29" s="415"/>
      <c r="M29" s="415"/>
      <c r="N29" s="415"/>
      <c r="O29" s="415"/>
      <c r="P29" s="415"/>
      <c r="Q29" s="419"/>
      <c r="R29" s="343"/>
      <c r="S29" s="349" t="s">
        <v>42</v>
      </c>
      <c r="T29" s="343"/>
      <c r="U29" s="344"/>
      <c r="V29" s="344"/>
      <c r="W29" s="344"/>
      <c r="X29" s="343" t="s">
        <v>38</v>
      </c>
      <c r="Y29" s="426">
        <f>PL!Y29</f>
        <v>26</v>
      </c>
      <c r="Z29" s="426"/>
      <c r="AA29" s="426"/>
      <c r="AB29" s="426"/>
      <c r="AC29" s="172" t="s">
        <v>43</v>
      </c>
    </row>
    <row r="30" spans="1:48" s="20" customFormat="1" ht="15.45" customHeight="1">
      <c r="A30" s="173"/>
      <c r="B30" s="343"/>
      <c r="C30" s="343"/>
      <c r="D30" s="343"/>
      <c r="E30" s="343"/>
      <c r="F30" s="343"/>
      <c r="G30" s="343"/>
      <c r="H30" s="149"/>
      <c r="I30" s="422"/>
      <c r="J30" s="420"/>
      <c r="K30" s="420"/>
      <c r="L30" s="420"/>
      <c r="M30" s="420"/>
      <c r="N30" s="420"/>
      <c r="O30" s="420"/>
      <c r="P30" s="420"/>
      <c r="Q30" s="421"/>
      <c r="R30" s="343"/>
      <c r="S30" s="349" t="s">
        <v>44</v>
      </c>
      <c r="T30" s="344"/>
      <c r="U30" s="344"/>
      <c r="V30" s="344"/>
      <c r="W30" s="344"/>
      <c r="X30" s="343" t="s">
        <v>38</v>
      </c>
      <c r="Y30" s="427">
        <f>PL!Y30</f>
        <v>21259</v>
      </c>
      <c r="Z30" s="427"/>
      <c r="AA30" s="427"/>
      <c r="AB30" s="427"/>
      <c r="AC30" s="172" t="s">
        <v>45</v>
      </c>
    </row>
    <row r="31" spans="1:48" s="20" customFormat="1" ht="15.45" customHeight="1">
      <c r="A31" s="171"/>
      <c r="B31" s="18" t="s">
        <v>252</v>
      </c>
      <c r="C31" s="343"/>
      <c r="D31" s="343"/>
      <c r="E31" s="343"/>
      <c r="F31" s="343"/>
      <c r="G31" s="343"/>
      <c r="H31" s="149"/>
      <c r="I31" s="343"/>
      <c r="J31" s="361" t="s">
        <v>245</v>
      </c>
      <c r="K31" s="361"/>
      <c r="L31" s="361"/>
      <c r="M31" s="361"/>
      <c r="N31" s="361"/>
      <c r="O31" s="361"/>
      <c r="P31" s="361"/>
      <c r="Q31" s="149"/>
      <c r="R31" s="343"/>
      <c r="S31" s="349" t="s">
        <v>46</v>
      </c>
      <c r="T31" s="344"/>
      <c r="U31" s="344"/>
      <c r="V31" s="344"/>
      <c r="W31" s="344"/>
      <c r="X31" s="343" t="s">
        <v>38</v>
      </c>
      <c r="Y31" s="427">
        <f>PL!Y31</f>
        <v>27223</v>
      </c>
      <c r="Z31" s="427"/>
      <c r="AA31" s="427"/>
      <c r="AB31" s="427"/>
      <c r="AC31" s="172" t="s">
        <v>45</v>
      </c>
    </row>
    <row r="32" spans="1:48" s="20" customFormat="1" ht="15.45" customHeight="1">
      <c r="A32" s="150"/>
      <c r="B32" s="152"/>
      <c r="C32" s="152"/>
      <c r="D32" s="152"/>
      <c r="E32" s="152"/>
      <c r="F32" s="152"/>
      <c r="G32" s="152"/>
      <c r="H32" s="153"/>
      <c r="I32" s="152"/>
      <c r="J32" s="152"/>
      <c r="K32" s="152"/>
      <c r="L32" s="152"/>
      <c r="M32" s="152"/>
      <c r="N32" s="152"/>
      <c r="O32" s="152"/>
      <c r="P32" s="152"/>
      <c r="Q32" s="153"/>
      <c r="R32" s="343"/>
      <c r="S32" s="349" t="s">
        <v>47</v>
      </c>
      <c r="T32" s="344"/>
      <c r="U32" s="343"/>
      <c r="V32" s="343"/>
      <c r="W32" s="343"/>
      <c r="X32" s="343" t="s">
        <v>38</v>
      </c>
      <c r="Y32" s="423">
        <f>'Summary PL'!K40</f>
        <v>44.135000000000012</v>
      </c>
      <c r="Z32" s="423"/>
      <c r="AA32" s="423"/>
      <c r="AB32" s="423"/>
      <c r="AC32" s="172" t="s">
        <v>48</v>
      </c>
    </row>
    <row r="33" spans="1:32" s="20" customFormat="1" ht="15.45" customHeight="1">
      <c r="A33" s="176" t="s">
        <v>49</v>
      </c>
      <c r="B33" s="177"/>
      <c r="C33" s="177"/>
      <c r="D33" s="177"/>
      <c r="E33" s="177"/>
      <c r="F33" s="177"/>
      <c r="G33" s="177"/>
      <c r="H33" s="178"/>
      <c r="I33" s="418" t="s">
        <v>50</v>
      </c>
      <c r="J33" s="415"/>
      <c r="K33" s="415"/>
      <c r="L33" s="415"/>
      <c r="M33" s="415"/>
      <c r="N33" s="415"/>
      <c r="O33" s="415"/>
      <c r="P33" s="415"/>
      <c r="Q33" s="419"/>
      <c r="R33" s="343"/>
      <c r="S33" s="344"/>
      <c r="T33" s="343"/>
      <c r="U33" s="343"/>
      <c r="V33" s="343"/>
      <c r="W33" s="343"/>
      <c r="X33" s="343"/>
      <c r="Y33" s="344"/>
      <c r="Z33" s="344"/>
      <c r="AA33" s="343"/>
      <c r="AB33" s="343"/>
      <c r="AC33" s="172"/>
    </row>
    <row r="34" spans="1:32" s="20" customFormat="1" ht="15.45" customHeight="1">
      <c r="A34" s="173"/>
      <c r="B34" s="343"/>
      <c r="C34" s="343"/>
      <c r="D34" s="343"/>
      <c r="E34" s="343"/>
      <c r="F34" s="343"/>
      <c r="G34" s="343"/>
      <c r="H34" s="149"/>
      <c r="I34" s="420"/>
      <c r="J34" s="420"/>
      <c r="K34" s="420"/>
      <c r="L34" s="420"/>
      <c r="M34" s="420"/>
      <c r="N34" s="420"/>
      <c r="O34" s="420"/>
      <c r="P34" s="420"/>
      <c r="Q34" s="421"/>
      <c r="R34" s="343"/>
      <c r="S34" s="348"/>
      <c r="T34" s="355"/>
      <c r="U34" s="355"/>
      <c r="V34" s="355"/>
      <c r="W34" s="355"/>
      <c r="X34" s="355"/>
      <c r="Y34" s="355"/>
      <c r="Z34" s="355"/>
      <c r="AA34" s="355"/>
      <c r="AB34" s="355"/>
      <c r="AC34" s="303"/>
    </row>
    <row r="35" spans="1:32" s="20" customFormat="1" ht="15.45" customHeight="1">
      <c r="A35" s="171"/>
      <c r="B35" s="365" t="s">
        <v>253</v>
      </c>
      <c r="C35" s="343"/>
      <c r="D35" s="343"/>
      <c r="E35" s="343"/>
      <c r="F35" s="343"/>
      <c r="G35" s="343"/>
      <c r="H35" s="149"/>
      <c r="I35" s="343"/>
      <c r="J35" s="417">
        <v>45978</v>
      </c>
      <c r="K35" s="417"/>
      <c r="L35" s="417"/>
      <c r="M35" s="417"/>
      <c r="N35" s="417"/>
      <c r="O35" s="417"/>
      <c r="P35" s="417"/>
      <c r="Q35" s="149"/>
      <c r="R35" s="343"/>
      <c r="S35" s="355"/>
      <c r="T35" s="355"/>
      <c r="U35" s="355"/>
      <c r="V35" s="355"/>
      <c r="W35" s="355"/>
      <c r="X35" s="355"/>
      <c r="Y35" s="355"/>
      <c r="Z35" s="355"/>
      <c r="AA35" s="355"/>
      <c r="AB35" s="355"/>
      <c r="AC35" s="303"/>
    </row>
    <row r="36" spans="1:32" s="20" customFormat="1" ht="15.45" customHeight="1">
      <c r="A36" s="150"/>
      <c r="B36" s="152"/>
      <c r="C36" s="152"/>
      <c r="D36" s="152"/>
      <c r="E36" s="152"/>
      <c r="F36" s="152"/>
      <c r="G36" s="152"/>
      <c r="H36" s="153"/>
      <c r="I36" s="152"/>
      <c r="J36" s="152"/>
      <c r="K36" s="152"/>
      <c r="L36" s="152"/>
      <c r="M36" s="152"/>
      <c r="N36" s="152"/>
      <c r="O36" s="152"/>
      <c r="P36" s="152"/>
      <c r="Q36" s="153"/>
      <c r="R36" s="343"/>
      <c r="S36" s="355"/>
      <c r="T36" s="355"/>
      <c r="U36" s="355"/>
      <c r="V36" s="355"/>
      <c r="W36" s="355"/>
      <c r="X36" s="355"/>
      <c r="Y36" s="355"/>
      <c r="Z36" s="355"/>
      <c r="AA36" s="355"/>
      <c r="AB36" s="355"/>
      <c r="AC36" s="303"/>
    </row>
    <row r="37" spans="1:32" s="20" customFormat="1" ht="15.45" customHeight="1">
      <c r="A37" s="176" t="s">
        <v>51</v>
      </c>
      <c r="B37" s="177"/>
      <c r="C37" s="177"/>
      <c r="D37" s="177"/>
      <c r="E37" s="177"/>
      <c r="F37" s="177"/>
      <c r="G37" s="177"/>
      <c r="H37" s="177"/>
      <c r="I37" s="193"/>
      <c r="J37" s="177"/>
      <c r="K37" s="177"/>
      <c r="L37" s="177"/>
      <c r="M37" s="177"/>
      <c r="N37" s="177"/>
      <c r="O37" s="177"/>
      <c r="P37" s="177"/>
      <c r="Q37" s="178"/>
      <c r="R37" s="343"/>
      <c r="S37" s="355"/>
      <c r="T37" s="355"/>
      <c r="U37" s="355"/>
      <c r="V37" s="355"/>
      <c r="W37" s="355"/>
      <c r="X37" s="355"/>
      <c r="Y37" s="355"/>
      <c r="Z37" s="355"/>
      <c r="AA37" s="355"/>
      <c r="AB37" s="355"/>
      <c r="AC37" s="303"/>
    </row>
    <row r="38" spans="1:32" s="20" customFormat="1" ht="15.45" customHeight="1">
      <c r="A38" s="171"/>
      <c r="B38" s="343"/>
      <c r="C38" s="343"/>
      <c r="D38" s="343"/>
      <c r="E38" s="343"/>
      <c r="F38" s="343"/>
      <c r="G38" s="343"/>
      <c r="H38" s="343"/>
      <c r="I38" s="343"/>
      <c r="J38" s="414"/>
      <c r="K38" s="414"/>
      <c r="L38" s="414"/>
      <c r="M38" s="414"/>
      <c r="N38" s="414"/>
      <c r="O38" s="414"/>
      <c r="P38" s="414"/>
      <c r="Q38" s="149"/>
      <c r="R38" s="343"/>
      <c r="S38" s="355"/>
      <c r="T38" s="355"/>
      <c r="U38" s="355"/>
      <c r="V38" s="355"/>
      <c r="W38" s="355"/>
      <c r="X38" s="355"/>
      <c r="Y38" s="355"/>
      <c r="Z38" s="355"/>
      <c r="AA38" s="355"/>
      <c r="AB38" s="355"/>
      <c r="AC38" s="303"/>
    </row>
    <row r="39" spans="1:32" s="20" customFormat="1" ht="15.45" customHeight="1">
      <c r="A39" s="150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3"/>
      <c r="R39" s="343"/>
      <c r="S39" s="343"/>
      <c r="T39" s="343"/>
      <c r="U39" s="343"/>
      <c r="V39" s="343"/>
      <c r="W39" s="343"/>
      <c r="X39" s="343"/>
      <c r="Y39" s="343"/>
      <c r="Z39" s="343"/>
      <c r="AA39" s="343"/>
      <c r="AB39" s="343"/>
      <c r="AC39" s="172"/>
    </row>
    <row r="40" spans="1:32" s="20" customFormat="1" ht="15.45" customHeight="1">
      <c r="A40" s="404" t="s">
        <v>52</v>
      </c>
      <c r="B40" s="405"/>
      <c r="C40" s="405"/>
      <c r="D40" s="405"/>
      <c r="E40" s="405"/>
      <c r="F40" s="405"/>
      <c r="G40" s="405"/>
      <c r="H40" s="405"/>
      <c r="I40" s="405"/>
      <c r="J40" s="405"/>
      <c r="K40" s="405"/>
      <c r="L40" s="405"/>
      <c r="M40" s="405"/>
      <c r="N40" s="405"/>
      <c r="O40" s="405"/>
      <c r="P40" s="405"/>
      <c r="Q40" s="406"/>
      <c r="R40" s="410" t="s">
        <v>53</v>
      </c>
      <c r="S40" s="411"/>
      <c r="T40" s="411"/>
      <c r="U40" s="411"/>
      <c r="V40" s="413"/>
      <c r="W40" s="410" t="s">
        <v>54</v>
      </c>
      <c r="X40" s="411"/>
      <c r="Y40" s="411"/>
      <c r="Z40" s="413"/>
      <c r="AA40" s="410" t="s">
        <v>55</v>
      </c>
      <c r="AB40" s="411"/>
      <c r="AC40" s="412"/>
    </row>
    <row r="41" spans="1:32" s="20" customFormat="1" ht="15.45" customHeight="1">
      <c r="A41" s="407"/>
      <c r="B41" s="408"/>
      <c r="C41" s="408"/>
      <c r="D41" s="408"/>
      <c r="E41" s="408"/>
      <c r="F41" s="408"/>
      <c r="G41" s="408"/>
      <c r="H41" s="408"/>
      <c r="I41" s="408"/>
      <c r="J41" s="408"/>
      <c r="K41" s="408"/>
      <c r="L41" s="408"/>
      <c r="M41" s="408"/>
      <c r="N41" s="408"/>
      <c r="O41" s="408"/>
      <c r="P41" s="408"/>
      <c r="Q41" s="409"/>
      <c r="R41" s="386" t="s">
        <v>56</v>
      </c>
      <c r="S41" s="387"/>
      <c r="T41" s="387"/>
      <c r="U41" s="387"/>
      <c r="V41" s="388"/>
      <c r="W41" s="386" t="s">
        <v>57</v>
      </c>
      <c r="X41" s="387"/>
      <c r="Y41" s="387"/>
      <c r="Z41" s="388"/>
      <c r="AA41" s="386" t="s">
        <v>58</v>
      </c>
      <c r="AB41" s="387"/>
      <c r="AC41" s="389"/>
    </row>
    <row r="42" spans="1:32" s="62" customFormat="1" ht="18" customHeight="1">
      <c r="A42" s="171"/>
      <c r="B42" s="343" t="s">
        <v>91</v>
      </c>
      <c r="C42" s="356"/>
      <c r="D42" s="356"/>
      <c r="E42" s="356"/>
      <c r="F42" s="356"/>
      <c r="G42" s="356"/>
      <c r="H42" s="356"/>
      <c r="I42" s="177"/>
      <c r="J42" s="177"/>
      <c r="K42" s="177"/>
      <c r="L42" s="177"/>
      <c r="M42" s="177"/>
      <c r="N42" s="177"/>
      <c r="O42" s="177"/>
      <c r="P42" s="177"/>
      <c r="Q42" s="149"/>
      <c r="R42" s="390" t="s">
        <v>249</v>
      </c>
      <c r="S42" s="391"/>
      <c r="T42" s="391"/>
      <c r="U42" s="391"/>
      <c r="V42" s="392"/>
      <c r="W42" s="393">
        <v>1</v>
      </c>
      <c r="X42" s="394"/>
      <c r="Y42" s="394"/>
      <c r="Z42" s="395"/>
      <c r="AA42" s="378">
        <f>CI_BD!I35</f>
        <v>1248453.75</v>
      </c>
      <c r="AB42" s="379"/>
      <c r="AC42" s="380"/>
      <c r="AE42" s="61"/>
    </row>
    <row r="43" spans="1:32" s="20" customFormat="1" ht="18" customHeight="1">
      <c r="A43" s="171"/>
      <c r="B43" s="345" t="s">
        <v>241</v>
      </c>
      <c r="C43" s="343"/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  <c r="O43" s="343"/>
      <c r="P43" s="343"/>
      <c r="Q43" s="149"/>
      <c r="R43" s="396"/>
      <c r="S43" s="397"/>
      <c r="T43" s="397"/>
      <c r="U43" s="397"/>
      <c r="V43" s="398"/>
      <c r="W43" s="399" t="s">
        <v>242</v>
      </c>
      <c r="X43" s="400"/>
      <c r="Y43" s="400"/>
      <c r="Z43" s="401"/>
      <c r="AA43" s="68"/>
      <c r="AB43" s="69"/>
      <c r="AC43" s="70"/>
      <c r="AE43" s="18"/>
    </row>
    <row r="44" spans="1:32" s="20" customFormat="1" ht="18" customHeight="1" thickBot="1">
      <c r="A44" s="173"/>
      <c r="B44" s="347"/>
      <c r="C44" s="347"/>
      <c r="D44" s="347"/>
      <c r="E44" s="347"/>
      <c r="F44" s="347"/>
      <c r="G44" s="347"/>
      <c r="H44" s="347"/>
      <c r="I44" s="194"/>
      <c r="J44" s="194"/>
      <c r="K44" s="194"/>
      <c r="L44" s="194"/>
      <c r="M44" s="194"/>
      <c r="N44" s="194"/>
      <c r="O44" s="194"/>
      <c r="P44" s="194"/>
      <c r="Q44" s="189"/>
      <c r="R44" s="347"/>
      <c r="S44" s="347"/>
      <c r="T44" s="347"/>
      <c r="U44" s="347"/>
      <c r="V44" s="189"/>
      <c r="W44" s="347"/>
      <c r="X44" s="65"/>
      <c r="Y44" s="65"/>
      <c r="Z44" s="65"/>
      <c r="AA44" s="64"/>
      <c r="AB44" s="65"/>
      <c r="AC44" s="66"/>
    </row>
    <row r="45" spans="1:32" s="20" customFormat="1" ht="18" customHeight="1" thickBot="1">
      <c r="A45" s="182"/>
      <c r="B45" s="190"/>
      <c r="C45" s="183"/>
      <c r="D45" s="183"/>
      <c r="E45" s="183"/>
      <c r="F45" s="183"/>
      <c r="G45" s="183"/>
      <c r="H45" s="183"/>
      <c r="I45" s="383" t="s">
        <v>59</v>
      </c>
      <c r="J45" s="383"/>
      <c r="K45" s="383"/>
      <c r="L45" s="383"/>
      <c r="M45" s="383"/>
      <c r="N45" s="383"/>
      <c r="O45" s="383"/>
      <c r="P45" s="383"/>
      <c r="Q45" s="383"/>
      <c r="R45" s="402"/>
      <c r="S45" s="383"/>
      <c r="T45" s="383"/>
      <c r="U45" s="383"/>
      <c r="V45" s="383"/>
      <c r="W45" s="383"/>
      <c r="X45" s="383"/>
      <c r="Y45" s="383"/>
      <c r="Z45" s="403"/>
      <c r="AA45" s="384">
        <f>AA42</f>
        <v>1248453.75</v>
      </c>
      <c r="AB45" s="384"/>
      <c r="AC45" s="385"/>
      <c r="AD45" s="85"/>
      <c r="AE45" s="85"/>
      <c r="AF45" s="86"/>
    </row>
    <row r="46" spans="1:32">
      <c r="A46" s="159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1"/>
    </row>
    <row r="47" spans="1:32">
      <c r="A47" s="162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  <c r="Z47" s="346"/>
      <c r="AA47" s="346"/>
      <c r="AB47" s="346"/>
      <c r="AC47" s="163"/>
    </row>
    <row r="48" spans="1:32">
      <c r="A48" s="162"/>
      <c r="B48" s="346"/>
      <c r="C48" s="346"/>
      <c r="D48" s="346"/>
      <c r="E48" s="346"/>
      <c r="F48" s="346"/>
      <c r="G48" s="346"/>
      <c r="H48" s="346"/>
      <c r="I48" s="346"/>
      <c r="J48" s="346"/>
      <c r="K48" s="346"/>
      <c r="L48" s="346"/>
      <c r="M48" s="346"/>
      <c r="N48" s="346"/>
      <c r="O48" s="346"/>
      <c r="P48" s="346"/>
      <c r="Q48" s="346"/>
      <c r="R48" s="346"/>
      <c r="S48" s="346"/>
      <c r="T48" s="346"/>
      <c r="U48" s="346"/>
      <c r="V48" s="346"/>
      <c r="W48" s="346"/>
      <c r="X48" s="346"/>
      <c r="Y48" s="346"/>
      <c r="Z48" s="346"/>
      <c r="AA48" s="346"/>
      <c r="AB48" s="346"/>
      <c r="AC48" s="163"/>
    </row>
    <row r="49" spans="1:29">
      <c r="A49" s="162"/>
      <c r="B49" s="346"/>
      <c r="C49" s="346"/>
      <c r="D49" s="346"/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46"/>
      <c r="P49" s="346"/>
      <c r="Q49" s="346"/>
      <c r="R49" s="346"/>
      <c r="S49" s="346"/>
      <c r="T49" s="346"/>
      <c r="U49" s="346"/>
      <c r="V49" s="346"/>
      <c r="W49" s="346"/>
      <c r="X49" s="346"/>
      <c r="Y49" s="346"/>
      <c r="Z49" s="346"/>
      <c r="AA49" s="346"/>
      <c r="AB49" s="346"/>
      <c r="AC49" s="163"/>
    </row>
    <row r="50" spans="1:29">
      <c r="A50" s="162"/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346"/>
      <c r="AB50" s="346"/>
      <c r="AC50" s="163"/>
    </row>
    <row r="51" spans="1:29">
      <c r="A51" s="162"/>
      <c r="B51" s="346"/>
      <c r="C51" s="346"/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46"/>
      <c r="Q51" s="346"/>
      <c r="R51" s="346"/>
      <c r="S51" s="346"/>
      <c r="T51" s="346"/>
      <c r="U51" s="346"/>
      <c r="V51" s="346"/>
      <c r="W51" s="346"/>
      <c r="X51" s="346"/>
      <c r="Y51" s="346"/>
      <c r="Z51" s="346"/>
      <c r="AA51" s="346"/>
      <c r="AB51" s="346"/>
      <c r="AC51" s="163"/>
    </row>
    <row r="52" spans="1:29">
      <c r="A52" s="162"/>
      <c r="B52" s="346"/>
      <c r="C52" s="346"/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46"/>
      <c r="Q52" s="346"/>
      <c r="R52" s="346"/>
      <c r="S52" s="346"/>
      <c r="T52" s="346"/>
      <c r="U52" s="346"/>
      <c r="V52" s="346"/>
      <c r="W52" s="346"/>
      <c r="X52" s="346"/>
      <c r="Y52" s="346"/>
      <c r="Z52" s="346"/>
      <c r="AA52" s="346"/>
      <c r="AB52" s="346"/>
      <c r="AC52" s="163"/>
    </row>
    <row r="53" spans="1:29" ht="14.4">
      <c r="A53" s="171"/>
      <c r="B53" s="343"/>
      <c r="C53" s="343"/>
      <c r="D53" s="343"/>
      <c r="E53" s="343"/>
      <c r="F53" s="343"/>
      <c r="G53" s="343"/>
      <c r="H53" s="343"/>
      <c r="I53" s="343"/>
      <c r="J53" s="343"/>
      <c r="K53" s="343"/>
      <c r="L53" s="343"/>
      <c r="M53" s="343"/>
      <c r="N53" s="343"/>
      <c r="O53" s="346"/>
      <c r="P53" s="346"/>
      <c r="Q53" s="346"/>
      <c r="R53" s="346"/>
      <c r="S53" s="343" t="s">
        <v>60</v>
      </c>
      <c r="T53" s="346"/>
      <c r="U53" s="346"/>
      <c r="V53" s="346"/>
      <c r="W53" s="346"/>
      <c r="X53" s="346"/>
      <c r="Y53" s="346"/>
      <c r="Z53" s="346"/>
      <c r="AA53" s="346"/>
      <c r="AB53" s="346"/>
      <c r="AC53" s="163"/>
    </row>
    <row r="54" spans="1:29" ht="14.4">
      <c r="A54" s="171" t="s">
        <v>61</v>
      </c>
      <c r="B54" s="343"/>
      <c r="C54" s="343"/>
      <c r="D54" s="343"/>
      <c r="E54" s="343"/>
      <c r="F54" s="343"/>
      <c r="G54" s="343"/>
      <c r="H54" s="343"/>
      <c r="I54" s="343"/>
      <c r="J54" s="343"/>
      <c r="K54" s="343"/>
      <c r="L54" s="343"/>
      <c r="M54" s="343"/>
      <c r="N54" s="343"/>
      <c r="O54" s="346"/>
      <c r="P54" s="346"/>
      <c r="Q54" s="346"/>
      <c r="R54" s="346"/>
      <c r="S54" s="346"/>
      <c r="T54" s="346"/>
      <c r="U54" s="346"/>
      <c r="V54" s="346"/>
      <c r="W54" s="346"/>
      <c r="X54" s="346"/>
      <c r="Y54" s="346"/>
      <c r="Z54" s="346"/>
      <c r="AA54" s="346"/>
      <c r="AB54" s="346"/>
      <c r="AC54" s="163"/>
    </row>
    <row r="55" spans="1:29" ht="14.4">
      <c r="A55" s="171" t="s">
        <v>62</v>
      </c>
      <c r="B55" s="343"/>
      <c r="C55" s="343"/>
      <c r="D55" s="343"/>
      <c r="E55" s="343"/>
      <c r="F55" s="343"/>
      <c r="G55" s="343"/>
      <c r="H55" s="343"/>
      <c r="I55" s="343"/>
      <c r="J55" s="343"/>
      <c r="K55" s="343"/>
      <c r="L55" s="343"/>
      <c r="M55" s="343"/>
      <c r="N55" s="343"/>
      <c r="O55" s="346"/>
      <c r="P55" s="346"/>
      <c r="Q55" s="346"/>
      <c r="R55" s="346"/>
      <c r="S55" s="346"/>
      <c r="T55" s="346"/>
      <c r="U55" s="346"/>
      <c r="V55" s="346"/>
      <c r="W55" s="184"/>
      <c r="X55" s="184"/>
      <c r="Y55" s="346"/>
      <c r="Z55" s="346"/>
      <c r="AA55" s="346"/>
      <c r="AB55" s="346"/>
      <c r="AC55" s="163"/>
    </row>
    <row r="56" spans="1:29" ht="14.4">
      <c r="A56" s="171" t="s">
        <v>63</v>
      </c>
      <c r="B56" s="343"/>
      <c r="C56" s="343"/>
      <c r="D56" s="343"/>
      <c r="E56" s="343"/>
      <c r="F56" s="343"/>
      <c r="G56" s="343"/>
      <c r="H56" s="343"/>
      <c r="I56" s="343"/>
      <c r="J56" s="343"/>
      <c r="K56" s="343"/>
      <c r="L56" s="343"/>
      <c r="M56" s="343"/>
      <c r="N56" s="343"/>
      <c r="O56" s="346"/>
      <c r="P56" s="346"/>
      <c r="Q56" s="346"/>
      <c r="R56" s="346"/>
      <c r="S56" s="346"/>
      <c r="T56" s="346"/>
      <c r="U56" s="346"/>
      <c r="V56" s="381" t="s">
        <v>64</v>
      </c>
      <c r="W56" s="381"/>
      <c r="X56" s="381"/>
      <c r="Y56" s="381"/>
      <c r="Z56" s="381"/>
      <c r="AA56" s="381"/>
      <c r="AB56" s="381"/>
      <c r="AC56" s="382"/>
    </row>
    <row r="57" spans="1:29" ht="14.4">
      <c r="A57" s="171" t="s">
        <v>65</v>
      </c>
      <c r="B57" s="343"/>
      <c r="C57" s="343"/>
      <c r="D57" s="343"/>
      <c r="E57" s="343"/>
      <c r="F57" s="343"/>
      <c r="G57" s="343"/>
      <c r="H57" s="343"/>
      <c r="I57" s="343"/>
      <c r="J57" s="343"/>
      <c r="K57" s="343"/>
      <c r="L57" s="343"/>
      <c r="M57" s="343"/>
      <c r="N57" s="343"/>
      <c r="O57" s="346"/>
      <c r="P57" s="346"/>
      <c r="Q57" s="346"/>
      <c r="R57" s="346"/>
      <c r="S57" s="349"/>
      <c r="T57" s="346"/>
      <c r="U57" s="357"/>
      <c r="V57" s="357"/>
      <c r="W57" s="357"/>
      <c r="X57" s="357"/>
      <c r="Y57" s="357"/>
      <c r="Z57" s="357"/>
      <c r="AA57" s="357"/>
      <c r="AB57" s="357"/>
      <c r="AC57" s="163"/>
    </row>
    <row r="58" spans="1:29" ht="12.6" thickBot="1">
      <c r="A58" s="185"/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6"/>
    </row>
    <row r="59" spans="1:29" ht="15" thickBot="1">
      <c r="A59" s="186" t="s">
        <v>66</v>
      </c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8"/>
    </row>
  </sheetData>
  <mergeCells count="35">
    <mergeCell ref="S16:AC16"/>
    <mergeCell ref="Y29:AB29"/>
    <mergeCell ref="Y30:AB30"/>
    <mergeCell ref="Y31:AB31"/>
    <mergeCell ref="A6:AC6"/>
    <mergeCell ref="V8:Z8"/>
    <mergeCell ref="V10:Z10"/>
    <mergeCell ref="S18:AC18"/>
    <mergeCell ref="S20:AC20"/>
    <mergeCell ref="S22:AC22"/>
    <mergeCell ref="S24:AC24"/>
    <mergeCell ref="S15:AC15"/>
    <mergeCell ref="J38:P38"/>
    <mergeCell ref="R26:AC26"/>
    <mergeCell ref="J35:P35"/>
    <mergeCell ref="I33:Q34"/>
    <mergeCell ref="I29:Q30"/>
    <mergeCell ref="I26:Q26"/>
    <mergeCell ref="Y32:AB32"/>
    <mergeCell ref="AA42:AC42"/>
    <mergeCell ref="V56:AC56"/>
    <mergeCell ref="I45:Q45"/>
    <mergeCell ref="AA45:AC45"/>
    <mergeCell ref="R41:V41"/>
    <mergeCell ref="W41:Z41"/>
    <mergeCell ref="AA41:AC41"/>
    <mergeCell ref="R42:V42"/>
    <mergeCell ref="W42:Z42"/>
    <mergeCell ref="R43:V43"/>
    <mergeCell ref="W43:Z43"/>
    <mergeCell ref="R45:Z45"/>
    <mergeCell ref="A40:Q41"/>
    <mergeCell ref="AA40:AC40"/>
    <mergeCell ref="R40:V40"/>
    <mergeCell ref="W40:Z40"/>
  </mergeCells>
  <phoneticPr fontId="9" type="noConversion"/>
  <hyperlinks>
    <hyperlink ref="B21" r:id="rId1" xr:uid="{CD94D5DB-2AAF-4700-892F-66CE7029FC1B}"/>
  </hyperlinks>
  <printOptions horizontalCentered="1"/>
  <pageMargins left="0.39370078740157483" right="0.39370078740157483" top="0.59055118110236227" bottom="0.39370078740157483" header="0.31496062992125984" footer="0.23622047244094491"/>
  <pageSetup paperSize="9" scale="72" fitToHeight="0" orientation="portrait" horizontalDpi="1200" verticalDpi="12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M39"/>
  <sheetViews>
    <sheetView showGridLines="0" topLeftCell="B1" zoomScale="55" zoomScaleNormal="55" zoomScaleSheetLayoutView="55" zoomScalePageLayoutView="70" workbookViewId="0">
      <selection activeCell="M16" sqref="M16"/>
    </sheetView>
  </sheetViews>
  <sheetFormatPr defaultColWidth="10" defaultRowHeight="14.4"/>
  <cols>
    <col min="1" max="1" width="12.19921875" style="14" customWidth="1"/>
    <col min="2" max="2" width="39.69921875" style="46" customWidth="1"/>
    <col min="3" max="3" width="25.69921875" style="46" customWidth="1"/>
    <col min="4" max="4" width="32.09765625" style="48" customWidth="1"/>
    <col min="5" max="5" width="18.69921875" style="46" customWidth="1"/>
    <col min="6" max="6" width="16.5" style="83" customWidth="1"/>
    <col min="7" max="7" width="10.19921875" style="46" customWidth="1"/>
    <col min="8" max="9" width="22.69921875" style="46" customWidth="1"/>
    <col min="10" max="12" width="20.69921875" style="80" customWidth="1"/>
    <col min="13" max="13" width="20.09765625" style="18" customWidth="1"/>
    <col min="14" max="16384" width="10" style="14"/>
  </cols>
  <sheetData>
    <row r="1" spans="1:13" s="9" customFormat="1">
      <c r="B1" s="5"/>
      <c r="C1" s="5"/>
      <c r="D1" s="8"/>
      <c r="E1" s="5"/>
      <c r="F1" s="81"/>
      <c r="G1" s="5"/>
      <c r="H1" s="5"/>
      <c r="I1" s="5"/>
      <c r="J1" s="5" t="s">
        <v>0</v>
      </c>
      <c r="K1" s="5"/>
      <c r="L1" s="5"/>
      <c r="M1" s="18"/>
    </row>
    <row r="2" spans="1:13" s="9" customFormat="1">
      <c r="B2" s="5"/>
      <c r="C2" s="5"/>
      <c r="D2" s="8"/>
      <c r="E2" s="5"/>
      <c r="F2" s="81"/>
      <c r="G2" s="5"/>
      <c r="H2" s="5"/>
      <c r="I2" s="5"/>
      <c r="J2" s="5" t="s">
        <v>1</v>
      </c>
      <c r="K2" s="5"/>
      <c r="L2" s="5"/>
      <c r="M2" s="18"/>
    </row>
    <row r="3" spans="1:13" s="9" customFormat="1">
      <c r="B3" s="5"/>
      <c r="C3" s="5"/>
      <c r="D3" s="8"/>
      <c r="E3" s="5"/>
      <c r="F3" s="81"/>
      <c r="G3" s="5"/>
      <c r="H3" s="5"/>
      <c r="I3" s="5"/>
      <c r="J3" s="5" t="s">
        <v>2</v>
      </c>
      <c r="K3" s="5"/>
      <c r="L3" s="5"/>
      <c r="M3" s="18"/>
    </row>
    <row r="4" spans="1:13" s="9" customFormat="1">
      <c r="B4" s="5"/>
      <c r="C4" s="5"/>
      <c r="D4" s="8"/>
      <c r="E4" s="5"/>
      <c r="F4" s="81"/>
      <c r="G4" s="5"/>
      <c r="H4" s="5"/>
      <c r="I4" s="5"/>
      <c r="J4" s="5" t="s">
        <v>3</v>
      </c>
      <c r="K4" s="5"/>
      <c r="L4" s="5"/>
      <c r="M4" s="18"/>
    </row>
    <row r="5" spans="1:13" s="9" customFormat="1">
      <c r="B5" s="5"/>
      <c r="C5" s="5"/>
      <c r="D5" s="8"/>
      <c r="E5" s="5"/>
      <c r="F5" s="81"/>
      <c r="G5" s="5"/>
      <c r="H5" s="5"/>
      <c r="I5" s="5"/>
      <c r="J5" s="5" t="s">
        <v>4</v>
      </c>
      <c r="K5" s="5"/>
      <c r="L5" s="5"/>
      <c r="M5" s="18"/>
    </row>
    <row r="6" spans="1:13" ht="21">
      <c r="A6" s="437" t="s">
        <v>67</v>
      </c>
      <c r="B6" s="438"/>
      <c r="C6" s="438"/>
      <c r="D6" s="438"/>
      <c r="E6" s="438"/>
      <c r="F6" s="438"/>
      <c r="G6" s="438"/>
      <c r="H6" s="438"/>
      <c r="I6" s="438"/>
      <c r="J6" s="438"/>
      <c r="K6" s="438"/>
      <c r="L6" s="438"/>
      <c r="M6" s="438"/>
    </row>
    <row r="7" spans="1:13" ht="33" customHeight="1" thickBot="1">
      <c r="A7" s="15" t="s">
        <v>68</v>
      </c>
      <c r="B7" s="15" t="str">
        <f>CI!V8</f>
        <v>PGU-DE-0481</v>
      </c>
      <c r="C7" s="15"/>
      <c r="D7" s="358"/>
      <c r="E7" s="71"/>
      <c r="F7" s="82"/>
      <c r="G7" s="71"/>
      <c r="H7" s="71"/>
      <c r="I7" s="71"/>
      <c r="J7" s="72"/>
      <c r="K7" s="72"/>
      <c r="L7" s="72"/>
      <c r="M7" s="73"/>
    </row>
    <row r="8" spans="1:13" s="74" customFormat="1" ht="39.75" customHeight="1">
      <c r="A8" s="292" t="s">
        <v>69</v>
      </c>
      <c r="B8" s="293" t="s">
        <v>70</v>
      </c>
      <c r="C8" s="293" t="s">
        <v>257</v>
      </c>
      <c r="D8" s="293" t="s">
        <v>71</v>
      </c>
      <c r="E8" s="293" t="s">
        <v>72</v>
      </c>
      <c r="F8" s="294" t="s">
        <v>73</v>
      </c>
      <c r="G8" s="293" t="s">
        <v>74</v>
      </c>
      <c r="H8" s="295" t="s">
        <v>75</v>
      </c>
      <c r="I8" s="295" t="s">
        <v>76</v>
      </c>
      <c r="J8" s="293" t="s">
        <v>77</v>
      </c>
      <c r="K8" s="375"/>
      <c r="L8" s="375"/>
      <c r="M8" s="296" t="s">
        <v>78</v>
      </c>
    </row>
    <row r="9" spans="1:13" ht="32.1" customHeight="1">
      <c r="A9" s="297">
        <v>1</v>
      </c>
      <c r="B9" s="75" t="s">
        <v>177</v>
      </c>
      <c r="C9" s="75" t="str">
        <f>VLOOKUP(B9,'[1]1113'!$C:$D,2,0)</f>
        <v>OCMU9396883</v>
      </c>
      <c r="D9" s="76" t="s">
        <v>129</v>
      </c>
      <c r="E9" s="113" t="s">
        <v>243</v>
      </c>
      <c r="F9" s="359">
        <v>1</v>
      </c>
      <c r="G9" s="76" t="s">
        <v>79</v>
      </c>
      <c r="H9" s="77">
        <v>27777.35</v>
      </c>
      <c r="I9" s="77">
        <f>F9*H9</f>
        <v>27777.35</v>
      </c>
      <c r="J9" s="78" t="s">
        <v>244</v>
      </c>
      <c r="K9" s="376"/>
      <c r="L9" s="376"/>
      <c r="M9" s="298"/>
    </row>
    <row r="10" spans="1:13" ht="32.1" customHeight="1">
      <c r="A10" s="297">
        <v>2</v>
      </c>
      <c r="B10" s="75" t="s">
        <v>135</v>
      </c>
      <c r="C10" s="75" t="str">
        <f>VLOOKUP(B10,'[1]1113'!$C:$D,2,0)</f>
        <v>OCMU9396883</v>
      </c>
      <c r="D10" s="76" t="s">
        <v>129</v>
      </c>
      <c r="E10" s="113" t="s">
        <v>243</v>
      </c>
      <c r="F10" s="359">
        <v>1</v>
      </c>
      <c r="G10" s="76" t="s">
        <v>79</v>
      </c>
      <c r="H10" s="77">
        <v>27777.35</v>
      </c>
      <c r="I10" s="77">
        <f t="shared" ref="I10:I34" si="0">F10*H10</f>
        <v>27777.35</v>
      </c>
      <c r="J10" s="78" t="s">
        <v>244</v>
      </c>
      <c r="K10" s="376"/>
      <c r="L10" s="376"/>
      <c r="M10" s="298"/>
    </row>
    <row r="11" spans="1:13" ht="32.1" customHeight="1">
      <c r="A11" s="297">
        <v>3</v>
      </c>
      <c r="B11" s="75" t="s">
        <v>136</v>
      </c>
      <c r="C11" s="75" t="str">
        <f>VLOOKUP(B11,'[1]1113'!$C:$D,2,0)</f>
        <v>OCMU9396883</v>
      </c>
      <c r="D11" s="76" t="s">
        <v>129</v>
      </c>
      <c r="E11" s="113" t="s">
        <v>243</v>
      </c>
      <c r="F11" s="359">
        <v>1</v>
      </c>
      <c r="G11" s="76" t="s">
        <v>79</v>
      </c>
      <c r="H11" s="77">
        <v>27777.35</v>
      </c>
      <c r="I11" s="77">
        <f t="shared" si="0"/>
        <v>27777.35</v>
      </c>
      <c r="J11" s="78" t="s">
        <v>244</v>
      </c>
      <c r="K11" s="376"/>
      <c r="L11" s="376"/>
      <c r="M11" s="298"/>
    </row>
    <row r="12" spans="1:13" ht="32.1" customHeight="1">
      <c r="A12" s="297">
        <v>4</v>
      </c>
      <c r="B12" s="75" t="s">
        <v>137</v>
      </c>
      <c r="C12" s="75" t="str">
        <f>VLOOKUP(B12,'[1]1113'!$C:$D,2,0)</f>
        <v>OCMU9396883</v>
      </c>
      <c r="D12" s="76" t="s">
        <v>129</v>
      </c>
      <c r="E12" s="113" t="s">
        <v>243</v>
      </c>
      <c r="F12" s="359">
        <v>1</v>
      </c>
      <c r="G12" s="76" t="s">
        <v>79</v>
      </c>
      <c r="H12" s="77">
        <v>27777.35</v>
      </c>
      <c r="I12" s="77">
        <f t="shared" si="0"/>
        <v>27777.35</v>
      </c>
      <c r="J12" s="78" t="s">
        <v>244</v>
      </c>
      <c r="K12" s="376"/>
      <c r="L12" s="376"/>
      <c r="M12" s="298"/>
    </row>
    <row r="13" spans="1:13" ht="32.1" customHeight="1">
      <c r="A13" s="297">
        <v>5</v>
      </c>
      <c r="B13" s="75" t="s">
        <v>138</v>
      </c>
      <c r="C13" s="75" t="str">
        <f>VLOOKUP(B13,'[1]1113'!$C:$D,2,0)</f>
        <v>OCMU9396883</v>
      </c>
      <c r="D13" s="76" t="s">
        <v>129</v>
      </c>
      <c r="E13" s="113" t="s">
        <v>243</v>
      </c>
      <c r="F13" s="359">
        <v>1</v>
      </c>
      <c r="G13" s="76" t="s">
        <v>79</v>
      </c>
      <c r="H13" s="77">
        <v>27777.35</v>
      </c>
      <c r="I13" s="77">
        <f t="shared" si="0"/>
        <v>27777.35</v>
      </c>
      <c r="J13" s="78" t="s">
        <v>244</v>
      </c>
      <c r="K13" s="376"/>
      <c r="L13" s="376"/>
      <c r="M13" s="298"/>
    </row>
    <row r="14" spans="1:13" ht="32.1" customHeight="1">
      <c r="A14" s="297">
        <v>6</v>
      </c>
      <c r="B14" s="75" t="s">
        <v>139</v>
      </c>
      <c r="C14" s="75" t="str">
        <f>VLOOKUP(B14,'[1]1113'!$C:$D,2,0)</f>
        <v>OCMU9396883</v>
      </c>
      <c r="D14" s="76" t="s">
        <v>129</v>
      </c>
      <c r="E14" s="113" t="s">
        <v>243</v>
      </c>
      <c r="F14" s="359">
        <v>1</v>
      </c>
      <c r="G14" s="76" t="s">
        <v>79</v>
      </c>
      <c r="H14" s="77">
        <v>27777.35</v>
      </c>
      <c r="I14" s="77">
        <f t="shared" si="0"/>
        <v>27777.35</v>
      </c>
      <c r="J14" s="78" t="s">
        <v>244</v>
      </c>
      <c r="K14" s="376"/>
      <c r="L14" s="376"/>
      <c r="M14" s="298"/>
    </row>
    <row r="15" spans="1:13" ht="32.1" customHeight="1">
      <c r="A15" s="297">
        <v>7</v>
      </c>
      <c r="B15" s="75" t="s">
        <v>140</v>
      </c>
      <c r="C15" s="75" t="str">
        <f>VLOOKUP(B15,'[1]1113'!$C:$D,2,0)</f>
        <v>OCMU9396883</v>
      </c>
      <c r="D15" s="76" t="s">
        <v>129</v>
      </c>
      <c r="E15" s="113" t="s">
        <v>243</v>
      </c>
      <c r="F15" s="359">
        <v>1</v>
      </c>
      <c r="G15" s="76" t="s">
        <v>79</v>
      </c>
      <c r="H15" s="77">
        <v>27777.35</v>
      </c>
      <c r="I15" s="77">
        <f t="shared" si="0"/>
        <v>27777.35</v>
      </c>
      <c r="J15" s="78" t="s">
        <v>244</v>
      </c>
      <c r="K15" s="376"/>
      <c r="L15" s="376"/>
      <c r="M15" s="298"/>
    </row>
    <row r="16" spans="1:13" ht="32.1" customHeight="1">
      <c r="A16" s="297">
        <v>8</v>
      </c>
      <c r="B16" s="75" t="s">
        <v>141</v>
      </c>
      <c r="C16" s="75" t="str">
        <f>VLOOKUP(B16,'[1]1113'!$C:$D,2,0)</f>
        <v>OCMU9396883</v>
      </c>
      <c r="D16" s="76" t="s">
        <v>129</v>
      </c>
      <c r="E16" s="113" t="s">
        <v>243</v>
      </c>
      <c r="F16" s="359">
        <v>1</v>
      </c>
      <c r="G16" s="76" t="s">
        <v>79</v>
      </c>
      <c r="H16" s="77">
        <v>27777.35</v>
      </c>
      <c r="I16" s="77">
        <f t="shared" si="0"/>
        <v>27777.35</v>
      </c>
      <c r="J16" s="78" t="s">
        <v>244</v>
      </c>
      <c r="K16" s="376"/>
      <c r="L16" s="376"/>
      <c r="M16" s="298"/>
    </row>
    <row r="17" spans="1:13" ht="32.1" customHeight="1">
      <c r="A17" s="297">
        <v>9</v>
      </c>
      <c r="B17" s="75" t="s">
        <v>142</v>
      </c>
      <c r="C17" s="75" t="str">
        <f>VLOOKUP(B17,'[1]1113'!$C:$D,2,0)</f>
        <v>OCMU9396883</v>
      </c>
      <c r="D17" s="76" t="s">
        <v>129</v>
      </c>
      <c r="E17" s="113" t="s">
        <v>243</v>
      </c>
      <c r="F17" s="359">
        <v>1</v>
      </c>
      <c r="G17" s="76" t="s">
        <v>79</v>
      </c>
      <c r="H17" s="77">
        <v>27777.35</v>
      </c>
      <c r="I17" s="77">
        <f t="shared" si="0"/>
        <v>27777.35</v>
      </c>
      <c r="J17" s="78" t="s">
        <v>244</v>
      </c>
      <c r="K17" s="376"/>
      <c r="L17" s="376"/>
      <c r="M17" s="298"/>
    </row>
    <row r="18" spans="1:13" ht="32.1" customHeight="1">
      <c r="A18" s="297">
        <v>10</v>
      </c>
      <c r="B18" s="75" t="s">
        <v>143</v>
      </c>
      <c r="C18" s="75" t="str">
        <f>VLOOKUP(B18,'[1]1113'!$C:$D,2,0)</f>
        <v>OCMU9396883</v>
      </c>
      <c r="D18" s="76" t="s">
        <v>129</v>
      </c>
      <c r="E18" s="113" t="s">
        <v>243</v>
      </c>
      <c r="F18" s="359">
        <v>1</v>
      </c>
      <c r="G18" s="76" t="s">
        <v>79</v>
      </c>
      <c r="H18" s="77">
        <v>27777.35</v>
      </c>
      <c r="I18" s="77">
        <f t="shared" si="0"/>
        <v>27777.35</v>
      </c>
      <c r="J18" s="78" t="s">
        <v>244</v>
      </c>
      <c r="K18" s="376"/>
      <c r="L18" s="376"/>
      <c r="M18" s="298"/>
    </row>
    <row r="19" spans="1:13" ht="32.1" customHeight="1">
      <c r="A19" s="297">
        <v>11</v>
      </c>
      <c r="B19" s="75" t="s">
        <v>144</v>
      </c>
      <c r="C19" s="75" t="str">
        <f>VLOOKUP(B19,'[1]1113'!$C:$D,2,0)</f>
        <v>OCMU9396883</v>
      </c>
      <c r="D19" s="76" t="s">
        <v>129</v>
      </c>
      <c r="E19" s="113" t="s">
        <v>243</v>
      </c>
      <c r="F19" s="359">
        <v>1</v>
      </c>
      <c r="G19" s="76" t="s">
        <v>79</v>
      </c>
      <c r="H19" s="77">
        <v>27777.35</v>
      </c>
      <c r="I19" s="77">
        <f t="shared" si="0"/>
        <v>27777.35</v>
      </c>
      <c r="J19" s="78" t="s">
        <v>244</v>
      </c>
      <c r="K19" s="376"/>
      <c r="L19" s="376"/>
      <c r="M19" s="298"/>
    </row>
    <row r="20" spans="1:13" ht="32.1" customHeight="1">
      <c r="A20" s="297">
        <v>12</v>
      </c>
      <c r="B20" s="75" t="s">
        <v>145</v>
      </c>
      <c r="C20" s="75" t="str">
        <f>VLOOKUP(B20,'[1]1113'!$C:$D,2,0)</f>
        <v>KPHU6954002</v>
      </c>
      <c r="D20" s="76" t="s">
        <v>129</v>
      </c>
      <c r="E20" s="113" t="s">
        <v>243</v>
      </c>
      <c r="F20" s="359">
        <v>1</v>
      </c>
      <c r="G20" s="76" t="s">
        <v>79</v>
      </c>
      <c r="H20" s="77">
        <v>27777.35</v>
      </c>
      <c r="I20" s="77">
        <f t="shared" si="0"/>
        <v>27777.35</v>
      </c>
      <c r="J20" s="78" t="s">
        <v>244</v>
      </c>
      <c r="K20" s="376"/>
      <c r="L20" s="376"/>
      <c r="M20" s="298"/>
    </row>
    <row r="21" spans="1:13" ht="32.1" customHeight="1">
      <c r="A21" s="297">
        <v>13</v>
      </c>
      <c r="B21" s="75" t="s">
        <v>146</v>
      </c>
      <c r="C21" s="75" t="str">
        <f>VLOOKUP(B21,'[1]1113'!$C:$D,2,0)</f>
        <v>OCMU9396883</v>
      </c>
      <c r="D21" s="76" t="s">
        <v>129</v>
      </c>
      <c r="E21" s="113" t="s">
        <v>243</v>
      </c>
      <c r="F21" s="359">
        <v>1</v>
      </c>
      <c r="G21" s="76" t="s">
        <v>79</v>
      </c>
      <c r="H21" s="77">
        <v>27777.35</v>
      </c>
      <c r="I21" s="77">
        <f t="shared" si="0"/>
        <v>27777.35</v>
      </c>
      <c r="J21" s="78" t="s">
        <v>244</v>
      </c>
      <c r="K21" s="376"/>
      <c r="L21" s="376"/>
      <c r="M21" s="298"/>
    </row>
    <row r="22" spans="1:13" ht="32.1" customHeight="1">
      <c r="A22" s="297">
        <v>14</v>
      </c>
      <c r="B22" s="75" t="s">
        <v>147</v>
      </c>
      <c r="C22" s="75" t="str">
        <f>VLOOKUP(B22,'[1]1113'!$C:$D,2,0)</f>
        <v>KPHU6954002</v>
      </c>
      <c r="D22" s="76" t="s">
        <v>129</v>
      </c>
      <c r="E22" s="113" t="s">
        <v>243</v>
      </c>
      <c r="F22" s="359">
        <v>1</v>
      </c>
      <c r="G22" s="76" t="s">
        <v>79</v>
      </c>
      <c r="H22" s="77">
        <v>12508.61</v>
      </c>
      <c r="I22" s="77">
        <f t="shared" si="0"/>
        <v>12508.61</v>
      </c>
      <c r="J22" s="78" t="s">
        <v>244</v>
      </c>
      <c r="K22" s="376"/>
      <c r="L22" s="376"/>
      <c r="M22" s="298"/>
    </row>
    <row r="23" spans="1:13" ht="32.1" customHeight="1">
      <c r="A23" s="297">
        <v>15</v>
      </c>
      <c r="B23" s="75" t="s">
        <v>148</v>
      </c>
      <c r="C23" s="75" t="str">
        <f>VLOOKUP(B23,'[1]1113'!$C:$D,2,0)</f>
        <v>KPHU6954002</v>
      </c>
      <c r="D23" s="76" t="s">
        <v>129</v>
      </c>
      <c r="E23" s="113" t="s">
        <v>243</v>
      </c>
      <c r="F23" s="359">
        <v>1</v>
      </c>
      <c r="G23" s="76" t="s">
        <v>79</v>
      </c>
      <c r="H23" s="77">
        <v>13389.5</v>
      </c>
      <c r="I23" s="77">
        <f t="shared" si="0"/>
        <v>13389.5</v>
      </c>
      <c r="J23" s="78" t="s">
        <v>244</v>
      </c>
      <c r="K23" s="376"/>
      <c r="L23" s="376"/>
      <c r="M23" s="298"/>
    </row>
    <row r="24" spans="1:13" ht="32.1" customHeight="1">
      <c r="A24" s="297">
        <v>16</v>
      </c>
      <c r="B24" s="75" t="s">
        <v>149</v>
      </c>
      <c r="C24" s="75" t="str">
        <f>VLOOKUP(B24,'[1]1113'!$C:$D,2,0)</f>
        <v>OCMU9396883</v>
      </c>
      <c r="D24" s="76" t="s">
        <v>129</v>
      </c>
      <c r="E24" s="113" t="s">
        <v>243</v>
      </c>
      <c r="F24" s="359">
        <v>1</v>
      </c>
      <c r="G24" s="76" t="s">
        <v>79</v>
      </c>
      <c r="H24" s="77">
        <v>123441.83</v>
      </c>
      <c r="I24" s="77">
        <f t="shared" si="0"/>
        <v>123441.83</v>
      </c>
      <c r="J24" s="78" t="s">
        <v>244</v>
      </c>
      <c r="K24" s="376"/>
      <c r="L24" s="376"/>
      <c r="M24" s="298"/>
    </row>
    <row r="25" spans="1:13" ht="32.1" customHeight="1">
      <c r="A25" s="297">
        <v>17</v>
      </c>
      <c r="B25" s="75" t="s">
        <v>150</v>
      </c>
      <c r="C25" s="75" t="str">
        <f>VLOOKUP(B25,'[1]1113'!$C:$D,2,0)</f>
        <v>OCMU9396883</v>
      </c>
      <c r="D25" s="76" t="s">
        <v>129</v>
      </c>
      <c r="E25" s="113" t="s">
        <v>243</v>
      </c>
      <c r="F25" s="359">
        <v>1</v>
      </c>
      <c r="G25" s="76" t="s">
        <v>79</v>
      </c>
      <c r="H25" s="77">
        <v>123441.83</v>
      </c>
      <c r="I25" s="77">
        <f t="shared" si="0"/>
        <v>123441.83</v>
      </c>
      <c r="J25" s="78" t="s">
        <v>244</v>
      </c>
      <c r="K25" s="376"/>
      <c r="L25" s="376"/>
      <c r="M25" s="298"/>
    </row>
    <row r="26" spans="1:13" ht="32.1" customHeight="1">
      <c r="A26" s="297">
        <v>18</v>
      </c>
      <c r="B26" s="75" t="s">
        <v>151</v>
      </c>
      <c r="C26" s="75" t="str">
        <f>VLOOKUP(B26,'[1]1113'!$C:$D,2,0)</f>
        <v>KPHU6954002</v>
      </c>
      <c r="D26" s="76" t="s">
        <v>129</v>
      </c>
      <c r="E26" s="113" t="s">
        <v>243</v>
      </c>
      <c r="F26" s="359">
        <v>1</v>
      </c>
      <c r="G26" s="76" t="s">
        <v>79</v>
      </c>
      <c r="H26" s="77">
        <v>135774.26</v>
      </c>
      <c r="I26" s="77">
        <f t="shared" si="0"/>
        <v>135774.26</v>
      </c>
      <c r="J26" s="78" t="s">
        <v>244</v>
      </c>
      <c r="K26" s="376"/>
      <c r="L26" s="376"/>
      <c r="M26" s="298"/>
    </row>
    <row r="27" spans="1:13" ht="32.1" customHeight="1">
      <c r="A27" s="297">
        <v>19</v>
      </c>
      <c r="B27" s="75" t="s">
        <v>152</v>
      </c>
      <c r="C27" s="75" t="str">
        <f>VLOOKUP(B27,'[1]1113'!$C:$D,2,0)</f>
        <v>KPHU6954002</v>
      </c>
      <c r="D27" s="76" t="s">
        <v>129</v>
      </c>
      <c r="E27" s="113" t="s">
        <v>243</v>
      </c>
      <c r="F27" s="359">
        <v>1</v>
      </c>
      <c r="G27" s="76" t="s">
        <v>79</v>
      </c>
      <c r="H27" s="77">
        <v>31829.43</v>
      </c>
      <c r="I27" s="77">
        <f t="shared" si="0"/>
        <v>31829.43</v>
      </c>
      <c r="J27" s="78" t="s">
        <v>244</v>
      </c>
      <c r="K27" s="376"/>
      <c r="L27" s="376"/>
      <c r="M27" s="298"/>
    </row>
    <row r="28" spans="1:13" ht="32.1" customHeight="1">
      <c r="A28" s="297">
        <v>20</v>
      </c>
      <c r="B28" s="75" t="s">
        <v>153</v>
      </c>
      <c r="C28" s="75" t="str">
        <f>VLOOKUP(B28,'[1]1113'!$C:$D,2,0)</f>
        <v>KPHU6954002</v>
      </c>
      <c r="D28" s="76" t="s">
        <v>129</v>
      </c>
      <c r="E28" s="113" t="s">
        <v>243</v>
      </c>
      <c r="F28" s="359">
        <v>1</v>
      </c>
      <c r="G28" s="76" t="s">
        <v>79</v>
      </c>
      <c r="H28" s="77">
        <v>58490.99</v>
      </c>
      <c r="I28" s="77">
        <f t="shared" si="0"/>
        <v>58490.99</v>
      </c>
      <c r="J28" s="78" t="s">
        <v>244</v>
      </c>
      <c r="K28" s="376"/>
      <c r="L28" s="376"/>
      <c r="M28" s="298"/>
    </row>
    <row r="29" spans="1:13" ht="32.1" customHeight="1">
      <c r="A29" s="297">
        <v>21</v>
      </c>
      <c r="B29" s="75" t="s">
        <v>154</v>
      </c>
      <c r="C29" s="75" t="str">
        <f>VLOOKUP(B29,'[1]1113'!$C:$D,2,0)</f>
        <v>KPHU6954002</v>
      </c>
      <c r="D29" s="76" t="s">
        <v>129</v>
      </c>
      <c r="E29" s="113" t="s">
        <v>243</v>
      </c>
      <c r="F29" s="359">
        <v>1</v>
      </c>
      <c r="G29" s="76" t="s">
        <v>79</v>
      </c>
      <c r="H29" s="77">
        <v>58490.99</v>
      </c>
      <c r="I29" s="77">
        <f t="shared" si="0"/>
        <v>58490.99</v>
      </c>
      <c r="J29" s="78" t="s">
        <v>244</v>
      </c>
      <c r="K29" s="376"/>
      <c r="L29" s="376"/>
      <c r="M29" s="298"/>
    </row>
    <row r="30" spans="1:13" ht="32.1" customHeight="1">
      <c r="A30" s="297">
        <v>22</v>
      </c>
      <c r="B30" s="75" t="s">
        <v>155</v>
      </c>
      <c r="C30" s="75" t="str">
        <f>VLOOKUP(B30,'[1]1113'!$C:$D,2,0)</f>
        <v>KPHU6954002</v>
      </c>
      <c r="D30" s="76" t="s">
        <v>129</v>
      </c>
      <c r="E30" s="113" t="s">
        <v>243</v>
      </c>
      <c r="F30" s="359">
        <v>1</v>
      </c>
      <c r="G30" s="76" t="s">
        <v>79</v>
      </c>
      <c r="H30" s="77">
        <v>58490.99</v>
      </c>
      <c r="I30" s="77">
        <f t="shared" si="0"/>
        <v>58490.99</v>
      </c>
      <c r="J30" s="78" t="s">
        <v>244</v>
      </c>
      <c r="K30" s="376"/>
      <c r="L30" s="376"/>
      <c r="M30" s="298"/>
    </row>
    <row r="31" spans="1:13" ht="32.1" customHeight="1">
      <c r="A31" s="297">
        <v>23</v>
      </c>
      <c r="B31" s="75" t="s">
        <v>156</v>
      </c>
      <c r="C31" s="75" t="str">
        <f>VLOOKUP(B31,'[1]1113'!$C:$D,2,0)</f>
        <v>KPHU6954002</v>
      </c>
      <c r="D31" s="76" t="s">
        <v>129</v>
      </c>
      <c r="E31" s="113" t="s">
        <v>243</v>
      </c>
      <c r="F31" s="359">
        <v>1</v>
      </c>
      <c r="G31" s="76" t="s">
        <v>79</v>
      </c>
      <c r="H31" s="77">
        <v>82686.06</v>
      </c>
      <c r="I31" s="77">
        <f t="shared" si="0"/>
        <v>82686.06</v>
      </c>
      <c r="J31" s="78" t="s">
        <v>244</v>
      </c>
      <c r="K31" s="376"/>
      <c r="L31" s="376"/>
      <c r="M31" s="298"/>
    </row>
    <row r="32" spans="1:13" ht="32.1" customHeight="1">
      <c r="A32" s="297">
        <v>24</v>
      </c>
      <c r="B32" s="75" t="s">
        <v>157</v>
      </c>
      <c r="C32" s="75" t="str">
        <f>VLOOKUP(B32,'[1]1113'!$C:$D,2,0)</f>
        <v>KPHU6954002</v>
      </c>
      <c r="D32" s="76" t="s">
        <v>129</v>
      </c>
      <c r="E32" s="113" t="s">
        <v>243</v>
      </c>
      <c r="F32" s="359">
        <v>1</v>
      </c>
      <c r="G32" s="76" t="s">
        <v>79</v>
      </c>
      <c r="H32" s="77">
        <v>82686.06</v>
      </c>
      <c r="I32" s="77">
        <f t="shared" si="0"/>
        <v>82686.06</v>
      </c>
      <c r="J32" s="78" t="s">
        <v>244</v>
      </c>
      <c r="K32" s="376"/>
      <c r="L32" s="376"/>
      <c r="M32" s="298"/>
    </row>
    <row r="33" spans="1:13" ht="32.1" customHeight="1">
      <c r="A33" s="297">
        <v>25</v>
      </c>
      <c r="B33" s="75" t="s">
        <v>158</v>
      </c>
      <c r="C33" s="75" t="str">
        <f>VLOOKUP(B33,'[1]1113'!$C:$D,2,0)</f>
        <v>KPHU6954002</v>
      </c>
      <c r="D33" s="76" t="s">
        <v>129</v>
      </c>
      <c r="E33" s="113" t="s">
        <v>243</v>
      </c>
      <c r="F33" s="359">
        <v>1</v>
      </c>
      <c r="G33" s="76" t="s">
        <v>79</v>
      </c>
      <c r="H33" s="77">
        <v>77518.179999999993</v>
      </c>
      <c r="I33" s="77">
        <f t="shared" si="0"/>
        <v>77518.179999999993</v>
      </c>
      <c r="J33" s="78" t="s">
        <v>244</v>
      </c>
      <c r="K33" s="376"/>
      <c r="L33" s="376"/>
      <c r="M33" s="298"/>
    </row>
    <row r="34" spans="1:13" ht="32.1" customHeight="1">
      <c r="A34" s="297">
        <v>26</v>
      </c>
      <c r="B34" s="75" t="s">
        <v>159</v>
      </c>
      <c r="C34" s="75" t="str">
        <f>VLOOKUP(B34,'[1]1113'!$C:$D,2,0)</f>
        <v>KPHU6954002</v>
      </c>
      <c r="D34" s="76" t="s">
        <v>129</v>
      </c>
      <c r="E34" s="113" t="s">
        <v>243</v>
      </c>
      <c r="F34" s="359">
        <v>1</v>
      </c>
      <c r="G34" s="76" t="s">
        <v>79</v>
      </c>
      <c r="H34" s="77">
        <v>28599.47</v>
      </c>
      <c r="I34" s="77">
        <f t="shared" si="0"/>
        <v>28599.47</v>
      </c>
      <c r="J34" s="78" t="s">
        <v>244</v>
      </c>
      <c r="K34" s="376"/>
      <c r="L34" s="376"/>
      <c r="M34" s="298"/>
    </row>
    <row r="35" spans="1:13" ht="30" customHeight="1" thickBot="1">
      <c r="A35" s="439" t="s">
        <v>80</v>
      </c>
      <c r="B35" s="440"/>
      <c r="C35" s="440"/>
      <c r="D35" s="440"/>
      <c r="E35" s="440"/>
      <c r="F35" s="360">
        <f>SUM(F9:F34)</f>
        <v>26</v>
      </c>
      <c r="G35" s="299"/>
      <c r="H35" s="302"/>
      <c r="I35" s="362">
        <f>SUM(I9:I34)</f>
        <v>1248453.75</v>
      </c>
      <c r="J35" s="300"/>
      <c r="K35" s="377"/>
      <c r="L35" s="377"/>
      <c r="M35" s="301"/>
    </row>
    <row r="36" spans="1:13" s="18" customFormat="1">
      <c r="A36" s="14"/>
      <c r="B36" s="46"/>
      <c r="C36" s="46"/>
      <c r="D36" s="48"/>
      <c r="E36" s="46"/>
      <c r="F36" s="83"/>
      <c r="G36" s="46"/>
      <c r="H36" s="46"/>
      <c r="I36" s="46"/>
      <c r="J36" s="79"/>
      <c r="K36" s="79"/>
      <c r="L36" s="79"/>
    </row>
    <row r="37" spans="1:13" s="18" customFormat="1">
      <c r="A37" s="14"/>
      <c r="B37" s="46"/>
      <c r="C37" s="46"/>
      <c r="D37" s="48"/>
      <c r="E37" s="46"/>
      <c r="F37" s="83"/>
      <c r="G37" s="46"/>
      <c r="H37" s="46"/>
      <c r="I37" s="46"/>
      <c r="J37" s="79"/>
      <c r="K37" s="79"/>
      <c r="L37" s="79"/>
    </row>
    <row r="39" spans="1:13">
      <c r="I39" s="374"/>
    </row>
  </sheetData>
  <protectedRanges>
    <protectedRange sqref="D9:I34" name="범위1_12_1"/>
  </protectedRanges>
  <autoFilter ref="B8:M35" xr:uid="{00000000-0009-0000-0000-000001000000}"/>
  <mergeCells count="2">
    <mergeCell ref="A6:M6"/>
    <mergeCell ref="A35:E35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51" fitToHeight="0" orientation="landscape" r:id="rId1"/>
  <headerFooter alignWithMargins="0">
    <oddFooter>&amp;C&amp;"Calibri,보통"&amp;12Doosan Enerbility</oddFooter>
  </headerFooter>
  <rowBreaks count="1" manualBreakCount="1">
    <brk id="62" max="16383" man="1"/>
  </rowBreaks>
  <colBreaks count="1" manualBreakCount="1">
    <brk id="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V59"/>
  <sheetViews>
    <sheetView showGridLines="0" view="pageBreakPreview" zoomScale="85" zoomScaleNormal="100" zoomScaleSheetLayoutView="85" workbookViewId="0">
      <selection activeCell="V8" sqref="V8:Z8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.69921875" style="5" customWidth="1"/>
    <col min="18" max="18" width="2.19921875" style="5" customWidth="1"/>
    <col min="19" max="20" width="4.8984375" style="5" customWidth="1"/>
    <col min="21" max="21" width="2.3984375" style="5" customWidth="1"/>
    <col min="22" max="24" width="4.3984375" style="5" customWidth="1"/>
    <col min="25" max="25" width="2.3984375" style="5" customWidth="1"/>
    <col min="26" max="28" width="4.3984375" style="5" customWidth="1"/>
    <col min="29" max="29" width="15.19921875" style="5" customWidth="1"/>
    <col min="30" max="31" width="3" style="9" customWidth="1"/>
    <col min="32" max="32" width="12.69921875" style="9" customWidth="1"/>
    <col min="33" max="16384" width="3" style="9"/>
  </cols>
  <sheetData>
    <row r="1" spans="1:29">
      <c r="A1" s="159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 t="s">
        <v>0</v>
      </c>
      <c r="X1" s="160"/>
      <c r="Y1" s="160"/>
      <c r="Z1" s="160"/>
      <c r="AA1" s="160"/>
      <c r="AB1" s="160"/>
      <c r="AC1" s="161"/>
    </row>
    <row r="2" spans="1:29">
      <c r="A2" s="162"/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 t="s">
        <v>1</v>
      </c>
      <c r="X2" s="346"/>
      <c r="Y2" s="346"/>
      <c r="Z2" s="346"/>
      <c r="AA2" s="346"/>
      <c r="AB2" s="346"/>
      <c r="AC2" s="163"/>
    </row>
    <row r="3" spans="1:29">
      <c r="A3" s="162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 t="s">
        <v>2</v>
      </c>
      <c r="X3" s="346"/>
      <c r="Y3" s="346"/>
      <c r="Z3" s="346"/>
      <c r="AA3" s="346"/>
      <c r="AB3" s="346"/>
      <c r="AC3" s="163"/>
    </row>
    <row r="4" spans="1:29">
      <c r="A4" s="162"/>
      <c r="B4" s="346"/>
      <c r="C4" s="346"/>
      <c r="D4" s="346"/>
      <c r="E4" s="346"/>
      <c r="F4" s="346"/>
      <c r="G4" s="346"/>
      <c r="H4" s="346"/>
      <c r="I4" s="346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 t="s">
        <v>3</v>
      </c>
      <c r="X4" s="346"/>
      <c r="Y4" s="346"/>
      <c r="Z4" s="346"/>
      <c r="AA4" s="346"/>
      <c r="AB4" s="346"/>
      <c r="AC4" s="163"/>
    </row>
    <row r="5" spans="1:29">
      <c r="A5" s="162"/>
      <c r="B5" s="346"/>
      <c r="C5" s="346"/>
      <c r="D5" s="346"/>
      <c r="E5" s="346"/>
      <c r="F5" s="346"/>
      <c r="G5" s="346"/>
      <c r="H5" s="346"/>
      <c r="I5" s="346"/>
      <c r="J5" s="346"/>
      <c r="K5" s="346"/>
      <c r="L5" s="346"/>
      <c r="M5" s="346"/>
      <c r="N5" s="346"/>
      <c r="O5" s="346"/>
      <c r="P5" s="346"/>
      <c r="Q5" s="346"/>
      <c r="R5" s="346"/>
      <c r="S5" s="346"/>
      <c r="T5" s="346"/>
      <c r="U5" s="346"/>
      <c r="V5" s="346"/>
      <c r="W5" s="346" t="s">
        <v>4</v>
      </c>
      <c r="X5" s="346"/>
      <c r="Y5" s="346"/>
      <c r="Z5" s="346"/>
      <c r="AA5" s="346"/>
      <c r="AB5" s="346"/>
      <c r="AC5" s="163"/>
    </row>
    <row r="6" spans="1:29" ht="40.200000000000003" customHeight="1">
      <c r="A6" s="428" t="s">
        <v>81</v>
      </c>
      <c r="B6" s="429"/>
      <c r="C6" s="429"/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30"/>
    </row>
    <row r="7" spans="1:29" ht="14.4" thickBot="1">
      <c r="A7" s="164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6"/>
    </row>
    <row r="8" spans="1:29" s="20" customFormat="1" ht="15.45" customHeight="1">
      <c r="A8" s="167" t="s">
        <v>6</v>
      </c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9"/>
      <c r="R8" s="170" t="s">
        <v>82</v>
      </c>
      <c r="S8" s="168"/>
      <c r="T8" s="168"/>
      <c r="U8" s="170"/>
      <c r="V8" s="431" t="s">
        <v>83</v>
      </c>
      <c r="W8" s="431"/>
      <c r="X8" s="431"/>
      <c r="Y8" s="431"/>
      <c r="Z8" s="431"/>
      <c r="AA8" s="168"/>
      <c r="AB8" s="168"/>
      <c r="AC8" s="191"/>
    </row>
    <row r="9" spans="1:29" s="20" customFormat="1" ht="15.45" customHeight="1">
      <c r="A9" s="171"/>
      <c r="B9" s="347" t="s">
        <v>8</v>
      </c>
      <c r="C9" s="343"/>
      <c r="D9" s="343"/>
      <c r="E9" s="343"/>
      <c r="F9" s="343"/>
      <c r="G9" s="343"/>
      <c r="H9" s="343"/>
      <c r="I9" s="343"/>
      <c r="J9" s="343"/>
      <c r="K9" s="343"/>
      <c r="L9" s="343"/>
      <c r="M9" s="343"/>
      <c r="N9" s="343"/>
      <c r="O9" s="343"/>
      <c r="P9" s="343"/>
      <c r="Q9" s="181"/>
      <c r="R9" s="180" t="s">
        <v>9</v>
      </c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92"/>
    </row>
    <row r="10" spans="1:29" s="20" customFormat="1" ht="15.45" customHeight="1">
      <c r="A10" s="171"/>
      <c r="B10" s="343" t="s">
        <v>10</v>
      </c>
      <c r="C10" s="343"/>
      <c r="D10" s="343"/>
      <c r="E10" s="343"/>
      <c r="F10" s="343"/>
      <c r="G10" s="343"/>
      <c r="H10" s="343"/>
      <c r="I10" s="343"/>
      <c r="J10" s="343"/>
      <c r="K10" s="343"/>
      <c r="L10" s="343"/>
      <c r="M10" s="343"/>
      <c r="N10" s="343"/>
      <c r="O10" s="343"/>
      <c r="P10" s="343"/>
      <c r="Q10" s="149"/>
      <c r="R10" s="347" t="s">
        <v>11</v>
      </c>
      <c r="S10" s="343"/>
      <c r="T10" s="343"/>
      <c r="U10" s="343"/>
      <c r="V10" s="432">
        <v>45896</v>
      </c>
      <c r="W10" s="432"/>
      <c r="X10" s="432"/>
      <c r="Y10" s="432"/>
      <c r="Z10" s="432"/>
      <c r="AA10" s="343"/>
      <c r="AB10" s="343"/>
      <c r="AC10" s="172"/>
    </row>
    <row r="11" spans="1:29" s="20" customFormat="1" ht="15.45" customHeight="1">
      <c r="A11" s="150"/>
      <c r="B11" s="152" t="s">
        <v>12</v>
      </c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3"/>
      <c r="R11" s="180" t="s">
        <v>13</v>
      </c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92"/>
    </row>
    <row r="12" spans="1:29" s="20" customFormat="1" ht="15.45" customHeight="1">
      <c r="A12" s="173" t="s">
        <v>14</v>
      </c>
      <c r="B12" s="343"/>
      <c r="C12" s="343"/>
      <c r="D12" s="343"/>
      <c r="E12" s="343"/>
      <c r="F12" s="343"/>
      <c r="G12" s="343"/>
      <c r="H12" s="343"/>
      <c r="I12" s="343"/>
      <c r="J12" s="343"/>
      <c r="K12" s="343"/>
      <c r="L12" s="343"/>
      <c r="M12" s="343"/>
      <c r="N12" s="343"/>
      <c r="O12" s="343"/>
      <c r="P12" s="343"/>
      <c r="Q12" s="149"/>
      <c r="R12" s="347" t="s">
        <v>15</v>
      </c>
      <c r="S12" s="343"/>
      <c r="T12" s="343"/>
      <c r="U12" s="343"/>
      <c r="V12" s="343"/>
      <c r="W12" s="343"/>
      <c r="X12" s="343"/>
      <c r="Y12" s="343"/>
      <c r="Z12" s="343"/>
      <c r="AA12" s="343"/>
      <c r="AB12" s="343"/>
      <c r="AC12" s="172"/>
    </row>
    <row r="13" spans="1:29" s="146" customFormat="1" ht="15.45" customHeight="1">
      <c r="A13" s="145"/>
      <c r="B13" s="347" t="s">
        <v>16</v>
      </c>
      <c r="C13" s="368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148"/>
      <c r="R13" s="368"/>
      <c r="S13" s="369"/>
      <c r="T13" s="369"/>
      <c r="U13" s="369"/>
      <c r="V13" s="369"/>
      <c r="W13" s="369"/>
      <c r="X13" s="369"/>
      <c r="Y13" s="369"/>
      <c r="Z13" s="369"/>
      <c r="AA13" s="369"/>
      <c r="AB13" s="369"/>
      <c r="AC13" s="155"/>
    </row>
    <row r="14" spans="1:29" s="146" customFormat="1" ht="15.45" customHeight="1">
      <c r="A14" s="147"/>
      <c r="B14" s="343" t="s">
        <v>17</v>
      </c>
      <c r="C14" s="368"/>
      <c r="D14" s="368"/>
      <c r="E14" s="368"/>
      <c r="F14" s="368"/>
      <c r="G14" s="368"/>
      <c r="H14" s="368"/>
      <c r="I14" s="368"/>
      <c r="J14" s="368"/>
      <c r="K14" s="368"/>
      <c r="L14" s="368"/>
      <c r="M14" s="368"/>
      <c r="N14" s="368"/>
      <c r="O14" s="368"/>
      <c r="P14" s="368"/>
      <c r="Q14" s="148"/>
      <c r="R14" s="370"/>
      <c r="S14" s="349" t="s">
        <v>18</v>
      </c>
      <c r="T14" s="343"/>
      <c r="U14" s="343"/>
      <c r="V14" s="343"/>
      <c r="W14" s="343"/>
      <c r="X14" s="343"/>
      <c r="Y14" s="343"/>
      <c r="Z14" s="343"/>
      <c r="AA14" s="343"/>
      <c r="AB14" s="343"/>
      <c r="AC14" s="172"/>
    </row>
    <row r="15" spans="1:29" s="146" customFormat="1" ht="15.45" customHeight="1">
      <c r="A15" s="145"/>
      <c r="B15" s="343" t="s">
        <v>19</v>
      </c>
      <c r="C15" s="368"/>
      <c r="D15" s="368"/>
      <c r="E15" s="368"/>
      <c r="F15" s="368"/>
      <c r="G15" s="368"/>
      <c r="H15" s="368"/>
      <c r="I15" s="368"/>
      <c r="J15" s="368"/>
      <c r="K15" s="368"/>
      <c r="L15" s="368"/>
      <c r="M15" s="368"/>
      <c r="N15" s="368"/>
      <c r="O15" s="368"/>
      <c r="P15" s="368"/>
      <c r="Q15" s="148"/>
      <c r="R15" s="368"/>
      <c r="S15" s="435" t="s">
        <v>20</v>
      </c>
      <c r="T15" s="435"/>
      <c r="U15" s="435"/>
      <c r="V15" s="435"/>
      <c r="W15" s="435"/>
      <c r="X15" s="435"/>
      <c r="Y15" s="435"/>
      <c r="Z15" s="435"/>
      <c r="AA15" s="435"/>
      <c r="AB15" s="435"/>
      <c r="AC15" s="436"/>
    </row>
    <row r="16" spans="1:29" s="20" customFormat="1" ht="15.45" customHeight="1">
      <c r="A16" s="171"/>
      <c r="B16" s="343"/>
      <c r="C16" s="343"/>
      <c r="D16" s="343"/>
      <c r="E16" s="343"/>
      <c r="F16" s="343"/>
      <c r="G16" s="343"/>
      <c r="H16" s="343"/>
      <c r="I16" s="343"/>
      <c r="J16" s="343"/>
      <c r="K16" s="343"/>
      <c r="L16" s="343"/>
      <c r="M16" s="343"/>
      <c r="N16" s="343"/>
      <c r="O16" s="343"/>
      <c r="P16" s="343"/>
      <c r="Q16" s="149"/>
      <c r="R16" s="347"/>
      <c r="S16" s="424" t="s">
        <v>21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5"/>
    </row>
    <row r="17" spans="1:48" s="20" customFormat="1" ht="15.45" customHeight="1">
      <c r="A17" s="150"/>
      <c r="B17" s="289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3"/>
      <c r="R17" s="347"/>
      <c r="S17" s="349" t="s">
        <v>22</v>
      </c>
      <c r="T17" s="343"/>
      <c r="U17" s="343"/>
      <c r="V17" s="343"/>
      <c r="W17" s="343"/>
      <c r="X17" s="343"/>
      <c r="Y17" s="343"/>
      <c r="Z17" s="343"/>
      <c r="AA17" s="343"/>
      <c r="AB17" s="343"/>
      <c r="AC17" s="172"/>
    </row>
    <row r="18" spans="1:48" s="20" customFormat="1" ht="15.45" customHeight="1">
      <c r="A18" s="173" t="s">
        <v>23</v>
      </c>
      <c r="B18" s="351"/>
      <c r="C18" s="343"/>
      <c r="D18" s="343"/>
      <c r="E18" s="343"/>
      <c r="F18" s="343"/>
      <c r="G18" s="343"/>
      <c r="H18" s="343"/>
      <c r="I18" s="343"/>
      <c r="J18" s="343"/>
      <c r="K18" s="343"/>
      <c r="L18" s="343"/>
      <c r="M18" s="343"/>
      <c r="N18" s="343"/>
      <c r="O18" s="343"/>
      <c r="P18" s="343"/>
      <c r="Q18" s="149"/>
      <c r="R18" s="347"/>
      <c r="S18" s="433" t="s">
        <v>250</v>
      </c>
      <c r="T18" s="433"/>
      <c r="U18" s="433"/>
      <c r="V18" s="433"/>
      <c r="W18" s="433"/>
      <c r="X18" s="433"/>
      <c r="Y18" s="433"/>
      <c r="Z18" s="433"/>
      <c r="AA18" s="433"/>
      <c r="AB18" s="433"/>
      <c r="AC18" s="434"/>
    </row>
    <row r="19" spans="1:48" s="20" customFormat="1" ht="15.45" customHeight="1">
      <c r="A19" s="171"/>
      <c r="B19" s="371" t="s">
        <v>24</v>
      </c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149"/>
      <c r="R19" s="347"/>
      <c r="S19" s="349" t="s">
        <v>25</v>
      </c>
      <c r="T19" s="343"/>
      <c r="U19" s="343"/>
      <c r="V19" s="343"/>
      <c r="W19" s="63"/>
      <c r="X19" s="63"/>
      <c r="Y19" s="63"/>
      <c r="Z19" s="347"/>
      <c r="AA19" s="347"/>
      <c r="AB19" s="347"/>
      <c r="AC19" s="172"/>
    </row>
    <row r="20" spans="1:48" s="20" customFormat="1" ht="15.45" customHeight="1">
      <c r="A20" s="171"/>
      <c r="B20" s="350" t="s">
        <v>26</v>
      </c>
      <c r="C20" s="343"/>
      <c r="D20" s="343"/>
      <c r="E20" s="343"/>
      <c r="F20" s="343"/>
      <c r="G20" s="343"/>
      <c r="H20" s="343"/>
      <c r="I20" s="343"/>
      <c r="J20" s="343"/>
      <c r="K20" s="343"/>
      <c r="L20" s="343"/>
      <c r="M20" s="343"/>
      <c r="N20" s="343"/>
      <c r="O20" s="343"/>
      <c r="P20" s="343"/>
      <c r="Q20" s="149"/>
      <c r="R20" s="347"/>
      <c r="S20" s="433">
        <v>2025</v>
      </c>
      <c r="T20" s="433"/>
      <c r="U20" s="433"/>
      <c r="V20" s="433"/>
      <c r="W20" s="433"/>
      <c r="X20" s="433"/>
      <c r="Y20" s="433"/>
      <c r="Z20" s="433"/>
      <c r="AA20" s="433"/>
      <c r="AB20" s="433"/>
      <c r="AC20" s="434"/>
    </row>
    <row r="21" spans="1:48" s="20" customFormat="1" ht="15.45" customHeight="1">
      <c r="A21" s="200"/>
      <c r="B21" s="350" t="s">
        <v>27</v>
      </c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149"/>
      <c r="R21" s="343"/>
      <c r="S21" s="349" t="s">
        <v>28</v>
      </c>
      <c r="T21" s="349"/>
      <c r="U21" s="349"/>
      <c r="V21" s="349"/>
      <c r="W21" s="290"/>
      <c r="X21" s="290"/>
      <c r="Y21" s="290"/>
      <c r="Z21" s="347"/>
      <c r="AA21" s="343"/>
      <c r="AB21" s="343"/>
      <c r="AC21" s="172"/>
      <c r="AV21" s="1"/>
    </row>
    <row r="22" spans="1:48" s="20" customFormat="1" ht="15.45" customHeight="1">
      <c r="A22" s="171"/>
      <c r="B22" s="350" t="s">
        <v>29</v>
      </c>
      <c r="C22" s="343"/>
      <c r="D22" s="343"/>
      <c r="E22" s="343"/>
      <c r="F22" s="343"/>
      <c r="G22" s="343"/>
      <c r="H22" s="343"/>
      <c r="I22" s="343"/>
      <c r="J22" s="343"/>
      <c r="K22" s="343"/>
      <c r="L22" s="343"/>
      <c r="M22" s="343"/>
      <c r="N22" s="343"/>
      <c r="O22" s="343"/>
      <c r="P22" s="343"/>
      <c r="Q22" s="149"/>
      <c r="R22" s="174"/>
      <c r="S22" s="433" t="s">
        <v>30</v>
      </c>
      <c r="T22" s="433"/>
      <c r="U22" s="433"/>
      <c r="V22" s="433"/>
      <c r="W22" s="433"/>
      <c r="X22" s="433"/>
      <c r="Y22" s="433"/>
      <c r="Z22" s="433"/>
      <c r="AA22" s="433"/>
      <c r="AB22" s="433"/>
      <c r="AC22" s="434"/>
    </row>
    <row r="23" spans="1:48" s="20" customFormat="1" ht="15.45" customHeight="1">
      <c r="A23" s="200"/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  <c r="R23" s="175"/>
      <c r="S23" s="349" t="s">
        <v>31</v>
      </c>
      <c r="T23" s="353"/>
      <c r="U23" s="343"/>
      <c r="V23" s="343"/>
      <c r="W23" s="344"/>
      <c r="X23" s="344"/>
      <c r="Y23" s="344"/>
      <c r="Z23" s="344"/>
      <c r="AA23" s="343"/>
      <c r="AB23" s="343"/>
      <c r="AC23" s="172"/>
    </row>
    <row r="24" spans="1:48" s="20" customFormat="1" ht="15.45" customHeight="1">
      <c r="A24" s="171"/>
      <c r="B24" s="344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149"/>
      <c r="R24" s="352"/>
      <c r="S24" s="433" t="s">
        <v>32</v>
      </c>
      <c r="T24" s="433"/>
      <c r="U24" s="433"/>
      <c r="V24" s="433"/>
      <c r="W24" s="433"/>
      <c r="X24" s="433"/>
      <c r="Y24" s="433"/>
      <c r="Z24" s="433"/>
      <c r="AA24" s="433"/>
      <c r="AB24" s="433"/>
      <c r="AC24" s="434"/>
    </row>
    <row r="25" spans="1:48" s="20" customFormat="1" ht="15.45" customHeight="1">
      <c r="A25" s="171"/>
      <c r="B25" s="354"/>
      <c r="C25" s="343"/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149"/>
      <c r="R25" s="122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4"/>
    </row>
    <row r="26" spans="1:48" s="20" customFormat="1" ht="15" customHeight="1">
      <c r="A26" s="176" t="s">
        <v>33</v>
      </c>
      <c r="B26" s="177"/>
      <c r="C26" s="177"/>
      <c r="D26" s="177"/>
      <c r="E26" s="177"/>
      <c r="F26" s="177"/>
      <c r="G26" s="177"/>
      <c r="H26" s="178"/>
      <c r="I26" s="418" t="s">
        <v>34</v>
      </c>
      <c r="J26" s="415"/>
      <c r="K26" s="415"/>
      <c r="L26" s="415"/>
      <c r="M26" s="415"/>
      <c r="N26" s="415"/>
      <c r="O26" s="415"/>
      <c r="P26" s="415"/>
      <c r="Q26" s="419"/>
      <c r="R26" s="195" t="s">
        <v>35</v>
      </c>
      <c r="S26" s="370"/>
      <c r="T26" s="370"/>
      <c r="U26" s="370"/>
      <c r="V26" s="370"/>
      <c r="W26" s="370"/>
      <c r="X26" s="370"/>
      <c r="Y26" s="370"/>
      <c r="Z26" s="370"/>
      <c r="AA26" s="370"/>
      <c r="AB26" s="370"/>
      <c r="AC26" s="196"/>
    </row>
    <row r="27" spans="1:48" s="20" customFormat="1" ht="15" customHeight="1">
      <c r="A27" s="171"/>
      <c r="B27" s="343" t="s">
        <v>247</v>
      </c>
      <c r="C27" s="343"/>
      <c r="D27" s="343"/>
      <c r="E27" s="343"/>
      <c r="F27" s="343"/>
      <c r="G27" s="343"/>
      <c r="H27" s="149"/>
      <c r="I27" s="343"/>
      <c r="J27" s="343" t="s">
        <v>36</v>
      </c>
      <c r="K27" s="343"/>
      <c r="L27" s="343"/>
      <c r="M27" s="343"/>
      <c r="N27" s="343"/>
      <c r="O27" s="343"/>
      <c r="P27" s="343"/>
      <c r="Q27" s="149"/>
      <c r="R27" s="343"/>
      <c r="S27" s="344"/>
      <c r="T27" s="344"/>
      <c r="U27" s="344"/>
      <c r="V27" s="344"/>
      <c r="W27" s="344"/>
      <c r="X27" s="344"/>
      <c r="Y27" s="344"/>
      <c r="Z27" s="344"/>
      <c r="AA27" s="343"/>
      <c r="AB27" s="343"/>
      <c r="AC27" s="172"/>
    </row>
    <row r="28" spans="1:48" s="20" customFormat="1" ht="15" customHeight="1">
      <c r="A28" s="150"/>
      <c r="B28" s="179"/>
      <c r="C28" s="152"/>
      <c r="D28" s="152"/>
      <c r="E28" s="152"/>
      <c r="F28" s="152"/>
      <c r="G28" s="152"/>
      <c r="H28" s="153"/>
      <c r="I28" s="152"/>
      <c r="J28" s="179"/>
      <c r="K28" s="152"/>
      <c r="L28" s="152"/>
      <c r="M28" s="152"/>
      <c r="N28" s="152"/>
      <c r="O28" s="152"/>
      <c r="P28" s="152"/>
      <c r="Q28" s="153"/>
      <c r="R28" s="343"/>
      <c r="S28" s="349" t="s">
        <v>37</v>
      </c>
      <c r="T28" s="344"/>
      <c r="U28" s="343"/>
      <c r="V28" s="343"/>
      <c r="W28" s="344"/>
      <c r="X28" s="343" t="s">
        <v>38</v>
      </c>
      <c r="Y28" s="343" t="s">
        <v>39</v>
      </c>
      <c r="Z28" s="344"/>
      <c r="AA28" s="343"/>
      <c r="AB28" s="343"/>
      <c r="AC28" s="172"/>
    </row>
    <row r="29" spans="1:48" s="20" customFormat="1" ht="15" customHeight="1">
      <c r="A29" s="173" t="s">
        <v>40</v>
      </c>
      <c r="B29" s="343"/>
      <c r="C29" s="343"/>
      <c r="D29" s="343"/>
      <c r="E29" s="343"/>
      <c r="F29" s="343"/>
      <c r="G29" s="343"/>
      <c r="H29" s="149"/>
      <c r="I29" s="418" t="s">
        <v>41</v>
      </c>
      <c r="J29" s="415"/>
      <c r="K29" s="415"/>
      <c r="L29" s="415"/>
      <c r="M29" s="415"/>
      <c r="N29" s="415"/>
      <c r="O29" s="415"/>
      <c r="P29" s="415"/>
      <c r="Q29" s="419"/>
      <c r="R29" s="343"/>
      <c r="S29" s="349" t="s">
        <v>42</v>
      </c>
      <c r="T29" s="343"/>
      <c r="U29" s="344"/>
      <c r="V29" s="344"/>
      <c r="W29" s="344"/>
      <c r="X29" s="343" t="s">
        <v>38</v>
      </c>
      <c r="Y29" s="463">
        <f>COUNT('Summary PL'!A14:A39)</f>
        <v>26</v>
      </c>
      <c r="Z29" s="463"/>
      <c r="AA29" s="463"/>
      <c r="AB29" s="463"/>
      <c r="AC29" s="172" t="s">
        <v>43</v>
      </c>
    </row>
    <row r="30" spans="1:48" s="20" customFormat="1" ht="15" customHeight="1">
      <c r="A30" s="173"/>
      <c r="B30" s="343"/>
      <c r="C30" s="343"/>
      <c r="D30" s="343"/>
      <c r="E30" s="343"/>
      <c r="F30" s="343"/>
      <c r="G30" s="343"/>
      <c r="H30" s="149"/>
      <c r="I30" s="422"/>
      <c r="J30" s="420"/>
      <c r="K30" s="420"/>
      <c r="L30" s="420"/>
      <c r="M30" s="420"/>
      <c r="N30" s="420"/>
      <c r="O30" s="420"/>
      <c r="P30" s="420"/>
      <c r="Q30" s="421"/>
      <c r="R30" s="343"/>
      <c r="S30" s="349" t="s">
        <v>44</v>
      </c>
      <c r="T30" s="344"/>
      <c r="U30" s="344"/>
      <c r="V30" s="344"/>
      <c r="W30" s="344"/>
      <c r="X30" s="343" t="s">
        <v>38</v>
      </c>
      <c r="Y30" s="464">
        <f>'Summary PL'!L40</f>
        <v>21259</v>
      </c>
      <c r="Z30" s="464"/>
      <c r="AA30" s="464"/>
      <c r="AB30" s="464"/>
      <c r="AC30" s="172" t="s">
        <v>45</v>
      </c>
    </row>
    <row r="31" spans="1:48" s="20" customFormat="1" ht="15" customHeight="1">
      <c r="A31" s="171"/>
      <c r="B31" s="343" t="s">
        <v>252</v>
      </c>
      <c r="C31" s="343"/>
      <c r="D31" s="343"/>
      <c r="E31" s="343"/>
      <c r="F31" s="343"/>
      <c r="G31" s="343"/>
      <c r="H31" s="149"/>
      <c r="I31" s="343"/>
      <c r="J31" s="361" t="s">
        <v>245</v>
      </c>
      <c r="K31" s="361"/>
      <c r="L31" s="361"/>
      <c r="M31" s="361"/>
      <c r="N31" s="361"/>
      <c r="O31" s="361"/>
      <c r="P31" s="361"/>
      <c r="Q31" s="149"/>
      <c r="R31" s="343"/>
      <c r="S31" s="349" t="s">
        <v>46</v>
      </c>
      <c r="T31" s="344"/>
      <c r="U31" s="344"/>
      <c r="V31" s="344"/>
      <c r="W31" s="344"/>
      <c r="X31" s="343" t="s">
        <v>38</v>
      </c>
      <c r="Y31" s="427">
        <f>'Summary PL'!M40</f>
        <v>27223</v>
      </c>
      <c r="Z31" s="427"/>
      <c r="AA31" s="427"/>
      <c r="AB31" s="427"/>
      <c r="AC31" s="172" t="s">
        <v>45</v>
      </c>
    </row>
    <row r="32" spans="1:48" s="20" customFormat="1" ht="15" customHeight="1">
      <c r="A32" s="150"/>
      <c r="B32" s="152"/>
      <c r="C32" s="152"/>
      <c r="D32" s="152"/>
      <c r="E32" s="152"/>
      <c r="F32" s="152"/>
      <c r="G32" s="152"/>
      <c r="H32" s="153"/>
      <c r="I32" s="152"/>
      <c r="J32" s="152"/>
      <c r="K32" s="152"/>
      <c r="L32" s="152"/>
      <c r="M32" s="152"/>
      <c r="N32" s="152"/>
      <c r="O32" s="152"/>
      <c r="P32" s="152"/>
      <c r="Q32" s="153"/>
      <c r="R32" s="343"/>
      <c r="S32" s="349" t="s">
        <v>47</v>
      </c>
      <c r="T32" s="344"/>
      <c r="U32" s="343"/>
      <c r="V32" s="343"/>
      <c r="W32" s="343"/>
      <c r="X32" s="343" t="s">
        <v>38</v>
      </c>
      <c r="Y32" s="466">
        <f>'Summary PL'!K40</f>
        <v>44.135000000000012</v>
      </c>
      <c r="Z32" s="466"/>
      <c r="AA32" s="466"/>
      <c r="AB32" s="466"/>
      <c r="AC32" s="172" t="s">
        <v>48</v>
      </c>
    </row>
    <row r="33" spans="1:39" s="20" customFormat="1" ht="16.5" customHeight="1">
      <c r="A33" s="173" t="s">
        <v>49</v>
      </c>
      <c r="B33" s="343"/>
      <c r="C33" s="343"/>
      <c r="D33" s="343"/>
      <c r="E33" s="343"/>
      <c r="F33" s="343"/>
      <c r="G33" s="343"/>
      <c r="H33" s="149"/>
      <c r="I33" s="418" t="s">
        <v>50</v>
      </c>
      <c r="J33" s="415"/>
      <c r="K33" s="415"/>
      <c r="L33" s="415"/>
      <c r="M33" s="415"/>
      <c r="N33" s="415"/>
      <c r="O33" s="415"/>
      <c r="P33" s="415"/>
      <c r="Q33" s="419"/>
      <c r="R33" s="343"/>
      <c r="S33" s="344"/>
      <c r="T33" s="343"/>
      <c r="U33" s="343"/>
      <c r="V33" s="343"/>
      <c r="W33" s="343"/>
      <c r="X33" s="343"/>
      <c r="Y33" s="344"/>
      <c r="Z33" s="344"/>
      <c r="AA33" s="343"/>
      <c r="AB33" s="343"/>
      <c r="AC33" s="172"/>
    </row>
    <row r="34" spans="1:39" s="20" customFormat="1" ht="14.4">
      <c r="A34" s="173"/>
      <c r="B34" s="343"/>
      <c r="C34" s="343"/>
      <c r="D34" s="343"/>
      <c r="E34" s="343"/>
      <c r="F34" s="343"/>
      <c r="G34" s="343"/>
      <c r="H34" s="149"/>
      <c r="I34" s="422"/>
      <c r="J34" s="420"/>
      <c r="K34" s="420"/>
      <c r="L34" s="420"/>
      <c r="M34" s="420"/>
      <c r="N34" s="420"/>
      <c r="O34" s="420"/>
      <c r="P34" s="420"/>
      <c r="Q34" s="421"/>
      <c r="R34" s="343"/>
      <c r="S34" s="343"/>
      <c r="T34" s="343"/>
      <c r="U34" s="343"/>
      <c r="V34" s="343"/>
      <c r="W34" s="343"/>
      <c r="X34" s="343"/>
      <c r="Y34" s="344"/>
      <c r="Z34" s="344"/>
      <c r="AA34" s="343"/>
      <c r="AB34" s="343"/>
      <c r="AC34" s="172"/>
    </row>
    <row r="35" spans="1:39" s="20" customFormat="1" ht="14.7" customHeight="1">
      <c r="A35" s="171"/>
      <c r="B35" s="365" t="s">
        <v>253</v>
      </c>
      <c r="C35" s="343"/>
      <c r="D35" s="343"/>
      <c r="E35" s="343"/>
      <c r="F35" s="343"/>
      <c r="G35" s="343"/>
      <c r="H35" s="149"/>
      <c r="I35" s="343"/>
      <c r="J35" s="465">
        <v>45978</v>
      </c>
      <c r="K35" s="465"/>
      <c r="L35" s="465"/>
      <c r="M35" s="465"/>
      <c r="N35" s="465"/>
      <c r="O35" s="465"/>
      <c r="P35" s="465"/>
      <c r="Q35" s="149"/>
      <c r="R35" s="343"/>
      <c r="S35" s="467"/>
      <c r="T35" s="467"/>
      <c r="U35" s="467"/>
      <c r="V35" s="467"/>
      <c r="W35" s="467"/>
      <c r="X35" s="467"/>
      <c r="Y35" s="467"/>
      <c r="Z35" s="467"/>
      <c r="AA35" s="467"/>
      <c r="AB35" s="467"/>
      <c r="AC35" s="468"/>
    </row>
    <row r="36" spans="1:39" s="20" customFormat="1" ht="14.4">
      <c r="A36" s="150"/>
      <c r="B36" s="152"/>
      <c r="C36" s="152"/>
      <c r="D36" s="152"/>
      <c r="E36" s="152"/>
      <c r="F36" s="152"/>
      <c r="G36" s="152"/>
      <c r="H36" s="153"/>
      <c r="I36" s="152"/>
      <c r="J36" s="152"/>
      <c r="K36" s="152"/>
      <c r="L36" s="152"/>
      <c r="M36" s="152"/>
      <c r="N36" s="152"/>
      <c r="O36" s="152"/>
      <c r="P36" s="152"/>
      <c r="Q36" s="153"/>
      <c r="R36" s="343"/>
      <c r="S36" s="467"/>
      <c r="T36" s="467"/>
      <c r="U36" s="467"/>
      <c r="V36" s="467"/>
      <c r="W36" s="467"/>
      <c r="X36" s="467"/>
      <c r="Y36" s="467"/>
      <c r="Z36" s="467"/>
      <c r="AA36" s="467"/>
      <c r="AB36" s="467"/>
      <c r="AC36" s="468"/>
    </row>
    <row r="37" spans="1:39" s="20" customFormat="1" ht="14.4">
      <c r="A37" s="176" t="s">
        <v>51</v>
      </c>
      <c r="B37" s="177"/>
      <c r="C37" s="177"/>
      <c r="D37" s="177"/>
      <c r="E37" s="177"/>
      <c r="F37" s="177"/>
      <c r="G37" s="177"/>
      <c r="H37" s="177"/>
      <c r="I37" s="193"/>
      <c r="J37" s="177"/>
      <c r="K37" s="177"/>
      <c r="L37" s="177"/>
      <c r="M37" s="177"/>
      <c r="N37" s="177"/>
      <c r="O37" s="177"/>
      <c r="P37" s="177"/>
      <c r="Q37" s="178"/>
      <c r="R37" s="343"/>
      <c r="S37" s="467"/>
      <c r="T37" s="467"/>
      <c r="U37" s="467"/>
      <c r="V37" s="467"/>
      <c r="W37" s="467"/>
      <c r="X37" s="467"/>
      <c r="Y37" s="467"/>
      <c r="Z37" s="467"/>
      <c r="AA37" s="467"/>
      <c r="AB37" s="467"/>
      <c r="AC37" s="468"/>
    </row>
    <row r="38" spans="1:39" s="20" customFormat="1" ht="14.4">
      <c r="A38" s="171"/>
      <c r="B38" s="343"/>
      <c r="C38" s="343"/>
      <c r="D38" s="343"/>
      <c r="E38" s="343"/>
      <c r="F38" s="343"/>
      <c r="G38" s="343"/>
      <c r="H38" s="343"/>
      <c r="I38" s="343"/>
      <c r="J38" s="414"/>
      <c r="K38" s="414"/>
      <c r="L38" s="414"/>
      <c r="M38" s="414"/>
      <c r="N38" s="414"/>
      <c r="O38" s="414"/>
      <c r="P38" s="414"/>
      <c r="Q38" s="149"/>
      <c r="R38" s="343"/>
      <c r="S38" s="467"/>
      <c r="T38" s="467"/>
      <c r="U38" s="467"/>
      <c r="V38" s="467"/>
      <c r="W38" s="467"/>
      <c r="X38" s="467"/>
      <c r="Y38" s="467"/>
      <c r="Z38" s="467"/>
      <c r="AA38" s="467"/>
      <c r="AB38" s="467"/>
      <c r="AC38" s="468"/>
    </row>
    <row r="39" spans="1:39" s="20" customFormat="1" ht="14.4">
      <c r="A39" s="150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3"/>
      <c r="R39" s="343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201"/>
    </row>
    <row r="40" spans="1:39" s="20" customFormat="1" ht="16.5" customHeight="1">
      <c r="A40" s="404" t="s">
        <v>52</v>
      </c>
      <c r="B40" s="405"/>
      <c r="C40" s="405"/>
      <c r="D40" s="405"/>
      <c r="E40" s="405"/>
      <c r="F40" s="405"/>
      <c r="G40" s="405"/>
      <c r="H40" s="405"/>
      <c r="I40" s="405"/>
      <c r="J40" s="405"/>
      <c r="K40" s="405"/>
      <c r="L40" s="405"/>
      <c r="M40" s="405"/>
      <c r="N40" s="405"/>
      <c r="O40" s="405"/>
      <c r="P40" s="405"/>
      <c r="Q40" s="406"/>
      <c r="R40" s="410" t="s">
        <v>84</v>
      </c>
      <c r="S40" s="411"/>
      <c r="T40" s="413"/>
      <c r="U40" s="410" t="s">
        <v>85</v>
      </c>
      <c r="V40" s="411"/>
      <c r="W40" s="411"/>
      <c r="X40" s="413"/>
      <c r="Y40" s="410" t="s">
        <v>86</v>
      </c>
      <c r="Z40" s="411"/>
      <c r="AA40" s="411"/>
      <c r="AB40" s="413"/>
      <c r="AC40" s="364" t="s">
        <v>87</v>
      </c>
    </row>
    <row r="41" spans="1:39" s="20" customFormat="1" ht="16.5" customHeight="1">
      <c r="A41" s="407"/>
      <c r="B41" s="408"/>
      <c r="C41" s="408"/>
      <c r="D41" s="408"/>
      <c r="E41" s="408"/>
      <c r="F41" s="408"/>
      <c r="G41" s="408"/>
      <c r="H41" s="408"/>
      <c r="I41" s="408"/>
      <c r="J41" s="408"/>
      <c r="K41" s="408"/>
      <c r="L41" s="408"/>
      <c r="M41" s="408"/>
      <c r="N41" s="408"/>
      <c r="O41" s="408"/>
      <c r="P41" s="408"/>
      <c r="Q41" s="409"/>
      <c r="R41" s="386" t="s">
        <v>88</v>
      </c>
      <c r="S41" s="387"/>
      <c r="T41" s="388"/>
      <c r="U41" s="386" t="s">
        <v>89</v>
      </c>
      <c r="V41" s="387"/>
      <c r="W41" s="387"/>
      <c r="X41" s="388"/>
      <c r="Y41" s="386" t="s">
        <v>89</v>
      </c>
      <c r="Z41" s="387"/>
      <c r="AA41" s="387"/>
      <c r="AB41" s="388"/>
      <c r="AC41" s="363" t="s">
        <v>90</v>
      </c>
      <c r="AF41" s="441"/>
      <c r="AG41" s="441"/>
      <c r="AH41" s="441"/>
      <c r="AI41" s="441"/>
      <c r="AJ41" s="441"/>
      <c r="AK41" s="441"/>
      <c r="AL41" s="441"/>
      <c r="AM41" s="441"/>
    </row>
    <row r="42" spans="1:39" s="62" customFormat="1" ht="18" customHeight="1">
      <c r="A42" s="372"/>
      <c r="B42" s="343" t="s">
        <v>91</v>
      </c>
      <c r="C42" s="356"/>
      <c r="D42" s="356"/>
      <c r="E42" s="356"/>
      <c r="F42" s="356"/>
      <c r="G42" s="356"/>
      <c r="H42" s="356"/>
      <c r="I42" s="177"/>
      <c r="J42" s="177"/>
      <c r="K42" s="177"/>
      <c r="L42" s="177"/>
      <c r="M42" s="177"/>
      <c r="N42" s="177"/>
      <c r="O42" s="177"/>
      <c r="P42" s="177"/>
      <c r="Q42" s="149"/>
      <c r="R42" s="442">
        <v>1</v>
      </c>
      <c r="S42" s="443"/>
      <c r="T42" s="444"/>
      <c r="U42" s="448">
        <f>'Summary PL'!L40</f>
        <v>21259</v>
      </c>
      <c r="V42" s="449"/>
      <c r="W42" s="449"/>
      <c r="X42" s="450"/>
      <c r="Y42" s="448">
        <f>'Summary PL'!M40</f>
        <v>27223</v>
      </c>
      <c r="Z42" s="449"/>
      <c r="AA42" s="449"/>
      <c r="AB42" s="450"/>
      <c r="AC42" s="129">
        <f>'Summary PL'!K40</f>
        <v>44.135000000000012</v>
      </c>
      <c r="AE42" s="61"/>
    </row>
    <row r="43" spans="1:39" s="20" customFormat="1" ht="18" customHeight="1">
      <c r="A43" s="200"/>
      <c r="B43" s="367" t="s">
        <v>256</v>
      </c>
      <c r="C43" s="343"/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  <c r="O43" s="343"/>
      <c r="P43" s="343"/>
      <c r="Q43" s="149"/>
      <c r="R43" s="445" t="s">
        <v>242</v>
      </c>
      <c r="S43" s="446"/>
      <c r="T43" s="447"/>
      <c r="U43" s="460"/>
      <c r="V43" s="461"/>
      <c r="W43" s="461"/>
      <c r="X43" s="462"/>
      <c r="Y43" s="460"/>
      <c r="Z43" s="461"/>
      <c r="AA43" s="461"/>
      <c r="AB43" s="462"/>
      <c r="AC43" s="129"/>
      <c r="AE43" s="18"/>
    </row>
    <row r="44" spans="1:39" s="20" customFormat="1" ht="18" customHeight="1" thickBot="1">
      <c r="A44" s="173"/>
      <c r="B44" s="347"/>
      <c r="C44" s="347"/>
      <c r="D44" s="347"/>
      <c r="E44" s="347"/>
      <c r="F44" s="347"/>
      <c r="G44" s="347"/>
      <c r="H44" s="347"/>
      <c r="I44" s="194"/>
      <c r="J44" s="194"/>
      <c r="K44" s="194"/>
      <c r="L44" s="194"/>
      <c r="M44" s="194"/>
      <c r="N44" s="194"/>
      <c r="O44" s="194"/>
      <c r="P44" s="194"/>
      <c r="Q44" s="189"/>
      <c r="R44" s="373"/>
      <c r="S44" s="373"/>
      <c r="T44" s="114"/>
      <c r="U44" s="347"/>
      <c r="V44" s="347"/>
      <c r="W44" s="347"/>
      <c r="X44" s="84"/>
      <c r="Y44" s="65"/>
      <c r="Z44" s="65"/>
      <c r="AA44" s="65"/>
      <c r="AB44" s="84"/>
      <c r="AC44" s="129"/>
    </row>
    <row r="45" spans="1:39" s="20" customFormat="1" ht="18" customHeight="1" thickBot="1">
      <c r="A45" s="182"/>
      <c r="B45" s="183"/>
      <c r="C45" s="183"/>
      <c r="D45" s="183"/>
      <c r="E45" s="183"/>
      <c r="F45" s="183"/>
      <c r="G45" s="183"/>
      <c r="H45" s="183"/>
      <c r="I45" s="383"/>
      <c r="J45" s="383"/>
      <c r="K45" s="383"/>
      <c r="L45" s="383"/>
      <c r="M45" s="383"/>
      <c r="N45" s="383"/>
      <c r="O45" s="383"/>
      <c r="P45" s="383"/>
      <c r="Q45" s="459"/>
      <c r="R45" s="456">
        <f>SUM(R42:T44)</f>
        <v>1</v>
      </c>
      <c r="S45" s="457"/>
      <c r="T45" s="458"/>
      <c r="U45" s="451">
        <f>SUM(U42:X43)</f>
        <v>21259</v>
      </c>
      <c r="V45" s="384"/>
      <c r="W45" s="384"/>
      <c r="X45" s="452"/>
      <c r="Y45" s="453">
        <f>SUM(Y42:AB43)</f>
        <v>27223</v>
      </c>
      <c r="Z45" s="454"/>
      <c r="AA45" s="454"/>
      <c r="AB45" s="455"/>
      <c r="AC45" s="130">
        <f>SUM(AC42:AC43)</f>
        <v>44.135000000000012</v>
      </c>
    </row>
    <row r="46" spans="1:39">
      <c r="A46" s="159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1"/>
    </row>
    <row r="47" spans="1:39">
      <c r="A47" s="162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  <c r="Z47" s="346"/>
      <c r="AA47" s="346"/>
      <c r="AB47" s="346"/>
      <c r="AC47" s="163"/>
    </row>
    <row r="48" spans="1:39">
      <c r="A48" s="162"/>
      <c r="B48" s="346"/>
      <c r="C48" s="346"/>
      <c r="D48" s="346"/>
      <c r="E48" s="346"/>
      <c r="F48" s="346"/>
      <c r="G48" s="346"/>
      <c r="H48" s="346"/>
      <c r="I48" s="346"/>
      <c r="J48" s="346"/>
      <c r="K48" s="346"/>
      <c r="L48" s="346"/>
      <c r="M48" s="346"/>
      <c r="N48" s="346"/>
      <c r="O48" s="346"/>
      <c r="P48" s="346"/>
      <c r="Q48" s="346"/>
      <c r="R48" s="346"/>
      <c r="S48" s="346"/>
      <c r="T48" s="346"/>
      <c r="U48" s="346"/>
      <c r="V48" s="346"/>
      <c r="W48" s="346"/>
      <c r="X48" s="346"/>
      <c r="Y48" s="346"/>
      <c r="Z48" s="346"/>
      <c r="AA48" s="346"/>
      <c r="AB48" s="346"/>
      <c r="AC48" s="163"/>
    </row>
    <row r="49" spans="1:29">
      <c r="A49" s="162"/>
      <c r="B49" s="346"/>
      <c r="C49" s="346"/>
      <c r="D49" s="346"/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46"/>
      <c r="P49" s="346"/>
      <c r="Q49" s="346"/>
      <c r="R49" s="346"/>
      <c r="S49" s="346"/>
      <c r="T49" s="346"/>
      <c r="U49" s="346"/>
      <c r="V49" s="346"/>
      <c r="W49" s="346"/>
      <c r="X49" s="346"/>
      <c r="Y49" s="346"/>
      <c r="Z49" s="346"/>
      <c r="AA49" s="346"/>
      <c r="AB49" s="346"/>
      <c r="AC49" s="163"/>
    </row>
    <row r="50" spans="1:29">
      <c r="A50" s="162"/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346"/>
      <c r="AB50" s="346"/>
      <c r="AC50" s="163"/>
    </row>
    <row r="51" spans="1:29">
      <c r="A51" s="162"/>
      <c r="B51" s="346"/>
      <c r="C51" s="346"/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46"/>
      <c r="Q51" s="346"/>
      <c r="R51" s="346"/>
      <c r="S51" s="346"/>
      <c r="T51" s="346"/>
      <c r="U51" s="346"/>
      <c r="V51" s="346"/>
      <c r="W51" s="346"/>
      <c r="X51" s="346"/>
      <c r="Y51" s="346"/>
      <c r="Z51" s="346"/>
      <c r="AA51" s="346"/>
      <c r="AB51" s="346"/>
      <c r="AC51" s="163"/>
    </row>
    <row r="52" spans="1:29">
      <c r="A52" s="162"/>
      <c r="B52" s="346"/>
      <c r="C52" s="346"/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46"/>
      <c r="Q52" s="346"/>
      <c r="R52" s="346"/>
      <c r="S52" s="346"/>
      <c r="T52" s="346"/>
      <c r="U52" s="346"/>
      <c r="V52" s="346"/>
      <c r="W52" s="346"/>
      <c r="X52" s="346"/>
      <c r="Y52" s="346"/>
      <c r="Z52" s="346"/>
      <c r="AA52" s="346"/>
      <c r="AB52" s="346"/>
      <c r="AC52" s="163"/>
    </row>
    <row r="53" spans="1:29" ht="14.4">
      <c r="A53" s="171"/>
      <c r="B53" s="343"/>
      <c r="C53" s="343"/>
      <c r="D53" s="343"/>
      <c r="E53" s="343"/>
      <c r="F53" s="343"/>
      <c r="G53" s="343"/>
      <c r="H53" s="343"/>
      <c r="I53" s="343"/>
      <c r="J53" s="343"/>
      <c r="K53" s="343"/>
      <c r="L53" s="343"/>
      <c r="M53" s="343"/>
      <c r="N53" s="343"/>
      <c r="O53" s="346"/>
      <c r="P53" s="346"/>
      <c r="Q53" s="346"/>
      <c r="R53" s="346"/>
      <c r="S53" s="343" t="s">
        <v>60</v>
      </c>
      <c r="T53" s="346"/>
      <c r="U53" s="346"/>
      <c r="V53" s="346"/>
      <c r="W53" s="346"/>
      <c r="X53" s="346"/>
      <c r="Y53" s="346"/>
      <c r="Z53" s="346"/>
      <c r="AA53" s="346"/>
      <c r="AB53" s="346"/>
      <c r="AC53" s="163"/>
    </row>
    <row r="54" spans="1:29" ht="14.4">
      <c r="A54" s="171" t="s">
        <v>61</v>
      </c>
      <c r="B54" s="343"/>
      <c r="C54" s="343"/>
      <c r="D54" s="343"/>
      <c r="E54" s="343"/>
      <c r="F54" s="343"/>
      <c r="G54" s="343"/>
      <c r="H54" s="343"/>
      <c r="I54" s="343"/>
      <c r="J54" s="343"/>
      <c r="K54" s="343"/>
      <c r="L54" s="343"/>
      <c r="M54" s="343"/>
      <c r="N54" s="343"/>
      <c r="O54" s="346"/>
      <c r="P54" s="346"/>
      <c r="Q54" s="346"/>
      <c r="R54" s="346"/>
      <c r="S54" s="346"/>
      <c r="T54" s="346"/>
      <c r="U54" s="346"/>
      <c r="V54" s="346"/>
      <c r="W54" s="346"/>
      <c r="X54" s="346"/>
      <c r="Y54" s="346"/>
      <c r="Z54" s="346"/>
      <c r="AA54" s="346"/>
      <c r="AB54" s="346"/>
      <c r="AC54" s="163"/>
    </row>
    <row r="55" spans="1:29" ht="14.4">
      <c r="A55" s="171" t="s">
        <v>62</v>
      </c>
      <c r="B55" s="343"/>
      <c r="C55" s="343"/>
      <c r="D55" s="343"/>
      <c r="E55" s="343"/>
      <c r="F55" s="343"/>
      <c r="G55" s="343"/>
      <c r="H55" s="343"/>
      <c r="I55" s="343"/>
      <c r="J55" s="343"/>
      <c r="K55" s="343"/>
      <c r="L55" s="343"/>
      <c r="M55" s="343"/>
      <c r="N55" s="343"/>
      <c r="O55" s="346"/>
      <c r="P55" s="346"/>
      <c r="Q55" s="346"/>
      <c r="R55" s="346"/>
      <c r="S55" s="346"/>
      <c r="T55" s="346"/>
      <c r="U55" s="346"/>
      <c r="V55" s="346"/>
      <c r="W55" s="184"/>
      <c r="X55" s="184"/>
      <c r="Y55" s="346"/>
      <c r="Z55" s="346"/>
      <c r="AA55" s="346"/>
      <c r="AB55" s="346"/>
      <c r="AC55" s="163"/>
    </row>
    <row r="56" spans="1:29" ht="14.4">
      <c r="A56" s="171" t="s">
        <v>92</v>
      </c>
      <c r="B56" s="343"/>
      <c r="C56" s="343"/>
      <c r="D56" s="343"/>
      <c r="E56" s="343"/>
      <c r="F56" s="343"/>
      <c r="G56" s="343"/>
      <c r="H56" s="343"/>
      <c r="I56" s="343"/>
      <c r="J56" s="343"/>
      <c r="K56" s="343"/>
      <c r="L56" s="343"/>
      <c r="M56" s="343"/>
      <c r="N56" s="343"/>
      <c r="O56" s="346"/>
      <c r="P56" s="346"/>
      <c r="Q56" s="346"/>
      <c r="R56" s="346"/>
      <c r="S56" s="346"/>
      <c r="T56" s="346"/>
      <c r="U56" s="346"/>
      <c r="V56" s="381" t="s">
        <v>93</v>
      </c>
      <c r="W56" s="381"/>
      <c r="X56" s="381"/>
      <c r="Y56" s="381"/>
      <c r="Z56" s="381"/>
      <c r="AA56" s="381"/>
      <c r="AB56" s="381"/>
      <c r="AC56" s="382"/>
    </row>
    <row r="57" spans="1:29" ht="14.4">
      <c r="A57" s="171" t="s">
        <v>65</v>
      </c>
      <c r="B57" s="343"/>
      <c r="C57" s="343"/>
      <c r="D57" s="343"/>
      <c r="E57" s="343"/>
      <c r="F57" s="343"/>
      <c r="G57" s="343"/>
      <c r="H57" s="343"/>
      <c r="I57" s="343"/>
      <c r="J57" s="343"/>
      <c r="K57" s="343"/>
      <c r="L57" s="343"/>
      <c r="M57" s="343"/>
      <c r="N57" s="343"/>
      <c r="O57" s="346"/>
      <c r="P57" s="346"/>
      <c r="Q57" s="346"/>
      <c r="R57" s="346"/>
      <c r="S57" s="349"/>
      <c r="T57" s="346"/>
      <c r="U57" s="357"/>
      <c r="V57" s="357"/>
      <c r="W57" s="357"/>
      <c r="X57" s="357"/>
      <c r="Y57" s="357"/>
      <c r="Z57" s="357"/>
      <c r="AA57" s="357"/>
      <c r="AB57" s="357"/>
      <c r="AC57" s="163"/>
    </row>
    <row r="58" spans="1:29" ht="12.6" thickBot="1">
      <c r="A58" s="185"/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6"/>
    </row>
    <row r="59" spans="1:29" ht="15" thickBot="1">
      <c r="A59" s="186" t="s">
        <v>66</v>
      </c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8"/>
    </row>
  </sheetData>
  <mergeCells count="39">
    <mergeCell ref="A6:AC6"/>
    <mergeCell ref="V8:Z8"/>
    <mergeCell ref="V10:Z10"/>
    <mergeCell ref="I26:Q26"/>
    <mergeCell ref="S15:AC15"/>
    <mergeCell ref="S16:AC16"/>
    <mergeCell ref="S18:AC18"/>
    <mergeCell ref="S20:AC20"/>
    <mergeCell ref="S22:AC22"/>
    <mergeCell ref="S24:AC24"/>
    <mergeCell ref="J38:P38"/>
    <mergeCell ref="Y29:AB29"/>
    <mergeCell ref="Y30:AB30"/>
    <mergeCell ref="Y31:AB31"/>
    <mergeCell ref="J35:P35"/>
    <mergeCell ref="Y32:AB32"/>
    <mergeCell ref="S35:AC38"/>
    <mergeCell ref="I29:Q30"/>
    <mergeCell ref="I33:Q34"/>
    <mergeCell ref="R40:T40"/>
    <mergeCell ref="I45:Q45"/>
    <mergeCell ref="U43:X43"/>
    <mergeCell ref="Y43:AB43"/>
    <mergeCell ref="A40:Q41"/>
    <mergeCell ref="V56:AC56"/>
    <mergeCell ref="AF41:AI41"/>
    <mergeCell ref="R42:T42"/>
    <mergeCell ref="R43:T43"/>
    <mergeCell ref="U42:X42"/>
    <mergeCell ref="U45:X45"/>
    <mergeCell ref="Y45:AB45"/>
    <mergeCell ref="R45:T45"/>
    <mergeCell ref="R41:T41"/>
    <mergeCell ref="Y42:AB42"/>
    <mergeCell ref="AJ41:AM41"/>
    <mergeCell ref="U40:X40"/>
    <mergeCell ref="Y40:AB40"/>
    <mergeCell ref="U41:X41"/>
    <mergeCell ref="Y41:AB41"/>
  </mergeCells>
  <phoneticPr fontId="9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U88"/>
  <sheetViews>
    <sheetView showGridLines="0" tabSelected="1" view="pageBreakPreview" topLeftCell="E1" zoomScale="80" zoomScaleNormal="70" zoomScaleSheetLayoutView="80" zoomScalePageLayoutView="70" workbookViewId="0">
      <selection activeCell="B9" sqref="B9"/>
    </sheetView>
  </sheetViews>
  <sheetFormatPr defaultColWidth="10" defaultRowHeight="13.8"/>
  <cols>
    <col min="1" max="1" width="17.69921875" style="46" customWidth="1"/>
    <col min="2" max="2" width="19.59765625" style="46" customWidth="1"/>
    <col min="3" max="3" width="29.59765625" style="46" customWidth="1"/>
    <col min="4" max="4" width="40" style="46" customWidth="1"/>
    <col min="5" max="5" width="17.09765625" style="12" customWidth="1"/>
    <col min="6" max="6" width="11.19921875" style="314" customWidth="1"/>
    <col min="7" max="7" width="11.19921875" style="48" customWidth="1"/>
    <col min="8" max="8" width="11.5" style="60" customWidth="1"/>
    <col min="9" max="10" width="11.5" style="60" bestFit="1" customWidth="1"/>
    <col min="11" max="11" width="11.69921875" style="60" customWidth="1"/>
    <col min="12" max="13" width="17.69921875" style="60" customWidth="1"/>
    <col min="14" max="14" width="16.69921875" style="52" customWidth="1"/>
    <col min="15" max="15" width="15.69921875" style="50" customWidth="1"/>
    <col min="16" max="16" width="16.09765625" style="89" customWidth="1"/>
    <col min="17" max="17" width="10" style="12"/>
    <col min="18" max="18" width="21.69921875" style="12" customWidth="1"/>
    <col min="19" max="20" width="10" style="13"/>
    <col min="21" max="16384" width="10" style="14"/>
  </cols>
  <sheetData>
    <row r="1" spans="1:21" s="9" customFormat="1" ht="14.1" customHeight="1">
      <c r="A1" s="5"/>
      <c r="B1" s="5"/>
      <c r="C1" s="5"/>
      <c r="D1" s="5"/>
      <c r="E1" s="6"/>
      <c r="F1" s="304"/>
      <c r="G1" s="8"/>
      <c r="H1" s="92"/>
      <c r="I1" s="53"/>
      <c r="J1" s="53"/>
      <c r="K1" s="53"/>
      <c r="L1" s="215"/>
      <c r="M1" s="53"/>
      <c r="N1" s="5"/>
      <c r="O1" s="10" t="s">
        <v>0</v>
      </c>
      <c r="P1" s="44"/>
      <c r="Q1" s="205" t="s">
        <v>94</v>
      </c>
      <c r="R1" s="206" t="s">
        <v>95</v>
      </c>
      <c r="S1" s="206" t="s">
        <v>96</v>
      </c>
      <c r="T1" s="207"/>
      <c r="U1" s="208"/>
    </row>
    <row r="2" spans="1:21" s="9" customFormat="1" ht="14.1" customHeight="1">
      <c r="A2" s="5"/>
      <c r="B2" s="5"/>
      <c r="C2" s="5"/>
      <c r="D2" s="5"/>
      <c r="E2" s="6"/>
      <c r="F2" s="304"/>
      <c r="G2" s="8"/>
      <c r="H2" s="92"/>
      <c r="I2" s="53"/>
      <c r="J2" s="53"/>
      <c r="K2" s="53"/>
      <c r="L2" s="215"/>
      <c r="M2" s="53"/>
      <c r="N2" s="5"/>
      <c r="O2" s="10" t="s">
        <v>1</v>
      </c>
      <c r="P2" s="44"/>
      <c r="Q2" s="208"/>
      <c r="R2" s="206" t="s">
        <v>97</v>
      </c>
      <c r="S2" s="206" t="s">
        <v>98</v>
      </c>
      <c r="T2" s="208"/>
      <c r="U2" s="208"/>
    </row>
    <row r="3" spans="1:21" s="9" customFormat="1" ht="14.1" customHeight="1">
      <c r="A3" s="5"/>
      <c r="B3" s="5"/>
      <c r="C3" s="5"/>
      <c r="D3" s="5"/>
      <c r="E3" s="6"/>
      <c r="F3" s="304"/>
      <c r="G3" s="8"/>
      <c r="H3" s="92"/>
      <c r="I3" s="53"/>
      <c r="J3" s="53"/>
      <c r="K3" s="53"/>
      <c r="L3" s="215"/>
      <c r="M3" s="53"/>
      <c r="N3" s="5"/>
      <c r="O3" s="10" t="s">
        <v>2</v>
      </c>
      <c r="P3" s="44"/>
      <c r="Q3" s="209"/>
      <c r="R3" s="206" t="s">
        <v>99</v>
      </c>
      <c r="S3" s="206" t="s">
        <v>100</v>
      </c>
      <c r="T3" s="208"/>
      <c r="U3" s="208"/>
    </row>
    <row r="4" spans="1:21" s="9" customFormat="1" ht="14.1" customHeight="1">
      <c r="A4" s="5"/>
      <c r="B4" s="5"/>
      <c r="C4" s="5"/>
      <c r="D4" s="5"/>
      <c r="E4" s="6"/>
      <c r="F4" s="304"/>
      <c r="G4" s="8"/>
      <c r="H4" s="92"/>
      <c r="I4" s="53"/>
      <c r="J4" s="53"/>
      <c r="K4" s="53"/>
      <c r="L4" s="215"/>
      <c r="M4" s="53"/>
      <c r="N4" s="5"/>
      <c r="O4" s="10" t="s">
        <v>3</v>
      </c>
      <c r="P4" s="44"/>
      <c r="Q4" s="209"/>
      <c r="R4" s="206" t="s">
        <v>101</v>
      </c>
      <c r="S4" s="206" t="s">
        <v>102</v>
      </c>
      <c r="T4" s="208"/>
      <c r="U4" s="208"/>
    </row>
    <row r="5" spans="1:21" s="9" customFormat="1" ht="14.1" customHeight="1">
      <c r="A5" s="5"/>
      <c r="B5" s="5"/>
      <c r="C5" s="5"/>
      <c r="D5" s="5"/>
      <c r="E5" s="6"/>
      <c r="F5" s="304"/>
      <c r="G5" s="8"/>
      <c r="H5" s="92"/>
      <c r="I5" s="53"/>
      <c r="J5" s="53"/>
      <c r="K5" s="53"/>
      <c r="L5" s="215"/>
      <c r="M5" s="53"/>
      <c r="N5" s="5"/>
      <c r="O5" s="10" t="s">
        <v>4</v>
      </c>
      <c r="P5" s="44"/>
      <c r="Q5" s="133"/>
    </row>
    <row r="6" spans="1:21" ht="52.2" customHeight="1">
      <c r="A6" s="437" t="s">
        <v>103</v>
      </c>
      <c r="B6" s="437"/>
      <c r="C6" s="438"/>
      <c r="D6" s="438"/>
      <c r="E6" s="438"/>
      <c r="F6" s="438"/>
      <c r="G6" s="438"/>
      <c r="H6" s="438"/>
      <c r="I6" s="438"/>
      <c r="J6" s="438"/>
      <c r="K6" s="438"/>
      <c r="L6" s="438"/>
      <c r="M6" s="438"/>
      <c r="N6" s="438"/>
      <c r="O6" s="438"/>
      <c r="P6" s="438"/>
      <c r="Q6" s="21"/>
    </row>
    <row r="7" spans="1:21" ht="17.100000000000001" customHeight="1">
      <c r="A7" s="135" t="s">
        <v>104</v>
      </c>
      <c r="B7" s="135" t="s">
        <v>105</v>
      </c>
      <c r="C7" s="136"/>
      <c r="D7" s="136"/>
      <c r="E7" s="136"/>
      <c r="F7" s="305"/>
      <c r="G7" s="120"/>
      <c r="H7" s="120"/>
      <c r="I7" s="120"/>
      <c r="J7" s="120"/>
      <c r="K7" s="213"/>
      <c r="L7" s="213"/>
      <c r="M7" s="213"/>
      <c r="N7" s="120"/>
      <c r="O7" s="120"/>
      <c r="P7" s="120"/>
      <c r="Q7" s="21"/>
    </row>
    <row r="8" spans="1:21" ht="17.100000000000001" customHeight="1">
      <c r="A8" s="135"/>
      <c r="B8" s="135" t="s">
        <v>106</v>
      </c>
      <c r="C8" s="136"/>
      <c r="D8" s="136"/>
      <c r="E8" s="136"/>
      <c r="F8" s="305"/>
      <c r="G8" s="120"/>
      <c r="H8" s="120"/>
      <c r="I8" s="120"/>
      <c r="J8" s="120"/>
      <c r="K8" s="213"/>
      <c r="L8" s="213"/>
      <c r="M8" s="213"/>
      <c r="N8" s="120"/>
      <c r="O8" s="120"/>
      <c r="P8" s="120"/>
      <c r="T8" s="133"/>
      <c r="U8" s="134"/>
    </row>
    <row r="9" spans="1:21" s="20" customFormat="1" ht="17.100000000000001" customHeight="1" thickBot="1">
      <c r="A9" s="135" t="s">
        <v>107</v>
      </c>
      <c r="B9" s="135" t="str">
        <f>PL!V8</f>
        <v>PGU-DE-0481</v>
      </c>
      <c r="C9" s="135"/>
      <c r="D9" s="137"/>
      <c r="E9" s="28"/>
      <c r="F9" s="306"/>
      <c r="G9" s="16"/>
      <c r="H9" s="54"/>
      <c r="I9" s="54"/>
      <c r="J9" s="54"/>
      <c r="K9" s="93"/>
      <c r="L9" s="54"/>
      <c r="M9" s="54"/>
      <c r="N9" s="17"/>
      <c r="O9" s="19"/>
      <c r="P9" s="19"/>
      <c r="T9" s="133"/>
      <c r="U9" s="134"/>
    </row>
    <row r="10" spans="1:21" s="20" customFormat="1" ht="19.95" customHeight="1">
      <c r="A10" s="275" t="s">
        <v>108</v>
      </c>
      <c r="B10" s="276" t="str">
        <f>PL!B13</f>
        <v>Branch of JSC "Doosan Enerbility" in the Turkestan region</v>
      </c>
      <c r="C10" s="276"/>
      <c r="D10" s="277"/>
      <c r="E10" s="278"/>
      <c r="F10" s="306"/>
      <c r="G10" s="16"/>
      <c r="H10" s="253"/>
      <c r="I10" s="253"/>
      <c r="J10" s="253"/>
      <c r="K10" s="254"/>
      <c r="L10" s="253"/>
      <c r="M10" s="253"/>
      <c r="N10" s="17"/>
      <c r="O10" s="19"/>
      <c r="P10" s="19"/>
      <c r="T10" s="133"/>
      <c r="U10" s="134"/>
    </row>
    <row r="11" spans="1:21" s="20" customFormat="1" ht="19.95" customHeight="1" thickBot="1">
      <c r="A11" s="279" t="s">
        <v>109</v>
      </c>
      <c r="B11" s="280" t="str">
        <f>PL!B14</f>
        <v>321 Tauke Khan Avenue, Turkestan region, Turkestan, Kazakhstan, 161200</v>
      </c>
      <c r="C11" s="280"/>
      <c r="D11" s="281"/>
      <c r="E11" s="282"/>
      <c r="F11" s="306"/>
      <c r="G11" s="16"/>
      <c r="H11" s="253"/>
      <c r="I11" s="253"/>
      <c r="J11" s="253"/>
      <c r="K11" s="254"/>
      <c r="L11" s="253"/>
      <c r="M11" s="253"/>
      <c r="N11" s="17"/>
      <c r="O11" s="19"/>
      <c r="P11" s="19"/>
      <c r="T11" s="133"/>
      <c r="U11" s="134"/>
    </row>
    <row r="12" spans="1:21" s="23" customFormat="1" ht="23.7" customHeight="1">
      <c r="A12" s="476" t="s">
        <v>110</v>
      </c>
      <c r="B12" s="478" t="s">
        <v>111</v>
      </c>
      <c r="C12" s="478" t="s">
        <v>112</v>
      </c>
      <c r="D12" s="478" t="s">
        <v>113</v>
      </c>
      <c r="E12" s="478" t="s">
        <v>114</v>
      </c>
      <c r="F12" s="480" t="s">
        <v>115</v>
      </c>
      <c r="G12" s="480"/>
      <c r="H12" s="481" t="s">
        <v>116</v>
      </c>
      <c r="I12" s="481"/>
      <c r="J12" s="481"/>
      <c r="K12" s="481"/>
      <c r="L12" s="482" t="s">
        <v>117</v>
      </c>
      <c r="M12" s="484" t="s">
        <v>118</v>
      </c>
      <c r="N12" s="482" t="s">
        <v>119</v>
      </c>
      <c r="O12" s="469" t="s">
        <v>120</v>
      </c>
      <c r="P12" s="471" t="s">
        <v>121</v>
      </c>
      <c r="R12" s="22"/>
      <c r="S12" s="22"/>
      <c r="T12" s="22"/>
    </row>
    <row r="13" spans="1:21" s="23" customFormat="1" ht="33" customHeight="1">
      <c r="A13" s="477"/>
      <c r="B13" s="479"/>
      <c r="C13" s="479"/>
      <c r="D13" s="479"/>
      <c r="E13" s="479"/>
      <c r="F13" s="307" t="s">
        <v>122</v>
      </c>
      <c r="G13" s="287" t="s">
        <v>123</v>
      </c>
      <c r="H13" s="291" t="s">
        <v>124</v>
      </c>
      <c r="I13" s="291" t="s">
        <v>125</v>
      </c>
      <c r="J13" s="291" t="s">
        <v>126</v>
      </c>
      <c r="K13" s="291" t="s">
        <v>127</v>
      </c>
      <c r="L13" s="483"/>
      <c r="M13" s="485"/>
      <c r="N13" s="483"/>
      <c r="O13" s="470"/>
      <c r="P13" s="472"/>
      <c r="R13" s="22"/>
      <c r="S13" s="22"/>
      <c r="T13" s="22"/>
    </row>
    <row r="14" spans="1:21" s="91" customFormat="1" ht="25.35" customHeight="1">
      <c r="A14" s="286">
        <v>1</v>
      </c>
      <c r="B14" s="158"/>
      <c r="C14" s="157" t="s">
        <v>128</v>
      </c>
      <c r="D14" s="366" t="s">
        <v>255</v>
      </c>
      <c r="E14" s="284" t="s">
        <v>130</v>
      </c>
      <c r="F14" s="308">
        <v>1</v>
      </c>
      <c r="G14" s="158" t="s">
        <v>131</v>
      </c>
      <c r="H14" s="55">
        <v>127</v>
      </c>
      <c r="I14" s="55">
        <v>127</v>
      </c>
      <c r="J14" s="55">
        <v>75</v>
      </c>
      <c r="K14" s="214">
        <f t="shared" ref="K14:K26" si="0">ROUND(J14*I14*H14/1000000,3)</f>
        <v>1.21</v>
      </c>
      <c r="L14" s="55">
        <v>473</v>
      </c>
      <c r="M14" s="55">
        <v>641</v>
      </c>
      <c r="N14" s="26" t="s">
        <v>132</v>
      </c>
      <c r="O14" s="24" t="s">
        <v>133</v>
      </c>
      <c r="P14" s="212" t="s">
        <v>134</v>
      </c>
      <c r="Q14" s="27"/>
      <c r="R14" s="28"/>
      <c r="S14" s="28"/>
      <c r="T14" s="90"/>
    </row>
    <row r="15" spans="1:21" s="91" customFormat="1" ht="25.35" customHeight="1">
      <c r="A15" s="286">
        <v>2</v>
      </c>
      <c r="B15" s="158"/>
      <c r="C15" s="157" t="s">
        <v>135</v>
      </c>
      <c r="D15" s="366" t="s">
        <v>255</v>
      </c>
      <c r="E15" s="284" t="s">
        <v>130</v>
      </c>
      <c r="F15" s="308">
        <v>1</v>
      </c>
      <c r="G15" s="158" t="s">
        <v>131</v>
      </c>
      <c r="H15" s="55">
        <v>127</v>
      </c>
      <c r="I15" s="55">
        <v>127</v>
      </c>
      <c r="J15" s="55">
        <v>75</v>
      </c>
      <c r="K15" s="214">
        <f t="shared" si="0"/>
        <v>1.21</v>
      </c>
      <c r="L15" s="55">
        <v>473</v>
      </c>
      <c r="M15" s="55">
        <v>641</v>
      </c>
      <c r="N15" s="26" t="s">
        <v>132</v>
      </c>
      <c r="O15" s="24" t="s">
        <v>133</v>
      </c>
      <c r="P15" s="212" t="s">
        <v>134</v>
      </c>
      <c r="Q15" s="27"/>
      <c r="R15" s="28"/>
      <c r="S15" s="28"/>
      <c r="T15" s="90"/>
    </row>
    <row r="16" spans="1:21" s="91" customFormat="1" ht="25.35" customHeight="1">
      <c r="A16" s="286">
        <v>3</v>
      </c>
      <c r="B16" s="158"/>
      <c r="C16" s="157" t="s">
        <v>136</v>
      </c>
      <c r="D16" s="366" t="s">
        <v>255</v>
      </c>
      <c r="E16" s="284" t="s">
        <v>130</v>
      </c>
      <c r="F16" s="308">
        <v>1</v>
      </c>
      <c r="G16" s="158" t="s">
        <v>131</v>
      </c>
      <c r="H16" s="55">
        <v>127</v>
      </c>
      <c r="I16" s="55">
        <v>127</v>
      </c>
      <c r="J16" s="55">
        <v>75</v>
      </c>
      <c r="K16" s="214">
        <f t="shared" si="0"/>
        <v>1.21</v>
      </c>
      <c r="L16" s="55">
        <v>473</v>
      </c>
      <c r="M16" s="55">
        <v>641</v>
      </c>
      <c r="N16" s="26" t="s">
        <v>132</v>
      </c>
      <c r="O16" s="24" t="s">
        <v>133</v>
      </c>
      <c r="P16" s="212" t="s">
        <v>134</v>
      </c>
      <c r="Q16" s="27"/>
      <c r="R16" s="28"/>
      <c r="S16" s="28"/>
      <c r="T16" s="90"/>
    </row>
    <row r="17" spans="1:20" s="91" customFormat="1" ht="25.35" customHeight="1">
      <c r="A17" s="286">
        <v>4</v>
      </c>
      <c r="B17" s="158"/>
      <c r="C17" s="157" t="s">
        <v>137</v>
      </c>
      <c r="D17" s="366" t="s">
        <v>255</v>
      </c>
      <c r="E17" s="284" t="s">
        <v>130</v>
      </c>
      <c r="F17" s="308">
        <v>1</v>
      </c>
      <c r="G17" s="158" t="s">
        <v>131</v>
      </c>
      <c r="H17" s="55">
        <v>127</v>
      </c>
      <c r="I17" s="55">
        <v>127</v>
      </c>
      <c r="J17" s="55">
        <v>75</v>
      </c>
      <c r="K17" s="214">
        <f t="shared" si="0"/>
        <v>1.21</v>
      </c>
      <c r="L17" s="55">
        <v>473</v>
      </c>
      <c r="M17" s="55">
        <v>641</v>
      </c>
      <c r="N17" s="26" t="s">
        <v>132</v>
      </c>
      <c r="O17" s="24" t="s">
        <v>133</v>
      </c>
      <c r="P17" s="212" t="s">
        <v>134</v>
      </c>
      <c r="Q17" s="27"/>
      <c r="R17" s="28"/>
      <c r="S17" s="28"/>
      <c r="T17" s="90"/>
    </row>
    <row r="18" spans="1:20" s="91" customFormat="1" ht="25.35" customHeight="1">
      <c r="A18" s="286">
        <v>5</v>
      </c>
      <c r="B18" s="158"/>
      <c r="C18" s="157" t="s">
        <v>138</v>
      </c>
      <c r="D18" s="366" t="s">
        <v>255</v>
      </c>
      <c r="E18" s="284" t="s">
        <v>130</v>
      </c>
      <c r="F18" s="308">
        <v>1</v>
      </c>
      <c r="G18" s="158" t="s">
        <v>131</v>
      </c>
      <c r="H18" s="55">
        <v>127</v>
      </c>
      <c r="I18" s="55">
        <v>127</v>
      </c>
      <c r="J18" s="55">
        <v>75</v>
      </c>
      <c r="K18" s="214">
        <f t="shared" si="0"/>
        <v>1.21</v>
      </c>
      <c r="L18" s="55">
        <v>473</v>
      </c>
      <c r="M18" s="55">
        <v>641</v>
      </c>
      <c r="N18" s="26" t="s">
        <v>132</v>
      </c>
      <c r="O18" s="24" t="s">
        <v>133</v>
      </c>
      <c r="P18" s="212" t="s">
        <v>134</v>
      </c>
      <c r="Q18" s="27"/>
      <c r="R18" s="28"/>
      <c r="S18" s="28"/>
      <c r="T18" s="90"/>
    </row>
    <row r="19" spans="1:20" s="91" customFormat="1" ht="25.35" customHeight="1">
      <c r="A19" s="286">
        <v>6</v>
      </c>
      <c r="B19" s="158"/>
      <c r="C19" s="157" t="s">
        <v>139</v>
      </c>
      <c r="D19" s="366" t="s">
        <v>255</v>
      </c>
      <c r="E19" s="284" t="s">
        <v>130</v>
      </c>
      <c r="F19" s="308">
        <v>1</v>
      </c>
      <c r="G19" s="158" t="s">
        <v>131</v>
      </c>
      <c r="H19" s="55">
        <v>127</v>
      </c>
      <c r="I19" s="55">
        <v>127</v>
      </c>
      <c r="J19" s="55">
        <v>75</v>
      </c>
      <c r="K19" s="214">
        <f t="shared" si="0"/>
        <v>1.21</v>
      </c>
      <c r="L19" s="55">
        <v>473</v>
      </c>
      <c r="M19" s="55">
        <v>641</v>
      </c>
      <c r="N19" s="26" t="s">
        <v>132</v>
      </c>
      <c r="O19" s="24" t="s">
        <v>133</v>
      </c>
      <c r="P19" s="212" t="s">
        <v>134</v>
      </c>
      <c r="Q19" s="27"/>
      <c r="R19" s="28"/>
      <c r="S19" s="28"/>
      <c r="T19" s="90"/>
    </row>
    <row r="20" spans="1:20" s="91" customFormat="1" ht="25.35" customHeight="1">
      <c r="A20" s="286">
        <v>7</v>
      </c>
      <c r="B20" s="158"/>
      <c r="C20" s="157" t="s">
        <v>140</v>
      </c>
      <c r="D20" s="366" t="s">
        <v>255</v>
      </c>
      <c r="E20" s="284" t="s">
        <v>130</v>
      </c>
      <c r="F20" s="308">
        <v>1</v>
      </c>
      <c r="G20" s="158" t="s">
        <v>131</v>
      </c>
      <c r="H20" s="55">
        <v>127</v>
      </c>
      <c r="I20" s="55">
        <v>127</v>
      </c>
      <c r="J20" s="55">
        <v>75</v>
      </c>
      <c r="K20" s="214">
        <f t="shared" si="0"/>
        <v>1.21</v>
      </c>
      <c r="L20" s="55">
        <v>473</v>
      </c>
      <c r="M20" s="55">
        <v>641</v>
      </c>
      <c r="N20" s="26" t="s">
        <v>132</v>
      </c>
      <c r="O20" s="24" t="s">
        <v>133</v>
      </c>
      <c r="P20" s="212" t="s">
        <v>134</v>
      </c>
      <c r="Q20" s="27"/>
      <c r="R20" s="28"/>
      <c r="S20" s="28"/>
      <c r="T20" s="90"/>
    </row>
    <row r="21" spans="1:20" s="91" customFormat="1" ht="25.35" customHeight="1">
      <c r="A21" s="286">
        <v>8</v>
      </c>
      <c r="B21" s="158"/>
      <c r="C21" s="157" t="s">
        <v>141</v>
      </c>
      <c r="D21" s="366" t="s">
        <v>255</v>
      </c>
      <c r="E21" s="284" t="s">
        <v>130</v>
      </c>
      <c r="F21" s="308">
        <v>1</v>
      </c>
      <c r="G21" s="158" t="s">
        <v>131</v>
      </c>
      <c r="H21" s="55">
        <v>127</v>
      </c>
      <c r="I21" s="55">
        <v>127</v>
      </c>
      <c r="J21" s="55">
        <v>75</v>
      </c>
      <c r="K21" s="214">
        <f t="shared" si="0"/>
        <v>1.21</v>
      </c>
      <c r="L21" s="55">
        <v>473</v>
      </c>
      <c r="M21" s="55">
        <v>641</v>
      </c>
      <c r="N21" s="26" t="s">
        <v>132</v>
      </c>
      <c r="O21" s="24" t="s">
        <v>133</v>
      </c>
      <c r="P21" s="212" t="s">
        <v>134</v>
      </c>
      <c r="Q21" s="27"/>
      <c r="R21" s="28"/>
      <c r="S21" s="28"/>
      <c r="T21" s="90"/>
    </row>
    <row r="22" spans="1:20" s="91" customFormat="1" ht="25.35" customHeight="1">
      <c r="A22" s="286">
        <v>9</v>
      </c>
      <c r="B22" s="158"/>
      <c r="C22" s="157" t="s">
        <v>142</v>
      </c>
      <c r="D22" s="366" t="s">
        <v>255</v>
      </c>
      <c r="E22" s="284" t="s">
        <v>130</v>
      </c>
      <c r="F22" s="308">
        <v>1</v>
      </c>
      <c r="G22" s="158" t="s">
        <v>131</v>
      </c>
      <c r="H22" s="55">
        <v>127</v>
      </c>
      <c r="I22" s="55">
        <v>127</v>
      </c>
      <c r="J22" s="55">
        <v>75</v>
      </c>
      <c r="K22" s="214">
        <f t="shared" si="0"/>
        <v>1.21</v>
      </c>
      <c r="L22" s="55">
        <v>473</v>
      </c>
      <c r="M22" s="55">
        <v>641</v>
      </c>
      <c r="N22" s="26" t="s">
        <v>132</v>
      </c>
      <c r="O22" s="24" t="s">
        <v>133</v>
      </c>
      <c r="P22" s="212" t="s">
        <v>134</v>
      </c>
      <c r="Q22" s="27"/>
      <c r="R22" s="28"/>
      <c r="S22" s="28"/>
      <c r="T22" s="90"/>
    </row>
    <row r="23" spans="1:20" s="91" customFormat="1" ht="25.35" customHeight="1">
      <c r="A23" s="286">
        <v>10</v>
      </c>
      <c r="B23" s="158"/>
      <c r="C23" s="157" t="s">
        <v>143</v>
      </c>
      <c r="D23" s="366" t="s">
        <v>255</v>
      </c>
      <c r="E23" s="284" t="s">
        <v>130</v>
      </c>
      <c r="F23" s="308">
        <v>1</v>
      </c>
      <c r="G23" s="158" t="s">
        <v>131</v>
      </c>
      <c r="H23" s="55">
        <v>127</v>
      </c>
      <c r="I23" s="55">
        <v>127</v>
      </c>
      <c r="J23" s="55">
        <v>75</v>
      </c>
      <c r="K23" s="214">
        <f t="shared" si="0"/>
        <v>1.21</v>
      </c>
      <c r="L23" s="55">
        <v>473</v>
      </c>
      <c r="M23" s="55">
        <v>641</v>
      </c>
      <c r="N23" s="26" t="s">
        <v>132</v>
      </c>
      <c r="O23" s="24" t="s">
        <v>133</v>
      </c>
      <c r="P23" s="212" t="s">
        <v>134</v>
      </c>
      <c r="Q23" s="27"/>
      <c r="R23" s="28"/>
      <c r="S23" s="28"/>
      <c r="T23" s="90"/>
    </row>
    <row r="24" spans="1:20" s="91" customFormat="1" ht="25.35" customHeight="1">
      <c r="A24" s="286">
        <v>11</v>
      </c>
      <c r="B24" s="158"/>
      <c r="C24" s="157" t="s">
        <v>144</v>
      </c>
      <c r="D24" s="366" t="s">
        <v>255</v>
      </c>
      <c r="E24" s="284" t="s">
        <v>130</v>
      </c>
      <c r="F24" s="308">
        <v>1</v>
      </c>
      <c r="G24" s="158" t="s">
        <v>131</v>
      </c>
      <c r="H24" s="55">
        <v>127</v>
      </c>
      <c r="I24" s="55">
        <v>127</v>
      </c>
      <c r="J24" s="55">
        <v>75</v>
      </c>
      <c r="K24" s="214">
        <f t="shared" si="0"/>
        <v>1.21</v>
      </c>
      <c r="L24" s="55">
        <v>473</v>
      </c>
      <c r="M24" s="55">
        <v>641</v>
      </c>
      <c r="N24" s="26" t="s">
        <v>132</v>
      </c>
      <c r="O24" s="24" t="s">
        <v>133</v>
      </c>
      <c r="P24" s="212" t="s">
        <v>134</v>
      </c>
      <c r="Q24" s="27"/>
      <c r="R24" s="28"/>
      <c r="S24" s="28"/>
      <c r="T24" s="90"/>
    </row>
    <row r="25" spans="1:20" s="91" customFormat="1" ht="25.35" customHeight="1">
      <c r="A25" s="286">
        <v>12</v>
      </c>
      <c r="B25" s="158"/>
      <c r="C25" s="157" t="s">
        <v>145</v>
      </c>
      <c r="D25" s="366" t="s">
        <v>255</v>
      </c>
      <c r="E25" s="284" t="s">
        <v>130</v>
      </c>
      <c r="F25" s="308">
        <v>1</v>
      </c>
      <c r="G25" s="158" t="s">
        <v>131</v>
      </c>
      <c r="H25" s="55">
        <v>127</v>
      </c>
      <c r="I25" s="55">
        <v>127</v>
      </c>
      <c r="J25" s="55">
        <v>75</v>
      </c>
      <c r="K25" s="214">
        <f t="shared" si="0"/>
        <v>1.21</v>
      </c>
      <c r="L25" s="55">
        <v>473</v>
      </c>
      <c r="M25" s="55">
        <v>641</v>
      </c>
      <c r="N25" s="26" t="s">
        <v>132</v>
      </c>
      <c r="O25" s="24" t="s">
        <v>133</v>
      </c>
      <c r="P25" s="212" t="s">
        <v>134</v>
      </c>
      <c r="Q25" s="27"/>
      <c r="R25" s="28"/>
      <c r="S25" s="28"/>
      <c r="T25" s="90"/>
    </row>
    <row r="26" spans="1:20" s="91" customFormat="1" ht="25.35" customHeight="1">
      <c r="A26" s="286">
        <v>13</v>
      </c>
      <c r="B26" s="158"/>
      <c r="C26" s="157" t="s">
        <v>146</v>
      </c>
      <c r="D26" s="366" t="s">
        <v>255</v>
      </c>
      <c r="E26" s="284" t="s">
        <v>130</v>
      </c>
      <c r="F26" s="308">
        <v>1</v>
      </c>
      <c r="G26" s="158" t="s">
        <v>131</v>
      </c>
      <c r="H26" s="55">
        <v>127</v>
      </c>
      <c r="I26" s="55">
        <v>127</v>
      </c>
      <c r="J26" s="55">
        <v>75</v>
      </c>
      <c r="K26" s="214">
        <f t="shared" si="0"/>
        <v>1.21</v>
      </c>
      <c r="L26" s="55">
        <v>473</v>
      </c>
      <c r="M26" s="55">
        <v>641</v>
      </c>
      <c r="N26" s="26" t="s">
        <v>132</v>
      </c>
      <c r="O26" s="24" t="s">
        <v>133</v>
      </c>
      <c r="P26" s="212" t="s">
        <v>134</v>
      </c>
      <c r="Q26" s="27"/>
      <c r="R26" s="28"/>
      <c r="S26" s="28"/>
      <c r="T26" s="90"/>
    </row>
    <row r="27" spans="1:20" s="91" customFormat="1" ht="25.35" customHeight="1">
      <c r="A27" s="286">
        <v>14</v>
      </c>
      <c r="B27" s="158"/>
      <c r="C27" s="157" t="s">
        <v>147</v>
      </c>
      <c r="D27" s="366" t="s">
        <v>255</v>
      </c>
      <c r="E27" s="284" t="s">
        <v>130</v>
      </c>
      <c r="F27" s="308">
        <v>1</v>
      </c>
      <c r="G27" s="158" t="s">
        <v>131</v>
      </c>
      <c r="H27" s="55">
        <v>103</v>
      </c>
      <c r="I27" s="55">
        <v>103</v>
      </c>
      <c r="J27" s="55">
        <v>50</v>
      </c>
      <c r="K27" s="214">
        <f t="shared" ref="K27:K29" si="1">ROUND(J27*I27*H27/1000000,3)</f>
        <v>0.53</v>
      </c>
      <c r="L27" s="55">
        <v>213</v>
      </c>
      <c r="M27" s="55">
        <v>294</v>
      </c>
      <c r="N27" s="26" t="s">
        <v>132</v>
      </c>
      <c r="O27" s="24" t="s">
        <v>133</v>
      </c>
      <c r="P27" s="212" t="s">
        <v>134</v>
      </c>
      <c r="Q27" s="27"/>
      <c r="R27" s="28"/>
      <c r="S27" s="28"/>
      <c r="T27" s="90"/>
    </row>
    <row r="28" spans="1:20" s="91" customFormat="1" ht="25.35" customHeight="1">
      <c r="A28" s="286">
        <v>15</v>
      </c>
      <c r="B28" s="158"/>
      <c r="C28" s="157" t="s">
        <v>148</v>
      </c>
      <c r="D28" s="366" t="s">
        <v>255</v>
      </c>
      <c r="E28" s="284" t="s">
        <v>130</v>
      </c>
      <c r="F28" s="308">
        <v>1</v>
      </c>
      <c r="G28" s="158" t="s">
        <v>131</v>
      </c>
      <c r="H28" s="55">
        <v>100</v>
      </c>
      <c r="I28" s="55">
        <v>100</v>
      </c>
      <c r="J28" s="55">
        <v>50</v>
      </c>
      <c r="K28" s="214">
        <f t="shared" si="1"/>
        <v>0.5</v>
      </c>
      <c r="L28" s="55">
        <v>228</v>
      </c>
      <c r="M28" s="55">
        <v>306</v>
      </c>
      <c r="N28" s="26" t="s">
        <v>132</v>
      </c>
      <c r="O28" s="24" t="s">
        <v>133</v>
      </c>
      <c r="P28" s="212" t="s">
        <v>134</v>
      </c>
      <c r="Q28" s="27"/>
      <c r="R28" s="28"/>
      <c r="S28" s="28"/>
      <c r="T28" s="90"/>
    </row>
    <row r="29" spans="1:20" s="91" customFormat="1" ht="25.35" customHeight="1">
      <c r="A29" s="286">
        <v>16</v>
      </c>
      <c r="B29" s="158"/>
      <c r="C29" s="157" t="s">
        <v>149</v>
      </c>
      <c r="D29" s="366" t="s">
        <v>255</v>
      </c>
      <c r="E29" s="284" t="s">
        <v>130</v>
      </c>
      <c r="F29" s="308">
        <v>1</v>
      </c>
      <c r="G29" s="158" t="s">
        <v>131</v>
      </c>
      <c r="H29" s="55">
        <v>189</v>
      </c>
      <c r="I29" s="55">
        <v>189</v>
      </c>
      <c r="J29" s="55">
        <v>90</v>
      </c>
      <c r="K29" s="214">
        <f t="shared" si="1"/>
        <v>3.2149999999999999</v>
      </c>
      <c r="L29" s="55">
        <v>2102</v>
      </c>
      <c r="M29" s="55">
        <v>2529</v>
      </c>
      <c r="N29" s="26" t="s">
        <v>132</v>
      </c>
      <c r="O29" s="24" t="s">
        <v>133</v>
      </c>
      <c r="P29" s="212" t="s">
        <v>134</v>
      </c>
      <c r="Q29" s="27"/>
      <c r="R29" s="28"/>
      <c r="S29" s="28"/>
      <c r="T29" s="90"/>
    </row>
    <row r="30" spans="1:20" s="91" customFormat="1" ht="25.35" customHeight="1">
      <c r="A30" s="286">
        <v>17</v>
      </c>
      <c r="B30" s="158"/>
      <c r="C30" s="157" t="s">
        <v>150</v>
      </c>
      <c r="D30" s="366" t="s">
        <v>255</v>
      </c>
      <c r="E30" s="284" t="s">
        <v>130</v>
      </c>
      <c r="F30" s="308">
        <v>1</v>
      </c>
      <c r="G30" s="158" t="s">
        <v>131</v>
      </c>
      <c r="H30" s="55">
        <v>189</v>
      </c>
      <c r="I30" s="55">
        <v>189</v>
      </c>
      <c r="J30" s="55">
        <v>90</v>
      </c>
      <c r="K30" s="214">
        <f t="shared" ref="K30" si="2">ROUND(J30*I30*H30/1000000,3)</f>
        <v>3.2149999999999999</v>
      </c>
      <c r="L30" s="55">
        <v>2102</v>
      </c>
      <c r="M30" s="55">
        <v>2529</v>
      </c>
      <c r="N30" s="26" t="s">
        <v>132</v>
      </c>
      <c r="O30" s="24" t="s">
        <v>133</v>
      </c>
      <c r="P30" s="212" t="s">
        <v>134</v>
      </c>
      <c r="Q30" s="27"/>
      <c r="R30" s="28"/>
      <c r="S30" s="28"/>
      <c r="T30" s="90"/>
    </row>
    <row r="31" spans="1:20" s="91" customFormat="1" ht="25.35" customHeight="1">
      <c r="A31" s="286">
        <v>18</v>
      </c>
      <c r="B31" s="158"/>
      <c r="C31" s="157" t="s">
        <v>151</v>
      </c>
      <c r="D31" s="366" t="s">
        <v>255</v>
      </c>
      <c r="E31" s="284" t="s">
        <v>130</v>
      </c>
      <c r="F31" s="308">
        <v>1</v>
      </c>
      <c r="G31" s="158" t="s">
        <v>131</v>
      </c>
      <c r="H31" s="55">
        <v>204</v>
      </c>
      <c r="I31" s="55">
        <v>204</v>
      </c>
      <c r="J31" s="55">
        <v>105</v>
      </c>
      <c r="K31" s="214">
        <f>ROUND(J31*I31*H31/1000000,3)</f>
        <v>4.37</v>
      </c>
      <c r="L31" s="55">
        <v>2312</v>
      </c>
      <c r="M31" s="55">
        <v>2911</v>
      </c>
      <c r="N31" s="26" t="s">
        <v>132</v>
      </c>
      <c r="O31" s="24" t="s">
        <v>133</v>
      </c>
      <c r="P31" s="212" t="s">
        <v>134</v>
      </c>
      <c r="Q31" s="27"/>
      <c r="R31" s="28"/>
      <c r="S31" s="28"/>
      <c r="T31" s="90"/>
    </row>
    <row r="32" spans="1:20" s="91" customFormat="1" ht="25.35" customHeight="1">
      <c r="A32" s="286">
        <v>19</v>
      </c>
      <c r="B32" s="158"/>
      <c r="C32" s="157" t="s">
        <v>152</v>
      </c>
      <c r="D32" s="366" t="s">
        <v>255</v>
      </c>
      <c r="E32" s="284" t="s">
        <v>130</v>
      </c>
      <c r="F32" s="308">
        <v>1</v>
      </c>
      <c r="G32" s="158" t="s">
        <v>131</v>
      </c>
      <c r="H32" s="55">
        <v>142</v>
      </c>
      <c r="I32" s="55">
        <v>142</v>
      </c>
      <c r="J32" s="55">
        <v>75</v>
      </c>
      <c r="K32" s="214">
        <f t="shared" ref="K32:K39" si="3">ROUND(J32*I32*H32/1000000,3)</f>
        <v>1.512</v>
      </c>
      <c r="L32" s="55">
        <v>542</v>
      </c>
      <c r="M32" s="55">
        <v>745</v>
      </c>
      <c r="N32" s="26" t="s">
        <v>132</v>
      </c>
      <c r="O32" s="24" t="s">
        <v>133</v>
      </c>
      <c r="P32" s="212" t="s">
        <v>134</v>
      </c>
      <c r="Q32" s="27"/>
      <c r="R32" s="28"/>
      <c r="S32" s="28"/>
      <c r="T32" s="90"/>
    </row>
    <row r="33" spans="1:20" s="91" customFormat="1" ht="25.35" customHeight="1">
      <c r="A33" s="286">
        <v>20</v>
      </c>
      <c r="B33" s="158"/>
      <c r="C33" s="157" t="s">
        <v>153</v>
      </c>
      <c r="D33" s="366" t="s">
        <v>255</v>
      </c>
      <c r="E33" s="284" t="s">
        <v>130</v>
      </c>
      <c r="F33" s="308">
        <v>1</v>
      </c>
      <c r="G33" s="158" t="s">
        <v>131</v>
      </c>
      <c r="H33" s="55">
        <v>157</v>
      </c>
      <c r="I33" s="55">
        <v>157</v>
      </c>
      <c r="J33" s="55">
        <v>90</v>
      </c>
      <c r="K33" s="214">
        <f t="shared" si="3"/>
        <v>2.218</v>
      </c>
      <c r="L33" s="55">
        <v>996</v>
      </c>
      <c r="M33" s="55">
        <v>1288</v>
      </c>
      <c r="N33" s="26" t="s">
        <v>132</v>
      </c>
      <c r="O33" s="24" t="s">
        <v>133</v>
      </c>
      <c r="P33" s="212" t="s">
        <v>134</v>
      </c>
      <c r="Q33" s="27"/>
      <c r="R33" s="28"/>
      <c r="S33" s="28"/>
      <c r="T33" s="90"/>
    </row>
    <row r="34" spans="1:20" s="91" customFormat="1" ht="25.35" customHeight="1">
      <c r="A34" s="286">
        <v>21</v>
      </c>
      <c r="B34" s="158"/>
      <c r="C34" s="157" t="s">
        <v>154</v>
      </c>
      <c r="D34" s="366" t="s">
        <v>255</v>
      </c>
      <c r="E34" s="284" t="s">
        <v>130</v>
      </c>
      <c r="F34" s="308">
        <v>1</v>
      </c>
      <c r="G34" s="158" t="s">
        <v>131</v>
      </c>
      <c r="H34" s="55">
        <v>157</v>
      </c>
      <c r="I34" s="55">
        <v>157</v>
      </c>
      <c r="J34" s="55">
        <v>90</v>
      </c>
      <c r="K34" s="214">
        <f t="shared" si="3"/>
        <v>2.218</v>
      </c>
      <c r="L34" s="55">
        <v>996</v>
      </c>
      <c r="M34" s="55">
        <v>1288</v>
      </c>
      <c r="N34" s="26" t="s">
        <v>132</v>
      </c>
      <c r="O34" s="24" t="s">
        <v>133</v>
      </c>
      <c r="P34" s="212" t="s">
        <v>134</v>
      </c>
      <c r="Q34" s="27"/>
      <c r="R34" s="28"/>
      <c r="S34" s="28"/>
      <c r="T34" s="90"/>
    </row>
    <row r="35" spans="1:20" s="91" customFormat="1" ht="25.35" customHeight="1">
      <c r="A35" s="286">
        <v>22</v>
      </c>
      <c r="B35" s="158"/>
      <c r="C35" s="157" t="s">
        <v>155</v>
      </c>
      <c r="D35" s="366" t="s">
        <v>255</v>
      </c>
      <c r="E35" s="284" t="s">
        <v>130</v>
      </c>
      <c r="F35" s="308">
        <v>1</v>
      </c>
      <c r="G35" s="158" t="s">
        <v>131</v>
      </c>
      <c r="H35" s="55">
        <v>157</v>
      </c>
      <c r="I35" s="55">
        <v>157</v>
      </c>
      <c r="J35" s="55">
        <v>90</v>
      </c>
      <c r="K35" s="214">
        <f t="shared" ref="K35" si="4">ROUND(J35*I35*H35/1000000,3)</f>
        <v>2.218</v>
      </c>
      <c r="L35" s="55">
        <v>996</v>
      </c>
      <c r="M35" s="55">
        <v>1288</v>
      </c>
      <c r="N35" s="26" t="s">
        <v>132</v>
      </c>
      <c r="O35" s="24" t="s">
        <v>133</v>
      </c>
      <c r="P35" s="212" t="s">
        <v>134</v>
      </c>
      <c r="Q35" s="27"/>
      <c r="R35" s="28"/>
      <c r="S35" s="28"/>
      <c r="T35" s="90"/>
    </row>
    <row r="36" spans="1:20" s="91" customFormat="1" ht="25.35" customHeight="1">
      <c r="A36" s="286">
        <v>23</v>
      </c>
      <c r="B36" s="158"/>
      <c r="C36" s="157" t="s">
        <v>156</v>
      </c>
      <c r="D36" s="366" t="s">
        <v>255</v>
      </c>
      <c r="E36" s="284" t="s">
        <v>130</v>
      </c>
      <c r="F36" s="308">
        <v>1</v>
      </c>
      <c r="G36" s="158" t="s">
        <v>131</v>
      </c>
      <c r="H36" s="55">
        <v>167</v>
      </c>
      <c r="I36" s="55">
        <v>167</v>
      </c>
      <c r="J36" s="55">
        <v>90</v>
      </c>
      <c r="K36" s="214">
        <f t="shared" si="3"/>
        <v>2.5099999999999998</v>
      </c>
      <c r="L36" s="55">
        <v>1408</v>
      </c>
      <c r="M36" s="55">
        <v>1725</v>
      </c>
      <c r="N36" s="26" t="s">
        <v>132</v>
      </c>
      <c r="O36" s="24" t="s">
        <v>133</v>
      </c>
      <c r="P36" s="212" t="s">
        <v>134</v>
      </c>
      <c r="Q36" s="27"/>
      <c r="R36" s="28"/>
      <c r="S36" s="28"/>
      <c r="T36" s="90"/>
    </row>
    <row r="37" spans="1:20" s="91" customFormat="1" ht="25.35" customHeight="1">
      <c r="A37" s="286">
        <v>24</v>
      </c>
      <c r="B37" s="158"/>
      <c r="C37" s="157" t="s">
        <v>157</v>
      </c>
      <c r="D37" s="366" t="s">
        <v>255</v>
      </c>
      <c r="E37" s="284" t="s">
        <v>130</v>
      </c>
      <c r="F37" s="308">
        <v>1</v>
      </c>
      <c r="G37" s="158" t="s">
        <v>131</v>
      </c>
      <c r="H37" s="55">
        <v>167</v>
      </c>
      <c r="I37" s="55">
        <v>167</v>
      </c>
      <c r="J37" s="55">
        <v>90</v>
      </c>
      <c r="K37" s="214">
        <f t="shared" ref="K37" si="5">ROUND(J37*I37*H37/1000000,3)</f>
        <v>2.5099999999999998</v>
      </c>
      <c r="L37" s="55">
        <v>1408</v>
      </c>
      <c r="M37" s="55">
        <v>1725</v>
      </c>
      <c r="N37" s="26" t="s">
        <v>132</v>
      </c>
      <c r="O37" s="24" t="s">
        <v>133</v>
      </c>
      <c r="P37" s="212" t="s">
        <v>134</v>
      </c>
      <c r="Q37" s="27"/>
      <c r="R37" s="28"/>
      <c r="S37" s="28"/>
      <c r="T37" s="90"/>
    </row>
    <row r="38" spans="1:20" s="91" customFormat="1" ht="25.35" customHeight="1">
      <c r="A38" s="286">
        <v>25</v>
      </c>
      <c r="B38" s="158"/>
      <c r="C38" s="157" t="s">
        <v>158</v>
      </c>
      <c r="D38" s="366" t="s">
        <v>255</v>
      </c>
      <c r="E38" s="284" t="s">
        <v>130</v>
      </c>
      <c r="F38" s="308">
        <v>1</v>
      </c>
      <c r="G38" s="158" t="s">
        <v>131</v>
      </c>
      <c r="H38" s="55">
        <v>162</v>
      </c>
      <c r="I38" s="55">
        <v>162</v>
      </c>
      <c r="J38" s="55">
        <v>90</v>
      </c>
      <c r="K38" s="214">
        <f t="shared" si="3"/>
        <v>2.3620000000000001</v>
      </c>
      <c r="L38" s="55">
        <v>1320</v>
      </c>
      <c r="M38" s="55">
        <v>1625</v>
      </c>
      <c r="N38" s="26" t="s">
        <v>132</v>
      </c>
      <c r="O38" s="24" t="s">
        <v>133</v>
      </c>
      <c r="P38" s="212" t="s">
        <v>134</v>
      </c>
      <c r="Q38" s="27"/>
      <c r="R38" s="28"/>
      <c r="S38" s="28"/>
      <c r="T38" s="90"/>
    </row>
    <row r="39" spans="1:20" s="91" customFormat="1" ht="25.35" customHeight="1">
      <c r="A39" s="286">
        <v>26</v>
      </c>
      <c r="B39" s="158"/>
      <c r="C39" s="157" t="s">
        <v>159</v>
      </c>
      <c r="D39" s="366" t="s">
        <v>255</v>
      </c>
      <c r="E39" s="284" t="s">
        <v>130</v>
      </c>
      <c r="F39" s="308">
        <v>1</v>
      </c>
      <c r="G39" s="158" t="s">
        <v>131</v>
      </c>
      <c r="H39" s="55">
        <v>117</v>
      </c>
      <c r="I39" s="55">
        <v>117</v>
      </c>
      <c r="J39" s="55">
        <v>75</v>
      </c>
      <c r="K39" s="214">
        <f t="shared" si="3"/>
        <v>1.0269999999999999</v>
      </c>
      <c r="L39" s="55">
        <v>487</v>
      </c>
      <c r="M39" s="55">
        <v>637</v>
      </c>
      <c r="N39" s="26" t="s">
        <v>132</v>
      </c>
      <c r="O39" s="24" t="s">
        <v>133</v>
      </c>
      <c r="P39" s="212" t="s">
        <v>134</v>
      </c>
      <c r="Q39" s="27"/>
      <c r="R39" s="28"/>
      <c r="S39" s="28"/>
      <c r="T39" s="90"/>
    </row>
    <row r="40" spans="1:20" s="32" customFormat="1" ht="28.2" customHeight="1" thickBot="1">
      <c r="A40" s="473" t="s">
        <v>160</v>
      </c>
      <c r="B40" s="474"/>
      <c r="C40" s="474"/>
      <c r="D40" s="474"/>
      <c r="E40" s="474"/>
      <c r="F40" s="309">
        <f>SUM(F14:F39)</f>
        <v>26</v>
      </c>
      <c r="G40" s="285"/>
      <c r="H40" s="265"/>
      <c r="I40" s="265"/>
      <c r="J40" s="265"/>
      <c r="K40" s="271">
        <f>SUM(K14:K39)</f>
        <v>44.135000000000012</v>
      </c>
      <c r="L40" s="271">
        <f>SUM(L14:L39)</f>
        <v>21259</v>
      </c>
      <c r="M40" s="271">
        <f>SUM(M14:M39)</f>
        <v>27223</v>
      </c>
      <c r="N40" s="266"/>
      <c r="O40" s="267"/>
      <c r="P40" s="268"/>
      <c r="Q40" s="30"/>
      <c r="R40" s="30"/>
      <c r="S40" s="31"/>
      <c r="T40" s="31"/>
    </row>
    <row r="41" spans="1:20" s="9" customFormat="1" ht="22.5" customHeight="1">
      <c r="A41" s="5"/>
      <c r="B41" s="5"/>
      <c r="C41" s="8"/>
      <c r="D41" s="8"/>
      <c r="E41" s="33"/>
      <c r="F41" s="310"/>
      <c r="G41" s="8"/>
      <c r="H41" s="56"/>
      <c r="I41" s="56"/>
      <c r="J41" s="58"/>
      <c r="K41" s="58"/>
      <c r="L41" s="56"/>
      <c r="M41" s="56"/>
      <c r="N41" s="35"/>
      <c r="O41" s="37"/>
      <c r="P41" s="19"/>
      <c r="Q41" s="38"/>
      <c r="R41" s="38"/>
      <c r="S41" s="11"/>
      <c r="T41" s="11"/>
    </row>
    <row r="42" spans="1:20" s="9" customFormat="1" ht="12" customHeight="1">
      <c r="A42" s="5"/>
      <c r="B42" s="5"/>
      <c r="C42" s="8"/>
      <c r="D42" s="8"/>
      <c r="F42" s="310"/>
      <c r="G42" s="8"/>
      <c r="H42" s="56"/>
      <c r="I42" s="56"/>
      <c r="J42" s="58"/>
      <c r="K42" s="58"/>
      <c r="L42" s="56"/>
      <c r="M42" s="56"/>
      <c r="N42" s="35"/>
      <c r="O42" s="37"/>
      <c r="P42" s="19"/>
      <c r="Q42" s="6"/>
      <c r="R42" s="6"/>
      <c r="S42" s="11"/>
      <c r="T42" s="11"/>
    </row>
    <row r="43" spans="1:20" s="9" customFormat="1" ht="22.5" customHeight="1">
      <c r="A43" s="5"/>
      <c r="B43" s="5"/>
      <c r="C43" s="8"/>
      <c r="D43" s="8"/>
      <c r="F43" s="310"/>
      <c r="G43" s="8"/>
      <c r="H43" s="56"/>
      <c r="I43" s="56"/>
      <c r="J43" s="58"/>
      <c r="K43" s="58"/>
      <c r="L43" s="56"/>
      <c r="M43" s="56"/>
      <c r="N43" s="35"/>
      <c r="O43" s="37"/>
      <c r="P43" s="19"/>
      <c r="Q43" s="6"/>
      <c r="R43" s="6"/>
      <c r="S43" s="11"/>
      <c r="T43" s="11"/>
    </row>
    <row r="44" spans="1:20" s="9" customFormat="1" ht="12" customHeight="1">
      <c r="A44" s="5"/>
      <c r="B44" s="5"/>
      <c r="C44" s="8"/>
      <c r="D44" s="8"/>
      <c r="F44" s="310"/>
      <c r="G44" s="8"/>
      <c r="H44" s="56"/>
      <c r="I44" s="56"/>
      <c r="J44" s="58"/>
      <c r="K44" s="58"/>
      <c r="L44" s="56"/>
      <c r="M44" s="56"/>
      <c r="N44" s="35"/>
      <c r="O44" s="37"/>
      <c r="P44" s="19"/>
      <c r="Q44" s="6"/>
      <c r="R44" s="6"/>
      <c r="S44" s="11"/>
      <c r="T44" s="11"/>
    </row>
    <row r="45" spans="1:20" s="9" customFormat="1" ht="12" customHeight="1">
      <c r="A45" s="5"/>
      <c r="B45" s="5"/>
      <c r="C45" s="8"/>
      <c r="D45" s="8"/>
      <c r="F45" s="311"/>
      <c r="G45" s="40"/>
      <c r="H45" s="56"/>
      <c r="I45" s="56"/>
      <c r="J45" s="58"/>
      <c r="K45" s="58"/>
      <c r="L45" s="56"/>
      <c r="M45" s="56"/>
      <c r="N45" s="35"/>
      <c r="O45" s="37"/>
      <c r="P45" s="19"/>
      <c r="Q45" s="6"/>
      <c r="R45" s="6"/>
      <c r="S45" s="11"/>
      <c r="T45" s="11"/>
    </row>
    <row r="46" spans="1:20" s="9" customFormat="1" ht="12" customHeight="1">
      <c r="A46" s="5"/>
      <c r="B46" s="5"/>
      <c r="C46" s="8"/>
      <c r="D46" s="8"/>
      <c r="F46" s="311"/>
      <c r="G46" s="40"/>
      <c r="H46" s="56"/>
      <c r="I46" s="56"/>
      <c r="J46" s="58"/>
      <c r="K46" s="58"/>
      <c r="L46" s="56"/>
      <c r="M46" s="56"/>
      <c r="N46" s="35"/>
      <c r="O46" s="37"/>
      <c r="P46" s="19"/>
      <c r="Q46" s="6"/>
      <c r="R46" s="6"/>
      <c r="S46" s="11"/>
      <c r="T46" s="11"/>
    </row>
    <row r="47" spans="1:20" s="9" customFormat="1" ht="12" customHeight="1">
      <c r="A47" s="5"/>
      <c r="B47" s="5"/>
      <c r="C47" s="8"/>
      <c r="D47" s="8"/>
      <c r="F47" s="311"/>
      <c r="G47" s="40"/>
      <c r="H47" s="56"/>
      <c r="I47" s="56"/>
      <c r="J47" s="58"/>
      <c r="K47" s="58"/>
      <c r="L47" s="56"/>
      <c r="M47" s="56"/>
      <c r="N47" s="35"/>
      <c r="O47" s="37"/>
      <c r="P47" s="19"/>
      <c r="Q47" s="6"/>
      <c r="R47" s="6"/>
      <c r="S47" s="11"/>
      <c r="T47" s="11"/>
    </row>
    <row r="48" spans="1:20" s="44" customFormat="1" ht="29.25" customHeight="1">
      <c r="A48" s="10"/>
      <c r="B48" s="10"/>
      <c r="C48" s="10"/>
      <c r="D48" s="10"/>
      <c r="F48" s="312"/>
      <c r="G48" s="40"/>
      <c r="H48" s="57"/>
      <c r="I48" s="57"/>
      <c r="J48" s="95"/>
      <c r="K48" s="95"/>
      <c r="L48" s="57"/>
      <c r="M48" s="57"/>
      <c r="N48" s="42"/>
      <c r="O48" s="19"/>
      <c r="P48" s="19"/>
      <c r="Q48" s="6"/>
      <c r="R48" s="6"/>
      <c r="S48" s="43"/>
      <c r="T48" s="43"/>
    </row>
    <row r="49" spans="1:20" s="44" customFormat="1" ht="29.25" customHeight="1">
      <c r="A49" s="10"/>
      <c r="B49" s="10"/>
      <c r="C49" s="10"/>
      <c r="D49" s="10"/>
      <c r="F49" s="312"/>
      <c r="G49" s="40"/>
      <c r="H49" s="57"/>
      <c r="I49" s="57"/>
      <c r="J49" s="95"/>
      <c r="K49" s="95"/>
      <c r="L49" s="57"/>
      <c r="M49" s="57"/>
      <c r="N49" s="42"/>
      <c r="O49" s="19"/>
      <c r="P49" s="19"/>
      <c r="Q49" s="6"/>
      <c r="R49" s="6"/>
      <c r="S49" s="43"/>
      <c r="T49" s="43"/>
    </row>
    <row r="50" spans="1:20" s="9" customFormat="1" ht="12" customHeight="1">
      <c r="A50" s="5"/>
      <c r="B50" s="5"/>
      <c r="C50" s="8"/>
      <c r="D50" s="8"/>
      <c r="F50" s="311"/>
      <c r="G50" s="8"/>
      <c r="H50" s="56"/>
      <c r="I50" s="56"/>
      <c r="J50" s="58"/>
      <c r="K50" s="58"/>
      <c r="L50" s="56"/>
      <c r="M50" s="56"/>
      <c r="N50" s="35"/>
      <c r="O50" s="37"/>
      <c r="P50" s="19"/>
      <c r="Q50" s="6"/>
      <c r="R50" s="6"/>
      <c r="S50" s="11"/>
      <c r="T50" s="11"/>
    </row>
    <row r="51" spans="1:20" s="9" customFormat="1" ht="18" customHeight="1">
      <c r="A51" s="5"/>
      <c r="B51" s="5"/>
      <c r="C51" s="8"/>
      <c r="D51" s="8"/>
      <c r="E51" s="5"/>
      <c r="F51" s="311"/>
      <c r="G51" s="8"/>
      <c r="H51" s="56"/>
      <c r="I51" s="56"/>
      <c r="J51" s="58"/>
      <c r="K51" s="58"/>
      <c r="L51" s="56"/>
      <c r="M51" s="56"/>
      <c r="N51" s="35"/>
      <c r="O51" s="37"/>
      <c r="P51" s="19"/>
      <c r="Q51" s="6"/>
      <c r="R51" s="6"/>
      <c r="S51" s="11"/>
      <c r="T51" s="11"/>
    </row>
    <row r="52" spans="1:20" s="9" customFormat="1" ht="12" customHeight="1">
      <c r="A52" s="5"/>
      <c r="B52" s="5"/>
      <c r="C52" s="8"/>
      <c r="D52" s="8"/>
      <c r="E52" s="5"/>
      <c r="F52" s="311"/>
      <c r="G52" s="8"/>
      <c r="H52" s="56"/>
      <c r="I52" s="56"/>
      <c r="J52" s="58"/>
      <c r="K52" s="58"/>
      <c r="L52" s="56"/>
      <c r="M52" s="56"/>
      <c r="N52" s="35"/>
      <c r="O52" s="37"/>
      <c r="P52" s="19"/>
      <c r="Q52" s="6"/>
      <c r="R52" s="6"/>
      <c r="S52" s="11"/>
      <c r="T52" s="11"/>
    </row>
    <row r="53" spans="1:20" s="9" customFormat="1" ht="12" customHeight="1">
      <c r="A53" s="5"/>
      <c r="B53" s="5"/>
      <c r="C53" s="8"/>
      <c r="D53" s="8"/>
      <c r="E53" s="5"/>
      <c r="F53" s="311"/>
      <c r="G53" s="8"/>
      <c r="H53" s="56"/>
      <c r="I53" s="56"/>
      <c r="J53" s="58"/>
      <c r="K53" s="58"/>
      <c r="L53" s="56"/>
      <c r="M53" s="56"/>
      <c r="N53" s="35"/>
      <c r="O53" s="37"/>
      <c r="P53" s="19"/>
      <c r="Q53" s="6"/>
      <c r="R53" s="6"/>
      <c r="S53" s="11"/>
      <c r="T53" s="11"/>
    </row>
    <row r="54" spans="1:20" s="9" customFormat="1" ht="12" customHeight="1">
      <c r="A54" s="5"/>
      <c r="B54" s="5"/>
      <c r="C54" s="8"/>
      <c r="D54" s="8"/>
      <c r="E54" s="5"/>
      <c r="F54" s="311"/>
      <c r="G54" s="8"/>
      <c r="H54" s="56"/>
      <c r="I54" s="56"/>
      <c r="J54" s="58"/>
      <c r="K54" s="58"/>
      <c r="L54" s="56"/>
      <c r="M54" s="56"/>
      <c r="N54" s="35"/>
      <c r="O54" s="37"/>
      <c r="P54" s="19"/>
      <c r="Q54" s="6"/>
      <c r="R54" s="6"/>
      <c r="S54" s="11"/>
      <c r="T54" s="11"/>
    </row>
    <row r="55" spans="1:20" s="9" customFormat="1" ht="12" customHeight="1">
      <c r="A55" s="5"/>
      <c r="B55" s="5"/>
      <c r="C55" s="8"/>
      <c r="D55" s="8"/>
      <c r="E55" s="5"/>
      <c r="F55" s="311"/>
      <c r="G55" s="8"/>
      <c r="H55" s="56"/>
      <c r="I55" s="56"/>
      <c r="J55" s="58"/>
      <c r="K55" s="58"/>
      <c r="L55" s="56"/>
      <c r="M55" s="56"/>
      <c r="N55" s="35"/>
      <c r="O55" s="37"/>
      <c r="P55" s="19"/>
      <c r="Q55" s="6"/>
      <c r="R55" s="6"/>
      <c r="S55" s="11"/>
      <c r="T55" s="11"/>
    </row>
    <row r="56" spans="1:20" s="9" customFormat="1" ht="12" customHeight="1">
      <c r="A56" s="5"/>
      <c r="B56" s="5"/>
      <c r="C56" s="8"/>
      <c r="D56" s="8"/>
      <c r="E56" s="5"/>
      <c r="F56" s="311"/>
      <c r="G56" s="8"/>
      <c r="H56" s="56"/>
      <c r="I56" s="56"/>
      <c r="J56" s="58"/>
      <c r="K56" s="58"/>
      <c r="L56" s="56"/>
      <c r="M56" s="56"/>
      <c r="N56" s="35"/>
      <c r="O56" s="37"/>
      <c r="P56" s="19"/>
      <c r="Q56" s="6"/>
      <c r="R56" s="6"/>
      <c r="S56" s="11"/>
      <c r="T56" s="11"/>
    </row>
    <row r="57" spans="1:20" s="9" customFormat="1" ht="13.5" customHeight="1">
      <c r="A57" s="5"/>
      <c r="B57" s="5"/>
      <c r="C57" s="8"/>
      <c r="D57" s="8"/>
      <c r="E57" s="5"/>
      <c r="F57" s="311"/>
      <c r="G57" s="8"/>
      <c r="H57" s="56"/>
      <c r="I57" s="56"/>
      <c r="J57" s="58"/>
      <c r="K57" s="58"/>
      <c r="L57" s="56"/>
      <c r="M57" s="56"/>
      <c r="N57" s="35"/>
      <c r="O57" s="37"/>
      <c r="P57" s="19"/>
      <c r="Q57" s="6"/>
      <c r="R57" s="6"/>
      <c r="S57" s="11"/>
      <c r="T57" s="11"/>
    </row>
    <row r="58" spans="1:20" s="9" customFormat="1" ht="13.5" customHeight="1">
      <c r="A58" s="5"/>
      <c r="B58" s="5"/>
      <c r="C58" s="8"/>
      <c r="D58" s="8"/>
      <c r="E58" s="5"/>
      <c r="F58" s="311"/>
      <c r="G58" s="8"/>
      <c r="H58" s="56"/>
      <c r="I58" s="56"/>
      <c r="J58" s="58"/>
      <c r="K58" s="58"/>
      <c r="L58" s="56"/>
      <c r="M58" s="56"/>
      <c r="N58" s="35"/>
      <c r="O58" s="37"/>
      <c r="P58" s="19"/>
      <c r="Q58" s="6"/>
      <c r="R58" s="6"/>
      <c r="S58" s="11"/>
      <c r="T58" s="11"/>
    </row>
    <row r="59" spans="1:20" s="9" customFormat="1" ht="13.5" customHeight="1">
      <c r="A59" s="5"/>
      <c r="B59" s="5"/>
      <c r="C59" s="8"/>
      <c r="D59" s="8"/>
      <c r="E59" s="5"/>
      <c r="F59" s="311"/>
      <c r="G59" s="8"/>
      <c r="H59" s="56"/>
      <c r="I59" s="56"/>
      <c r="J59" s="58"/>
      <c r="K59" s="58"/>
      <c r="L59" s="56"/>
      <c r="M59" s="56"/>
      <c r="N59" s="35"/>
      <c r="O59" s="37"/>
      <c r="P59" s="19"/>
      <c r="Q59" s="6"/>
      <c r="R59" s="6"/>
      <c r="S59" s="11"/>
      <c r="T59" s="11"/>
    </row>
    <row r="60" spans="1:20" s="9" customFormat="1" ht="29.25" customHeight="1">
      <c r="A60" s="5"/>
      <c r="B60" s="5"/>
      <c r="C60" s="8"/>
      <c r="D60" s="8"/>
      <c r="E60" s="5"/>
      <c r="F60" s="311"/>
      <c r="G60" s="8"/>
      <c r="H60" s="56"/>
      <c r="I60" s="56"/>
      <c r="J60" s="58"/>
      <c r="K60" s="58"/>
      <c r="L60" s="56"/>
      <c r="M60" s="56"/>
      <c r="N60" s="35"/>
      <c r="O60" s="37"/>
      <c r="P60" s="19"/>
      <c r="Q60" s="6"/>
      <c r="R60" s="6"/>
      <c r="S60" s="11"/>
      <c r="T60" s="11"/>
    </row>
    <row r="61" spans="1:20" s="9" customFormat="1" ht="13.5" customHeight="1">
      <c r="A61" s="5"/>
      <c r="B61" s="5"/>
      <c r="C61" s="8"/>
      <c r="D61" s="8"/>
      <c r="E61" s="5"/>
      <c r="F61" s="311"/>
      <c r="G61" s="8"/>
      <c r="H61" s="56"/>
      <c r="I61" s="56"/>
      <c r="J61" s="58"/>
      <c r="K61" s="58"/>
      <c r="L61" s="56"/>
      <c r="M61" s="56"/>
      <c r="N61" s="35"/>
      <c r="O61" s="37"/>
      <c r="P61" s="19"/>
      <c r="Q61" s="6"/>
      <c r="R61" s="6"/>
      <c r="S61" s="11"/>
      <c r="T61" s="11"/>
    </row>
    <row r="62" spans="1:20" s="9" customFormat="1" ht="13.5" customHeight="1">
      <c r="A62" s="5"/>
      <c r="B62" s="5"/>
      <c r="C62" s="8"/>
      <c r="D62" s="8"/>
      <c r="E62" s="5"/>
      <c r="F62" s="311"/>
      <c r="G62" s="8"/>
      <c r="H62" s="56"/>
      <c r="I62" s="56"/>
      <c r="J62" s="58"/>
      <c r="K62" s="58"/>
      <c r="L62" s="56"/>
      <c r="M62" s="56"/>
      <c r="N62" s="35"/>
      <c r="O62" s="37"/>
      <c r="P62" s="19"/>
      <c r="Q62" s="6"/>
      <c r="R62" s="6"/>
      <c r="S62" s="11"/>
      <c r="T62" s="11"/>
    </row>
    <row r="63" spans="1:20" s="9" customFormat="1" ht="13.5" customHeight="1">
      <c r="A63" s="5"/>
      <c r="B63" s="5"/>
      <c r="C63" s="8"/>
      <c r="D63" s="8"/>
      <c r="E63" s="5"/>
      <c r="F63" s="311"/>
      <c r="G63" s="8"/>
      <c r="H63" s="56"/>
      <c r="I63" s="56"/>
      <c r="J63" s="58"/>
      <c r="K63" s="58"/>
      <c r="L63" s="56"/>
      <c r="M63" s="56"/>
      <c r="N63" s="35"/>
      <c r="O63" s="37"/>
      <c r="P63" s="19"/>
      <c r="Q63" s="6"/>
      <c r="R63" s="6"/>
      <c r="S63" s="11"/>
      <c r="T63" s="11"/>
    </row>
    <row r="64" spans="1:20" s="9" customFormat="1" ht="13.5" customHeight="1">
      <c r="A64" s="5"/>
      <c r="B64" s="5"/>
      <c r="C64" s="8"/>
      <c r="D64" s="8"/>
      <c r="E64" s="5"/>
      <c r="F64" s="311"/>
      <c r="G64" s="8"/>
      <c r="H64" s="56"/>
      <c r="I64" s="56"/>
      <c r="K64" s="58"/>
      <c r="L64" s="56"/>
      <c r="M64" s="56"/>
      <c r="N64" s="35"/>
      <c r="O64" s="37"/>
      <c r="P64" s="19"/>
      <c r="Q64" s="6"/>
      <c r="R64" s="6"/>
      <c r="S64" s="11"/>
      <c r="T64" s="11"/>
    </row>
    <row r="65" spans="1:20" s="9" customFormat="1" ht="13.5" customHeight="1">
      <c r="A65" s="5"/>
      <c r="B65" s="5"/>
      <c r="C65" s="8"/>
      <c r="D65" s="8"/>
      <c r="E65" s="5"/>
      <c r="F65" s="311"/>
      <c r="G65" s="8"/>
      <c r="H65" s="56"/>
      <c r="I65" s="56"/>
      <c r="J65" s="58"/>
      <c r="K65" s="58"/>
      <c r="L65" s="56"/>
      <c r="M65" s="56"/>
      <c r="N65" s="35"/>
      <c r="O65" s="37"/>
      <c r="P65" s="19"/>
      <c r="Q65" s="6"/>
      <c r="R65" s="6"/>
      <c r="S65" s="11"/>
      <c r="T65" s="11"/>
    </row>
    <row r="66" spans="1:20" s="9" customFormat="1" ht="13.5" customHeight="1">
      <c r="A66" s="5"/>
      <c r="B66" s="5"/>
      <c r="C66" s="8"/>
      <c r="D66" s="8"/>
      <c r="E66" s="5"/>
      <c r="F66" s="311"/>
      <c r="G66" s="8"/>
      <c r="H66" s="56"/>
      <c r="I66" s="56"/>
      <c r="J66" s="58"/>
      <c r="K66" s="58"/>
      <c r="L66" s="56"/>
      <c r="M66" s="56"/>
      <c r="N66" s="35"/>
      <c r="O66" s="37"/>
      <c r="P66" s="19"/>
      <c r="Q66" s="6"/>
      <c r="R66" s="6"/>
      <c r="S66" s="11"/>
      <c r="T66" s="11"/>
    </row>
    <row r="67" spans="1:20" s="9" customFormat="1" ht="13.5" customHeight="1">
      <c r="A67" s="5"/>
      <c r="B67" s="5"/>
      <c r="C67" s="8"/>
      <c r="D67" s="8"/>
      <c r="E67" s="5"/>
      <c r="F67" s="311"/>
      <c r="G67" s="8"/>
      <c r="H67" s="56"/>
      <c r="I67" s="56"/>
      <c r="J67" s="58"/>
      <c r="K67" s="58"/>
      <c r="L67" s="56"/>
      <c r="M67" s="56"/>
      <c r="N67" s="35"/>
      <c r="O67" s="37"/>
      <c r="P67" s="19"/>
      <c r="Q67" s="6"/>
      <c r="R67" s="6"/>
      <c r="S67" s="11"/>
      <c r="T67" s="11"/>
    </row>
    <row r="68" spans="1:20" s="9" customFormat="1" ht="13.5" customHeight="1">
      <c r="A68" s="5"/>
      <c r="B68" s="5"/>
      <c r="C68" s="8"/>
      <c r="D68" s="8"/>
      <c r="E68" s="5"/>
      <c r="F68" s="311"/>
      <c r="G68" s="8"/>
      <c r="H68" s="56"/>
      <c r="I68" s="56"/>
      <c r="J68" s="58"/>
      <c r="K68" s="58"/>
      <c r="L68" s="56"/>
      <c r="M68" s="56"/>
      <c r="N68" s="35"/>
      <c r="O68" s="37"/>
      <c r="P68" s="19"/>
      <c r="Q68" s="6"/>
      <c r="R68" s="6"/>
      <c r="S68" s="11"/>
      <c r="T68" s="11"/>
    </row>
    <row r="69" spans="1:20" s="9" customFormat="1" ht="13.5" customHeight="1">
      <c r="A69" s="5"/>
      <c r="B69" s="5"/>
      <c r="C69" s="8"/>
      <c r="D69" s="8"/>
      <c r="E69" s="5"/>
      <c r="F69" s="311"/>
      <c r="G69" s="8"/>
      <c r="H69" s="56"/>
      <c r="I69" s="56"/>
      <c r="J69" s="58"/>
      <c r="K69" s="58"/>
      <c r="L69" s="56"/>
      <c r="M69" s="56"/>
      <c r="N69" s="35"/>
      <c r="O69" s="37"/>
      <c r="P69" s="19"/>
      <c r="Q69" s="6"/>
      <c r="R69" s="6"/>
      <c r="S69" s="11"/>
      <c r="T69" s="11"/>
    </row>
    <row r="70" spans="1:20" s="9" customFormat="1" ht="13.5" customHeight="1">
      <c r="A70" s="5"/>
      <c r="B70" s="5"/>
      <c r="C70" s="8"/>
      <c r="D70" s="8"/>
      <c r="E70" s="5"/>
      <c r="F70" s="311"/>
      <c r="G70" s="8"/>
      <c r="H70" s="56"/>
      <c r="I70" s="56"/>
      <c r="J70" s="58"/>
      <c r="K70" s="58"/>
      <c r="L70" s="56"/>
      <c r="M70" s="56"/>
      <c r="N70" s="35"/>
      <c r="O70" s="37"/>
      <c r="P70" s="19"/>
      <c r="Q70" s="6"/>
      <c r="R70" s="6"/>
      <c r="S70" s="11"/>
      <c r="T70" s="11"/>
    </row>
    <row r="71" spans="1:20" s="9" customFormat="1" ht="13.5" customHeight="1">
      <c r="A71" s="5"/>
      <c r="B71" s="5"/>
      <c r="C71" s="8"/>
      <c r="D71" s="8"/>
      <c r="E71" s="5"/>
      <c r="F71" s="311"/>
      <c r="G71" s="8"/>
      <c r="H71" s="56"/>
      <c r="I71" s="56"/>
      <c r="J71" s="58"/>
      <c r="K71" s="58"/>
      <c r="L71" s="56"/>
      <c r="M71" s="56"/>
      <c r="N71" s="35"/>
      <c r="O71" s="37"/>
      <c r="P71" s="19"/>
      <c r="Q71" s="6"/>
      <c r="R71" s="6"/>
      <c r="S71" s="11"/>
      <c r="T71" s="11"/>
    </row>
    <row r="72" spans="1:20" s="9" customFormat="1" ht="13.5" customHeight="1">
      <c r="A72" s="5"/>
      <c r="B72" s="5"/>
      <c r="C72" s="8"/>
      <c r="D72" s="8"/>
      <c r="E72" s="5"/>
      <c r="F72" s="311"/>
      <c r="G72" s="8"/>
      <c r="H72" s="56"/>
      <c r="I72" s="56"/>
      <c r="J72" s="58"/>
      <c r="K72" s="58"/>
      <c r="L72" s="56"/>
      <c r="M72" s="56"/>
      <c r="N72" s="35"/>
      <c r="O72" s="37"/>
      <c r="P72" s="19"/>
      <c r="Q72" s="6"/>
      <c r="R72" s="6"/>
      <c r="S72" s="11"/>
      <c r="T72" s="11"/>
    </row>
    <row r="73" spans="1:20" s="9" customFormat="1" ht="13.5" customHeight="1">
      <c r="A73" s="5"/>
      <c r="B73" s="5"/>
      <c r="C73" s="8"/>
      <c r="D73" s="8"/>
      <c r="E73" s="5"/>
      <c r="F73" s="311"/>
      <c r="G73" s="8"/>
      <c r="H73" s="56"/>
      <c r="I73" s="56"/>
      <c r="J73" s="58"/>
      <c r="K73" s="58"/>
      <c r="L73" s="56"/>
      <c r="M73" s="56"/>
      <c r="N73" s="35"/>
      <c r="O73" s="37"/>
      <c r="P73" s="19"/>
      <c r="Q73" s="6"/>
      <c r="R73" s="6"/>
      <c r="S73" s="11"/>
      <c r="T73" s="11"/>
    </row>
    <row r="74" spans="1:20" s="9" customFormat="1" ht="13.5" customHeight="1">
      <c r="A74" s="5"/>
      <c r="B74" s="5"/>
      <c r="C74" s="8"/>
      <c r="D74" s="8"/>
      <c r="E74" s="5"/>
      <c r="F74" s="311"/>
      <c r="G74" s="8"/>
      <c r="H74" s="56"/>
      <c r="I74" s="56"/>
      <c r="J74" s="58"/>
      <c r="K74" s="58"/>
      <c r="L74" s="56"/>
      <c r="M74" s="56"/>
      <c r="N74" s="35"/>
      <c r="O74" s="37"/>
      <c r="P74" s="19"/>
      <c r="Q74" s="6"/>
      <c r="R74" s="6"/>
      <c r="S74" s="11"/>
      <c r="T74" s="11"/>
    </row>
    <row r="75" spans="1:20" s="9" customFormat="1" ht="13.5" customHeight="1">
      <c r="A75" s="5"/>
      <c r="B75" s="5"/>
      <c r="C75" s="8"/>
      <c r="D75" s="8"/>
      <c r="E75" s="5"/>
      <c r="F75" s="311"/>
      <c r="G75" s="8"/>
      <c r="H75" s="56"/>
      <c r="I75" s="56"/>
      <c r="J75" s="58"/>
      <c r="K75" s="58"/>
      <c r="L75" s="56"/>
      <c r="M75" s="56"/>
      <c r="N75" s="35"/>
      <c r="O75" s="37"/>
      <c r="P75" s="19"/>
      <c r="Q75" s="12"/>
      <c r="R75" s="12"/>
      <c r="S75" s="11"/>
      <c r="T75" s="11"/>
    </row>
    <row r="76" spans="1:20" s="9" customFormat="1" ht="13.5" customHeight="1">
      <c r="A76" s="5"/>
      <c r="B76" s="5"/>
      <c r="C76" s="8"/>
      <c r="D76" s="8"/>
      <c r="E76" s="5"/>
      <c r="F76" s="311"/>
      <c r="G76" s="8"/>
      <c r="H76" s="56"/>
      <c r="I76" s="56"/>
      <c r="J76" s="58"/>
      <c r="K76" s="58"/>
      <c r="L76" s="56"/>
      <c r="M76" s="56"/>
      <c r="N76" s="35"/>
      <c r="O76" s="37"/>
      <c r="P76" s="19"/>
      <c r="Q76" s="12"/>
      <c r="R76" s="12"/>
      <c r="S76" s="11"/>
      <c r="T76" s="11"/>
    </row>
    <row r="77" spans="1:20" s="9" customFormat="1" ht="13.5" customHeight="1">
      <c r="A77" s="5"/>
      <c r="B77" s="5"/>
      <c r="C77" s="8"/>
      <c r="D77" s="8"/>
      <c r="E77" s="5"/>
      <c r="F77" s="311"/>
      <c r="G77" s="8"/>
      <c r="H77" s="56"/>
      <c r="I77" s="56"/>
      <c r="J77" s="58"/>
      <c r="K77" s="58"/>
      <c r="L77" s="56"/>
      <c r="M77" s="56"/>
      <c r="N77" s="35"/>
      <c r="O77" s="37"/>
      <c r="P77" s="19"/>
      <c r="Q77" s="12"/>
      <c r="R77" s="12"/>
      <c r="S77" s="11"/>
      <c r="T77" s="11"/>
    </row>
    <row r="78" spans="1:20" s="9" customFormat="1" ht="13.5" customHeight="1">
      <c r="A78" s="5"/>
      <c r="B78" s="5"/>
      <c r="C78" s="8"/>
      <c r="D78" s="8"/>
      <c r="E78" s="5"/>
      <c r="F78" s="311"/>
      <c r="G78" s="8"/>
      <c r="H78" s="56"/>
      <c r="I78" s="56"/>
      <c r="J78" s="58"/>
      <c r="K78" s="58"/>
      <c r="L78" s="56"/>
      <c r="M78" s="56"/>
      <c r="N78" s="35"/>
      <c r="O78" s="37"/>
      <c r="P78" s="19"/>
      <c r="Q78" s="12"/>
      <c r="R78" s="12"/>
      <c r="S78" s="11"/>
      <c r="T78" s="11"/>
    </row>
    <row r="79" spans="1:20" s="9" customFormat="1" ht="13.5" customHeight="1">
      <c r="A79" s="5"/>
      <c r="B79" s="5"/>
      <c r="C79" s="8"/>
      <c r="D79" s="8"/>
      <c r="E79" s="5"/>
      <c r="F79" s="311"/>
      <c r="G79" s="8"/>
      <c r="H79" s="56"/>
      <c r="I79" s="56"/>
      <c r="J79" s="58"/>
      <c r="K79" s="58"/>
      <c r="L79" s="56"/>
      <c r="M79" s="56"/>
      <c r="N79" s="35"/>
      <c r="O79" s="37"/>
      <c r="P79" s="19"/>
      <c r="Q79" s="12"/>
      <c r="R79" s="12"/>
      <c r="S79" s="11"/>
      <c r="T79" s="11"/>
    </row>
    <row r="80" spans="1:20" s="9" customFormat="1" ht="13.5" customHeight="1">
      <c r="A80" s="5"/>
      <c r="B80" s="5"/>
      <c r="C80" s="8"/>
      <c r="D80" s="8"/>
      <c r="E80" s="5"/>
      <c r="F80" s="311"/>
      <c r="G80" s="8"/>
      <c r="H80" s="56"/>
      <c r="I80" s="56"/>
      <c r="J80" s="58"/>
      <c r="K80" s="58"/>
      <c r="L80" s="56"/>
      <c r="M80" s="56"/>
      <c r="N80" s="35"/>
      <c r="O80" s="37"/>
      <c r="P80" s="19"/>
      <c r="Q80" s="12"/>
      <c r="R80" s="12"/>
      <c r="S80" s="11"/>
      <c r="T80" s="11"/>
    </row>
    <row r="81" spans="1:20" s="9" customFormat="1" ht="13.5" customHeight="1">
      <c r="A81" s="5"/>
      <c r="B81" s="5"/>
      <c r="C81" s="8"/>
      <c r="D81" s="8"/>
      <c r="E81" s="5"/>
      <c r="F81" s="310"/>
      <c r="G81" s="8"/>
      <c r="H81" s="56"/>
      <c r="I81" s="56"/>
      <c r="J81" s="58"/>
      <c r="K81" s="58"/>
      <c r="L81" s="56"/>
      <c r="M81" s="56"/>
      <c r="N81" s="35"/>
      <c r="O81" s="37"/>
      <c r="P81" s="19"/>
      <c r="Q81" s="12"/>
      <c r="R81" s="12"/>
      <c r="S81" s="11"/>
      <c r="T81" s="11"/>
    </row>
    <row r="82" spans="1:20" s="9" customFormat="1" ht="22.5" customHeight="1">
      <c r="A82" s="5"/>
      <c r="B82" s="5"/>
      <c r="C82" s="475"/>
      <c r="D82" s="475"/>
      <c r="E82" s="475"/>
      <c r="F82" s="310"/>
      <c r="G82" s="8"/>
      <c r="H82" s="58"/>
      <c r="I82" s="58"/>
      <c r="J82" s="58"/>
      <c r="K82" s="96"/>
      <c r="L82" s="58"/>
      <c r="M82" s="58"/>
      <c r="N82" s="36"/>
      <c r="O82" s="45"/>
      <c r="P82" s="88"/>
      <c r="Q82" s="12"/>
      <c r="R82" s="12"/>
      <c r="S82" s="11"/>
      <c r="T82" s="11"/>
    </row>
    <row r="83" spans="1:20">
      <c r="F83" s="313"/>
      <c r="H83" s="59"/>
      <c r="I83" s="59"/>
      <c r="L83" s="59"/>
      <c r="M83" s="59"/>
      <c r="N83" s="49"/>
    </row>
    <row r="84" spans="1:20">
      <c r="F84" s="313"/>
      <c r="H84" s="59"/>
      <c r="I84" s="59"/>
      <c r="L84" s="59"/>
      <c r="M84" s="59"/>
      <c r="N84" s="49"/>
    </row>
    <row r="85" spans="1:20">
      <c r="F85" s="313"/>
      <c r="H85" s="59"/>
      <c r="I85" s="59"/>
      <c r="L85" s="59"/>
      <c r="M85" s="59"/>
      <c r="N85" s="49"/>
    </row>
    <row r="86" spans="1:20">
      <c r="F86" s="313"/>
      <c r="H86" s="59"/>
      <c r="I86" s="59"/>
      <c r="L86" s="59"/>
      <c r="M86" s="59"/>
      <c r="N86" s="49"/>
    </row>
    <row r="87" spans="1:20">
      <c r="F87" s="313"/>
      <c r="H87" s="59"/>
      <c r="I87" s="59"/>
      <c r="L87" s="59"/>
      <c r="M87" s="59"/>
      <c r="N87" s="49"/>
    </row>
    <row r="88" spans="1:20" s="12" customFormat="1">
      <c r="A88" s="46"/>
      <c r="B88" s="46"/>
      <c r="C88" s="46"/>
      <c r="D88" s="46"/>
      <c r="F88" s="313"/>
      <c r="G88" s="48"/>
      <c r="H88" s="59"/>
      <c r="I88" s="59"/>
      <c r="J88" s="60"/>
      <c r="K88" s="60"/>
      <c r="L88" s="59"/>
      <c r="M88" s="59"/>
      <c r="N88" s="49"/>
      <c r="O88" s="50"/>
      <c r="P88" s="89"/>
      <c r="S88" s="13"/>
      <c r="T88" s="13"/>
    </row>
  </sheetData>
  <protectedRanges>
    <protectedRange sqref="H14:J39 L14:P39 D14:F39" name="범위1_1_1"/>
    <protectedRange sqref="K14:K39" name="범위1_1_2_1"/>
    <protectedRange sqref="G14:G39" name="범위1_1_1_1"/>
  </protectedRanges>
  <autoFilter ref="A12:P13" xr:uid="{00000000-0001-0000-0300-000000000000}">
    <filterColumn colId="5" showButton="0"/>
    <filterColumn colId="7" showButton="0"/>
    <filterColumn colId="8" showButton="0"/>
    <filterColumn colId="9" showButton="0"/>
  </autoFilter>
  <mergeCells count="15">
    <mergeCell ref="O12:O13"/>
    <mergeCell ref="P12:P13"/>
    <mergeCell ref="A40:E40"/>
    <mergeCell ref="C82:E82"/>
    <mergeCell ref="A6:P6"/>
    <mergeCell ref="A12:A13"/>
    <mergeCell ref="C12:C13"/>
    <mergeCell ref="D12:D13"/>
    <mergeCell ref="E12:E13"/>
    <mergeCell ref="F12:G12"/>
    <mergeCell ref="H12:K12"/>
    <mergeCell ref="L12:L13"/>
    <mergeCell ref="M12:M13"/>
    <mergeCell ref="N12:N13"/>
    <mergeCell ref="B12:B13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4" fitToHeight="0" orientation="landscape" r:id="rId1"/>
  <headerFooter alignWithMargins="0">
    <oddFooter>&amp;C&amp;"Calibri,보통"&amp;12Doosan Enerbility</oddFooter>
  </headerFooter>
  <rowBreaks count="1" manualBreakCount="1">
    <brk id="62" max="16383" man="1"/>
  </rowBreaks>
  <colBreaks count="1" manualBreakCount="1">
    <brk id="2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V114"/>
  <sheetViews>
    <sheetView showGridLines="0" topLeftCell="A11" zoomScale="55" zoomScaleNormal="55" zoomScaleSheetLayoutView="70" zoomScalePageLayoutView="70" workbookViewId="0">
      <selection activeCell="C47" sqref="C47"/>
    </sheetView>
  </sheetViews>
  <sheetFormatPr defaultColWidth="10" defaultRowHeight="13.8"/>
  <cols>
    <col min="1" max="1" width="17.69921875" style="46" customWidth="1"/>
    <col min="2" max="2" width="28.8984375" style="46" customWidth="1"/>
    <col min="3" max="3" width="44.09765625" style="46" customWidth="1"/>
    <col min="4" max="4" width="21.09765625" style="12" customWidth="1"/>
    <col min="5" max="5" width="12.69921875" style="51" customWidth="1"/>
    <col min="6" max="6" width="12.69921875" style="48" customWidth="1"/>
    <col min="7" max="9" width="12.69921875" style="60" customWidth="1"/>
    <col min="10" max="10" width="12.69921875" style="216" customWidth="1"/>
    <col min="11" max="12" width="18.69921875" style="263" customWidth="1"/>
    <col min="13" max="13" width="25.59765625" style="60" bestFit="1" customWidth="1"/>
    <col min="14" max="14" width="14.69921875" style="60" customWidth="1"/>
    <col min="15" max="15" width="16.69921875" style="52" customWidth="1"/>
    <col min="16" max="16" width="16.69921875" style="50" customWidth="1"/>
    <col min="17" max="17" width="21.09765625" style="89" customWidth="1"/>
    <col min="18" max="18" width="10" style="12"/>
    <col min="19" max="19" width="20" style="12" bestFit="1" customWidth="1"/>
    <col min="20" max="20" width="28" style="12" customWidth="1"/>
    <col min="21" max="22" width="10" style="13"/>
    <col min="23" max="16384" width="10" style="14"/>
  </cols>
  <sheetData>
    <row r="1" spans="1:22" s="9" customFormat="1" ht="12">
      <c r="A1" s="5"/>
      <c r="B1" s="5"/>
      <c r="C1" s="5"/>
      <c r="D1" s="6"/>
      <c r="E1" s="7"/>
      <c r="F1" s="8"/>
      <c r="G1" s="92"/>
      <c r="H1" s="53"/>
      <c r="I1" s="53"/>
      <c r="J1" s="235"/>
      <c r="K1" s="255"/>
      <c r="L1" s="256"/>
      <c r="M1" s="53"/>
      <c r="N1" s="53"/>
      <c r="O1" s="5"/>
      <c r="P1" s="10" t="s">
        <v>161</v>
      </c>
      <c r="Q1" s="44"/>
      <c r="R1" s="6"/>
      <c r="S1" s="5"/>
      <c r="T1" s="6"/>
      <c r="U1" s="11"/>
      <c r="V1" s="11"/>
    </row>
    <row r="2" spans="1:22" s="9" customFormat="1" ht="12">
      <c r="A2" s="5"/>
      <c r="B2" s="5"/>
      <c r="C2" s="5"/>
      <c r="D2" s="6"/>
      <c r="E2" s="7"/>
      <c r="F2" s="8"/>
      <c r="G2" s="92"/>
      <c r="H2" s="53"/>
      <c r="I2" s="53"/>
      <c r="J2" s="235"/>
      <c r="K2" s="255"/>
      <c r="L2" s="256"/>
      <c r="M2" s="53"/>
      <c r="N2" s="53"/>
      <c r="O2" s="5"/>
      <c r="P2" s="10" t="s">
        <v>1</v>
      </c>
      <c r="Q2" s="44"/>
      <c r="R2" s="117" t="s">
        <v>94</v>
      </c>
      <c r="S2" s="116" t="s">
        <v>95</v>
      </c>
      <c r="T2" s="118" t="s">
        <v>96</v>
      </c>
      <c r="U2" s="11"/>
      <c r="V2" s="11"/>
    </row>
    <row r="3" spans="1:22" s="9" customFormat="1" ht="12">
      <c r="A3" s="5"/>
      <c r="B3" s="5"/>
      <c r="C3" s="5"/>
      <c r="D3" s="6"/>
      <c r="E3" s="7"/>
      <c r="F3" s="8"/>
      <c r="G3" s="92"/>
      <c r="H3" s="53"/>
      <c r="I3" s="53"/>
      <c r="J3" s="235"/>
      <c r="K3" s="255"/>
      <c r="L3" s="256"/>
      <c r="M3" s="53"/>
      <c r="N3" s="53"/>
      <c r="O3" s="5"/>
      <c r="P3" s="10" t="s">
        <v>2</v>
      </c>
      <c r="Q3" s="44"/>
      <c r="R3" s="6"/>
      <c r="S3" s="116" t="s">
        <v>97</v>
      </c>
      <c r="T3" s="118" t="s">
        <v>98</v>
      </c>
      <c r="U3" s="11"/>
      <c r="V3" s="11"/>
    </row>
    <row r="4" spans="1:22" s="9" customFormat="1" ht="12">
      <c r="A4" s="5"/>
      <c r="B4" s="5"/>
      <c r="C4" s="5"/>
      <c r="D4" s="6"/>
      <c r="E4" s="7"/>
      <c r="F4" s="8"/>
      <c r="G4" s="92"/>
      <c r="H4" s="53"/>
      <c r="I4" s="53"/>
      <c r="J4" s="235"/>
      <c r="K4" s="255"/>
      <c r="L4" s="256"/>
      <c r="M4" s="53"/>
      <c r="N4" s="53"/>
      <c r="O4" s="5"/>
      <c r="P4" s="10" t="s">
        <v>3</v>
      </c>
      <c r="Q4" s="44"/>
      <c r="R4" s="6"/>
      <c r="S4" s="116" t="s">
        <v>99</v>
      </c>
      <c r="T4" s="118" t="s">
        <v>100</v>
      </c>
      <c r="U4" s="11"/>
      <c r="V4" s="11"/>
    </row>
    <row r="5" spans="1:22" s="9" customFormat="1" ht="12">
      <c r="A5" s="5"/>
      <c r="B5" s="5"/>
      <c r="C5" s="5"/>
      <c r="D5" s="6"/>
      <c r="E5" s="7"/>
      <c r="F5" s="8"/>
      <c r="G5" s="92"/>
      <c r="H5" s="53"/>
      <c r="I5" s="53"/>
      <c r="J5" s="235"/>
      <c r="K5" s="255"/>
      <c r="L5" s="256"/>
      <c r="M5" s="53"/>
      <c r="N5" s="53"/>
      <c r="O5" s="5"/>
      <c r="P5" s="10" t="s">
        <v>4</v>
      </c>
      <c r="Q5" s="44"/>
      <c r="R5" s="6"/>
      <c r="S5" s="116" t="s">
        <v>101</v>
      </c>
      <c r="T5" s="118" t="s">
        <v>102</v>
      </c>
      <c r="U5" s="11"/>
      <c r="V5" s="11"/>
    </row>
    <row r="6" spans="1:22" ht="47.85" customHeight="1">
      <c r="A6" s="437" t="s">
        <v>162</v>
      </c>
      <c r="B6" s="438"/>
      <c r="C6" s="438"/>
      <c r="D6" s="438"/>
      <c r="E6" s="438"/>
      <c r="F6" s="438"/>
      <c r="G6" s="438"/>
      <c r="H6" s="438"/>
      <c r="I6" s="438"/>
      <c r="J6" s="438"/>
      <c r="K6" s="438"/>
      <c r="L6" s="438"/>
      <c r="M6" s="438"/>
      <c r="N6" s="438"/>
      <c r="O6" s="438"/>
      <c r="P6" s="438"/>
      <c r="Q6" s="438"/>
    </row>
    <row r="7" spans="1:22" s="320" customFormat="1" ht="21" customHeight="1">
      <c r="A7" s="315" t="s">
        <v>104</v>
      </c>
      <c r="B7" s="315" t="s">
        <v>105</v>
      </c>
      <c r="C7" s="316"/>
      <c r="D7" s="316"/>
      <c r="E7" s="316"/>
      <c r="F7" s="316"/>
      <c r="G7" s="316"/>
      <c r="H7" s="316"/>
      <c r="I7" s="316"/>
      <c r="J7" s="317"/>
      <c r="K7" s="318"/>
      <c r="L7" s="318"/>
      <c r="M7" s="316"/>
      <c r="N7" s="316"/>
      <c r="O7" s="316"/>
      <c r="P7" s="316"/>
      <c r="Q7" s="22"/>
      <c r="R7" s="22"/>
      <c r="S7" s="319"/>
      <c r="T7" s="319"/>
    </row>
    <row r="8" spans="1:22" s="320" customFormat="1" ht="21" customHeight="1">
      <c r="A8" s="315"/>
      <c r="B8" s="315" t="s">
        <v>106</v>
      </c>
      <c r="C8" s="316"/>
      <c r="D8" s="316"/>
      <c r="E8" s="316"/>
      <c r="F8" s="316"/>
      <c r="G8" s="316"/>
      <c r="H8" s="316"/>
      <c r="I8" s="316"/>
      <c r="J8" s="317"/>
      <c r="K8" s="318"/>
      <c r="L8" s="318"/>
      <c r="M8" s="316"/>
      <c r="N8" s="316"/>
      <c r="O8" s="316"/>
      <c r="P8" s="316"/>
      <c r="Q8" s="22"/>
      <c r="R8" s="22"/>
      <c r="S8" s="319"/>
      <c r="T8" s="319"/>
    </row>
    <row r="9" spans="1:22" s="320" customFormat="1" ht="21" customHeight="1" thickBot="1">
      <c r="A9" s="315" t="s">
        <v>107</v>
      </c>
      <c r="B9" s="321" t="str">
        <f>PL!V8</f>
        <v>PGU-DE-0481</v>
      </c>
      <c r="C9" s="315"/>
      <c r="D9" s="322"/>
      <c r="E9" s="22"/>
      <c r="F9" s="323"/>
      <c r="G9" s="324"/>
      <c r="H9" s="325"/>
      <c r="I9" s="325"/>
      <c r="J9" s="326"/>
      <c r="K9" s="327"/>
      <c r="L9" s="328"/>
      <c r="M9" s="325"/>
      <c r="N9" s="329"/>
      <c r="O9" s="330"/>
      <c r="P9" s="330"/>
      <c r="Q9" s="22"/>
      <c r="R9" s="22"/>
      <c r="S9" s="319"/>
      <c r="T9" s="319"/>
    </row>
    <row r="10" spans="1:22" s="339" customFormat="1" ht="21" customHeight="1">
      <c r="A10" s="331" t="s">
        <v>240</v>
      </c>
      <c r="B10" s="332" t="str">
        <f>'Summary PL'!B10</f>
        <v>Branch of JSC "Doosan Enerbility" in the Turkestan region</v>
      </c>
      <c r="C10" s="333"/>
      <c r="D10" s="334"/>
      <c r="E10" s="334"/>
      <c r="F10" s="334"/>
      <c r="G10" s="334"/>
      <c r="H10" s="334"/>
      <c r="I10" s="334"/>
      <c r="J10" s="335"/>
      <c r="K10" s="336"/>
      <c r="L10" s="336"/>
      <c r="M10" s="334"/>
      <c r="N10" s="334"/>
      <c r="O10" s="334"/>
      <c r="P10" s="334"/>
      <c r="Q10" s="337"/>
      <c r="R10" s="337"/>
      <c r="S10" s="338"/>
      <c r="T10" s="338"/>
    </row>
    <row r="11" spans="1:22" s="339" customFormat="1" ht="21" customHeight="1" thickBot="1">
      <c r="A11" s="340" t="s">
        <v>109</v>
      </c>
      <c r="B11" s="341" t="str">
        <f>'Summary PL'!B11</f>
        <v>321 Tauke Khan Avenue, Turkestan region, Turkestan, Kazakhstan, 161200</v>
      </c>
      <c r="C11" s="342"/>
      <c r="D11" s="334"/>
      <c r="E11" s="334"/>
      <c r="F11" s="334"/>
      <c r="G11" s="334"/>
      <c r="H11" s="334"/>
      <c r="I11" s="334"/>
      <c r="J11" s="335"/>
      <c r="K11" s="336"/>
      <c r="L11" s="336"/>
      <c r="M11" s="334"/>
      <c r="N11" s="334"/>
      <c r="O11" s="334"/>
      <c r="P11" s="334"/>
      <c r="Q11" s="337"/>
      <c r="R11" s="337"/>
      <c r="S11" s="338"/>
      <c r="T11" s="338"/>
    </row>
    <row r="12" spans="1:22" s="23" customFormat="1" ht="23.85" customHeight="1">
      <c r="A12" s="493" t="s">
        <v>110</v>
      </c>
      <c r="B12" s="495" t="s">
        <v>163</v>
      </c>
      <c r="C12" s="495" t="s">
        <v>164</v>
      </c>
      <c r="D12" s="495" t="s">
        <v>165</v>
      </c>
      <c r="E12" s="497" t="s">
        <v>115</v>
      </c>
      <c r="F12" s="498"/>
      <c r="G12" s="499" t="s">
        <v>116</v>
      </c>
      <c r="H12" s="499"/>
      <c r="I12" s="499"/>
      <c r="J12" s="500"/>
      <c r="K12" s="501" t="s">
        <v>166</v>
      </c>
      <c r="L12" s="501" t="s">
        <v>167</v>
      </c>
      <c r="M12" s="505" t="s">
        <v>168</v>
      </c>
      <c r="N12" s="505" t="s">
        <v>169</v>
      </c>
      <c r="O12" s="491" t="s">
        <v>170</v>
      </c>
      <c r="P12" s="503" t="s">
        <v>171</v>
      </c>
      <c r="Q12" s="486" t="s">
        <v>172</v>
      </c>
      <c r="R12" s="21"/>
      <c r="S12" s="22"/>
      <c r="T12" s="22"/>
      <c r="U12" s="22"/>
      <c r="V12" s="22"/>
    </row>
    <row r="13" spans="1:22" s="23" customFormat="1" ht="39" customHeight="1">
      <c r="A13" s="494"/>
      <c r="B13" s="496"/>
      <c r="C13" s="496"/>
      <c r="D13" s="496"/>
      <c r="E13" s="234" t="s">
        <v>173</v>
      </c>
      <c r="F13" s="131" t="s">
        <v>174</v>
      </c>
      <c r="G13" s="94" t="s">
        <v>124</v>
      </c>
      <c r="H13" s="94" t="s">
        <v>175</v>
      </c>
      <c r="I13" s="94" t="s">
        <v>176</v>
      </c>
      <c r="J13" s="233" t="s">
        <v>127</v>
      </c>
      <c r="K13" s="502"/>
      <c r="L13" s="502"/>
      <c r="M13" s="506"/>
      <c r="N13" s="506"/>
      <c r="O13" s="492"/>
      <c r="P13" s="504"/>
      <c r="Q13" s="487"/>
      <c r="R13" s="21"/>
      <c r="S13" s="22"/>
      <c r="T13" s="22"/>
      <c r="U13" s="22"/>
      <c r="V13" s="22"/>
    </row>
    <row r="14" spans="1:22" s="91" customFormat="1" ht="25.35" customHeight="1">
      <c r="A14" s="156">
        <v>1</v>
      </c>
      <c r="B14" s="157" t="s">
        <v>254</v>
      </c>
      <c r="C14" s="24" t="s">
        <v>178</v>
      </c>
      <c r="D14" s="248" t="s">
        <v>179</v>
      </c>
      <c r="E14" s="25">
        <v>1</v>
      </c>
      <c r="F14" s="158" t="s">
        <v>180</v>
      </c>
      <c r="G14" s="55"/>
      <c r="H14" s="55"/>
      <c r="I14" s="232"/>
      <c r="J14" s="231"/>
      <c r="K14" s="257"/>
      <c r="L14" s="257"/>
      <c r="M14" s="274" t="s">
        <v>181</v>
      </c>
      <c r="N14" s="230"/>
      <c r="O14" s="26"/>
      <c r="P14" s="24"/>
      <c r="Q14" s="97"/>
      <c r="R14" s="27"/>
      <c r="S14" s="28"/>
      <c r="T14" s="29"/>
      <c r="U14" s="28"/>
      <c r="V14" s="90"/>
    </row>
    <row r="15" spans="1:22" s="128" customFormat="1" ht="25.2" customHeight="1">
      <c r="A15" s="229"/>
      <c r="B15" s="228"/>
      <c r="C15" s="222"/>
      <c r="D15" s="226"/>
      <c r="E15" s="227"/>
      <c r="F15" s="226"/>
      <c r="G15" s="225">
        <v>127</v>
      </c>
      <c r="H15" s="225">
        <v>127</v>
      </c>
      <c r="I15" s="224">
        <v>75</v>
      </c>
      <c r="J15" s="223">
        <f>ROUND(I15*H15*G15/1000000,3)</f>
        <v>1.21</v>
      </c>
      <c r="K15" s="258">
        <v>473</v>
      </c>
      <c r="L15" s="258">
        <v>641</v>
      </c>
      <c r="M15" s="252"/>
      <c r="N15" s="249"/>
      <c r="O15" s="223"/>
      <c r="P15" s="222"/>
      <c r="Q15" s="250"/>
      <c r="R15" s="27"/>
      <c r="S15" s="28"/>
      <c r="T15" s="126"/>
      <c r="U15" s="125"/>
      <c r="V15" s="127"/>
    </row>
    <row r="16" spans="1:22" s="91" customFormat="1" ht="25.35" customHeight="1">
      <c r="A16" s="156">
        <v>2</v>
      </c>
      <c r="B16" s="157" t="s">
        <v>135</v>
      </c>
      <c r="C16" s="24" t="s">
        <v>178</v>
      </c>
      <c r="D16" s="248" t="s">
        <v>179</v>
      </c>
      <c r="E16" s="25">
        <v>1</v>
      </c>
      <c r="F16" s="158" t="s">
        <v>180</v>
      </c>
      <c r="G16" s="55"/>
      <c r="H16" s="55"/>
      <c r="I16" s="232"/>
      <c r="J16" s="231"/>
      <c r="K16" s="257"/>
      <c r="L16" s="257"/>
      <c r="M16" s="274" t="s">
        <v>181</v>
      </c>
      <c r="N16" s="230"/>
      <c r="O16" s="26"/>
      <c r="P16" s="24"/>
      <c r="Q16" s="97"/>
      <c r="R16" s="27"/>
      <c r="S16" s="28"/>
      <c r="T16" s="29"/>
      <c r="U16" s="28"/>
      <c r="V16" s="90"/>
    </row>
    <row r="17" spans="1:22" s="128" customFormat="1" ht="25.2" customHeight="1">
      <c r="A17" s="229"/>
      <c r="B17" s="228"/>
      <c r="C17" s="222"/>
      <c r="D17" s="226"/>
      <c r="E17" s="227"/>
      <c r="F17" s="226"/>
      <c r="G17" s="225">
        <v>127</v>
      </c>
      <c r="H17" s="225">
        <v>127</v>
      </c>
      <c r="I17" s="224">
        <v>75</v>
      </c>
      <c r="J17" s="223">
        <f>ROUND(I17*H17*G17/1000000,3)</f>
        <v>1.21</v>
      </c>
      <c r="K17" s="258">
        <v>473</v>
      </c>
      <c r="L17" s="258">
        <v>641</v>
      </c>
      <c r="M17" s="252"/>
      <c r="N17" s="249"/>
      <c r="O17" s="223"/>
      <c r="P17" s="222"/>
      <c r="Q17" s="250"/>
      <c r="R17" s="27"/>
      <c r="S17" s="28"/>
      <c r="T17" s="126"/>
      <c r="U17" s="125"/>
      <c r="V17" s="127"/>
    </row>
    <row r="18" spans="1:22" s="91" customFormat="1" ht="25.35" customHeight="1">
      <c r="A18" s="156">
        <v>3</v>
      </c>
      <c r="B18" s="157" t="s">
        <v>136</v>
      </c>
      <c r="C18" s="24" t="s">
        <v>178</v>
      </c>
      <c r="D18" s="248" t="s">
        <v>179</v>
      </c>
      <c r="E18" s="25">
        <v>1</v>
      </c>
      <c r="F18" s="158" t="s">
        <v>180</v>
      </c>
      <c r="G18" s="55"/>
      <c r="H18" s="55"/>
      <c r="I18" s="232"/>
      <c r="J18" s="231"/>
      <c r="K18" s="257"/>
      <c r="L18" s="257"/>
      <c r="M18" s="274" t="s">
        <v>181</v>
      </c>
      <c r="N18" s="230"/>
      <c r="O18" s="26"/>
      <c r="P18" s="24"/>
      <c r="Q18" s="97"/>
      <c r="R18" s="27"/>
      <c r="S18" s="28"/>
      <c r="T18" s="29"/>
      <c r="U18" s="28"/>
      <c r="V18" s="90"/>
    </row>
    <row r="19" spans="1:22" s="128" customFormat="1" ht="25.2" customHeight="1">
      <c r="A19" s="229"/>
      <c r="B19" s="228"/>
      <c r="C19" s="222"/>
      <c r="D19" s="226"/>
      <c r="E19" s="227"/>
      <c r="F19" s="226"/>
      <c r="G19" s="225">
        <v>127</v>
      </c>
      <c r="H19" s="225">
        <v>127</v>
      </c>
      <c r="I19" s="224">
        <v>75</v>
      </c>
      <c r="J19" s="223">
        <f>ROUND(I19*H19*G19/1000000,3)</f>
        <v>1.21</v>
      </c>
      <c r="K19" s="258">
        <v>473</v>
      </c>
      <c r="L19" s="258">
        <v>641</v>
      </c>
      <c r="M19" s="252"/>
      <c r="N19" s="249"/>
      <c r="O19" s="223"/>
      <c r="P19" s="222"/>
      <c r="Q19" s="250"/>
      <c r="R19" s="27"/>
      <c r="S19" s="28"/>
      <c r="T19" s="126"/>
      <c r="U19" s="125"/>
      <c r="V19" s="127"/>
    </row>
    <row r="20" spans="1:22" s="91" customFormat="1" ht="25.35" customHeight="1">
      <c r="A20" s="156">
        <v>4</v>
      </c>
      <c r="B20" s="157" t="s">
        <v>137</v>
      </c>
      <c r="C20" s="24" t="s">
        <v>178</v>
      </c>
      <c r="D20" s="248" t="s">
        <v>179</v>
      </c>
      <c r="E20" s="25">
        <v>1</v>
      </c>
      <c r="F20" s="158" t="s">
        <v>180</v>
      </c>
      <c r="G20" s="55"/>
      <c r="H20" s="55"/>
      <c r="I20" s="232"/>
      <c r="J20" s="231"/>
      <c r="K20" s="257"/>
      <c r="L20" s="257"/>
      <c r="M20" s="274" t="s">
        <v>181</v>
      </c>
      <c r="N20" s="230"/>
      <c r="O20" s="26"/>
      <c r="P20" s="24"/>
      <c r="Q20" s="97"/>
      <c r="R20" s="27"/>
      <c r="S20" s="28"/>
      <c r="T20" s="29"/>
      <c r="U20" s="28"/>
      <c r="V20" s="90"/>
    </row>
    <row r="21" spans="1:22" s="128" customFormat="1" ht="25.2" customHeight="1">
      <c r="A21" s="229"/>
      <c r="B21" s="228"/>
      <c r="C21" s="222"/>
      <c r="D21" s="226"/>
      <c r="E21" s="227"/>
      <c r="F21" s="226"/>
      <c r="G21" s="225">
        <v>127</v>
      </c>
      <c r="H21" s="225">
        <v>127</v>
      </c>
      <c r="I21" s="224">
        <v>75</v>
      </c>
      <c r="J21" s="223">
        <f>ROUND(I21*H21*G21/1000000,3)</f>
        <v>1.21</v>
      </c>
      <c r="K21" s="258">
        <v>473</v>
      </c>
      <c r="L21" s="258">
        <v>641</v>
      </c>
      <c r="M21" s="252"/>
      <c r="N21" s="249"/>
      <c r="O21" s="223"/>
      <c r="P21" s="222"/>
      <c r="Q21" s="250"/>
      <c r="R21" s="27"/>
      <c r="S21" s="28"/>
      <c r="T21" s="126"/>
      <c r="U21" s="125"/>
      <c r="V21" s="127"/>
    </row>
    <row r="22" spans="1:22" s="91" customFormat="1" ht="25.35" customHeight="1">
      <c r="A22" s="156">
        <v>5</v>
      </c>
      <c r="B22" s="157" t="s">
        <v>138</v>
      </c>
      <c r="C22" s="24" t="s">
        <v>178</v>
      </c>
      <c r="D22" s="248" t="s">
        <v>179</v>
      </c>
      <c r="E22" s="25">
        <v>1</v>
      </c>
      <c r="F22" s="158" t="s">
        <v>180</v>
      </c>
      <c r="G22" s="55"/>
      <c r="H22" s="55"/>
      <c r="I22" s="232"/>
      <c r="J22" s="231"/>
      <c r="K22" s="257"/>
      <c r="L22" s="257"/>
      <c r="M22" s="274" t="s">
        <v>181</v>
      </c>
      <c r="N22" s="230"/>
      <c r="O22" s="26"/>
      <c r="P22" s="24"/>
      <c r="Q22" s="97"/>
      <c r="R22" s="27"/>
      <c r="S22" s="28"/>
      <c r="T22" s="29"/>
      <c r="U22" s="28"/>
      <c r="V22" s="90"/>
    </row>
    <row r="23" spans="1:22" s="128" customFormat="1" ht="25.2" customHeight="1">
      <c r="A23" s="229"/>
      <c r="B23" s="228"/>
      <c r="C23" s="222"/>
      <c r="D23" s="226"/>
      <c r="E23" s="227"/>
      <c r="F23" s="226"/>
      <c r="G23" s="225">
        <v>127</v>
      </c>
      <c r="H23" s="225">
        <v>127</v>
      </c>
      <c r="I23" s="224">
        <v>75</v>
      </c>
      <c r="J23" s="223">
        <f>ROUND(I23*H23*G23/1000000,3)</f>
        <v>1.21</v>
      </c>
      <c r="K23" s="258">
        <v>473</v>
      </c>
      <c r="L23" s="258">
        <v>641</v>
      </c>
      <c r="M23" s="252"/>
      <c r="N23" s="249"/>
      <c r="O23" s="223"/>
      <c r="P23" s="222"/>
      <c r="Q23" s="250"/>
      <c r="R23" s="27"/>
      <c r="S23" s="28"/>
      <c r="T23" s="126"/>
      <c r="U23" s="125"/>
      <c r="V23" s="127"/>
    </row>
    <row r="24" spans="1:22" s="91" customFormat="1" ht="25.35" customHeight="1">
      <c r="A24" s="156">
        <v>6</v>
      </c>
      <c r="B24" s="157" t="s">
        <v>139</v>
      </c>
      <c r="C24" s="24" t="s">
        <v>178</v>
      </c>
      <c r="D24" s="248" t="s">
        <v>179</v>
      </c>
      <c r="E24" s="25">
        <v>1</v>
      </c>
      <c r="F24" s="158" t="s">
        <v>180</v>
      </c>
      <c r="G24" s="55"/>
      <c r="H24" s="55"/>
      <c r="I24" s="232"/>
      <c r="J24" s="231"/>
      <c r="K24" s="257"/>
      <c r="L24" s="257"/>
      <c r="M24" s="274" t="s">
        <v>181</v>
      </c>
      <c r="N24" s="230"/>
      <c r="O24" s="26"/>
      <c r="P24" s="24"/>
      <c r="Q24" s="97"/>
      <c r="R24" s="27"/>
      <c r="S24" s="28"/>
      <c r="T24" s="29"/>
      <c r="U24" s="28"/>
      <c r="V24" s="90"/>
    </row>
    <row r="25" spans="1:22" s="128" customFormat="1" ht="25.2" customHeight="1">
      <c r="A25" s="229"/>
      <c r="B25" s="228"/>
      <c r="C25" s="222"/>
      <c r="D25" s="226"/>
      <c r="E25" s="227"/>
      <c r="F25" s="226"/>
      <c r="G25" s="225">
        <v>127</v>
      </c>
      <c r="H25" s="225">
        <v>127</v>
      </c>
      <c r="I25" s="224">
        <v>75</v>
      </c>
      <c r="J25" s="223">
        <f>ROUND(I25*H25*G25/1000000,3)</f>
        <v>1.21</v>
      </c>
      <c r="K25" s="258">
        <v>473</v>
      </c>
      <c r="L25" s="258">
        <v>641</v>
      </c>
      <c r="M25" s="252"/>
      <c r="N25" s="249"/>
      <c r="O25" s="223"/>
      <c r="P25" s="222"/>
      <c r="Q25" s="250"/>
      <c r="R25" s="27"/>
      <c r="S25" s="28"/>
      <c r="T25" s="126"/>
      <c r="U25" s="125"/>
      <c r="V25" s="127"/>
    </row>
    <row r="26" spans="1:22" s="91" customFormat="1" ht="25.35" customHeight="1">
      <c r="A26" s="156">
        <v>7</v>
      </c>
      <c r="B26" s="157" t="s">
        <v>140</v>
      </c>
      <c r="C26" s="24" t="s">
        <v>182</v>
      </c>
      <c r="D26" s="248" t="s">
        <v>179</v>
      </c>
      <c r="E26" s="25">
        <v>1</v>
      </c>
      <c r="F26" s="158" t="s">
        <v>180</v>
      </c>
      <c r="G26" s="55"/>
      <c r="H26" s="55"/>
      <c r="I26" s="232"/>
      <c r="J26" s="231"/>
      <c r="K26" s="257"/>
      <c r="L26" s="257"/>
      <c r="M26" s="274" t="s">
        <v>181</v>
      </c>
      <c r="N26" s="230"/>
      <c r="O26" s="26"/>
      <c r="P26" s="24"/>
      <c r="Q26" s="97"/>
      <c r="R26" s="27"/>
      <c r="S26" s="28"/>
      <c r="T26" s="29"/>
      <c r="U26" s="28"/>
      <c r="V26" s="90"/>
    </row>
    <row r="27" spans="1:22" s="128" customFormat="1" ht="25.2" customHeight="1">
      <c r="A27" s="229"/>
      <c r="B27" s="228"/>
      <c r="C27" s="222"/>
      <c r="D27" s="226"/>
      <c r="E27" s="227"/>
      <c r="F27" s="226"/>
      <c r="G27" s="225">
        <v>127</v>
      </c>
      <c r="H27" s="225">
        <v>127</v>
      </c>
      <c r="I27" s="224">
        <v>75</v>
      </c>
      <c r="J27" s="223">
        <f>ROUND(I27*H27*G27/1000000,3)</f>
        <v>1.21</v>
      </c>
      <c r="K27" s="258">
        <v>473</v>
      </c>
      <c r="L27" s="258">
        <v>641</v>
      </c>
      <c r="M27" s="252"/>
      <c r="N27" s="249"/>
      <c r="O27" s="223"/>
      <c r="P27" s="222"/>
      <c r="Q27" s="250"/>
      <c r="R27" s="27"/>
      <c r="S27" s="28"/>
      <c r="T27" s="126"/>
      <c r="U27" s="125"/>
      <c r="V27" s="127"/>
    </row>
    <row r="28" spans="1:22" s="91" customFormat="1" ht="25.35" customHeight="1">
      <c r="A28" s="156">
        <v>8</v>
      </c>
      <c r="B28" s="157" t="s">
        <v>141</v>
      </c>
      <c r="C28" s="24" t="s">
        <v>178</v>
      </c>
      <c r="D28" s="248" t="s">
        <v>179</v>
      </c>
      <c r="E28" s="25">
        <v>1</v>
      </c>
      <c r="F28" s="158" t="s">
        <v>180</v>
      </c>
      <c r="G28" s="55"/>
      <c r="H28" s="55"/>
      <c r="I28" s="232"/>
      <c r="J28" s="231"/>
      <c r="K28" s="257"/>
      <c r="L28" s="257"/>
      <c r="M28" s="274" t="s">
        <v>181</v>
      </c>
      <c r="N28" s="230"/>
      <c r="O28" s="26"/>
      <c r="P28" s="24"/>
      <c r="Q28" s="97"/>
      <c r="R28" s="27"/>
      <c r="S28" s="28"/>
      <c r="T28" s="29"/>
      <c r="U28" s="28"/>
      <c r="V28" s="90"/>
    </row>
    <row r="29" spans="1:22" s="128" customFormat="1" ht="25.2" customHeight="1">
      <c r="A29" s="229"/>
      <c r="B29" s="228"/>
      <c r="C29" s="222"/>
      <c r="D29" s="226"/>
      <c r="E29" s="227"/>
      <c r="F29" s="226"/>
      <c r="G29" s="225">
        <v>127</v>
      </c>
      <c r="H29" s="225">
        <v>127</v>
      </c>
      <c r="I29" s="224">
        <v>75</v>
      </c>
      <c r="J29" s="223">
        <f>ROUND(I29*H29*G29/1000000,3)</f>
        <v>1.21</v>
      </c>
      <c r="K29" s="258">
        <v>473</v>
      </c>
      <c r="L29" s="258">
        <v>641</v>
      </c>
      <c r="M29" s="252"/>
      <c r="N29" s="249"/>
      <c r="O29" s="223"/>
      <c r="P29" s="222"/>
      <c r="Q29" s="250"/>
      <c r="R29" s="27"/>
      <c r="S29" s="28"/>
      <c r="T29" s="126"/>
      <c r="U29" s="125"/>
      <c r="V29" s="127"/>
    </row>
    <row r="30" spans="1:22" s="91" customFormat="1" ht="25.35" customHeight="1">
      <c r="A30" s="156">
        <v>9</v>
      </c>
      <c r="B30" s="157" t="s">
        <v>142</v>
      </c>
      <c r="C30" s="24" t="s">
        <v>178</v>
      </c>
      <c r="D30" s="248" t="s">
        <v>179</v>
      </c>
      <c r="E30" s="25">
        <v>1</v>
      </c>
      <c r="F30" s="158" t="s">
        <v>180</v>
      </c>
      <c r="G30" s="55"/>
      <c r="H30" s="55"/>
      <c r="I30" s="232"/>
      <c r="J30" s="231"/>
      <c r="K30" s="257"/>
      <c r="L30" s="257"/>
      <c r="M30" s="274" t="s">
        <v>181</v>
      </c>
      <c r="N30" s="230"/>
      <c r="O30" s="26"/>
      <c r="P30" s="24"/>
      <c r="Q30" s="97"/>
      <c r="R30" s="27"/>
      <c r="S30" s="28"/>
      <c r="T30" s="29"/>
      <c r="U30" s="28"/>
      <c r="V30" s="90"/>
    </row>
    <row r="31" spans="1:22" s="128" customFormat="1" ht="25.2" customHeight="1">
      <c r="A31" s="229"/>
      <c r="B31" s="228"/>
      <c r="C31" s="222"/>
      <c r="D31" s="226"/>
      <c r="E31" s="227"/>
      <c r="F31" s="226"/>
      <c r="G31" s="225">
        <v>127</v>
      </c>
      <c r="H31" s="225">
        <v>127</v>
      </c>
      <c r="I31" s="224">
        <v>75</v>
      </c>
      <c r="J31" s="223">
        <f>ROUND(I31*H31*G31/1000000,3)</f>
        <v>1.21</v>
      </c>
      <c r="K31" s="258">
        <v>473</v>
      </c>
      <c r="L31" s="258">
        <v>641</v>
      </c>
      <c r="M31" s="252"/>
      <c r="N31" s="249"/>
      <c r="O31" s="223"/>
      <c r="P31" s="222"/>
      <c r="Q31" s="250"/>
      <c r="R31" s="27"/>
      <c r="S31" s="28"/>
      <c r="T31" s="126"/>
      <c r="U31" s="125"/>
      <c r="V31" s="127"/>
    </row>
    <row r="32" spans="1:22" s="91" customFormat="1" ht="25.35" customHeight="1">
      <c r="A32" s="156">
        <v>10</v>
      </c>
      <c r="B32" s="157" t="s">
        <v>143</v>
      </c>
      <c r="C32" s="24" t="s">
        <v>178</v>
      </c>
      <c r="D32" s="248" t="s">
        <v>179</v>
      </c>
      <c r="E32" s="25">
        <v>1</v>
      </c>
      <c r="F32" s="158" t="s">
        <v>180</v>
      </c>
      <c r="G32" s="55"/>
      <c r="H32" s="55"/>
      <c r="I32" s="232"/>
      <c r="J32" s="231"/>
      <c r="K32" s="257"/>
      <c r="L32" s="257"/>
      <c r="M32" s="274" t="s">
        <v>181</v>
      </c>
      <c r="N32" s="230"/>
      <c r="O32" s="26"/>
      <c r="P32" s="24"/>
      <c r="Q32" s="97"/>
      <c r="R32" s="27"/>
      <c r="S32" s="28"/>
      <c r="T32" s="29"/>
      <c r="U32" s="28"/>
      <c r="V32" s="90"/>
    </row>
    <row r="33" spans="1:22" s="128" customFormat="1" ht="25.2" customHeight="1">
      <c r="A33" s="229"/>
      <c r="B33" s="228"/>
      <c r="C33" s="222"/>
      <c r="D33" s="226"/>
      <c r="E33" s="227"/>
      <c r="F33" s="226"/>
      <c r="G33" s="225">
        <v>127</v>
      </c>
      <c r="H33" s="225">
        <v>127</v>
      </c>
      <c r="I33" s="224">
        <v>75</v>
      </c>
      <c r="J33" s="223">
        <f>ROUND(I33*H33*G33/1000000,3)</f>
        <v>1.21</v>
      </c>
      <c r="K33" s="258">
        <v>473</v>
      </c>
      <c r="L33" s="258">
        <v>641</v>
      </c>
      <c r="M33" s="252"/>
      <c r="N33" s="249"/>
      <c r="O33" s="223"/>
      <c r="P33" s="222"/>
      <c r="Q33" s="250"/>
      <c r="R33" s="27"/>
      <c r="S33" s="28"/>
      <c r="T33" s="126"/>
      <c r="U33" s="125"/>
      <c r="V33" s="127"/>
    </row>
    <row r="34" spans="1:22" s="91" customFormat="1" ht="25.35" customHeight="1">
      <c r="A34" s="156">
        <v>11</v>
      </c>
      <c r="B34" s="157" t="s">
        <v>144</v>
      </c>
      <c r="C34" s="24" t="s">
        <v>178</v>
      </c>
      <c r="D34" s="248" t="s">
        <v>179</v>
      </c>
      <c r="E34" s="25">
        <v>1</v>
      </c>
      <c r="F34" s="158" t="s">
        <v>180</v>
      </c>
      <c r="G34" s="55"/>
      <c r="H34" s="55"/>
      <c r="I34" s="232"/>
      <c r="J34" s="231"/>
      <c r="K34" s="257"/>
      <c r="L34" s="257"/>
      <c r="M34" s="274" t="s">
        <v>181</v>
      </c>
      <c r="N34" s="230"/>
      <c r="O34" s="26"/>
      <c r="P34" s="24"/>
      <c r="Q34" s="97"/>
      <c r="R34" s="27"/>
      <c r="S34" s="28"/>
      <c r="T34" s="29"/>
      <c r="U34" s="28"/>
      <c r="V34" s="90"/>
    </row>
    <row r="35" spans="1:22" s="128" customFormat="1" ht="25.2" customHeight="1">
      <c r="A35" s="229"/>
      <c r="B35" s="228"/>
      <c r="C35" s="222"/>
      <c r="D35" s="226"/>
      <c r="E35" s="227"/>
      <c r="F35" s="226"/>
      <c r="G35" s="225">
        <v>127</v>
      </c>
      <c r="H35" s="225">
        <v>127</v>
      </c>
      <c r="I35" s="224">
        <v>75</v>
      </c>
      <c r="J35" s="223">
        <f>ROUND(I35*H35*G35/1000000,3)</f>
        <v>1.21</v>
      </c>
      <c r="K35" s="258">
        <v>473</v>
      </c>
      <c r="L35" s="258">
        <v>641</v>
      </c>
      <c r="M35" s="252"/>
      <c r="N35" s="249"/>
      <c r="O35" s="223"/>
      <c r="P35" s="222"/>
      <c r="Q35" s="250"/>
      <c r="R35" s="27"/>
      <c r="S35" s="28"/>
      <c r="T35" s="126"/>
      <c r="U35" s="125"/>
      <c r="V35" s="127"/>
    </row>
    <row r="36" spans="1:22" s="91" customFormat="1" ht="25.35" customHeight="1">
      <c r="A36" s="156">
        <v>12</v>
      </c>
      <c r="B36" s="157" t="s">
        <v>145</v>
      </c>
      <c r="C36" s="24" t="s">
        <v>178</v>
      </c>
      <c r="D36" s="248" t="s">
        <v>179</v>
      </c>
      <c r="E36" s="25">
        <v>1</v>
      </c>
      <c r="F36" s="158" t="s">
        <v>180</v>
      </c>
      <c r="G36" s="55"/>
      <c r="H36" s="55"/>
      <c r="I36" s="232"/>
      <c r="J36" s="231"/>
      <c r="K36" s="257"/>
      <c r="L36" s="257"/>
      <c r="M36" s="274" t="s">
        <v>181</v>
      </c>
      <c r="N36" s="230"/>
      <c r="O36" s="26"/>
      <c r="P36" s="24"/>
      <c r="Q36" s="97"/>
      <c r="R36" s="27"/>
      <c r="S36" s="28"/>
      <c r="T36" s="29"/>
      <c r="U36" s="28"/>
      <c r="V36" s="90"/>
    </row>
    <row r="37" spans="1:22" s="128" customFormat="1" ht="25.2" customHeight="1">
      <c r="A37" s="229"/>
      <c r="B37" s="228"/>
      <c r="C37" s="222"/>
      <c r="D37" s="226"/>
      <c r="E37" s="227"/>
      <c r="F37" s="226"/>
      <c r="G37" s="225">
        <v>127</v>
      </c>
      <c r="H37" s="225">
        <v>127</v>
      </c>
      <c r="I37" s="224">
        <v>75</v>
      </c>
      <c r="J37" s="223">
        <f>ROUND(I37*H37*G37/1000000,3)</f>
        <v>1.21</v>
      </c>
      <c r="K37" s="258">
        <v>473</v>
      </c>
      <c r="L37" s="258">
        <v>641</v>
      </c>
      <c r="M37" s="252"/>
      <c r="N37" s="249"/>
      <c r="O37" s="223"/>
      <c r="P37" s="222"/>
      <c r="Q37" s="250"/>
      <c r="R37" s="27"/>
      <c r="S37" s="28"/>
      <c r="T37" s="126"/>
      <c r="U37" s="125"/>
      <c r="V37" s="127"/>
    </row>
    <row r="38" spans="1:22" s="91" customFormat="1" ht="25.35" customHeight="1">
      <c r="A38" s="156">
        <v>13</v>
      </c>
      <c r="B38" s="157" t="s">
        <v>146</v>
      </c>
      <c r="C38" s="24" t="s">
        <v>178</v>
      </c>
      <c r="D38" s="248" t="s">
        <v>179</v>
      </c>
      <c r="E38" s="25">
        <v>1</v>
      </c>
      <c r="F38" s="158" t="s">
        <v>180</v>
      </c>
      <c r="G38" s="55"/>
      <c r="H38" s="55"/>
      <c r="I38" s="232"/>
      <c r="J38" s="231"/>
      <c r="K38" s="257"/>
      <c r="L38" s="257"/>
      <c r="M38" s="274" t="s">
        <v>181</v>
      </c>
      <c r="N38" s="230"/>
      <c r="O38" s="26"/>
      <c r="P38" s="24"/>
      <c r="Q38" s="97"/>
      <c r="R38" s="27"/>
      <c r="S38" s="28"/>
      <c r="T38" s="29"/>
      <c r="U38" s="28"/>
      <c r="V38" s="90"/>
    </row>
    <row r="39" spans="1:22" s="128" customFormat="1" ht="25.2" customHeight="1">
      <c r="A39" s="229"/>
      <c r="B39" s="228"/>
      <c r="C39" s="222"/>
      <c r="D39" s="226"/>
      <c r="E39" s="227"/>
      <c r="F39" s="226"/>
      <c r="G39" s="225">
        <v>127</v>
      </c>
      <c r="H39" s="225">
        <v>127</v>
      </c>
      <c r="I39" s="224">
        <v>75</v>
      </c>
      <c r="J39" s="223">
        <f>ROUND(I39*H39*G39/1000000,3)</f>
        <v>1.21</v>
      </c>
      <c r="K39" s="258">
        <v>473</v>
      </c>
      <c r="L39" s="258">
        <v>641</v>
      </c>
      <c r="M39" s="252"/>
      <c r="N39" s="249"/>
      <c r="O39" s="223"/>
      <c r="P39" s="222"/>
      <c r="Q39" s="250"/>
      <c r="R39" s="27"/>
      <c r="S39" s="28"/>
      <c r="T39" s="126"/>
      <c r="U39" s="125"/>
      <c r="V39" s="127"/>
    </row>
    <row r="40" spans="1:22" s="91" customFormat="1" ht="25.35" customHeight="1">
      <c r="A40" s="156">
        <v>14</v>
      </c>
      <c r="B40" s="157" t="s">
        <v>147</v>
      </c>
      <c r="C40" s="24" t="s">
        <v>183</v>
      </c>
      <c r="D40" s="248" t="s">
        <v>179</v>
      </c>
      <c r="E40" s="25">
        <v>1</v>
      </c>
      <c r="F40" s="158" t="s">
        <v>180</v>
      </c>
      <c r="G40" s="55"/>
      <c r="H40" s="55"/>
      <c r="I40" s="232"/>
      <c r="J40" s="231"/>
      <c r="K40" s="257"/>
      <c r="L40" s="257"/>
      <c r="M40" s="274" t="s">
        <v>181</v>
      </c>
      <c r="N40" s="230"/>
      <c r="O40" s="26"/>
      <c r="P40" s="24"/>
      <c r="Q40" s="97"/>
      <c r="R40" s="27"/>
      <c r="S40" s="28"/>
      <c r="T40" s="29"/>
      <c r="U40" s="28"/>
      <c r="V40" s="90"/>
    </row>
    <row r="41" spans="1:22" s="128" customFormat="1" ht="25.2" customHeight="1">
      <c r="A41" s="229"/>
      <c r="B41" s="228"/>
      <c r="C41" s="222"/>
      <c r="D41" s="226"/>
      <c r="E41" s="227"/>
      <c r="F41" s="226"/>
      <c r="G41" s="225">
        <v>103</v>
      </c>
      <c r="H41" s="225">
        <v>103</v>
      </c>
      <c r="I41" s="224">
        <v>50</v>
      </c>
      <c r="J41" s="223">
        <f>ROUND(I41*H41*G41/1000000,3)</f>
        <v>0.53</v>
      </c>
      <c r="K41" s="258">
        <v>213</v>
      </c>
      <c r="L41" s="258">
        <v>294</v>
      </c>
      <c r="M41" s="252"/>
      <c r="N41" s="249"/>
      <c r="O41" s="223"/>
      <c r="P41" s="222"/>
      <c r="Q41" s="250"/>
      <c r="R41" s="27"/>
      <c r="S41" s="28"/>
      <c r="T41" s="126"/>
      <c r="U41" s="125"/>
      <c r="V41" s="127"/>
    </row>
    <row r="42" spans="1:22" s="91" customFormat="1" ht="25.35" customHeight="1">
      <c r="A42" s="156">
        <v>15</v>
      </c>
      <c r="B42" s="157" t="s">
        <v>148</v>
      </c>
      <c r="C42" s="24" t="s">
        <v>184</v>
      </c>
      <c r="D42" s="248" t="s">
        <v>179</v>
      </c>
      <c r="E42" s="25">
        <v>1</v>
      </c>
      <c r="F42" s="158" t="s">
        <v>180</v>
      </c>
      <c r="G42" s="55"/>
      <c r="H42" s="55"/>
      <c r="I42" s="232"/>
      <c r="J42" s="231"/>
      <c r="K42" s="257"/>
      <c r="L42" s="257"/>
      <c r="M42" s="274" t="s">
        <v>181</v>
      </c>
      <c r="N42" s="230"/>
      <c r="O42" s="26"/>
      <c r="P42" s="24"/>
      <c r="Q42" s="97"/>
      <c r="R42" s="27"/>
      <c r="S42" s="28"/>
      <c r="T42" s="29"/>
      <c r="U42" s="28"/>
      <c r="V42" s="90"/>
    </row>
    <row r="43" spans="1:22" s="128" customFormat="1" ht="25.2" customHeight="1">
      <c r="A43" s="229"/>
      <c r="B43" s="228"/>
      <c r="C43" s="222"/>
      <c r="D43" s="226"/>
      <c r="E43" s="227"/>
      <c r="F43" s="226"/>
      <c r="G43" s="225">
        <v>100</v>
      </c>
      <c r="H43" s="225">
        <v>100</v>
      </c>
      <c r="I43" s="224">
        <v>50</v>
      </c>
      <c r="J43" s="223">
        <f>ROUND(I43*H43*G43/1000000,3)</f>
        <v>0.5</v>
      </c>
      <c r="K43" s="258">
        <v>228</v>
      </c>
      <c r="L43" s="258">
        <v>306</v>
      </c>
      <c r="M43" s="252"/>
      <c r="N43" s="249"/>
      <c r="O43" s="223"/>
      <c r="P43" s="222"/>
      <c r="Q43" s="250"/>
      <c r="R43" s="27"/>
      <c r="S43" s="28"/>
      <c r="T43" s="126"/>
      <c r="U43" s="125"/>
      <c r="V43" s="127"/>
    </row>
    <row r="44" spans="1:22" s="91" customFormat="1" ht="25.35" customHeight="1">
      <c r="A44" s="156">
        <v>16</v>
      </c>
      <c r="B44" s="157" t="s">
        <v>149</v>
      </c>
      <c r="C44" s="24" t="s">
        <v>185</v>
      </c>
      <c r="D44" s="248" t="s">
        <v>179</v>
      </c>
      <c r="E44" s="25">
        <v>1</v>
      </c>
      <c r="F44" s="158" t="s">
        <v>180</v>
      </c>
      <c r="G44" s="55"/>
      <c r="H44" s="55"/>
      <c r="I44" s="232"/>
      <c r="J44" s="231"/>
      <c r="K44" s="257"/>
      <c r="L44" s="257"/>
      <c r="M44" s="274" t="s">
        <v>181</v>
      </c>
      <c r="N44" s="230"/>
      <c r="O44" s="26"/>
      <c r="P44" s="24"/>
      <c r="Q44" s="97"/>
      <c r="R44" s="27"/>
      <c r="S44" s="28"/>
      <c r="T44" s="29"/>
      <c r="U44" s="28"/>
      <c r="V44" s="90"/>
    </row>
    <row r="45" spans="1:22" s="128" customFormat="1" ht="25.2" customHeight="1">
      <c r="A45" s="229"/>
      <c r="B45" s="228"/>
      <c r="C45" s="222"/>
      <c r="D45" s="226"/>
      <c r="E45" s="227"/>
      <c r="F45" s="226"/>
      <c r="G45" s="225">
        <v>189</v>
      </c>
      <c r="H45" s="225">
        <v>189</v>
      </c>
      <c r="I45" s="224">
        <v>90</v>
      </c>
      <c r="J45" s="223">
        <f>ROUND(I45*H45*G45/1000000,3)</f>
        <v>3.2149999999999999</v>
      </c>
      <c r="K45" s="258">
        <v>2102</v>
      </c>
      <c r="L45" s="258">
        <v>2529</v>
      </c>
      <c r="M45" s="252"/>
      <c r="N45" s="249"/>
      <c r="O45" s="223"/>
      <c r="P45" s="222"/>
      <c r="Q45" s="250"/>
      <c r="R45" s="27"/>
      <c r="S45" s="28"/>
      <c r="T45" s="126"/>
      <c r="U45" s="125"/>
      <c r="V45" s="127"/>
    </row>
    <row r="46" spans="1:22" s="91" customFormat="1" ht="25.35" customHeight="1">
      <c r="A46" s="156">
        <v>17</v>
      </c>
      <c r="B46" s="157" t="s">
        <v>150</v>
      </c>
      <c r="C46" s="24" t="s">
        <v>185</v>
      </c>
      <c r="D46" s="248" t="s">
        <v>179</v>
      </c>
      <c r="E46" s="25">
        <v>1</v>
      </c>
      <c r="F46" s="158" t="s">
        <v>180</v>
      </c>
      <c r="G46" s="55"/>
      <c r="H46" s="55"/>
      <c r="I46" s="232"/>
      <c r="J46" s="231"/>
      <c r="K46" s="257"/>
      <c r="L46" s="257"/>
      <c r="M46" s="274" t="s">
        <v>181</v>
      </c>
      <c r="N46" s="230"/>
      <c r="O46" s="26"/>
      <c r="P46" s="24"/>
      <c r="Q46" s="97"/>
      <c r="R46" s="27"/>
      <c r="S46" s="28"/>
      <c r="T46" s="29"/>
      <c r="U46" s="28"/>
      <c r="V46" s="90"/>
    </row>
    <row r="47" spans="1:22" s="128" customFormat="1" ht="25.2" customHeight="1">
      <c r="A47" s="229"/>
      <c r="B47" s="228"/>
      <c r="C47" s="222"/>
      <c r="D47" s="226"/>
      <c r="E47" s="227"/>
      <c r="F47" s="226"/>
      <c r="G47" s="225">
        <v>189</v>
      </c>
      <c r="H47" s="225">
        <v>189</v>
      </c>
      <c r="I47" s="224">
        <v>90</v>
      </c>
      <c r="J47" s="223">
        <f>ROUND(I47*H47*G47/1000000,3)</f>
        <v>3.2149999999999999</v>
      </c>
      <c r="K47" s="258">
        <v>2102</v>
      </c>
      <c r="L47" s="258">
        <v>2529</v>
      </c>
      <c r="M47" s="252"/>
      <c r="N47" s="249"/>
      <c r="O47" s="223"/>
      <c r="P47" s="222"/>
      <c r="Q47" s="250"/>
      <c r="R47" s="27"/>
      <c r="S47" s="28"/>
      <c r="T47" s="126"/>
      <c r="U47" s="125"/>
      <c r="V47" s="127"/>
    </row>
    <row r="48" spans="1:22" s="91" customFormat="1" ht="25.35" customHeight="1">
      <c r="A48" s="156">
        <v>18</v>
      </c>
      <c r="B48" s="157" t="s">
        <v>151</v>
      </c>
      <c r="C48" s="24" t="s">
        <v>186</v>
      </c>
      <c r="D48" s="248" t="s">
        <v>179</v>
      </c>
      <c r="E48" s="25">
        <v>1</v>
      </c>
      <c r="F48" s="158" t="s">
        <v>180</v>
      </c>
      <c r="G48" s="55"/>
      <c r="H48" s="55"/>
      <c r="I48" s="232"/>
      <c r="J48" s="231"/>
      <c r="K48" s="257"/>
      <c r="L48" s="257"/>
      <c r="M48" s="274" t="s">
        <v>181</v>
      </c>
      <c r="N48" s="230"/>
      <c r="O48" s="26"/>
      <c r="P48" s="24"/>
      <c r="Q48" s="97"/>
      <c r="R48" s="27"/>
      <c r="S48" s="28"/>
      <c r="T48" s="29"/>
      <c r="U48" s="28"/>
      <c r="V48" s="90"/>
    </row>
    <row r="49" spans="1:22" s="128" customFormat="1" ht="25.2" customHeight="1">
      <c r="A49" s="229"/>
      <c r="B49" s="228"/>
      <c r="C49" s="222"/>
      <c r="D49" s="226"/>
      <c r="E49" s="227"/>
      <c r="F49" s="226"/>
      <c r="G49" s="225">
        <v>204</v>
      </c>
      <c r="H49" s="225">
        <v>204</v>
      </c>
      <c r="I49" s="224">
        <v>105</v>
      </c>
      <c r="J49" s="223">
        <f>ROUND(I49*H49*G49/1000000,3)</f>
        <v>4.37</v>
      </c>
      <c r="K49" s="258">
        <v>2312</v>
      </c>
      <c r="L49" s="258">
        <v>2911</v>
      </c>
      <c r="M49" s="252"/>
      <c r="N49" s="249"/>
      <c r="O49" s="223"/>
      <c r="P49" s="222"/>
      <c r="Q49" s="250"/>
      <c r="R49" s="27"/>
      <c r="S49" s="28"/>
      <c r="T49" s="126"/>
      <c r="U49" s="125"/>
      <c r="V49" s="127"/>
    </row>
    <row r="50" spans="1:22" s="91" customFormat="1" ht="25.35" customHeight="1">
      <c r="A50" s="156">
        <v>19</v>
      </c>
      <c r="B50" s="157" t="s">
        <v>152</v>
      </c>
      <c r="C50" s="24" t="s">
        <v>187</v>
      </c>
      <c r="D50" s="248" t="s">
        <v>179</v>
      </c>
      <c r="E50" s="25">
        <v>1</v>
      </c>
      <c r="F50" s="158" t="s">
        <v>180</v>
      </c>
      <c r="G50" s="55"/>
      <c r="H50" s="55"/>
      <c r="I50" s="232"/>
      <c r="J50" s="231"/>
      <c r="K50" s="257"/>
      <c r="L50" s="257"/>
      <c r="M50" s="274" t="s">
        <v>181</v>
      </c>
      <c r="N50" s="230"/>
      <c r="O50" s="26"/>
      <c r="P50" s="24"/>
      <c r="Q50" s="97"/>
      <c r="R50" s="27"/>
      <c r="S50" s="28"/>
      <c r="T50" s="29"/>
      <c r="U50" s="28"/>
      <c r="V50" s="90"/>
    </row>
    <row r="51" spans="1:22" s="128" customFormat="1" ht="25.35" customHeight="1">
      <c r="A51" s="229"/>
      <c r="B51" s="228"/>
      <c r="C51" s="222"/>
      <c r="D51" s="226"/>
      <c r="E51" s="227"/>
      <c r="F51" s="226"/>
      <c r="G51" s="225">
        <v>142</v>
      </c>
      <c r="H51" s="225">
        <v>142</v>
      </c>
      <c r="I51" s="224">
        <v>75</v>
      </c>
      <c r="J51" s="223">
        <f>ROUND(I51*H51*G51/1000000,3)</f>
        <v>1.512</v>
      </c>
      <c r="K51" s="258">
        <v>542</v>
      </c>
      <c r="L51" s="258">
        <v>745</v>
      </c>
      <c r="M51" s="252"/>
      <c r="N51" s="249"/>
      <c r="O51" s="223"/>
      <c r="P51" s="222"/>
      <c r="Q51" s="250"/>
      <c r="R51" s="27"/>
      <c r="S51" s="28"/>
      <c r="T51" s="126"/>
      <c r="U51" s="125"/>
      <c r="V51" s="127"/>
    </row>
    <row r="52" spans="1:22" s="91" customFormat="1" ht="25.35" customHeight="1">
      <c r="A52" s="156">
        <v>20</v>
      </c>
      <c r="B52" s="157" t="s">
        <v>153</v>
      </c>
      <c r="C52" s="24" t="s">
        <v>188</v>
      </c>
      <c r="D52" s="248" t="s">
        <v>179</v>
      </c>
      <c r="E52" s="25">
        <v>1</v>
      </c>
      <c r="F52" s="158" t="s">
        <v>180</v>
      </c>
      <c r="G52" s="55"/>
      <c r="H52" s="55"/>
      <c r="I52" s="232"/>
      <c r="J52" s="231"/>
      <c r="K52" s="257"/>
      <c r="L52" s="257"/>
      <c r="M52" s="274" t="s">
        <v>181</v>
      </c>
      <c r="N52" s="230"/>
      <c r="O52" s="26"/>
      <c r="P52" s="24"/>
      <c r="Q52" s="97"/>
      <c r="R52" s="27"/>
      <c r="S52" s="28"/>
      <c r="T52" s="29"/>
      <c r="U52" s="28"/>
      <c r="V52" s="90"/>
    </row>
    <row r="53" spans="1:22" s="128" customFormat="1" ht="25.2" customHeight="1">
      <c r="A53" s="229"/>
      <c r="B53" s="228"/>
      <c r="C53" s="222"/>
      <c r="D53" s="226"/>
      <c r="E53" s="227"/>
      <c r="F53" s="226"/>
      <c r="G53" s="225">
        <v>157</v>
      </c>
      <c r="H53" s="225">
        <v>157</v>
      </c>
      <c r="I53" s="224">
        <v>90</v>
      </c>
      <c r="J53" s="223">
        <f>ROUND(I53*H53*G53/1000000,3)</f>
        <v>2.218</v>
      </c>
      <c r="K53" s="258">
        <v>996</v>
      </c>
      <c r="L53" s="258">
        <v>1288</v>
      </c>
      <c r="M53" s="252"/>
      <c r="N53" s="249"/>
      <c r="O53" s="223"/>
      <c r="P53" s="222"/>
      <c r="Q53" s="250"/>
      <c r="R53" s="27"/>
      <c r="S53" s="28"/>
      <c r="T53" s="126"/>
      <c r="U53" s="125"/>
      <c r="V53" s="127"/>
    </row>
    <row r="54" spans="1:22" s="91" customFormat="1" ht="25.35" customHeight="1">
      <c r="A54" s="156">
        <v>21</v>
      </c>
      <c r="B54" s="157" t="s">
        <v>154</v>
      </c>
      <c r="C54" s="24" t="s">
        <v>188</v>
      </c>
      <c r="D54" s="248" t="s">
        <v>179</v>
      </c>
      <c r="E54" s="25">
        <v>1</v>
      </c>
      <c r="F54" s="158" t="s">
        <v>180</v>
      </c>
      <c r="G54" s="55"/>
      <c r="H54" s="55"/>
      <c r="I54" s="232"/>
      <c r="J54" s="231"/>
      <c r="K54" s="257"/>
      <c r="L54" s="257"/>
      <c r="M54" s="274" t="s">
        <v>181</v>
      </c>
      <c r="N54" s="230"/>
      <c r="O54" s="26"/>
      <c r="P54" s="24"/>
      <c r="Q54" s="97"/>
      <c r="R54" s="27"/>
      <c r="S54" s="28"/>
      <c r="T54" s="29"/>
      <c r="U54" s="28"/>
      <c r="V54" s="90"/>
    </row>
    <row r="55" spans="1:22" s="128" customFormat="1" ht="25.2" customHeight="1">
      <c r="A55" s="229"/>
      <c r="B55" s="228"/>
      <c r="C55" s="222"/>
      <c r="D55" s="226"/>
      <c r="E55" s="227"/>
      <c r="F55" s="226"/>
      <c r="G55" s="225">
        <v>157</v>
      </c>
      <c r="H55" s="225">
        <v>157</v>
      </c>
      <c r="I55" s="224">
        <v>90</v>
      </c>
      <c r="J55" s="223">
        <f>ROUND(I55*H55*G55/1000000,3)</f>
        <v>2.218</v>
      </c>
      <c r="K55" s="258">
        <v>996</v>
      </c>
      <c r="L55" s="258">
        <v>1288</v>
      </c>
      <c r="M55" s="252"/>
      <c r="N55" s="249"/>
      <c r="O55" s="223"/>
      <c r="P55" s="222"/>
      <c r="Q55" s="250"/>
      <c r="R55" s="27"/>
      <c r="S55" s="28"/>
      <c r="T55" s="126"/>
      <c r="U55" s="125"/>
      <c r="V55" s="127"/>
    </row>
    <row r="56" spans="1:22" s="91" customFormat="1" ht="25.35" customHeight="1">
      <c r="A56" s="156">
        <v>22</v>
      </c>
      <c r="B56" s="157" t="s">
        <v>155</v>
      </c>
      <c r="C56" s="24" t="s">
        <v>188</v>
      </c>
      <c r="D56" s="248" t="s">
        <v>179</v>
      </c>
      <c r="E56" s="25">
        <v>1</v>
      </c>
      <c r="F56" s="158" t="s">
        <v>180</v>
      </c>
      <c r="G56" s="55"/>
      <c r="H56" s="55"/>
      <c r="I56" s="232"/>
      <c r="J56" s="231"/>
      <c r="K56" s="257"/>
      <c r="L56" s="257"/>
      <c r="M56" s="274" t="s">
        <v>181</v>
      </c>
      <c r="N56" s="230"/>
      <c r="O56" s="26"/>
      <c r="P56" s="24"/>
      <c r="Q56" s="97"/>
      <c r="R56" s="27"/>
      <c r="S56" s="28"/>
      <c r="T56" s="29"/>
      <c r="U56" s="28"/>
      <c r="V56" s="90"/>
    </row>
    <row r="57" spans="1:22" s="128" customFormat="1" ht="25.2" customHeight="1">
      <c r="A57" s="229"/>
      <c r="B57" s="228"/>
      <c r="C57" s="222"/>
      <c r="D57" s="226"/>
      <c r="E57" s="227"/>
      <c r="F57" s="226"/>
      <c r="G57" s="225">
        <v>157</v>
      </c>
      <c r="H57" s="225">
        <v>157</v>
      </c>
      <c r="I57" s="224">
        <v>90</v>
      </c>
      <c r="J57" s="223">
        <f>ROUND(I57*H57*G57/1000000,3)</f>
        <v>2.218</v>
      </c>
      <c r="K57" s="258">
        <v>996</v>
      </c>
      <c r="L57" s="258">
        <v>1288</v>
      </c>
      <c r="M57" s="252"/>
      <c r="N57" s="249"/>
      <c r="O57" s="223"/>
      <c r="P57" s="222"/>
      <c r="Q57" s="250"/>
      <c r="R57" s="27"/>
      <c r="S57" s="28"/>
      <c r="T57" s="126"/>
      <c r="U57" s="125"/>
      <c r="V57" s="127"/>
    </row>
    <row r="58" spans="1:22" s="91" customFormat="1" ht="25.35" customHeight="1">
      <c r="A58" s="156">
        <v>23</v>
      </c>
      <c r="B58" s="157" t="s">
        <v>156</v>
      </c>
      <c r="C58" s="24" t="s">
        <v>189</v>
      </c>
      <c r="D58" s="248" t="s">
        <v>179</v>
      </c>
      <c r="E58" s="25">
        <v>1</v>
      </c>
      <c r="F58" s="158" t="s">
        <v>180</v>
      </c>
      <c r="G58" s="55"/>
      <c r="H58" s="55"/>
      <c r="I58" s="232"/>
      <c r="J58" s="231"/>
      <c r="K58" s="257"/>
      <c r="L58" s="257"/>
      <c r="M58" s="274" t="s">
        <v>181</v>
      </c>
      <c r="N58" s="230"/>
      <c r="O58" s="26"/>
      <c r="P58" s="24"/>
      <c r="Q58" s="97"/>
      <c r="R58" s="27"/>
      <c r="S58" s="28"/>
      <c r="T58" s="29"/>
      <c r="U58" s="28"/>
      <c r="V58" s="90"/>
    </row>
    <row r="59" spans="1:22" s="128" customFormat="1" ht="25.2" customHeight="1">
      <c r="A59" s="229"/>
      <c r="B59" s="228"/>
      <c r="C59" s="222"/>
      <c r="D59" s="226"/>
      <c r="E59" s="227"/>
      <c r="F59" s="226"/>
      <c r="G59" s="225">
        <v>167</v>
      </c>
      <c r="H59" s="225">
        <v>167</v>
      </c>
      <c r="I59" s="224">
        <v>90</v>
      </c>
      <c r="J59" s="223">
        <f>ROUND(I59*H59*G59/1000000,3)</f>
        <v>2.5099999999999998</v>
      </c>
      <c r="K59" s="258">
        <v>1408</v>
      </c>
      <c r="L59" s="258">
        <v>1725</v>
      </c>
      <c r="M59" s="252"/>
      <c r="N59" s="249"/>
      <c r="O59" s="223"/>
      <c r="P59" s="222"/>
      <c r="Q59" s="250"/>
      <c r="R59" s="27"/>
      <c r="S59" s="28"/>
      <c r="T59" s="126"/>
      <c r="U59" s="125"/>
      <c r="V59" s="127"/>
    </row>
    <row r="60" spans="1:22" s="91" customFormat="1" ht="25.35" customHeight="1">
      <c r="A60" s="156">
        <v>24</v>
      </c>
      <c r="B60" s="157" t="s">
        <v>157</v>
      </c>
      <c r="C60" s="24" t="s">
        <v>189</v>
      </c>
      <c r="D60" s="248" t="s">
        <v>179</v>
      </c>
      <c r="E60" s="25">
        <v>1</v>
      </c>
      <c r="F60" s="158" t="s">
        <v>180</v>
      </c>
      <c r="G60" s="55"/>
      <c r="H60" s="55"/>
      <c r="I60" s="232"/>
      <c r="J60" s="231"/>
      <c r="K60" s="257"/>
      <c r="L60" s="257"/>
      <c r="M60" s="274" t="s">
        <v>181</v>
      </c>
      <c r="N60" s="230"/>
      <c r="O60" s="26"/>
      <c r="P60" s="24"/>
      <c r="Q60" s="97"/>
      <c r="R60" s="27"/>
      <c r="S60" s="28"/>
      <c r="T60" s="29"/>
      <c r="U60" s="28"/>
      <c r="V60" s="90"/>
    </row>
    <row r="61" spans="1:22" s="128" customFormat="1" ht="25.2" customHeight="1">
      <c r="A61" s="229"/>
      <c r="B61" s="228"/>
      <c r="C61" s="222"/>
      <c r="D61" s="226"/>
      <c r="E61" s="227"/>
      <c r="F61" s="226"/>
      <c r="G61" s="225">
        <v>167</v>
      </c>
      <c r="H61" s="225">
        <v>167</v>
      </c>
      <c r="I61" s="224">
        <v>90</v>
      </c>
      <c r="J61" s="223">
        <f>ROUND(I61*H61*G61/1000000,3)</f>
        <v>2.5099999999999998</v>
      </c>
      <c r="K61" s="258">
        <v>1408</v>
      </c>
      <c r="L61" s="258">
        <v>1725</v>
      </c>
      <c r="M61" s="252"/>
      <c r="N61" s="249"/>
      <c r="O61" s="223"/>
      <c r="P61" s="222"/>
      <c r="Q61" s="250"/>
      <c r="R61" s="27"/>
      <c r="S61" s="28"/>
      <c r="T61" s="126"/>
      <c r="U61" s="125"/>
      <c r="V61" s="127"/>
    </row>
    <row r="62" spans="1:22" s="91" customFormat="1" ht="25.35" customHeight="1">
      <c r="A62" s="156">
        <v>25</v>
      </c>
      <c r="B62" s="157" t="s">
        <v>158</v>
      </c>
      <c r="C62" s="24" t="s">
        <v>190</v>
      </c>
      <c r="D62" s="248" t="s">
        <v>179</v>
      </c>
      <c r="E62" s="25">
        <v>1</v>
      </c>
      <c r="F62" s="158" t="s">
        <v>180</v>
      </c>
      <c r="G62" s="55"/>
      <c r="H62" s="55"/>
      <c r="I62" s="232"/>
      <c r="J62" s="231"/>
      <c r="K62" s="257"/>
      <c r="L62" s="257"/>
      <c r="M62" s="274" t="s">
        <v>181</v>
      </c>
      <c r="N62" s="230"/>
      <c r="O62" s="26"/>
      <c r="P62" s="24"/>
      <c r="Q62" s="97"/>
      <c r="R62" s="27"/>
      <c r="S62" s="28"/>
      <c r="T62" s="29"/>
      <c r="U62" s="28"/>
      <c r="V62" s="90"/>
    </row>
    <row r="63" spans="1:22" s="128" customFormat="1" ht="25.2" customHeight="1">
      <c r="A63" s="229"/>
      <c r="B63" s="228"/>
      <c r="C63" s="222"/>
      <c r="D63" s="226"/>
      <c r="E63" s="227"/>
      <c r="F63" s="226"/>
      <c r="G63" s="225">
        <v>162</v>
      </c>
      <c r="H63" s="225">
        <v>162</v>
      </c>
      <c r="I63" s="224">
        <v>90</v>
      </c>
      <c r="J63" s="223">
        <f>ROUND(I63*H63*G63/1000000,3)</f>
        <v>2.3620000000000001</v>
      </c>
      <c r="K63" s="258">
        <v>1320</v>
      </c>
      <c r="L63" s="258">
        <v>1625</v>
      </c>
      <c r="M63" s="252"/>
      <c r="N63" s="249"/>
      <c r="O63" s="223"/>
      <c r="P63" s="222"/>
      <c r="Q63" s="250"/>
      <c r="R63" s="27"/>
      <c r="S63" s="28"/>
      <c r="T63" s="126"/>
      <c r="U63" s="125"/>
      <c r="V63" s="127"/>
    </row>
    <row r="64" spans="1:22" s="91" customFormat="1" ht="25.35" customHeight="1">
      <c r="A64" s="156">
        <v>26</v>
      </c>
      <c r="B64" s="157" t="s">
        <v>159</v>
      </c>
      <c r="C64" s="24" t="s">
        <v>191</v>
      </c>
      <c r="D64" s="248" t="s">
        <v>179</v>
      </c>
      <c r="E64" s="25">
        <v>1</v>
      </c>
      <c r="F64" s="158" t="s">
        <v>180</v>
      </c>
      <c r="G64" s="55"/>
      <c r="H64" s="55"/>
      <c r="I64" s="232"/>
      <c r="J64" s="231"/>
      <c r="K64" s="257"/>
      <c r="L64" s="257"/>
      <c r="M64" s="274" t="s">
        <v>181</v>
      </c>
      <c r="N64" s="230"/>
      <c r="O64" s="26"/>
      <c r="P64" s="24"/>
      <c r="Q64" s="97"/>
      <c r="R64" s="27"/>
      <c r="S64" s="28"/>
      <c r="T64" s="29"/>
      <c r="U64" s="28"/>
      <c r="V64" s="90"/>
    </row>
    <row r="65" spans="1:22" s="128" customFormat="1" ht="25.2" customHeight="1">
      <c r="A65" s="229"/>
      <c r="B65" s="228"/>
      <c r="C65" s="222"/>
      <c r="D65" s="226"/>
      <c r="E65" s="227"/>
      <c r="F65" s="226"/>
      <c r="G65" s="225">
        <v>117</v>
      </c>
      <c r="H65" s="225">
        <v>117</v>
      </c>
      <c r="I65" s="224">
        <v>75</v>
      </c>
      <c r="J65" s="223">
        <f>ROUND(I65*H65*G65/1000000,3)</f>
        <v>1.0269999999999999</v>
      </c>
      <c r="K65" s="258">
        <v>487</v>
      </c>
      <c r="L65" s="258">
        <v>637</v>
      </c>
      <c r="M65" s="252"/>
      <c r="N65" s="249"/>
      <c r="O65" s="223"/>
      <c r="P65" s="222"/>
      <c r="Q65" s="250"/>
      <c r="R65" s="27"/>
      <c r="S65" s="28"/>
      <c r="T65" s="126"/>
      <c r="U65" s="125"/>
      <c r="V65" s="127"/>
    </row>
    <row r="66" spans="1:22" s="32" customFormat="1" ht="28.35" customHeight="1" thickBot="1">
      <c r="A66" s="488" t="s">
        <v>192</v>
      </c>
      <c r="B66" s="489"/>
      <c r="C66" s="489"/>
      <c r="D66" s="490"/>
      <c r="E66" s="221">
        <f>SUM(E14:E65)</f>
        <v>26</v>
      </c>
      <c r="F66" s="283" t="s">
        <v>180</v>
      </c>
      <c r="G66" s="221"/>
      <c r="H66" s="221"/>
      <c r="I66" s="221"/>
      <c r="J66" s="273">
        <f>SUM(J4:J65)</f>
        <v>44.135000000000012</v>
      </c>
      <c r="K66" s="273">
        <f>SUM(K5:K65)</f>
        <v>21259</v>
      </c>
      <c r="L66" s="273">
        <f>SUM(L5:L65)</f>
        <v>27223</v>
      </c>
      <c r="M66" s="220"/>
      <c r="N66" s="220"/>
      <c r="O66" s="119"/>
      <c r="P66" s="67"/>
      <c r="Q66" s="87"/>
      <c r="R66" s="30"/>
      <c r="S66" s="28"/>
      <c r="T66" s="30"/>
      <c r="U66" s="31"/>
      <c r="V66" s="31"/>
    </row>
    <row r="67" spans="1:22" s="9" customFormat="1" ht="22.5" customHeight="1">
      <c r="A67" s="5"/>
      <c r="B67" s="8"/>
      <c r="C67" s="8"/>
      <c r="D67" s="33"/>
      <c r="E67" s="34"/>
      <c r="F67" s="8"/>
      <c r="G67" s="56"/>
      <c r="H67" s="56"/>
      <c r="I67" s="58"/>
      <c r="J67" s="218"/>
      <c r="K67" s="259"/>
      <c r="L67" s="259"/>
      <c r="M67" s="56"/>
      <c r="N67" s="56"/>
      <c r="O67" s="35"/>
      <c r="P67" s="37"/>
      <c r="Q67" s="19"/>
      <c r="R67" s="38"/>
      <c r="S67" s="38"/>
      <c r="T67" s="38"/>
      <c r="U67" s="11"/>
      <c r="V67" s="11"/>
    </row>
    <row r="68" spans="1:22" s="9" customFormat="1" ht="12" customHeight="1">
      <c r="A68" s="5"/>
      <c r="B68" s="8"/>
      <c r="C68" s="8"/>
      <c r="E68" s="34"/>
      <c r="F68" s="8"/>
      <c r="G68" s="56"/>
      <c r="H68" s="56"/>
      <c r="I68" s="58"/>
      <c r="J68" s="218"/>
      <c r="K68" s="259"/>
      <c r="L68" s="259"/>
      <c r="M68" s="56"/>
      <c r="N68" s="56"/>
      <c r="O68" s="35"/>
      <c r="P68" s="37"/>
      <c r="Q68" s="19"/>
      <c r="R68" s="6"/>
      <c r="S68" s="6"/>
      <c r="T68" s="6"/>
      <c r="U68" s="11"/>
      <c r="V68" s="11"/>
    </row>
    <row r="69" spans="1:22" s="9" customFormat="1" ht="22.5" customHeight="1">
      <c r="A69" s="5"/>
      <c r="B69" s="8"/>
      <c r="C69" s="8"/>
      <c r="E69" s="34"/>
      <c r="F69" s="8"/>
      <c r="G69" s="56"/>
      <c r="H69" s="56"/>
      <c r="I69" s="58"/>
      <c r="J69" s="218"/>
      <c r="K69" s="259"/>
      <c r="L69" s="259"/>
      <c r="M69" s="56"/>
      <c r="N69" s="56"/>
      <c r="O69" s="35"/>
      <c r="P69" s="37"/>
      <c r="Q69" s="19"/>
      <c r="R69" s="6"/>
      <c r="S69" s="6"/>
      <c r="T69" s="6"/>
      <c r="U69" s="11"/>
      <c r="V69" s="11"/>
    </row>
    <row r="70" spans="1:22" s="9" customFormat="1" ht="12" customHeight="1">
      <c r="A70" s="5"/>
      <c r="B70" s="8"/>
      <c r="C70" s="8"/>
      <c r="E70" s="34"/>
      <c r="F70" s="8"/>
      <c r="G70" s="56"/>
      <c r="H70" s="56"/>
      <c r="I70" s="58"/>
      <c r="J70" s="218"/>
      <c r="K70" s="259"/>
      <c r="L70" s="259"/>
      <c r="M70" s="56"/>
      <c r="N70" s="56"/>
      <c r="O70" s="35"/>
      <c r="P70" s="37"/>
      <c r="Q70" s="19"/>
      <c r="R70" s="6"/>
      <c r="S70" s="6"/>
      <c r="T70" s="6"/>
      <c r="U70" s="11"/>
      <c r="V70" s="11"/>
    </row>
    <row r="71" spans="1:22" s="9" customFormat="1" ht="12" customHeight="1">
      <c r="A71" s="5"/>
      <c r="B71" s="8"/>
      <c r="C71" s="8"/>
      <c r="E71" s="39"/>
      <c r="F71" s="40"/>
      <c r="G71" s="56"/>
      <c r="H71" s="56"/>
      <c r="I71" s="58"/>
      <c r="J71" s="218"/>
      <c r="K71" s="259"/>
      <c r="L71" s="259"/>
      <c r="M71" s="56"/>
      <c r="N71" s="56"/>
      <c r="O71" s="35"/>
      <c r="P71" s="37"/>
      <c r="Q71" s="19"/>
      <c r="R71" s="6"/>
      <c r="S71" s="6"/>
      <c r="T71" s="6"/>
      <c r="U71" s="11"/>
      <c r="V71" s="11"/>
    </row>
    <row r="72" spans="1:22" s="9" customFormat="1" ht="12" customHeight="1">
      <c r="A72" s="5"/>
      <c r="B72" s="8"/>
      <c r="C72" s="8"/>
      <c r="E72" s="39"/>
      <c r="F72" s="40"/>
      <c r="G72" s="56"/>
      <c r="H72" s="56"/>
      <c r="I72" s="58"/>
      <c r="J72" s="218"/>
      <c r="K72" s="259"/>
      <c r="L72" s="259"/>
      <c r="M72" s="56"/>
      <c r="N72" s="56"/>
      <c r="O72" s="35"/>
      <c r="P72" s="37"/>
      <c r="Q72" s="19"/>
      <c r="R72" s="6"/>
      <c r="S72" s="6"/>
      <c r="T72" s="6"/>
      <c r="U72" s="11"/>
      <c r="V72" s="11"/>
    </row>
    <row r="73" spans="1:22" s="9" customFormat="1" ht="12" customHeight="1">
      <c r="A73" s="5"/>
      <c r="B73" s="8"/>
      <c r="C73" s="8"/>
      <c r="E73" s="39"/>
      <c r="F73" s="40"/>
      <c r="G73" s="56"/>
      <c r="H73" s="56"/>
      <c r="I73" s="58"/>
      <c r="J73" s="218"/>
      <c r="K73" s="259"/>
      <c r="L73" s="259"/>
      <c r="M73" s="56"/>
      <c r="N73" s="56"/>
      <c r="O73" s="35"/>
      <c r="P73" s="37"/>
      <c r="Q73" s="19"/>
      <c r="R73" s="6"/>
      <c r="S73" s="6"/>
      <c r="T73" s="6"/>
      <c r="U73" s="11"/>
      <c r="V73" s="11"/>
    </row>
    <row r="74" spans="1:22" s="44" customFormat="1" ht="29.25" customHeight="1">
      <c r="A74" s="10"/>
      <c r="B74" s="10"/>
      <c r="C74" s="10"/>
      <c r="E74" s="41"/>
      <c r="F74" s="40"/>
      <c r="G74" s="57"/>
      <c r="H74" s="57"/>
      <c r="I74" s="95"/>
      <c r="J74" s="219"/>
      <c r="K74" s="260"/>
      <c r="L74" s="260"/>
      <c r="M74" s="57"/>
      <c r="N74" s="57"/>
      <c r="O74" s="42"/>
      <c r="P74" s="19"/>
      <c r="Q74" s="19"/>
      <c r="R74" s="6"/>
      <c r="S74" s="6"/>
      <c r="T74" s="6"/>
      <c r="U74" s="43"/>
      <c r="V74" s="43"/>
    </row>
    <row r="75" spans="1:22" s="44" customFormat="1" ht="29.25" customHeight="1">
      <c r="A75" s="10"/>
      <c r="B75" s="10"/>
      <c r="C75" s="10"/>
      <c r="E75" s="41"/>
      <c r="F75" s="40"/>
      <c r="G75" s="57"/>
      <c r="H75" s="57"/>
      <c r="I75" s="95"/>
      <c r="J75" s="219"/>
      <c r="K75" s="260"/>
      <c r="L75" s="260"/>
      <c r="M75" s="57"/>
      <c r="N75" s="57"/>
      <c r="O75" s="42"/>
      <c r="P75" s="19"/>
      <c r="Q75" s="19"/>
      <c r="R75" s="6"/>
      <c r="S75" s="6"/>
      <c r="T75" s="6"/>
      <c r="U75" s="43"/>
      <c r="V75" s="43"/>
    </row>
    <row r="76" spans="1:22" s="9" customFormat="1" ht="12" customHeight="1">
      <c r="A76" s="5"/>
      <c r="B76" s="8"/>
      <c r="C76" s="8"/>
      <c r="E76" s="39"/>
      <c r="F76" s="8"/>
      <c r="G76" s="56"/>
      <c r="H76" s="56"/>
      <c r="I76" s="58"/>
      <c r="J76" s="218"/>
      <c r="K76" s="259"/>
      <c r="L76" s="259"/>
      <c r="M76" s="56"/>
      <c r="N76" s="56"/>
      <c r="O76" s="35"/>
      <c r="P76" s="37"/>
      <c r="Q76" s="19"/>
      <c r="R76" s="6"/>
      <c r="S76" s="6"/>
      <c r="T76" s="6"/>
      <c r="U76" s="11"/>
      <c r="V76" s="11"/>
    </row>
    <row r="77" spans="1:22" s="9" customFormat="1" ht="18" customHeight="1">
      <c r="A77" s="5"/>
      <c r="B77" s="8"/>
      <c r="C77" s="8"/>
      <c r="D77" s="5"/>
      <c r="E77" s="39"/>
      <c r="F77" s="8"/>
      <c r="G77" s="56"/>
      <c r="H77" s="56"/>
      <c r="I77" s="58"/>
      <c r="J77" s="218"/>
      <c r="K77" s="259"/>
      <c r="L77" s="259"/>
      <c r="M77" s="56"/>
      <c r="N77" s="56"/>
      <c r="O77" s="35"/>
      <c r="P77" s="37"/>
      <c r="Q77" s="19"/>
      <c r="R77" s="6"/>
      <c r="S77" s="6"/>
      <c r="T77" s="6"/>
      <c r="U77" s="11"/>
      <c r="V77" s="11"/>
    </row>
    <row r="78" spans="1:22" s="9" customFormat="1" ht="12" customHeight="1">
      <c r="A78" s="5"/>
      <c r="B78" s="8"/>
      <c r="C78" s="8"/>
      <c r="D78" s="5"/>
      <c r="E78" s="39"/>
      <c r="F78" s="8"/>
      <c r="G78" s="56"/>
      <c r="H78" s="56"/>
      <c r="I78" s="58"/>
      <c r="J78" s="218"/>
      <c r="K78" s="259"/>
      <c r="L78" s="259"/>
      <c r="M78" s="56"/>
      <c r="N78" s="56"/>
      <c r="O78" s="35"/>
      <c r="P78" s="37"/>
      <c r="Q78" s="19"/>
      <c r="R78" s="6"/>
      <c r="S78" s="6"/>
      <c r="T78" s="6"/>
      <c r="U78" s="11"/>
      <c r="V78" s="11"/>
    </row>
    <row r="79" spans="1:22" s="9" customFormat="1" ht="12" customHeight="1">
      <c r="A79" s="5"/>
      <c r="B79" s="8"/>
      <c r="C79" s="8"/>
      <c r="D79" s="5"/>
      <c r="E79" s="39"/>
      <c r="F79" s="8"/>
      <c r="G79" s="56"/>
      <c r="H79" s="56"/>
      <c r="I79" s="58"/>
      <c r="J79" s="218"/>
      <c r="K79" s="259"/>
      <c r="L79" s="259"/>
      <c r="M79" s="56"/>
      <c r="N79" s="56"/>
      <c r="O79" s="35"/>
      <c r="P79" s="37"/>
      <c r="Q79" s="19"/>
      <c r="R79" s="6"/>
      <c r="S79" s="6"/>
      <c r="T79" s="6"/>
      <c r="U79" s="11"/>
      <c r="V79" s="11"/>
    </row>
    <row r="80" spans="1:22" s="9" customFormat="1" ht="12" customHeight="1">
      <c r="A80" s="5"/>
      <c r="B80" s="8"/>
      <c r="C80" s="8"/>
      <c r="D80" s="5"/>
      <c r="E80" s="39"/>
      <c r="F80" s="8"/>
      <c r="G80" s="56"/>
      <c r="H80" s="56"/>
      <c r="I80" s="58"/>
      <c r="J80" s="218"/>
      <c r="K80" s="259"/>
      <c r="L80" s="259"/>
      <c r="M80" s="56"/>
      <c r="N80" s="56"/>
      <c r="O80" s="35"/>
      <c r="P80" s="37"/>
      <c r="Q80" s="19"/>
      <c r="R80" s="6"/>
      <c r="S80" s="6"/>
      <c r="T80" s="6"/>
      <c r="U80" s="11"/>
      <c r="V80" s="11"/>
    </row>
    <row r="81" spans="1:22" s="9" customFormat="1" ht="12" customHeight="1">
      <c r="A81" s="5"/>
      <c r="B81" s="8"/>
      <c r="C81" s="8"/>
      <c r="D81" s="5"/>
      <c r="E81" s="39"/>
      <c r="F81" s="8"/>
      <c r="G81" s="56"/>
      <c r="H81" s="56"/>
      <c r="I81" s="58"/>
      <c r="J81" s="218"/>
      <c r="K81" s="259"/>
      <c r="L81" s="259"/>
      <c r="M81" s="56"/>
      <c r="N81" s="56"/>
      <c r="O81" s="35"/>
      <c r="P81" s="37"/>
      <c r="Q81" s="19"/>
      <c r="R81" s="6"/>
      <c r="S81" s="6"/>
      <c r="T81" s="6"/>
      <c r="U81" s="11"/>
      <c r="V81" s="11"/>
    </row>
    <row r="82" spans="1:22" s="9" customFormat="1" ht="12" customHeight="1">
      <c r="A82" s="5"/>
      <c r="B82" s="8"/>
      <c r="C82" s="8"/>
      <c r="D82" s="5"/>
      <c r="E82" s="39"/>
      <c r="F82" s="8"/>
      <c r="G82" s="56"/>
      <c r="H82" s="56"/>
      <c r="I82" s="58"/>
      <c r="J82" s="218"/>
      <c r="K82" s="259"/>
      <c r="L82" s="259"/>
      <c r="M82" s="56"/>
      <c r="N82" s="56"/>
      <c r="O82" s="35"/>
      <c r="P82" s="37"/>
      <c r="Q82" s="19"/>
      <c r="R82" s="6"/>
      <c r="S82" s="6"/>
      <c r="T82" s="6"/>
      <c r="U82" s="11"/>
      <c r="V82" s="11"/>
    </row>
    <row r="83" spans="1:22" s="9" customFormat="1" ht="13.5" customHeight="1">
      <c r="A83" s="5"/>
      <c r="B83" s="8"/>
      <c r="C83" s="8"/>
      <c r="D83" s="5"/>
      <c r="E83" s="39"/>
      <c r="F83" s="8"/>
      <c r="G83" s="56"/>
      <c r="H83" s="56"/>
      <c r="I83" s="58"/>
      <c r="J83" s="218"/>
      <c r="K83" s="259"/>
      <c r="L83" s="259"/>
      <c r="M83" s="56"/>
      <c r="N83" s="56"/>
      <c r="O83" s="35"/>
      <c r="P83" s="37"/>
      <c r="Q83" s="19"/>
      <c r="R83" s="6"/>
      <c r="S83" s="6"/>
      <c r="T83" s="6"/>
      <c r="U83" s="11"/>
      <c r="V83" s="11"/>
    </row>
    <row r="84" spans="1:22" s="9" customFormat="1" ht="13.5" customHeight="1">
      <c r="A84" s="5"/>
      <c r="B84" s="8"/>
      <c r="C84" s="8"/>
      <c r="D84" s="5"/>
      <c r="E84" s="39"/>
      <c r="F84" s="8"/>
      <c r="G84" s="56"/>
      <c r="H84" s="56"/>
      <c r="I84" s="58"/>
      <c r="J84" s="218"/>
      <c r="K84" s="259"/>
      <c r="L84" s="259"/>
      <c r="M84" s="56"/>
      <c r="N84" s="56"/>
      <c r="O84" s="35"/>
      <c r="P84" s="37"/>
      <c r="Q84" s="19"/>
      <c r="R84" s="6"/>
      <c r="S84" s="6"/>
      <c r="T84" s="6"/>
      <c r="U84" s="11"/>
      <c r="V84" s="11"/>
    </row>
    <row r="85" spans="1:22" s="9" customFormat="1" ht="13.5" customHeight="1">
      <c r="A85" s="5"/>
      <c r="B85" s="8"/>
      <c r="C85" s="8"/>
      <c r="D85" s="5"/>
      <c r="E85" s="39"/>
      <c r="F85" s="8"/>
      <c r="G85" s="56"/>
      <c r="H85" s="56"/>
      <c r="I85" s="58"/>
      <c r="J85" s="218"/>
      <c r="K85" s="259"/>
      <c r="L85" s="259"/>
      <c r="M85" s="56"/>
      <c r="N85" s="56"/>
      <c r="O85" s="35"/>
      <c r="P85" s="37"/>
      <c r="Q85" s="19"/>
      <c r="R85" s="6"/>
      <c r="S85" s="6"/>
      <c r="T85" s="6"/>
      <c r="U85" s="11"/>
      <c r="V85" s="11"/>
    </row>
    <row r="86" spans="1:22" s="9" customFormat="1" ht="29.25" customHeight="1">
      <c r="A86" s="5"/>
      <c r="B86" s="8"/>
      <c r="C86" s="8"/>
      <c r="D86" s="5"/>
      <c r="E86" s="39"/>
      <c r="F86" s="8"/>
      <c r="G86" s="56"/>
      <c r="H86" s="56"/>
      <c r="I86" s="58"/>
      <c r="J86" s="218"/>
      <c r="K86" s="259"/>
      <c r="L86" s="259"/>
      <c r="M86" s="56"/>
      <c r="N86" s="56"/>
      <c r="O86" s="35"/>
      <c r="P86" s="37"/>
      <c r="Q86" s="19"/>
      <c r="R86" s="6"/>
      <c r="S86" s="6"/>
      <c r="T86" s="6"/>
      <c r="U86" s="11"/>
      <c r="V86" s="11"/>
    </row>
    <row r="87" spans="1:22" s="9" customFormat="1" ht="13.5" customHeight="1">
      <c r="A87" s="5"/>
      <c r="B87" s="8"/>
      <c r="C87" s="8"/>
      <c r="D87" s="5"/>
      <c r="E87" s="39"/>
      <c r="F87" s="8"/>
      <c r="G87" s="56"/>
      <c r="H87" s="56"/>
      <c r="I87" s="58"/>
      <c r="J87" s="218"/>
      <c r="K87" s="259"/>
      <c r="L87" s="259"/>
      <c r="M87" s="56"/>
      <c r="N87" s="56"/>
      <c r="O87" s="35"/>
      <c r="P87" s="37"/>
      <c r="Q87" s="19"/>
      <c r="R87" s="6"/>
      <c r="S87" s="6"/>
      <c r="T87" s="6"/>
      <c r="U87" s="11"/>
      <c r="V87" s="11"/>
    </row>
    <row r="88" spans="1:22" s="9" customFormat="1" ht="13.5" customHeight="1">
      <c r="A88" s="5"/>
      <c r="B88" s="8"/>
      <c r="C88" s="8"/>
      <c r="D88" s="5"/>
      <c r="E88" s="39"/>
      <c r="F88" s="8"/>
      <c r="G88" s="56"/>
      <c r="H88" s="56"/>
      <c r="I88" s="58"/>
      <c r="J88" s="218"/>
      <c r="K88" s="259"/>
      <c r="L88" s="259"/>
      <c r="M88" s="56"/>
      <c r="N88" s="56"/>
      <c r="O88" s="35"/>
      <c r="P88" s="37"/>
      <c r="Q88" s="19"/>
      <c r="R88" s="6"/>
      <c r="S88" s="6"/>
      <c r="T88" s="6"/>
      <c r="U88" s="11"/>
      <c r="V88" s="11"/>
    </row>
    <row r="89" spans="1:22" s="9" customFormat="1" ht="13.5" customHeight="1">
      <c r="A89" s="5"/>
      <c r="B89" s="8"/>
      <c r="C89" s="8"/>
      <c r="D89" s="5"/>
      <c r="E89" s="39"/>
      <c r="F89" s="8"/>
      <c r="G89" s="56"/>
      <c r="H89" s="56"/>
      <c r="I89" s="58"/>
      <c r="J89" s="218"/>
      <c r="K89" s="259"/>
      <c r="L89" s="259"/>
      <c r="M89" s="56"/>
      <c r="N89" s="56"/>
      <c r="O89" s="35"/>
      <c r="P89" s="37"/>
      <c r="Q89" s="19"/>
      <c r="R89" s="6"/>
      <c r="S89" s="6"/>
      <c r="T89" s="6"/>
      <c r="U89" s="11"/>
      <c r="V89" s="11"/>
    </row>
    <row r="90" spans="1:22" s="9" customFormat="1" ht="13.5" customHeight="1">
      <c r="A90" s="5"/>
      <c r="B90" s="8"/>
      <c r="C90" s="8"/>
      <c r="D90" s="5"/>
      <c r="E90" s="39"/>
      <c r="F90" s="8"/>
      <c r="G90" s="56"/>
      <c r="H90" s="56"/>
      <c r="I90" s="58"/>
      <c r="J90" s="218"/>
      <c r="K90" s="259"/>
      <c r="L90" s="259"/>
      <c r="M90" s="56"/>
      <c r="N90" s="56"/>
      <c r="O90" s="35"/>
      <c r="P90" s="37"/>
      <c r="Q90" s="19"/>
      <c r="R90" s="6"/>
      <c r="S90" s="6"/>
      <c r="T90" s="6"/>
      <c r="U90" s="11"/>
      <c r="V90" s="11"/>
    </row>
    <row r="91" spans="1:22" s="9" customFormat="1" ht="13.5" customHeight="1">
      <c r="A91" s="5"/>
      <c r="B91" s="8"/>
      <c r="C91" s="8"/>
      <c r="D91" s="5"/>
      <c r="E91" s="39"/>
      <c r="F91" s="8"/>
      <c r="G91" s="56"/>
      <c r="H91" s="56"/>
      <c r="I91" s="58"/>
      <c r="J91" s="218"/>
      <c r="K91" s="259"/>
      <c r="L91" s="259"/>
      <c r="M91" s="56"/>
      <c r="N91" s="56"/>
      <c r="O91" s="35"/>
      <c r="P91" s="37"/>
      <c r="Q91" s="19"/>
      <c r="R91" s="6"/>
      <c r="S91" s="6"/>
      <c r="T91" s="6"/>
      <c r="U91" s="11"/>
      <c r="V91" s="11"/>
    </row>
    <row r="92" spans="1:22" s="9" customFormat="1" ht="13.5" customHeight="1">
      <c r="A92" s="5"/>
      <c r="B92" s="8"/>
      <c r="C92" s="8"/>
      <c r="D92" s="5"/>
      <c r="E92" s="39"/>
      <c r="F92" s="8"/>
      <c r="G92" s="56"/>
      <c r="H92" s="56"/>
      <c r="I92" s="58"/>
      <c r="J92" s="218"/>
      <c r="K92" s="259"/>
      <c r="L92" s="259"/>
      <c r="M92" s="56"/>
      <c r="N92" s="56"/>
      <c r="O92" s="35"/>
      <c r="P92" s="37"/>
      <c r="Q92" s="19"/>
      <c r="R92" s="6"/>
      <c r="S92" s="6"/>
      <c r="T92" s="6"/>
      <c r="U92" s="11"/>
      <c r="V92" s="11"/>
    </row>
    <row r="93" spans="1:22" s="9" customFormat="1" ht="13.5" customHeight="1">
      <c r="A93" s="5"/>
      <c r="B93" s="8"/>
      <c r="C93" s="8"/>
      <c r="D93" s="5"/>
      <c r="E93" s="39"/>
      <c r="F93" s="8"/>
      <c r="G93" s="56"/>
      <c r="H93" s="56"/>
      <c r="I93" s="58"/>
      <c r="J93" s="218"/>
      <c r="K93" s="259"/>
      <c r="L93" s="259"/>
      <c r="M93" s="56"/>
      <c r="N93" s="56"/>
      <c r="O93" s="35"/>
      <c r="P93" s="37"/>
      <c r="Q93" s="19"/>
      <c r="R93" s="6"/>
      <c r="S93" s="6"/>
      <c r="T93" s="6"/>
      <c r="U93" s="11"/>
      <c r="V93" s="11"/>
    </row>
    <row r="94" spans="1:22" s="9" customFormat="1" ht="13.5" customHeight="1">
      <c r="A94" s="5"/>
      <c r="B94" s="8"/>
      <c r="C94" s="8"/>
      <c r="D94" s="5"/>
      <c r="E94" s="39"/>
      <c r="F94" s="8"/>
      <c r="G94" s="56"/>
      <c r="H94" s="56"/>
      <c r="I94" s="58"/>
      <c r="J94" s="218"/>
      <c r="K94" s="259"/>
      <c r="L94" s="259"/>
      <c r="M94" s="56"/>
      <c r="N94" s="56"/>
      <c r="O94" s="35"/>
      <c r="P94" s="37"/>
      <c r="Q94" s="19"/>
      <c r="R94" s="6"/>
      <c r="S94" s="6"/>
      <c r="T94" s="6"/>
      <c r="U94" s="11"/>
      <c r="V94" s="11"/>
    </row>
    <row r="95" spans="1:22" s="9" customFormat="1" ht="13.5" customHeight="1">
      <c r="A95" s="5"/>
      <c r="B95" s="8"/>
      <c r="C95" s="8"/>
      <c r="D95" s="5"/>
      <c r="E95" s="39"/>
      <c r="F95" s="8"/>
      <c r="G95" s="56"/>
      <c r="H95" s="56"/>
      <c r="I95" s="58"/>
      <c r="J95" s="218"/>
      <c r="K95" s="259"/>
      <c r="L95" s="259"/>
      <c r="M95" s="56"/>
      <c r="N95" s="56"/>
      <c r="O95" s="35"/>
      <c r="P95" s="37"/>
      <c r="Q95" s="19"/>
      <c r="R95" s="6"/>
      <c r="S95" s="6"/>
      <c r="T95" s="6"/>
      <c r="U95" s="11"/>
      <c r="V95" s="11"/>
    </row>
    <row r="96" spans="1:22" s="9" customFormat="1" ht="13.5" customHeight="1">
      <c r="A96" s="5"/>
      <c r="B96" s="8"/>
      <c r="C96" s="8"/>
      <c r="D96" s="5"/>
      <c r="E96" s="39"/>
      <c r="F96" s="8"/>
      <c r="G96" s="56"/>
      <c r="H96" s="56"/>
      <c r="I96" s="58"/>
      <c r="J96" s="218"/>
      <c r="K96" s="259"/>
      <c r="L96" s="259"/>
      <c r="M96" s="56"/>
      <c r="N96" s="56"/>
      <c r="O96" s="35"/>
      <c r="P96" s="37"/>
      <c r="Q96" s="19"/>
      <c r="R96" s="6"/>
      <c r="S96" s="6"/>
      <c r="T96" s="6"/>
      <c r="U96" s="11"/>
      <c r="V96" s="11"/>
    </row>
    <row r="97" spans="1:22" s="9" customFormat="1" ht="13.5" customHeight="1">
      <c r="A97" s="5"/>
      <c r="B97" s="8"/>
      <c r="C97" s="8"/>
      <c r="D97" s="5"/>
      <c r="E97" s="39"/>
      <c r="F97" s="8"/>
      <c r="G97" s="56"/>
      <c r="H97" s="56"/>
      <c r="I97" s="58"/>
      <c r="J97" s="218"/>
      <c r="K97" s="259"/>
      <c r="L97" s="259"/>
      <c r="M97" s="56"/>
      <c r="N97" s="56"/>
      <c r="O97" s="35"/>
      <c r="P97" s="37"/>
      <c r="Q97" s="19"/>
      <c r="R97" s="6"/>
      <c r="S97" s="6"/>
      <c r="T97" s="6"/>
      <c r="U97" s="11"/>
      <c r="V97" s="11"/>
    </row>
    <row r="98" spans="1:22" s="9" customFormat="1" ht="13.5" customHeight="1">
      <c r="A98" s="5"/>
      <c r="B98" s="8"/>
      <c r="C98" s="8"/>
      <c r="D98" s="5"/>
      <c r="E98" s="39"/>
      <c r="F98" s="8"/>
      <c r="G98" s="56"/>
      <c r="H98" s="56"/>
      <c r="I98" s="58"/>
      <c r="J98" s="218"/>
      <c r="K98" s="259"/>
      <c r="L98" s="259"/>
      <c r="M98" s="56"/>
      <c r="N98" s="56"/>
      <c r="O98" s="35"/>
      <c r="P98" s="37"/>
      <c r="Q98" s="19"/>
      <c r="R98" s="6"/>
      <c r="S98" s="6"/>
      <c r="T98" s="6"/>
      <c r="U98" s="11"/>
      <c r="V98" s="11"/>
    </row>
    <row r="99" spans="1:22" s="9" customFormat="1" ht="13.5" customHeight="1">
      <c r="A99" s="5"/>
      <c r="B99" s="8"/>
      <c r="C99" s="8"/>
      <c r="D99" s="5"/>
      <c r="E99" s="39"/>
      <c r="F99" s="8"/>
      <c r="G99" s="56"/>
      <c r="H99" s="56"/>
      <c r="I99" s="58"/>
      <c r="J99" s="218"/>
      <c r="K99" s="259"/>
      <c r="L99" s="259"/>
      <c r="M99" s="56"/>
      <c r="N99" s="56"/>
      <c r="O99" s="35"/>
      <c r="P99" s="37"/>
      <c r="Q99" s="19"/>
      <c r="R99" s="6"/>
      <c r="S99" s="6"/>
      <c r="T99" s="6"/>
      <c r="U99" s="11"/>
      <c r="V99" s="11"/>
    </row>
    <row r="100" spans="1:22" s="9" customFormat="1" ht="13.5" customHeight="1">
      <c r="A100" s="5"/>
      <c r="B100" s="8"/>
      <c r="C100" s="8"/>
      <c r="D100" s="5"/>
      <c r="E100" s="39"/>
      <c r="F100" s="8"/>
      <c r="G100" s="56"/>
      <c r="H100" s="56"/>
      <c r="I100" s="58"/>
      <c r="J100" s="218"/>
      <c r="K100" s="259"/>
      <c r="L100" s="259"/>
      <c r="M100" s="56"/>
      <c r="N100" s="56"/>
      <c r="O100" s="35"/>
      <c r="P100" s="37"/>
      <c r="Q100" s="19"/>
      <c r="R100" s="6"/>
      <c r="S100" s="6"/>
      <c r="T100" s="6"/>
      <c r="U100" s="11"/>
      <c r="V100" s="11"/>
    </row>
    <row r="101" spans="1:22" s="9" customFormat="1" ht="13.5" customHeight="1">
      <c r="A101" s="5"/>
      <c r="B101" s="8"/>
      <c r="C101" s="8"/>
      <c r="D101" s="5"/>
      <c r="E101" s="39"/>
      <c r="F101" s="8"/>
      <c r="G101" s="56"/>
      <c r="H101" s="56"/>
      <c r="I101" s="58"/>
      <c r="J101" s="218"/>
      <c r="K101" s="259"/>
      <c r="L101" s="259"/>
      <c r="M101" s="56"/>
      <c r="N101" s="56"/>
      <c r="O101" s="35"/>
      <c r="P101" s="37"/>
      <c r="Q101" s="19"/>
      <c r="R101" s="12"/>
      <c r="S101" s="12"/>
      <c r="T101" s="12"/>
      <c r="U101" s="11"/>
      <c r="V101" s="11"/>
    </row>
    <row r="102" spans="1:22" s="9" customFormat="1" ht="13.5" customHeight="1">
      <c r="A102" s="5"/>
      <c r="B102" s="8"/>
      <c r="C102" s="8"/>
      <c r="D102" s="5"/>
      <c r="E102" s="39"/>
      <c r="F102" s="8"/>
      <c r="G102" s="56"/>
      <c r="H102" s="56"/>
      <c r="I102" s="58"/>
      <c r="J102" s="218"/>
      <c r="K102" s="259"/>
      <c r="L102" s="259"/>
      <c r="M102" s="56"/>
      <c r="N102" s="56"/>
      <c r="O102" s="35"/>
      <c r="P102" s="37"/>
      <c r="Q102" s="19"/>
      <c r="R102" s="12"/>
      <c r="S102" s="12"/>
      <c r="T102" s="12"/>
      <c r="U102" s="11"/>
      <c r="V102" s="11"/>
    </row>
    <row r="103" spans="1:22" s="9" customFormat="1" ht="13.5" customHeight="1">
      <c r="A103" s="5"/>
      <c r="B103" s="8"/>
      <c r="C103" s="8"/>
      <c r="D103" s="5"/>
      <c r="E103" s="39"/>
      <c r="F103" s="8"/>
      <c r="G103" s="56"/>
      <c r="H103" s="56"/>
      <c r="I103" s="58"/>
      <c r="J103" s="218"/>
      <c r="K103" s="259"/>
      <c r="L103" s="259"/>
      <c r="M103" s="56"/>
      <c r="N103" s="56"/>
      <c r="O103" s="35"/>
      <c r="P103" s="37"/>
      <c r="Q103" s="19"/>
      <c r="R103" s="12"/>
      <c r="S103" s="12"/>
      <c r="T103" s="12"/>
      <c r="U103" s="11"/>
      <c r="V103" s="11"/>
    </row>
    <row r="104" spans="1:22" s="9" customFormat="1" ht="13.5" customHeight="1">
      <c r="A104" s="5"/>
      <c r="B104" s="8"/>
      <c r="C104" s="8"/>
      <c r="D104" s="5"/>
      <c r="E104" s="39"/>
      <c r="F104" s="8"/>
      <c r="G104" s="56"/>
      <c r="H104" s="56"/>
      <c r="I104" s="58"/>
      <c r="J104" s="218"/>
      <c r="K104" s="259"/>
      <c r="L104" s="259"/>
      <c r="M104" s="56"/>
      <c r="N104" s="56"/>
      <c r="O104" s="35"/>
      <c r="P104" s="37"/>
      <c r="Q104" s="19"/>
      <c r="R104" s="12"/>
      <c r="S104" s="12"/>
      <c r="T104" s="12"/>
      <c r="U104" s="11"/>
      <c r="V104" s="11"/>
    </row>
    <row r="105" spans="1:22" s="9" customFormat="1" ht="13.5" customHeight="1">
      <c r="A105" s="5"/>
      <c r="B105" s="8"/>
      <c r="C105" s="8"/>
      <c r="D105" s="5"/>
      <c r="E105" s="39"/>
      <c r="F105" s="8"/>
      <c r="G105" s="56"/>
      <c r="H105" s="56"/>
      <c r="I105" s="58"/>
      <c r="J105" s="218"/>
      <c r="K105" s="259"/>
      <c r="L105" s="259"/>
      <c r="M105" s="56"/>
      <c r="N105" s="56"/>
      <c r="O105" s="35"/>
      <c r="P105" s="37"/>
      <c r="Q105" s="19"/>
      <c r="R105" s="12"/>
      <c r="S105" s="12"/>
      <c r="T105" s="12"/>
      <c r="U105" s="11"/>
      <c r="V105" s="11"/>
    </row>
    <row r="106" spans="1:22" s="9" customFormat="1" ht="13.5" customHeight="1">
      <c r="A106" s="5"/>
      <c r="B106" s="8"/>
      <c r="C106" s="8"/>
      <c r="D106" s="5"/>
      <c r="E106" s="39"/>
      <c r="F106" s="8"/>
      <c r="G106" s="56"/>
      <c r="H106" s="56"/>
      <c r="I106" s="58"/>
      <c r="J106" s="218"/>
      <c r="K106" s="259"/>
      <c r="L106" s="259"/>
      <c r="M106" s="56"/>
      <c r="N106" s="56"/>
      <c r="O106" s="35"/>
      <c r="P106" s="37"/>
      <c r="Q106" s="19"/>
      <c r="R106" s="12"/>
      <c r="S106" s="12"/>
      <c r="T106" s="12"/>
      <c r="U106" s="11"/>
      <c r="V106" s="11"/>
    </row>
    <row r="107" spans="1:22" s="9" customFormat="1" ht="13.5" customHeight="1">
      <c r="A107" s="5"/>
      <c r="B107" s="8"/>
      <c r="C107" s="8"/>
      <c r="D107" s="5"/>
      <c r="E107" s="34"/>
      <c r="F107" s="8"/>
      <c r="G107" s="56"/>
      <c r="H107" s="56"/>
      <c r="I107" s="58"/>
      <c r="J107" s="218"/>
      <c r="K107" s="259"/>
      <c r="L107" s="259"/>
      <c r="M107" s="56"/>
      <c r="N107" s="56"/>
      <c r="O107" s="35"/>
      <c r="P107" s="37"/>
      <c r="Q107" s="19"/>
      <c r="R107" s="12"/>
      <c r="S107" s="12"/>
      <c r="T107" s="12"/>
      <c r="U107" s="11"/>
      <c r="V107" s="11"/>
    </row>
    <row r="108" spans="1:22" s="9" customFormat="1" ht="22.5" customHeight="1">
      <c r="A108" s="5"/>
      <c r="B108" s="475"/>
      <c r="C108" s="475"/>
      <c r="D108" s="475"/>
      <c r="E108" s="34"/>
      <c r="F108" s="8"/>
      <c r="G108" s="58"/>
      <c r="H108" s="58"/>
      <c r="I108" s="58"/>
      <c r="J108" s="217"/>
      <c r="K108" s="261"/>
      <c r="L108" s="261"/>
      <c r="M108" s="58"/>
      <c r="N108" s="58"/>
      <c r="O108" s="36"/>
      <c r="P108" s="45"/>
      <c r="Q108" s="88"/>
      <c r="R108" s="12"/>
      <c r="S108" s="12"/>
      <c r="T108" s="12"/>
      <c r="U108" s="11"/>
      <c r="V108" s="11"/>
    </row>
    <row r="109" spans="1:22">
      <c r="E109" s="47"/>
      <c r="G109" s="59"/>
      <c r="H109" s="59"/>
      <c r="K109" s="262"/>
      <c r="L109" s="262"/>
      <c r="M109" s="59"/>
      <c r="N109" s="59"/>
      <c r="O109" s="49"/>
    </row>
    <row r="110" spans="1:22">
      <c r="E110" s="47"/>
      <c r="G110" s="59"/>
      <c r="H110" s="59"/>
      <c r="K110" s="262"/>
      <c r="L110" s="262"/>
      <c r="M110" s="59"/>
      <c r="N110" s="59"/>
      <c r="O110" s="49"/>
    </row>
    <row r="111" spans="1:22">
      <c r="E111" s="47"/>
      <c r="G111" s="59"/>
      <c r="H111" s="59"/>
      <c r="K111" s="262"/>
      <c r="L111" s="262"/>
      <c r="M111" s="59"/>
      <c r="N111" s="59"/>
      <c r="O111" s="49"/>
    </row>
    <row r="112" spans="1:22">
      <c r="E112" s="47"/>
      <c r="G112" s="59"/>
      <c r="H112" s="59"/>
      <c r="K112" s="262"/>
      <c r="L112" s="262"/>
      <c r="M112" s="59"/>
      <c r="N112" s="59"/>
      <c r="O112" s="49"/>
    </row>
    <row r="113" spans="1:22">
      <c r="E113" s="47"/>
      <c r="G113" s="59"/>
      <c r="H113" s="59"/>
      <c r="K113" s="262"/>
      <c r="L113" s="262"/>
      <c r="M113" s="59"/>
      <c r="N113" s="59"/>
      <c r="O113" s="49"/>
    </row>
    <row r="114" spans="1:22" s="12" customFormat="1">
      <c r="A114" s="46"/>
      <c r="B114" s="46"/>
      <c r="C114" s="46"/>
      <c r="E114" s="47"/>
      <c r="F114" s="48"/>
      <c r="G114" s="59"/>
      <c r="H114" s="59"/>
      <c r="I114" s="60"/>
      <c r="J114" s="216"/>
      <c r="K114" s="262"/>
      <c r="L114" s="262"/>
      <c r="M114" s="59"/>
      <c r="N114" s="59"/>
      <c r="O114" s="49"/>
      <c r="P114" s="50"/>
      <c r="Q114" s="89"/>
      <c r="U114" s="13"/>
      <c r="V114" s="13"/>
    </row>
  </sheetData>
  <protectedRanges>
    <protectedRange sqref="C15:D15 G15:H15 E40:H40 C14 E14:H14 K14:Q14 J15:Q15 K40:L40 J41:L41 C17:D17 G17:H17 C16 E16:H16 J17:Q17 E42:H42 C19:D19 G19:H19 C18 E18:H18 J19:Q19 C21:D21 G21:H21 C20 E20:H20 J21:Q21 C23:D23 G23:H23 C22 E22:H22 J23:Q23 C25:D25 G25:H25 C24 E24:H24 J25:Q25 C27:D27 G27:H27 C26 E26:H26 J27:Q27 C29:D29 G29:H29 C28 E28:H28 J29:Q29 C31:D31 G31:H31 C30 E30:H30 K30:L30 J31:L31 C33:D33 G33:H33 C32 E32:H32 K32:L32 J33:L33 C35:D35 G35:H35 C34 E34:H34 K34:L34 J35:L35 C59:D59 G59:H59 J59:L59 C61:D61 G61:H61 E60:H60 K60:L60 J61:Q61 C63:D63 G63:H63 C62 E62:H62 J63:Q63 K42:L42 C42 F66 C65:D65 G65:H65 C64 E64:H64 J65:Q65 C53:D53 G53:H53 C52 E52:H52 J53:L53 C55:D55 G55:H55 E54:H54 K54:L54 J55:L55 C57:D57 G57:H57 E56:H56 K56:L56 J57:L57 C58 E58:H58 K58:L58 J51 G51:H51 C51:D51 C50 C43:D43 G43:H43 J43:L43 C45:D45 G45:H45 E44:H44 K44:L44 J45:Q45 C47:D47 G47:H47 E46:H46 K46:L46 J47:L47 K50:L52 E50:H50 C49:D49 G49:H49 C48 E48:H48 K48:L48 J49:L49 C37:D37 G37:H37 C36 E36:H36 K36:L36 J37:L37 C39:D39 G39:H39 C38 E38:H38 K38:L38 J39:L39 C41:D41 G41:H41 C40 K16:Q16 K18:Q18 K20:Q20 K22:Q22 K24:Q24 K26:Q26 K28:Q28 M30:Q44 M46:Q60 K62:Q62 K64:Q64 C44 C46 C54 C56 C60" name="범위1_1"/>
    <protectedRange sqref="F15 F41 F17 F19 F21 F23 F25 F27 F29 F31 F33 F35 F59 F61 F63 F65 F53 F55 F57 F51 F43 F45 F47 F49 F37 F39" name="범위1_1_5_1"/>
    <protectedRange sqref="E15 E41 E17 E19 E21 E23 E25 E27 E29 E31 E33 E35 E59 E61 E63 E65 E53 E55 E57 E51 E43 E45 E47 E49 E37 E39" name="범위1_1_1_2"/>
  </protectedRanges>
  <autoFilter ref="A13:V66" xr:uid="{00000000-0009-0000-0000-000004000000}"/>
  <mergeCells count="16">
    <mergeCell ref="Q12:Q13"/>
    <mergeCell ref="A66:D66"/>
    <mergeCell ref="B108:D108"/>
    <mergeCell ref="O12:O13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P12:P13"/>
    <mergeCell ref="M12:M13"/>
    <mergeCell ref="N12:N13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38" fitToHeight="0" orientation="landscape" r:id="rId1"/>
  <headerFooter alignWithMargins="0">
    <oddFooter>&amp;C&amp;"Calibri,보통"&amp;12Doosan Enerbility</oddFooter>
  </headerFooter>
  <colBreaks count="1" manualBreakCount="1">
    <brk id="2" max="9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5"/>
  <sheetViews>
    <sheetView view="pageBreakPreview" zoomScale="70" zoomScaleNormal="70" zoomScaleSheetLayoutView="70" zoomScalePageLayoutView="70" workbookViewId="0">
      <selection activeCell="J4" sqref="J4"/>
    </sheetView>
  </sheetViews>
  <sheetFormatPr defaultRowHeight="17.399999999999999"/>
  <cols>
    <col min="1" max="1" width="17.09765625" customWidth="1"/>
    <col min="2" max="2" width="9.69921875" style="236" customWidth="1"/>
    <col min="3" max="3" width="24.09765625" customWidth="1"/>
    <col min="4" max="4" width="13.19921875" customWidth="1"/>
    <col min="5" max="5" width="51.59765625" customWidth="1"/>
    <col min="6" max="6" width="24.69921875" customWidth="1"/>
    <col min="7" max="7" width="19.69921875" customWidth="1"/>
    <col min="8" max="8" width="16.59765625" style="236" customWidth="1"/>
    <col min="10" max="10" width="20.69921875" customWidth="1"/>
  </cols>
  <sheetData>
    <row r="1" spans="1:8" ht="18">
      <c r="A1" s="143" t="s">
        <v>193</v>
      </c>
      <c r="B1" s="237"/>
      <c r="C1" s="507"/>
      <c r="D1" s="507"/>
      <c r="E1" s="507"/>
      <c r="F1" s="507"/>
      <c r="G1" s="507"/>
      <c r="H1" s="237"/>
    </row>
    <row r="2" spans="1:8" ht="21.6" thickBot="1">
      <c r="A2" s="238"/>
      <c r="B2" s="237"/>
      <c r="C2" s="144"/>
      <c r="D2" s="144"/>
      <c r="E2" s="144"/>
      <c r="F2" s="144"/>
      <c r="G2" s="144"/>
      <c r="H2" s="237"/>
    </row>
    <row r="3" spans="1:8" ht="30" customHeight="1">
      <c r="A3" s="244" t="s">
        <v>194</v>
      </c>
      <c r="B3" s="245" t="s">
        <v>195</v>
      </c>
      <c r="C3" s="245" t="s">
        <v>196</v>
      </c>
      <c r="D3" s="245" t="s">
        <v>197</v>
      </c>
      <c r="E3" s="245" t="s">
        <v>198</v>
      </c>
      <c r="F3" s="245" t="s">
        <v>199</v>
      </c>
      <c r="G3" s="245" t="s">
        <v>200</v>
      </c>
      <c r="H3" s="264" t="s">
        <v>201</v>
      </c>
    </row>
    <row r="4" spans="1:8" ht="143.4" customHeight="1">
      <c r="A4" s="247" t="s">
        <v>202</v>
      </c>
      <c r="B4" s="269" t="s">
        <v>203</v>
      </c>
      <c r="C4" s="270"/>
      <c r="D4" s="246" t="s">
        <v>204</v>
      </c>
      <c r="E4" s="269" t="s">
        <v>205</v>
      </c>
      <c r="F4" s="270"/>
      <c r="G4" s="247" t="s">
        <v>206</v>
      </c>
      <c r="H4" s="248" t="s">
        <v>179</v>
      </c>
    </row>
    <row r="5" spans="1:8">
      <c r="B5" s="251"/>
    </row>
  </sheetData>
  <mergeCells count="1">
    <mergeCell ref="C1:G1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69" fitToHeight="0" orientation="landscape" r:id="rId1"/>
  <headerFooter alignWithMargins="0">
    <oddFooter>&amp;C&amp;"Calibri,보통"&amp;12Doosan Enerbility</oddFooter>
  </headerFooter>
  <rowBreaks count="1" manualBreakCount="1">
    <brk id="53" max="16383" man="1"/>
  </rowBreaks>
  <colBreaks count="1" manualBreakCount="1">
    <brk id="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62"/>
  <sheetViews>
    <sheetView showGridLines="0" view="pageBreakPreview" zoomScale="55" zoomScaleNormal="100" zoomScaleSheetLayoutView="55" workbookViewId="0">
      <selection activeCell="G17" sqref="G17"/>
    </sheetView>
  </sheetViews>
  <sheetFormatPr defaultColWidth="9" defaultRowHeight="21"/>
  <cols>
    <col min="1" max="1" width="12.59765625" style="102" customWidth="1"/>
    <col min="2" max="3" width="9" style="102"/>
    <col min="4" max="4" width="1.69921875" style="102" customWidth="1"/>
    <col min="5" max="5" width="9" style="102"/>
    <col min="6" max="6" width="2.09765625" style="103" customWidth="1"/>
    <col min="7" max="7" width="18" style="103" bestFit="1" customWidth="1"/>
    <col min="8" max="8" width="9" style="103" customWidth="1"/>
    <col min="9" max="9" width="12.09765625" style="103" bestFit="1" customWidth="1"/>
    <col min="10" max="10" width="9" style="103" customWidth="1"/>
    <col min="11" max="11" width="14.19921875" style="103" bestFit="1" customWidth="1"/>
    <col min="12" max="13" width="9" style="103"/>
    <col min="14" max="14" width="13.09765625" style="103" customWidth="1"/>
    <col min="15" max="16384" width="9" style="2"/>
  </cols>
  <sheetData>
    <row r="1" spans="1:14">
      <c r="A1" s="98"/>
      <c r="B1" s="99"/>
      <c r="C1" s="99"/>
      <c r="D1" s="99"/>
      <c r="E1" s="99"/>
      <c r="F1" s="100"/>
      <c r="G1" s="100"/>
      <c r="H1" s="100"/>
      <c r="I1" s="100"/>
      <c r="J1" s="100"/>
      <c r="K1" s="100"/>
      <c r="L1" s="100"/>
      <c r="M1" s="100"/>
      <c r="N1" s="101"/>
    </row>
    <row r="2" spans="1:14">
      <c r="A2" s="243"/>
      <c r="N2" s="242"/>
    </row>
    <row r="3" spans="1:14" ht="76.5" customHeight="1">
      <c r="A3" s="513" t="s">
        <v>207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5"/>
    </row>
    <row r="4" spans="1:14" s="3" customFormat="1" ht="37.950000000000003" customHeight="1">
      <c r="A4" s="115" t="s">
        <v>208</v>
      </c>
      <c r="B4" s="138"/>
      <c r="C4" s="138"/>
      <c r="D4" s="102"/>
      <c r="E4" s="102"/>
      <c r="F4" s="139" t="s">
        <v>209</v>
      </c>
      <c r="G4" s="508" t="s">
        <v>210</v>
      </c>
      <c r="H4" s="508"/>
      <c r="I4" s="508"/>
      <c r="J4" s="508"/>
      <c r="K4" s="508"/>
      <c r="L4" s="508"/>
      <c r="M4" s="508"/>
      <c r="N4" s="509"/>
    </row>
    <row r="5" spans="1:14" s="4" customFormat="1" ht="25.2">
      <c r="A5" s="104" t="s">
        <v>211</v>
      </c>
      <c r="B5" s="102"/>
      <c r="C5" s="102"/>
      <c r="D5" s="102"/>
      <c r="E5" s="102"/>
      <c r="F5" s="139"/>
      <c r="G5" s="508"/>
      <c r="H5" s="508"/>
      <c r="I5" s="508"/>
      <c r="J5" s="508"/>
      <c r="K5" s="508"/>
      <c r="L5" s="508"/>
      <c r="M5" s="508"/>
      <c r="N5" s="509"/>
    </row>
    <row r="6" spans="1:14" s="3" customFormat="1" ht="10.35" customHeight="1">
      <c r="A6" s="104"/>
      <c r="B6" s="102"/>
      <c r="C6" s="102"/>
      <c r="D6" s="102"/>
      <c r="E6" s="102"/>
      <c r="F6" s="139"/>
      <c r="G6" s="102"/>
      <c r="H6" s="102"/>
      <c r="I6" s="102"/>
      <c r="J6" s="102"/>
      <c r="K6" s="102"/>
      <c r="L6" s="102"/>
      <c r="M6" s="102"/>
      <c r="N6" s="105"/>
    </row>
    <row r="7" spans="1:14" s="3" customFormat="1" ht="18.75" customHeight="1">
      <c r="A7" s="104" t="s">
        <v>212</v>
      </c>
      <c r="B7" s="102"/>
      <c r="C7" s="102"/>
      <c r="D7" s="102"/>
      <c r="E7" s="102"/>
      <c r="F7" s="139" t="s">
        <v>213</v>
      </c>
      <c r="G7" s="508" t="str">
        <f>PL!$B$13</f>
        <v>Branch of JSC "Doosan Enerbility" in the Turkestan region</v>
      </c>
      <c r="H7" s="508"/>
      <c r="I7" s="508"/>
      <c r="J7" s="508"/>
      <c r="K7" s="508"/>
      <c r="L7" s="508"/>
      <c r="M7" s="508"/>
      <c r="N7" s="509"/>
    </row>
    <row r="8" spans="1:14" s="3" customFormat="1" ht="18.75" customHeight="1">
      <c r="A8" s="104" t="s">
        <v>214</v>
      </c>
      <c r="B8" s="102"/>
      <c r="C8" s="102"/>
      <c r="D8" s="102"/>
      <c r="E8" s="102"/>
      <c r="F8" s="139"/>
      <c r="G8" s="508" t="str">
        <f>PL!$B$14</f>
        <v>321 Tauke Khan Avenue, Turkestan region, Turkestan, Kazakhstan, 161200</v>
      </c>
      <c r="H8" s="508"/>
      <c r="I8" s="508"/>
      <c r="J8" s="508"/>
      <c r="K8" s="508"/>
      <c r="L8" s="508"/>
      <c r="M8" s="508"/>
      <c r="N8" s="509"/>
    </row>
    <row r="9" spans="1:14" s="3" customFormat="1" ht="18.75" customHeight="1">
      <c r="A9" s="104"/>
      <c r="B9" s="102"/>
      <c r="C9" s="102"/>
      <c r="D9" s="102"/>
      <c r="E9" s="102"/>
      <c r="F9" s="139"/>
      <c r="G9" s="508" t="str">
        <f>PL!$B$15</f>
        <v>BIN: 230741006561</v>
      </c>
      <c r="H9" s="508"/>
      <c r="I9" s="508"/>
      <c r="J9" s="508"/>
      <c r="K9" s="508"/>
      <c r="L9" s="508"/>
      <c r="M9" s="508"/>
      <c r="N9" s="509"/>
    </row>
    <row r="10" spans="1:14" s="3" customFormat="1" ht="18.75" customHeight="1">
      <c r="A10" s="104"/>
      <c r="B10" s="102"/>
      <c r="C10" s="102"/>
      <c r="D10" s="102"/>
      <c r="E10" s="102"/>
      <c r="F10" s="139"/>
      <c r="G10" s="210"/>
      <c r="H10" s="210"/>
      <c r="I10" s="210"/>
      <c r="J10" s="210"/>
      <c r="K10" s="210"/>
      <c r="L10" s="210"/>
      <c r="M10" s="210"/>
      <c r="N10" s="211"/>
    </row>
    <row r="11" spans="1:14" s="3" customFormat="1" ht="25.2">
      <c r="A11" s="104" t="s">
        <v>215</v>
      </c>
      <c r="B11" s="102"/>
      <c r="C11" s="102"/>
      <c r="D11" s="102"/>
      <c r="E11" s="102"/>
      <c r="F11" s="139" t="s">
        <v>216</v>
      </c>
      <c r="G11" s="102"/>
      <c r="H11" s="102"/>
      <c r="I11" s="102"/>
      <c r="J11" s="102"/>
      <c r="K11" s="102"/>
      <c r="L11" s="102"/>
      <c r="M11" s="102"/>
      <c r="N11" s="105"/>
    </row>
    <row r="12" spans="1:14" s="4" customFormat="1" ht="25.2">
      <c r="A12" s="104" t="s">
        <v>217</v>
      </c>
      <c r="B12" s="102"/>
      <c r="C12" s="102"/>
      <c r="D12" s="102"/>
      <c r="E12" s="102"/>
      <c r="F12" s="139" t="s">
        <v>218</v>
      </c>
      <c r="G12" s="102"/>
      <c r="H12" s="102"/>
      <c r="I12" s="102"/>
      <c r="J12" s="102"/>
      <c r="K12" s="102"/>
      <c r="L12" s="102"/>
      <c r="M12" s="102"/>
      <c r="N12" s="105"/>
    </row>
    <row r="13" spans="1:14" s="3" customFormat="1" ht="10.35" customHeight="1">
      <c r="A13" s="104"/>
      <c r="B13" s="102"/>
      <c r="C13" s="102"/>
      <c r="D13" s="102"/>
      <c r="E13" s="102"/>
      <c r="F13" s="139"/>
      <c r="G13" s="102"/>
      <c r="H13" s="102"/>
      <c r="I13" s="102"/>
      <c r="J13" s="102"/>
      <c r="K13" s="102"/>
      <c r="L13" s="102"/>
      <c r="M13" s="102"/>
      <c r="N13" s="105"/>
    </row>
    <row r="14" spans="1:14" s="3" customFormat="1" ht="25.2">
      <c r="A14" s="104" t="s">
        <v>219</v>
      </c>
      <c r="B14" s="102"/>
      <c r="C14" s="102"/>
      <c r="D14" s="102"/>
      <c r="E14" s="102"/>
      <c r="F14" s="139" t="s">
        <v>220</v>
      </c>
      <c r="G14" s="139" t="str">
        <f>PL!$V$8</f>
        <v>PGU-DE-0481</v>
      </c>
      <c r="H14" s="102"/>
      <c r="I14" s="102"/>
      <c r="J14" s="102"/>
      <c r="K14" s="102"/>
      <c r="L14" s="102"/>
      <c r="M14" s="102"/>
      <c r="N14" s="105"/>
    </row>
    <row r="15" spans="1:14" s="3" customFormat="1" ht="25.2">
      <c r="A15" s="104" t="s">
        <v>221</v>
      </c>
      <c r="B15" s="102"/>
      <c r="C15" s="102"/>
      <c r="D15" s="102"/>
      <c r="E15" s="102"/>
      <c r="F15" s="139"/>
      <c r="G15" s="102"/>
      <c r="H15" s="102"/>
      <c r="I15" s="102"/>
      <c r="J15" s="102"/>
      <c r="K15" s="102"/>
      <c r="L15" s="102"/>
      <c r="M15" s="102"/>
      <c r="N15" s="105"/>
    </row>
    <row r="16" spans="1:14" s="3" customFormat="1" ht="10.35" customHeight="1">
      <c r="A16" s="104"/>
      <c r="B16" s="102"/>
      <c r="C16" s="102"/>
      <c r="D16" s="102"/>
      <c r="E16" s="102"/>
      <c r="F16" s="139"/>
      <c r="G16" s="102"/>
      <c r="H16" s="102"/>
      <c r="I16" s="102"/>
      <c r="J16" s="102"/>
      <c r="K16" s="102"/>
      <c r="L16" s="102"/>
      <c r="M16" s="102"/>
      <c r="N16" s="105"/>
    </row>
    <row r="17" spans="1:16" s="3" customFormat="1" ht="25.2">
      <c r="A17" s="106" t="s">
        <v>222</v>
      </c>
      <c r="B17" s="141"/>
      <c r="C17" s="141"/>
      <c r="D17" s="141"/>
      <c r="E17" s="141"/>
      <c r="F17" s="142" t="s">
        <v>209</v>
      </c>
      <c r="G17" s="272" t="str">
        <f>VLOOKUP($P17,'Summary PL'!$A$14:$M$39,4,FALSE)</f>
        <v>Power Cable / Кабель питания для ОРУ</v>
      </c>
      <c r="H17" s="141"/>
      <c r="I17" s="141"/>
      <c r="J17" s="141"/>
      <c r="K17" s="141"/>
      <c r="L17" s="141"/>
      <c r="M17" s="141"/>
      <c r="N17" s="107"/>
      <c r="P17" s="3">
        <v>1</v>
      </c>
    </row>
    <row r="18" spans="1:16" s="3" customFormat="1" ht="25.2">
      <c r="A18" s="106" t="s">
        <v>223</v>
      </c>
      <c r="B18" s="141"/>
      <c r="C18" s="141"/>
      <c r="D18" s="141"/>
      <c r="E18" s="141"/>
      <c r="F18" s="142"/>
      <c r="G18" s="141"/>
      <c r="H18" s="141"/>
      <c r="I18" s="141"/>
      <c r="J18" s="141"/>
      <c r="K18" s="141"/>
      <c r="L18" s="141"/>
      <c r="M18" s="141"/>
      <c r="N18" s="107"/>
    </row>
    <row r="19" spans="1:16" s="3" customFormat="1" ht="10.35" customHeight="1">
      <c r="A19" s="104"/>
      <c r="B19" s="102"/>
      <c r="C19" s="102"/>
      <c r="D19" s="102"/>
      <c r="E19" s="102"/>
      <c r="F19" s="139"/>
      <c r="G19" s="102"/>
      <c r="H19" s="102"/>
      <c r="I19" s="102"/>
      <c r="J19" s="102"/>
      <c r="K19" s="102"/>
      <c r="L19" s="102"/>
      <c r="M19" s="102"/>
      <c r="N19" s="105"/>
    </row>
    <row r="20" spans="1:16" s="3" customFormat="1" ht="25.2">
      <c r="A20" s="104" t="s">
        <v>224</v>
      </c>
      <c r="B20" s="102"/>
      <c r="C20" s="102"/>
      <c r="D20" s="102"/>
      <c r="E20" s="102"/>
      <c r="F20" s="142" t="s">
        <v>225</v>
      </c>
      <c r="G20" s="272" t="str">
        <f>VLOOKUP($P17,'Summary PL'!$A$14:$M$39,3,FALSE)</f>
        <v>PGU-DE-0481-AIS-PoCable-001</v>
      </c>
      <c r="H20" s="102"/>
      <c r="I20" s="102"/>
      <c r="J20" s="102"/>
      <c r="K20" s="102"/>
      <c r="L20" s="102"/>
      <c r="M20" s="102"/>
      <c r="N20" s="105"/>
    </row>
    <row r="21" spans="1:16" s="4" customFormat="1" ht="25.2">
      <c r="A21" s="104" t="s">
        <v>226</v>
      </c>
      <c r="B21" s="102"/>
      <c r="C21" s="102"/>
      <c r="D21" s="102"/>
      <c r="E21" s="102"/>
      <c r="F21" s="139"/>
      <c r="G21" s="139"/>
      <c r="H21" s="102"/>
      <c r="I21" s="102"/>
      <c r="J21" s="102"/>
      <c r="K21" s="102"/>
      <c r="L21" s="102"/>
      <c r="M21" s="102"/>
      <c r="N21" s="105"/>
    </row>
    <row r="22" spans="1:16" s="3" customFormat="1" ht="10.35" customHeight="1">
      <c r="A22" s="104"/>
      <c r="B22" s="102"/>
      <c r="C22" s="102"/>
      <c r="D22" s="102"/>
      <c r="E22" s="102"/>
      <c r="F22" s="139"/>
      <c r="G22" s="139"/>
      <c r="H22" s="102"/>
      <c r="I22" s="102"/>
      <c r="J22" s="102"/>
      <c r="K22" s="102"/>
      <c r="L22" s="102"/>
      <c r="M22" s="102"/>
      <c r="N22" s="105"/>
    </row>
    <row r="23" spans="1:16" s="3" customFormat="1" ht="25.2">
      <c r="A23" s="104" t="s">
        <v>227</v>
      </c>
      <c r="B23" s="102"/>
      <c r="C23" s="102"/>
      <c r="D23" s="102"/>
      <c r="E23" s="102"/>
      <c r="F23" s="139" t="s">
        <v>220</v>
      </c>
      <c r="G23" s="241">
        <f>VLOOKUP($P17,'Summary PL'!$A$14:$M$39,12,FALSE)</f>
        <v>473</v>
      </c>
      <c r="H23" s="139" t="s">
        <v>228</v>
      </c>
      <c r="I23" s="102"/>
      <c r="J23" s="102"/>
      <c r="K23" s="102"/>
      <c r="L23" s="102"/>
      <c r="M23" s="102"/>
      <c r="N23" s="105"/>
    </row>
    <row r="24" spans="1:16" s="4" customFormat="1" ht="25.2">
      <c r="A24" s="104" t="s">
        <v>229</v>
      </c>
      <c r="B24" s="102"/>
      <c r="C24" s="102"/>
      <c r="D24" s="102"/>
      <c r="E24" s="102"/>
      <c r="F24" s="139"/>
      <c r="G24" s="139"/>
      <c r="H24" s="139"/>
      <c r="I24" s="102"/>
      <c r="J24" s="102"/>
      <c r="K24" s="102"/>
      <c r="L24" s="102"/>
      <c r="M24" s="102"/>
      <c r="N24" s="105"/>
    </row>
    <row r="25" spans="1:16" s="3" customFormat="1" ht="10.35" customHeight="1">
      <c r="A25" s="104"/>
      <c r="B25" s="102"/>
      <c r="C25" s="102"/>
      <c r="D25" s="102"/>
      <c r="E25" s="102"/>
      <c r="F25" s="139"/>
      <c r="G25" s="139"/>
      <c r="H25" s="139"/>
      <c r="I25" s="102"/>
      <c r="J25" s="102"/>
      <c r="K25" s="102"/>
      <c r="L25" s="102"/>
      <c r="M25" s="102"/>
      <c r="N25" s="105"/>
    </row>
    <row r="26" spans="1:16" s="3" customFormat="1" ht="25.2">
      <c r="A26" s="104" t="s">
        <v>230</v>
      </c>
      <c r="B26" s="102"/>
      <c r="C26" s="102"/>
      <c r="D26" s="102"/>
      <c r="E26" s="102"/>
      <c r="F26" s="139" t="s">
        <v>220</v>
      </c>
      <c r="G26" s="241">
        <f>VLOOKUP($P17,'Summary PL'!$A$14:$M$39,13,FALSE)</f>
        <v>641</v>
      </c>
      <c r="H26" s="139" t="s">
        <v>228</v>
      </c>
      <c r="I26" s="102"/>
      <c r="J26" s="102"/>
      <c r="K26" s="102"/>
      <c r="L26" s="102"/>
      <c r="M26" s="102"/>
      <c r="N26" s="105"/>
    </row>
    <row r="27" spans="1:16" s="4" customFormat="1" ht="25.2">
      <c r="A27" s="104" t="s">
        <v>231</v>
      </c>
      <c r="B27" s="102"/>
      <c r="C27" s="102"/>
      <c r="D27" s="102"/>
      <c r="E27" s="102"/>
      <c r="F27" s="139"/>
      <c r="G27" s="139"/>
      <c r="H27" s="102"/>
      <c r="I27" s="102"/>
      <c r="J27" s="102"/>
      <c r="K27" s="102"/>
      <c r="L27" s="102"/>
      <c r="M27" s="102"/>
      <c r="N27" s="105"/>
    </row>
    <row r="28" spans="1:16" s="3" customFormat="1" ht="10.35" customHeight="1">
      <c r="A28" s="104"/>
      <c r="B28" s="102"/>
      <c r="C28" s="102"/>
      <c r="D28" s="102"/>
      <c r="E28" s="102"/>
      <c r="F28" s="139"/>
      <c r="G28" s="139"/>
      <c r="H28" s="102"/>
      <c r="I28" s="102"/>
      <c r="J28" s="102"/>
      <c r="K28" s="102"/>
      <c r="L28" s="102"/>
      <c r="M28" s="102"/>
      <c r="N28" s="105"/>
    </row>
    <row r="29" spans="1:16" s="3" customFormat="1" ht="25.2">
      <c r="A29" s="108" t="s">
        <v>232</v>
      </c>
      <c r="B29" s="102"/>
      <c r="C29" s="102"/>
      <c r="D29" s="102"/>
      <c r="E29" s="102"/>
      <c r="F29" s="139" t="s">
        <v>220</v>
      </c>
      <c r="G29" s="241">
        <f>VLOOKUP($P17,'Summary PL'!$A$14:$M$39,11,FALSE)</f>
        <v>1.21</v>
      </c>
      <c r="H29" s="240" t="s">
        <v>233</v>
      </c>
      <c r="I29" s="240"/>
      <c r="J29" s="240"/>
      <c r="K29" s="240"/>
      <c r="L29" s="102"/>
      <c r="M29" s="102"/>
      <c r="N29" s="105"/>
    </row>
    <row r="30" spans="1:16" s="4" customFormat="1" ht="25.2">
      <c r="A30" s="104" t="s">
        <v>234</v>
      </c>
      <c r="B30" s="102"/>
      <c r="C30" s="102"/>
      <c r="D30" s="102"/>
      <c r="E30" s="102"/>
      <c r="F30" s="139"/>
      <c r="G30" s="139"/>
      <c r="H30" s="102"/>
      <c r="I30" s="102"/>
      <c r="J30" s="102"/>
      <c r="K30" s="102"/>
      <c r="L30" s="102"/>
      <c r="M30" s="102"/>
      <c r="N30" s="105"/>
    </row>
    <row r="31" spans="1:16" s="3" customFormat="1" ht="10.35" customHeight="1">
      <c r="A31" s="104"/>
      <c r="B31" s="102"/>
      <c r="C31" s="102"/>
      <c r="D31" s="102"/>
      <c r="E31" s="102"/>
      <c r="F31" s="139"/>
      <c r="G31" s="139"/>
      <c r="H31" s="102"/>
      <c r="I31" s="102"/>
      <c r="J31" s="102"/>
      <c r="K31" s="102"/>
      <c r="L31" s="102"/>
      <c r="M31" s="102"/>
      <c r="N31" s="105"/>
    </row>
    <row r="32" spans="1:16" s="3" customFormat="1" ht="25.2" customHeight="1">
      <c r="A32" s="104" t="s">
        <v>235</v>
      </c>
      <c r="B32" s="102"/>
      <c r="C32" s="102"/>
      <c r="D32" s="102"/>
      <c r="E32" s="102"/>
      <c r="F32" s="139" t="s">
        <v>236</v>
      </c>
      <c r="G32" s="508" t="s">
        <v>237</v>
      </c>
      <c r="H32" s="508"/>
      <c r="I32" s="508"/>
      <c r="J32" s="508"/>
      <c r="K32" s="508"/>
      <c r="L32" s="508"/>
      <c r="M32" s="508"/>
      <c r="N32" s="509"/>
    </row>
    <row r="33" spans="1:14" s="4" customFormat="1" ht="25.2">
      <c r="A33" s="104" t="s">
        <v>238</v>
      </c>
      <c r="B33" s="102"/>
      <c r="C33" s="102"/>
      <c r="D33" s="102"/>
      <c r="E33" s="102"/>
      <c r="F33" s="139"/>
      <c r="G33" s="508"/>
      <c r="H33" s="508"/>
      <c r="I33" s="508"/>
      <c r="J33" s="508"/>
      <c r="K33" s="508"/>
      <c r="L33" s="508"/>
      <c r="M33" s="508"/>
      <c r="N33" s="509"/>
    </row>
    <row r="34" spans="1:14" s="4" customFormat="1" ht="25.2">
      <c r="A34" s="104"/>
      <c r="B34" s="102"/>
      <c r="C34" s="102"/>
      <c r="D34" s="102"/>
      <c r="E34" s="102"/>
      <c r="F34" s="139"/>
      <c r="G34" s="140"/>
      <c r="H34" s="102"/>
      <c r="I34" s="102"/>
      <c r="J34" s="102"/>
      <c r="K34" s="102"/>
      <c r="L34" s="102"/>
      <c r="M34" s="102"/>
      <c r="N34" s="105"/>
    </row>
    <row r="35" spans="1:14" s="4" customFormat="1" ht="25.8" thickBot="1">
      <c r="A35" s="104"/>
      <c r="B35" s="102"/>
      <c r="C35" s="102"/>
      <c r="D35" s="102"/>
      <c r="E35" s="139"/>
      <c r="F35" s="239"/>
      <c r="G35" s="139"/>
      <c r="H35" s="102"/>
      <c r="I35" s="102"/>
      <c r="J35" s="102"/>
      <c r="K35" s="102"/>
      <c r="L35" s="102"/>
      <c r="M35" s="102"/>
      <c r="N35" s="105"/>
    </row>
    <row r="36" spans="1:14">
      <c r="A36" s="98"/>
      <c r="B36" s="99"/>
      <c r="C36" s="99"/>
      <c r="D36" s="99"/>
      <c r="E36" s="510" t="s">
        <v>239</v>
      </c>
      <c r="F36" s="511"/>
      <c r="G36" s="511"/>
      <c r="H36" s="511"/>
      <c r="I36" s="511"/>
      <c r="J36" s="511"/>
      <c r="K36" s="511"/>
      <c r="L36" s="100"/>
      <c r="M36" s="100"/>
      <c r="N36" s="101"/>
    </row>
    <row r="37" spans="1:14" ht="25.5" customHeight="1" thickBot="1">
      <c r="A37" s="109"/>
      <c r="B37" s="110"/>
      <c r="C37" s="110"/>
      <c r="D37" s="110"/>
      <c r="E37" s="512"/>
      <c r="F37" s="512"/>
      <c r="G37" s="512"/>
      <c r="H37" s="512"/>
      <c r="I37" s="512"/>
      <c r="J37" s="512"/>
      <c r="K37" s="512"/>
      <c r="L37" s="111"/>
      <c r="M37" s="111"/>
      <c r="N37" s="112"/>
    </row>
    <row r="38" spans="1:14">
      <c r="A38" s="98"/>
      <c r="B38" s="99"/>
      <c r="C38" s="99"/>
      <c r="D38" s="99"/>
      <c r="E38" s="99"/>
      <c r="F38" s="100"/>
      <c r="G38" s="100"/>
      <c r="H38" s="100"/>
      <c r="I38" s="100"/>
      <c r="J38" s="100"/>
      <c r="K38" s="100"/>
      <c r="L38" s="100"/>
      <c r="M38" s="100"/>
      <c r="N38" s="101"/>
    </row>
    <row r="39" spans="1:14">
      <c r="A39" s="243"/>
      <c r="N39" s="242"/>
    </row>
    <row r="40" spans="1:14" ht="76.5" customHeight="1">
      <c r="A40" s="513" t="s">
        <v>207</v>
      </c>
      <c r="B40" s="514"/>
      <c r="C40" s="514"/>
      <c r="D40" s="514"/>
      <c r="E40" s="514"/>
      <c r="F40" s="514"/>
      <c r="G40" s="514"/>
      <c r="H40" s="514"/>
      <c r="I40" s="514"/>
      <c r="J40" s="514"/>
      <c r="K40" s="514"/>
      <c r="L40" s="514"/>
      <c r="M40" s="514"/>
      <c r="N40" s="515"/>
    </row>
    <row r="41" spans="1:14" s="3" customFormat="1" ht="37.950000000000003" customHeight="1">
      <c r="A41" s="115" t="s">
        <v>208</v>
      </c>
      <c r="B41" s="138"/>
      <c r="C41" s="138"/>
      <c r="D41" s="102"/>
      <c r="E41" s="102"/>
      <c r="F41" s="139" t="s">
        <v>209</v>
      </c>
      <c r="G41" s="508" t="s">
        <v>210</v>
      </c>
      <c r="H41" s="508"/>
      <c r="I41" s="508"/>
      <c r="J41" s="508"/>
      <c r="K41" s="508"/>
      <c r="L41" s="508"/>
      <c r="M41" s="508"/>
      <c r="N41" s="509"/>
    </row>
    <row r="42" spans="1:14" s="4" customFormat="1" ht="25.2">
      <c r="A42" s="104" t="s">
        <v>211</v>
      </c>
      <c r="B42" s="102"/>
      <c r="C42" s="102"/>
      <c r="D42" s="102"/>
      <c r="E42" s="102"/>
      <c r="F42" s="139"/>
      <c r="G42" s="508"/>
      <c r="H42" s="508"/>
      <c r="I42" s="508"/>
      <c r="J42" s="508"/>
      <c r="K42" s="508"/>
      <c r="L42" s="508"/>
      <c r="M42" s="508"/>
      <c r="N42" s="509"/>
    </row>
    <row r="43" spans="1:14" s="3" customFormat="1" ht="10.35" customHeight="1">
      <c r="A43" s="104"/>
      <c r="B43" s="102"/>
      <c r="C43" s="102"/>
      <c r="D43" s="102"/>
      <c r="E43" s="102"/>
      <c r="F43" s="139"/>
      <c r="G43" s="102"/>
      <c r="H43" s="102"/>
      <c r="I43" s="102"/>
      <c r="J43" s="102"/>
      <c r="K43" s="102"/>
      <c r="L43" s="102"/>
      <c r="M43" s="102"/>
      <c r="N43" s="105"/>
    </row>
    <row r="44" spans="1:14" s="3" customFormat="1" ht="18.75" customHeight="1">
      <c r="A44" s="104" t="s">
        <v>212</v>
      </c>
      <c r="B44" s="102"/>
      <c r="C44" s="102"/>
      <c r="D44" s="102"/>
      <c r="E44" s="102"/>
      <c r="F44" s="139" t="s">
        <v>213</v>
      </c>
      <c r="G44" s="508" t="str">
        <f>PL!$B$13</f>
        <v>Branch of JSC "Doosan Enerbility" in the Turkestan region</v>
      </c>
      <c r="H44" s="508"/>
      <c r="I44" s="508"/>
      <c r="J44" s="508"/>
      <c r="K44" s="508"/>
      <c r="L44" s="508"/>
      <c r="M44" s="508"/>
      <c r="N44" s="509"/>
    </row>
    <row r="45" spans="1:14" s="3" customFormat="1" ht="18.75" customHeight="1">
      <c r="A45" s="104" t="s">
        <v>214</v>
      </c>
      <c r="B45" s="102"/>
      <c r="C45" s="102"/>
      <c r="D45" s="102"/>
      <c r="E45" s="102"/>
      <c r="F45" s="139"/>
      <c r="G45" s="508" t="str">
        <f>PL!$B$14</f>
        <v>321 Tauke Khan Avenue, Turkestan region, Turkestan, Kazakhstan, 161200</v>
      </c>
      <c r="H45" s="508"/>
      <c r="I45" s="508"/>
      <c r="J45" s="508"/>
      <c r="K45" s="508"/>
      <c r="L45" s="508"/>
      <c r="M45" s="508"/>
      <c r="N45" s="509"/>
    </row>
    <row r="46" spans="1:14" s="3" customFormat="1" ht="18.75" customHeight="1">
      <c r="A46" s="104"/>
      <c r="B46" s="102"/>
      <c r="C46" s="102"/>
      <c r="D46" s="102"/>
      <c r="E46" s="102"/>
      <c r="F46" s="139"/>
      <c r="G46" s="508" t="str">
        <f>PL!$B$15</f>
        <v>BIN: 230741006561</v>
      </c>
      <c r="H46" s="508"/>
      <c r="I46" s="508"/>
      <c r="J46" s="508"/>
      <c r="K46" s="508"/>
      <c r="L46" s="508"/>
      <c r="M46" s="508"/>
      <c r="N46" s="509"/>
    </row>
    <row r="47" spans="1:14" s="3" customFormat="1" ht="18.75" customHeight="1">
      <c r="A47" s="104"/>
      <c r="B47" s="102"/>
      <c r="C47" s="102"/>
      <c r="D47" s="102"/>
      <c r="E47" s="102"/>
      <c r="F47" s="139"/>
      <c r="G47" s="210"/>
      <c r="H47" s="210"/>
      <c r="I47" s="210"/>
      <c r="J47" s="210"/>
      <c r="K47" s="210"/>
      <c r="L47" s="210"/>
      <c r="M47" s="210"/>
      <c r="N47" s="211"/>
    </row>
    <row r="48" spans="1:14" s="3" customFormat="1" ht="25.2">
      <c r="A48" s="104" t="s">
        <v>215</v>
      </c>
      <c r="B48" s="102"/>
      <c r="C48" s="102"/>
      <c r="D48" s="102"/>
      <c r="E48" s="102"/>
      <c r="F48" s="139" t="s">
        <v>216</v>
      </c>
      <c r="G48" s="102"/>
      <c r="H48" s="102"/>
      <c r="I48" s="102"/>
      <c r="J48" s="102"/>
      <c r="K48" s="102"/>
      <c r="L48" s="102"/>
      <c r="M48" s="102"/>
      <c r="N48" s="105"/>
    </row>
    <row r="49" spans="1:16" s="4" customFormat="1" ht="25.2">
      <c r="A49" s="104" t="s">
        <v>217</v>
      </c>
      <c r="B49" s="102"/>
      <c r="C49" s="102"/>
      <c r="D49" s="102"/>
      <c r="E49" s="102"/>
      <c r="F49" s="139" t="s">
        <v>218</v>
      </c>
      <c r="G49" s="102"/>
      <c r="H49" s="102"/>
      <c r="I49" s="102"/>
      <c r="J49" s="102"/>
      <c r="K49" s="102"/>
      <c r="L49" s="102"/>
      <c r="M49" s="102"/>
      <c r="N49" s="105"/>
    </row>
    <row r="50" spans="1:16" s="3" customFormat="1" ht="10.35" customHeight="1">
      <c r="A50" s="104"/>
      <c r="B50" s="102"/>
      <c r="C50" s="102"/>
      <c r="D50" s="102"/>
      <c r="E50" s="102"/>
      <c r="F50" s="139"/>
      <c r="G50" s="102"/>
      <c r="H50" s="102"/>
      <c r="I50" s="102"/>
      <c r="J50" s="102"/>
      <c r="K50" s="102"/>
      <c r="L50" s="102"/>
      <c r="M50" s="102"/>
      <c r="N50" s="105"/>
    </row>
    <row r="51" spans="1:16" s="3" customFormat="1" ht="25.2">
      <c r="A51" s="104" t="s">
        <v>219</v>
      </c>
      <c r="B51" s="102"/>
      <c r="C51" s="102"/>
      <c r="D51" s="102"/>
      <c r="E51" s="102"/>
      <c r="F51" s="139" t="s">
        <v>220</v>
      </c>
      <c r="G51" s="139" t="str">
        <f>PL!$V$8</f>
        <v>PGU-DE-0481</v>
      </c>
      <c r="H51" s="102"/>
      <c r="I51" s="102"/>
      <c r="J51" s="102"/>
      <c r="K51" s="102"/>
      <c r="L51" s="102"/>
      <c r="M51" s="102"/>
      <c r="N51" s="105"/>
    </row>
    <row r="52" spans="1:16" s="3" customFormat="1" ht="25.2">
      <c r="A52" s="104" t="s">
        <v>221</v>
      </c>
      <c r="B52" s="102"/>
      <c r="C52" s="102"/>
      <c r="D52" s="102"/>
      <c r="E52" s="102"/>
      <c r="F52" s="139"/>
      <c r="G52" s="102"/>
      <c r="H52" s="102"/>
      <c r="I52" s="102"/>
      <c r="J52" s="102"/>
      <c r="K52" s="102"/>
      <c r="L52" s="102"/>
      <c r="M52" s="102"/>
      <c r="N52" s="105"/>
    </row>
    <row r="53" spans="1:16" s="3" customFormat="1" ht="10.35" customHeight="1">
      <c r="A53" s="104"/>
      <c r="B53" s="102"/>
      <c r="C53" s="102"/>
      <c r="D53" s="102"/>
      <c r="E53" s="102"/>
      <c r="F53" s="139"/>
      <c r="G53" s="102"/>
      <c r="H53" s="102"/>
      <c r="I53" s="102"/>
      <c r="J53" s="102"/>
      <c r="K53" s="102"/>
      <c r="L53" s="102"/>
      <c r="M53" s="102"/>
      <c r="N53" s="105"/>
    </row>
    <row r="54" spans="1:16" s="3" customFormat="1" ht="25.2">
      <c r="A54" s="106" t="s">
        <v>222</v>
      </c>
      <c r="B54" s="141"/>
      <c r="C54" s="141"/>
      <c r="D54" s="141"/>
      <c r="E54" s="141"/>
      <c r="F54" s="142" t="s">
        <v>209</v>
      </c>
      <c r="G54" s="272" t="str">
        <f>VLOOKUP($P54,'Summary PL'!$A$14:$M$39,4,FALSE)</f>
        <v>Power Cable / Кабель питания для ОРУ</v>
      </c>
      <c r="H54" s="141"/>
      <c r="I54" s="141"/>
      <c r="J54" s="141"/>
      <c r="K54" s="141"/>
      <c r="L54" s="141"/>
      <c r="M54" s="141"/>
      <c r="N54" s="107"/>
      <c r="P54" s="3">
        <f>P17+1</f>
        <v>2</v>
      </c>
    </row>
    <row r="55" spans="1:16" s="3" customFormat="1" ht="25.2">
      <c r="A55" s="106" t="s">
        <v>223</v>
      </c>
      <c r="B55" s="141"/>
      <c r="C55" s="141"/>
      <c r="D55" s="141"/>
      <c r="E55" s="141"/>
      <c r="F55" s="142"/>
      <c r="G55" s="141"/>
      <c r="H55" s="141"/>
      <c r="I55" s="141"/>
      <c r="J55" s="141"/>
      <c r="K55" s="141"/>
      <c r="L55" s="141"/>
      <c r="M55" s="141"/>
      <c r="N55" s="107"/>
    </row>
    <row r="56" spans="1:16" s="3" customFormat="1" ht="10.35" customHeight="1">
      <c r="A56" s="104"/>
      <c r="B56" s="102"/>
      <c r="C56" s="102"/>
      <c r="D56" s="102"/>
      <c r="E56" s="102"/>
      <c r="F56" s="139"/>
      <c r="G56" s="102"/>
      <c r="H56" s="102"/>
      <c r="I56" s="102"/>
      <c r="J56" s="102"/>
      <c r="K56" s="102"/>
      <c r="L56" s="102"/>
      <c r="M56" s="102"/>
      <c r="N56" s="105"/>
    </row>
    <row r="57" spans="1:16" s="3" customFormat="1" ht="25.2">
      <c r="A57" s="104" t="s">
        <v>224</v>
      </c>
      <c r="B57" s="102"/>
      <c r="C57" s="102"/>
      <c r="D57" s="102"/>
      <c r="E57" s="102"/>
      <c r="F57" s="142" t="s">
        <v>225</v>
      </c>
      <c r="G57" s="272" t="str">
        <f>VLOOKUP($P54,'Summary PL'!$A$14:$M$39,3,FALSE)</f>
        <v>PGU-DE-0481-AIS-PoCable-002</v>
      </c>
      <c r="H57" s="102"/>
      <c r="I57" s="102"/>
      <c r="J57" s="102"/>
      <c r="K57" s="102"/>
      <c r="L57" s="102"/>
      <c r="M57" s="102"/>
      <c r="N57" s="105"/>
    </row>
    <row r="58" spans="1:16" s="4" customFormat="1" ht="25.2">
      <c r="A58" s="104" t="s">
        <v>226</v>
      </c>
      <c r="B58" s="102"/>
      <c r="C58" s="102"/>
      <c r="D58" s="102"/>
      <c r="E58" s="102"/>
      <c r="F58" s="139"/>
      <c r="G58" s="139"/>
      <c r="H58" s="102"/>
      <c r="I58" s="102"/>
      <c r="J58" s="102"/>
      <c r="K58" s="102"/>
      <c r="L58" s="102"/>
      <c r="M58" s="102"/>
      <c r="N58" s="105"/>
    </row>
    <row r="59" spans="1:16" s="3" customFormat="1" ht="10.35" customHeight="1">
      <c r="A59" s="104"/>
      <c r="B59" s="102"/>
      <c r="C59" s="102"/>
      <c r="D59" s="102"/>
      <c r="E59" s="102"/>
      <c r="F59" s="139"/>
      <c r="G59" s="139"/>
      <c r="H59" s="102"/>
      <c r="I59" s="102"/>
      <c r="J59" s="102"/>
      <c r="K59" s="102"/>
      <c r="L59" s="102"/>
      <c r="M59" s="102"/>
      <c r="N59" s="105"/>
    </row>
    <row r="60" spans="1:16" s="3" customFormat="1" ht="25.2">
      <c r="A60" s="104" t="s">
        <v>227</v>
      </c>
      <c r="B60" s="102"/>
      <c r="C60" s="102"/>
      <c r="D60" s="102"/>
      <c r="E60" s="102"/>
      <c r="F60" s="139" t="s">
        <v>220</v>
      </c>
      <c r="G60" s="241">
        <f>VLOOKUP($P54,'Summary PL'!$A$14:$M$39,12,FALSE)</f>
        <v>473</v>
      </c>
      <c r="H60" s="139" t="s">
        <v>228</v>
      </c>
      <c r="I60" s="102"/>
      <c r="J60" s="102"/>
      <c r="K60" s="102"/>
      <c r="L60" s="102"/>
      <c r="M60" s="102"/>
      <c r="N60" s="105"/>
    </row>
    <row r="61" spans="1:16" s="4" customFormat="1" ht="25.2">
      <c r="A61" s="104" t="s">
        <v>229</v>
      </c>
      <c r="B61" s="102"/>
      <c r="C61" s="102"/>
      <c r="D61" s="102"/>
      <c r="E61" s="102"/>
      <c r="F61" s="139"/>
      <c r="G61" s="139"/>
      <c r="H61" s="139"/>
      <c r="I61" s="102"/>
      <c r="J61" s="102"/>
      <c r="K61" s="102"/>
      <c r="L61" s="102"/>
      <c r="M61" s="102"/>
      <c r="N61" s="105"/>
    </row>
    <row r="62" spans="1:16" s="3" customFormat="1" ht="10.35" customHeight="1">
      <c r="A62" s="104"/>
      <c r="B62" s="102"/>
      <c r="C62" s="102"/>
      <c r="D62" s="102"/>
      <c r="E62" s="102"/>
      <c r="F62" s="139"/>
      <c r="G62" s="139"/>
      <c r="H62" s="139"/>
      <c r="I62" s="102"/>
      <c r="J62" s="102"/>
      <c r="K62" s="102"/>
      <c r="L62" s="102"/>
      <c r="M62" s="102"/>
      <c r="N62" s="105"/>
    </row>
    <row r="63" spans="1:16" s="3" customFormat="1" ht="25.2">
      <c r="A63" s="104" t="s">
        <v>230</v>
      </c>
      <c r="B63" s="102"/>
      <c r="C63" s="102"/>
      <c r="D63" s="102"/>
      <c r="E63" s="102"/>
      <c r="F63" s="139" t="s">
        <v>220</v>
      </c>
      <c r="G63" s="241">
        <f>VLOOKUP($P54,'Summary PL'!$A$14:$M$39,13,FALSE)</f>
        <v>641</v>
      </c>
      <c r="H63" s="139" t="s">
        <v>228</v>
      </c>
      <c r="I63" s="102"/>
      <c r="J63" s="102"/>
      <c r="K63" s="102"/>
      <c r="L63" s="102"/>
      <c r="M63" s="102"/>
      <c r="N63" s="105"/>
    </row>
    <row r="64" spans="1:16" s="4" customFormat="1" ht="25.2">
      <c r="A64" s="104" t="s">
        <v>231</v>
      </c>
      <c r="B64" s="102"/>
      <c r="C64" s="102"/>
      <c r="D64" s="102"/>
      <c r="E64" s="102"/>
      <c r="F64" s="139"/>
      <c r="G64" s="139"/>
      <c r="H64" s="102"/>
      <c r="I64" s="102"/>
      <c r="J64" s="102"/>
      <c r="K64" s="102"/>
      <c r="L64" s="102"/>
      <c r="M64" s="102"/>
      <c r="N64" s="105"/>
    </row>
    <row r="65" spans="1:14" s="3" customFormat="1" ht="10.35" customHeight="1">
      <c r="A65" s="104"/>
      <c r="B65" s="102"/>
      <c r="C65" s="102"/>
      <c r="D65" s="102"/>
      <c r="E65" s="102"/>
      <c r="F65" s="139"/>
      <c r="G65" s="139"/>
      <c r="H65" s="102"/>
      <c r="I65" s="102"/>
      <c r="J65" s="102"/>
      <c r="K65" s="102"/>
      <c r="L65" s="102"/>
      <c r="M65" s="102"/>
      <c r="N65" s="105"/>
    </row>
    <row r="66" spans="1:14" s="3" customFormat="1" ht="25.2">
      <c r="A66" s="108" t="s">
        <v>232</v>
      </c>
      <c r="B66" s="102"/>
      <c r="C66" s="102"/>
      <c r="D66" s="102"/>
      <c r="E66" s="102"/>
      <c r="F66" s="139" t="s">
        <v>220</v>
      </c>
      <c r="G66" s="241">
        <f>VLOOKUP($P54,'Summary PL'!$A$14:$M$39,11,FALSE)</f>
        <v>1.21</v>
      </c>
      <c r="H66" s="240" t="s">
        <v>233</v>
      </c>
      <c r="I66" s="240"/>
      <c r="J66" s="240"/>
      <c r="K66" s="240"/>
      <c r="L66" s="102"/>
      <c r="M66" s="102"/>
      <c r="N66" s="105"/>
    </row>
    <row r="67" spans="1:14" s="4" customFormat="1" ht="25.2">
      <c r="A67" s="104" t="s">
        <v>234</v>
      </c>
      <c r="B67" s="102"/>
      <c r="C67" s="102"/>
      <c r="D67" s="102"/>
      <c r="E67" s="102"/>
      <c r="F67" s="139"/>
      <c r="G67" s="139"/>
      <c r="H67" s="102"/>
      <c r="I67" s="102"/>
      <c r="J67" s="102"/>
      <c r="K67" s="102"/>
      <c r="L67" s="102"/>
      <c r="M67" s="102"/>
      <c r="N67" s="105"/>
    </row>
    <row r="68" spans="1:14" s="3" customFormat="1" ht="10.35" customHeight="1">
      <c r="A68" s="104"/>
      <c r="B68" s="102"/>
      <c r="C68" s="102"/>
      <c r="D68" s="102"/>
      <c r="E68" s="102"/>
      <c r="F68" s="139"/>
      <c r="G68" s="139"/>
      <c r="H68" s="102"/>
      <c r="I68" s="102"/>
      <c r="J68" s="102"/>
      <c r="K68" s="102"/>
      <c r="L68" s="102"/>
      <c r="M68" s="102"/>
      <c r="N68" s="105"/>
    </row>
    <row r="69" spans="1:14" s="3" customFormat="1" ht="25.2" customHeight="1">
      <c r="A69" s="104" t="s">
        <v>235</v>
      </c>
      <c r="B69" s="102"/>
      <c r="C69" s="102"/>
      <c r="D69" s="102"/>
      <c r="E69" s="102"/>
      <c r="F69" s="139" t="s">
        <v>236</v>
      </c>
      <c r="G69" s="508" t="s">
        <v>237</v>
      </c>
      <c r="H69" s="508"/>
      <c r="I69" s="508"/>
      <c r="J69" s="508"/>
      <c r="K69" s="508"/>
      <c r="L69" s="508"/>
      <c r="M69" s="508"/>
      <c r="N69" s="509"/>
    </row>
    <row r="70" spans="1:14" s="4" customFormat="1" ht="25.2">
      <c r="A70" s="104" t="s">
        <v>238</v>
      </c>
      <c r="B70" s="102"/>
      <c r="C70" s="102"/>
      <c r="D70" s="102"/>
      <c r="E70" s="102"/>
      <c r="F70" s="139"/>
      <c r="G70" s="508"/>
      <c r="H70" s="508"/>
      <c r="I70" s="508"/>
      <c r="J70" s="508"/>
      <c r="K70" s="508"/>
      <c r="L70" s="508"/>
      <c r="M70" s="508"/>
      <c r="N70" s="509"/>
    </row>
    <row r="71" spans="1:14" s="4" customFormat="1" ht="25.2">
      <c r="A71" s="104"/>
      <c r="B71" s="102"/>
      <c r="C71" s="102"/>
      <c r="D71" s="102"/>
      <c r="E71" s="102"/>
      <c r="F71" s="139"/>
      <c r="G71" s="140"/>
      <c r="H71" s="102"/>
      <c r="I71" s="102"/>
      <c r="J71" s="102"/>
      <c r="K71" s="102"/>
      <c r="L71" s="102"/>
      <c r="M71" s="102"/>
      <c r="N71" s="105"/>
    </row>
    <row r="72" spans="1:14" s="4" customFormat="1" ht="25.8" thickBot="1">
      <c r="A72" s="104"/>
      <c r="B72" s="102"/>
      <c r="C72" s="102"/>
      <c r="D72" s="102"/>
      <c r="E72" s="139"/>
      <c r="F72" s="239"/>
      <c r="G72" s="139"/>
      <c r="H72" s="102"/>
      <c r="I72" s="102"/>
      <c r="J72" s="102"/>
      <c r="K72" s="102"/>
      <c r="L72" s="102"/>
      <c r="M72" s="102"/>
      <c r="N72" s="105"/>
    </row>
    <row r="73" spans="1:14" ht="21" customHeight="1">
      <c r="A73" s="98"/>
      <c r="B73" s="99"/>
      <c r="C73" s="99"/>
      <c r="D73" s="99"/>
      <c r="E73" s="510" t="s">
        <v>239</v>
      </c>
      <c r="F73" s="511"/>
      <c r="G73" s="511"/>
      <c r="H73" s="511"/>
      <c r="I73" s="511"/>
      <c r="J73" s="511"/>
      <c r="K73" s="511"/>
      <c r="L73" s="100"/>
      <c r="M73" s="100"/>
      <c r="N73" s="101"/>
    </row>
    <row r="74" spans="1:14" ht="25.5" customHeight="1" thickBot="1">
      <c r="A74" s="109"/>
      <c r="B74" s="110"/>
      <c r="C74" s="110"/>
      <c r="D74" s="110"/>
      <c r="E74" s="512"/>
      <c r="F74" s="512"/>
      <c r="G74" s="512"/>
      <c r="H74" s="512"/>
      <c r="I74" s="512"/>
      <c r="J74" s="512"/>
      <c r="K74" s="512"/>
      <c r="L74" s="111"/>
      <c r="M74" s="111"/>
      <c r="N74" s="112"/>
    </row>
    <row r="75" spans="1:14">
      <c r="A75" s="98"/>
      <c r="B75" s="99"/>
      <c r="C75" s="99"/>
      <c r="D75" s="99"/>
      <c r="E75" s="99"/>
      <c r="F75" s="100"/>
      <c r="G75" s="100"/>
      <c r="H75" s="100"/>
      <c r="I75" s="100"/>
      <c r="J75" s="100"/>
      <c r="K75" s="100"/>
      <c r="L75" s="100"/>
      <c r="M75" s="100"/>
      <c r="N75" s="101"/>
    </row>
    <row r="76" spans="1:14">
      <c r="A76" s="243"/>
      <c r="N76" s="242"/>
    </row>
    <row r="77" spans="1:14" ht="76.5" customHeight="1">
      <c r="A77" s="513" t="s">
        <v>207</v>
      </c>
      <c r="B77" s="514"/>
      <c r="C77" s="514"/>
      <c r="D77" s="514"/>
      <c r="E77" s="514"/>
      <c r="F77" s="514"/>
      <c r="G77" s="514"/>
      <c r="H77" s="514"/>
      <c r="I77" s="514"/>
      <c r="J77" s="514"/>
      <c r="K77" s="514"/>
      <c r="L77" s="514"/>
      <c r="M77" s="514"/>
      <c r="N77" s="515"/>
    </row>
    <row r="78" spans="1:14" s="3" customFormat="1" ht="37.950000000000003" customHeight="1">
      <c r="A78" s="115" t="s">
        <v>208</v>
      </c>
      <c r="B78" s="138"/>
      <c r="C78" s="138"/>
      <c r="D78" s="102"/>
      <c r="E78" s="102"/>
      <c r="F78" s="139" t="s">
        <v>209</v>
      </c>
      <c r="G78" s="508" t="s">
        <v>210</v>
      </c>
      <c r="H78" s="508"/>
      <c r="I78" s="508"/>
      <c r="J78" s="508"/>
      <c r="K78" s="508"/>
      <c r="L78" s="508"/>
      <c r="M78" s="508"/>
      <c r="N78" s="509"/>
    </row>
    <row r="79" spans="1:14" s="4" customFormat="1" ht="25.2">
      <c r="A79" s="104" t="s">
        <v>211</v>
      </c>
      <c r="B79" s="102"/>
      <c r="C79" s="102"/>
      <c r="D79" s="102"/>
      <c r="E79" s="102"/>
      <c r="F79" s="139"/>
      <c r="G79" s="508"/>
      <c r="H79" s="508"/>
      <c r="I79" s="508"/>
      <c r="J79" s="508"/>
      <c r="K79" s="508"/>
      <c r="L79" s="508"/>
      <c r="M79" s="508"/>
      <c r="N79" s="509"/>
    </row>
    <row r="80" spans="1:14" s="3" customFormat="1" ht="10.35" customHeight="1">
      <c r="A80" s="104"/>
      <c r="B80" s="102"/>
      <c r="C80" s="102"/>
      <c r="D80" s="102"/>
      <c r="E80" s="102"/>
      <c r="F80" s="139"/>
      <c r="G80" s="102"/>
      <c r="H80" s="102"/>
      <c r="I80" s="102"/>
      <c r="J80" s="102"/>
      <c r="K80" s="102"/>
      <c r="L80" s="102"/>
      <c r="M80" s="102"/>
      <c r="N80" s="105"/>
    </row>
    <row r="81" spans="1:16" s="3" customFormat="1" ht="18.75" customHeight="1">
      <c r="A81" s="104" t="s">
        <v>212</v>
      </c>
      <c r="B81" s="102"/>
      <c r="C81" s="102"/>
      <c r="D81" s="102"/>
      <c r="E81" s="102"/>
      <c r="F81" s="139" t="s">
        <v>213</v>
      </c>
      <c r="G81" s="508" t="str">
        <f>PL!$B$13</f>
        <v>Branch of JSC "Doosan Enerbility" in the Turkestan region</v>
      </c>
      <c r="H81" s="508"/>
      <c r="I81" s="508"/>
      <c r="J81" s="508"/>
      <c r="K81" s="508"/>
      <c r="L81" s="508"/>
      <c r="M81" s="508"/>
      <c r="N81" s="509"/>
    </row>
    <row r="82" spans="1:16" s="3" customFormat="1" ht="18.75" customHeight="1">
      <c r="A82" s="104" t="s">
        <v>214</v>
      </c>
      <c r="B82" s="102"/>
      <c r="C82" s="102"/>
      <c r="D82" s="102"/>
      <c r="E82" s="102"/>
      <c r="F82" s="139"/>
      <c r="G82" s="508" t="str">
        <f>PL!$B$14</f>
        <v>321 Tauke Khan Avenue, Turkestan region, Turkestan, Kazakhstan, 161200</v>
      </c>
      <c r="H82" s="508"/>
      <c r="I82" s="508"/>
      <c r="J82" s="508"/>
      <c r="K82" s="508"/>
      <c r="L82" s="508"/>
      <c r="M82" s="508"/>
      <c r="N82" s="509"/>
    </row>
    <row r="83" spans="1:16" s="3" customFormat="1" ht="18.75" customHeight="1">
      <c r="A83" s="104"/>
      <c r="B83" s="102"/>
      <c r="C83" s="102"/>
      <c r="D83" s="102"/>
      <c r="E83" s="102"/>
      <c r="F83" s="139"/>
      <c r="G83" s="508" t="str">
        <f>PL!$B$15</f>
        <v>BIN: 230741006561</v>
      </c>
      <c r="H83" s="508"/>
      <c r="I83" s="508"/>
      <c r="J83" s="508"/>
      <c r="K83" s="508"/>
      <c r="L83" s="508"/>
      <c r="M83" s="508"/>
      <c r="N83" s="509"/>
    </row>
    <row r="84" spans="1:16" s="3" customFormat="1" ht="18.75" customHeight="1">
      <c r="A84" s="104"/>
      <c r="B84" s="102"/>
      <c r="C84" s="102"/>
      <c r="D84" s="102"/>
      <c r="E84" s="102"/>
      <c r="F84" s="139"/>
      <c r="G84" s="210"/>
      <c r="H84" s="210"/>
      <c r="I84" s="210"/>
      <c r="J84" s="210"/>
      <c r="K84" s="210"/>
      <c r="L84" s="210"/>
      <c r="M84" s="210"/>
      <c r="N84" s="211"/>
    </row>
    <row r="85" spans="1:16" s="3" customFormat="1" ht="25.2">
      <c r="A85" s="104" t="s">
        <v>215</v>
      </c>
      <c r="B85" s="102"/>
      <c r="C85" s="102"/>
      <c r="D85" s="102"/>
      <c r="E85" s="102"/>
      <c r="F85" s="139" t="s">
        <v>216</v>
      </c>
      <c r="G85" s="102"/>
      <c r="H85" s="102"/>
      <c r="I85" s="102"/>
      <c r="J85" s="102"/>
      <c r="K85" s="102"/>
      <c r="L85" s="102"/>
      <c r="M85" s="102"/>
      <c r="N85" s="105"/>
    </row>
    <row r="86" spans="1:16" s="4" customFormat="1" ht="25.2">
      <c r="A86" s="104" t="s">
        <v>217</v>
      </c>
      <c r="B86" s="102"/>
      <c r="C86" s="102"/>
      <c r="D86" s="102"/>
      <c r="E86" s="102"/>
      <c r="F86" s="139" t="s">
        <v>218</v>
      </c>
      <c r="G86" s="102"/>
      <c r="H86" s="102"/>
      <c r="I86" s="102"/>
      <c r="J86" s="102"/>
      <c r="K86" s="102"/>
      <c r="L86" s="102"/>
      <c r="M86" s="102"/>
      <c r="N86" s="105"/>
    </row>
    <row r="87" spans="1:16" s="3" customFormat="1" ht="10.35" customHeight="1">
      <c r="A87" s="104"/>
      <c r="B87" s="102"/>
      <c r="C87" s="102"/>
      <c r="D87" s="102"/>
      <c r="E87" s="102"/>
      <c r="F87" s="139"/>
      <c r="G87" s="102"/>
      <c r="H87" s="102"/>
      <c r="I87" s="102"/>
      <c r="J87" s="102"/>
      <c r="K87" s="102"/>
      <c r="L87" s="102"/>
      <c r="M87" s="102"/>
      <c r="N87" s="105"/>
    </row>
    <row r="88" spans="1:16" s="3" customFormat="1" ht="25.2">
      <c r="A88" s="104" t="s">
        <v>219</v>
      </c>
      <c r="B88" s="102"/>
      <c r="C88" s="102"/>
      <c r="D88" s="102"/>
      <c r="E88" s="102"/>
      <c r="F88" s="139" t="s">
        <v>220</v>
      </c>
      <c r="G88" s="139" t="str">
        <f>PL!$V$8</f>
        <v>PGU-DE-0481</v>
      </c>
      <c r="H88" s="102"/>
      <c r="I88" s="102"/>
      <c r="J88" s="102"/>
      <c r="K88" s="102"/>
      <c r="L88" s="102"/>
      <c r="M88" s="102"/>
      <c r="N88" s="105"/>
    </row>
    <row r="89" spans="1:16" s="3" customFormat="1" ht="25.2">
      <c r="A89" s="104" t="s">
        <v>221</v>
      </c>
      <c r="B89" s="102"/>
      <c r="C89" s="102"/>
      <c r="D89" s="102"/>
      <c r="E89" s="102"/>
      <c r="F89" s="139"/>
      <c r="G89" s="102"/>
      <c r="H89" s="102"/>
      <c r="I89" s="102"/>
      <c r="J89" s="102"/>
      <c r="K89" s="102"/>
      <c r="L89" s="102"/>
      <c r="M89" s="102"/>
      <c r="N89" s="105"/>
    </row>
    <row r="90" spans="1:16" s="3" customFormat="1" ht="10.35" customHeight="1">
      <c r="A90" s="104"/>
      <c r="B90" s="102"/>
      <c r="C90" s="102"/>
      <c r="D90" s="102"/>
      <c r="E90" s="102"/>
      <c r="F90" s="139"/>
      <c r="G90" s="102"/>
      <c r="H90" s="102"/>
      <c r="I90" s="102"/>
      <c r="J90" s="102"/>
      <c r="K90" s="102"/>
      <c r="L90" s="102"/>
      <c r="M90" s="102"/>
      <c r="N90" s="105"/>
    </row>
    <row r="91" spans="1:16" s="3" customFormat="1" ht="25.2">
      <c r="A91" s="106" t="s">
        <v>222</v>
      </c>
      <c r="B91" s="141"/>
      <c r="C91" s="141"/>
      <c r="D91" s="141"/>
      <c r="E91" s="141"/>
      <c r="F91" s="142" t="s">
        <v>209</v>
      </c>
      <c r="G91" s="272" t="str">
        <f>VLOOKUP($P91,'Summary PL'!$A$14:$M$39,4,FALSE)</f>
        <v>Power Cable / Кабель питания для ОРУ</v>
      </c>
      <c r="H91" s="141"/>
      <c r="I91" s="141"/>
      <c r="J91" s="141"/>
      <c r="K91" s="141"/>
      <c r="L91" s="141"/>
      <c r="M91" s="141"/>
      <c r="N91" s="107"/>
      <c r="P91" s="3">
        <f>P54+1</f>
        <v>3</v>
      </c>
    </row>
    <row r="92" spans="1:16" s="3" customFormat="1" ht="25.2">
      <c r="A92" s="106" t="s">
        <v>223</v>
      </c>
      <c r="B92" s="141"/>
      <c r="C92" s="141"/>
      <c r="D92" s="141"/>
      <c r="E92" s="141"/>
      <c r="F92" s="142"/>
      <c r="G92" s="141"/>
      <c r="H92" s="141"/>
      <c r="I92" s="141"/>
      <c r="J92" s="141"/>
      <c r="K92" s="141"/>
      <c r="L92" s="141"/>
      <c r="M92" s="141"/>
      <c r="N92" s="107"/>
    </row>
    <row r="93" spans="1:16" s="3" customFormat="1" ht="10.35" customHeight="1">
      <c r="A93" s="104"/>
      <c r="B93" s="102"/>
      <c r="C93" s="102"/>
      <c r="D93" s="102"/>
      <c r="E93" s="102"/>
      <c r="F93" s="139"/>
      <c r="G93" s="102"/>
      <c r="H93" s="102"/>
      <c r="I93" s="102"/>
      <c r="J93" s="102"/>
      <c r="K93" s="102"/>
      <c r="L93" s="102"/>
      <c r="M93" s="102"/>
      <c r="N93" s="105"/>
    </row>
    <row r="94" spans="1:16" s="3" customFormat="1" ht="25.2">
      <c r="A94" s="104" t="s">
        <v>224</v>
      </c>
      <c r="B94" s="102"/>
      <c r="C94" s="102"/>
      <c r="D94" s="102"/>
      <c r="E94" s="102"/>
      <c r="F94" s="142" t="s">
        <v>225</v>
      </c>
      <c r="G94" s="272" t="str">
        <f>VLOOKUP($P91,'Summary PL'!$A$14:$M$39,3,FALSE)</f>
        <v>PGU-DE-0481-AIS-PoCable-003</v>
      </c>
      <c r="H94" s="102"/>
      <c r="I94" s="102"/>
      <c r="J94" s="102"/>
      <c r="K94" s="102"/>
      <c r="L94" s="102"/>
      <c r="M94" s="102"/>
      <c r="N94" s="105"/>
    </row>
    <row r="95" spans="1:16" s="4" customFormat="1" ht="25.2">
      <c r="A95" s="104" t="s">
        <v>226</v>
      </c>
      <c r="B95" s="102"/>
      <c r="C95" s="102"/>
      <c r="D95" s="102"/>
      <c r="E95" s="102"/>
      <c r="F95" s="139"/>
      <c r="G95" s="139"/>
      <c r="H95" s="102"/>
      <c r="I95" s="102"/>
      <c r="J95" s="102"/>
      <c r="K95" s="102"/>
      <c r="L95" s="102"/>
      <c r="M95" s="102"/>
      <c r="N95" s="105"/>
    </row>
    <row r="96" spans="1:16" s="3" customFormat="1" ht="10.35" customHeight="1">
      <c r="A96" s="104"/>
      <c r="B96" s="102"/>
      <c r="C96" s="102"/>
      <c r="D96" s="102"/>
      <c r="E96" s="102"/>
      <c r="F96" s="139"/>
      <c r="G96" s="139"/>
      <c r="H96" s="102"/>
      <c r="I96" s="102"/>
      <c r="J96" s="102"/>
      <c r="K96" s="102"/>
      <c r="L96" s="102"/>
      <c r="M96" s="102"/>
      <c r="N96" s="105"/>
    </row>
    <row r="97" spans="1:14" s="3" customFormat="1" ht="25.2">
      <c r="A97" s="104" t="s">
        <v>227</v>
      </c>
      <c r="B97" s="102"/>
      <c r="C97" s="102"/>
      <c r="D97" s="102"/>
      <c r="E97" s="102"/>
      <c r="F97" s="139" t="s">
        <v>220</v>
      </c>
      <c r="G97" s="241">
        <f>VLOOKUP($P91,'Summary PL'!$A$14:$M$39,12,FALSE)</f>
        <v>473</v>
      </c>
      <c r="H97" s="139" t="s">
        <v>228</v>
      </c>
      <c r="I97" s="102"/>
      <c r="J97" s="102"/>
      <c r="K97" s="102"/>
      <c r="L97" s="102"/>
      <c r="M97" s="102"/>
      <c r="N97" s="105"/>
    </row>
    <row r="98" spans="1:14" s="4" customFormat="1" ht="25.2">
      <c r="A98" s="104" t="s">
        <v>229</v>
      </c>
      <c r="B98" s="102"/>
      <c r="C98" s="102"/>
      <c r="D98" s="102"/>
      <c r="E98" s="102"/>
      <c r="F98" s="139"/>
      <c r="G98" s="139"/>
      <c r="H98" s="139"/>
      <c r="I98" s="102"/>
      <c r="J98" s="102"/>
      <c r="K98" s="102"/>
      <c r="L98" s="102"/>
      <c r="M98" s="102"/>
      <c r="N98" s="105"/>
    </row>
    <row r="99" spans="1:14" s="3" customFormat="1" ht="10.35" customHeight="1">
      <c r="A99" s="104"/>
      <c r="B99" s="102"/>
      <c r="C99" s="102"/>
      <c r="D99" s="102"/>
      <c r="E99" s="102"/>
      <c r="F99" s="139"/>
      <c r="G99" s="139"/>
      <c r="H99" s="139"/>
      <c r="I99" s="102"/>
      <c r="J99" s="102"/>
      <c r="K99" s="102"/>
      <c r="L99" s="102"/>
      <c r="M99" s="102"/>
      <c r="N99" s="105"/>
    </row>
    <row r="100" spans="1:14" s="3" customFormat="1" ht="25.2">
      <c r="A100" s="104" t="s">
        <v>230</v>
      </c>
      <c r="B100" s="102"/>
      <c r="C100" s="102"/>
      <c r="D100" s="102"/>
      <c r="E100" s="102"/>
      <c r="F100" s="139" t="s">
        <v>220</v>
      </c>
      <c r="G100" s="241">
        <f>VLOOKUP($P91,'Summary PL'!$A$14:$M$39,13,FALSE)</f>
        <v>641</v>
      </c>
      <c r="H100" s="139" t="s">
        <v>228</v>
      </c>
      <c r="I100" s="102"/>
      <c r="J100" s="102"/>
      <c r="K100" s="102"/>
      <c r="L100" s="102"/>
      <c r="M100" s="102"/>
      <c r="N100" s="105"/>
    </row>
    <row r="101" spans="1:14" s="4" customFormat="1" ht="25.2">
      <c r="A101" s="104" t="s">
        <v>231</v>
      </c>
      <c r="B101" s="102"/>
      <c r="C101" s="102"/>
      <c r="D101" s="102"/>
      <c r="E101" s="102"/>
      <c r="F101" s="139"/>
      <c r="G101" s="139"/>
      <c r="H101" s="102"/>
      <c r="I101" s="102"/>
      <c r="J101" s="102"/>
      <c r="K101" s="102"/>
      <c r="L101" s="102"/>
      <c r="M101" s="102"/>
      <c r="N101" s="105"/>
    </row>
    <row r="102" spans="1:14" s="3" customFormat="1" ht="10.35" customHeight="1">
      <c r="A102" s="104"/>
      <c r="B102" s="102"/>
      <c r="C102" s="102"/>
      <c r="D102" s="102"/>
      <c r="E102" s="102"/>
      <c r="F102" s="139"/>
      <c r="G102" s="139"/>
      <c r="H102" s="102"/>
      <c r="I102" s="102"/>
      <c r="J102" s="102"/>
      <c r="K102" s="102"/>
      <c r="L102" s="102"/>
      <c r="M102" s="102"/>
      <c r="N102" s="105"/>
    </row>
    <row r="103" spans="1:14" s="3" customFormat="1" ht="25.2">
      <c r="A103" s="108" t="s">
        <v>232</v>
      </c>
      <c r="B103" s="102"/>
      <c r="C103" s="102"/>
      <c r="D103" s="102"/>
      <c r="E103" s="102"/>
      <c r="F103" s="139" t="s">
        <v>220</v>
      </c>
      <c r="G103" s="241">
        <f>VLOOKUP($P91,'Summary PL'!$A$14:$M$39,11,FALSE)</f>
        <v>1.21</v>
      </c>
      <c r="H103" s="240" t="s">
        <v>233</v>
      </c>
      <c r="I103" s="240"/>
      <c r="J103" s="240"/>
      <c r="K103" s="240"/>
      <c r="L103" s="102"/>
      <c r="M103" s="102"/>
      <c r="N103" s="105"/>
    </row>
    <row r="104" spans="1:14" s="4" customFormat="1" ht="25.2">
      <c r="A104" s="104" t="s">
        <v>234</v>
      </c>
      <c r="B104" s="102"/>
      <c r="C104" s="102"/>
      <c r="D104" s="102"/>
      <c r="E104" s="102"/>
      <c r="F104" s="139"/>
      <c r="G104" s="139"/>
      <c r="H104" s="102"/>
      <c r="I104" s="102"/>
      <c r="J104" s="102"/>
      <c r="K104" s="102"/>
      <c r="L104" s="102"/>
      <c r="M104" s="102"/>
      <c r="N104" s="105"/>
    </row>
    <row r="105" spans="1:14" s="3" customFormat="1" ht="10.35" customHeight="1">
      <c r="A105" s="104"/>
      <c r="B105" s="102"/>
      <c r="C105" s="102"/>
      <c r="D105" s="102"/>
      <c r="E105" s="102"/>
      <c r="F105" s="139"/>
      <c r="G105" s="139"/>
      <c r="H105" s="102"/>
      <c r="I105" s="102"/>
      <c r="J105" s="102"/>
      <c r="K105" s="102"/>
      <c r="L105" s="102"/>
      <c r="M105" s="102"/>
      <c r="N105" s="105"/>
    </row>
    <row r="106" spans="1:14" s="3" customFormat="1" ht="25.2" customHeight="1">
      <c r="A106" s="104" t="s">
        <v>235</v>
      </c>
      <c r="B106" s="102"/>
      <c r="C106" s="102"/>
      <c r="D106" s="102"/>
      <c r="E106" s="102"/>
      <c r="F106" s="139" t="s">
        <v>236</v>
      </c>
      <c r="G106" s="508" t="s">
        <v>237</v>
      </c>
      <c r="H106" s="508"/>
      <c r="I106" s="508"/>
      <c r="J106" s="508"/>
      <c r="K106" s="508"/>
      <c r="L106" s="508"/>
      <c r="M106" s="508"/>
      <c r="N106" s="509"/>
    </row>
    <row r="107" spans="1:14" s="4" customFormat="1" ht="25.2">
      <c r="A107" s="104" t="s">
        <v>238</v>
      </c>
      <c r="B107" s="102"/>
      <c r="C107" s="102"/>
      <c r="D107" s="102"/>
      <c r="E107" s="102"/>
      <c r="F107" s="139"/>
      <c r="G107" s="508"/>
      <c r="H107" s="508"/>
      <c r="I107" s="508"/>
      <c r="J107" s="508"/>
      <c r="K107" s="508"/>
      <c r="L107" s="508"/>
      <c r="M107" s="508"/>
      <c r="N107" s="509"/>
    </row>
    <row r="108" spans="1:14" s="4" customFormat="1" ht="25.2">
      <c r="A108" s="104"/>
      <c r="B108" s="102"/>
      <c r="C108" s="102"/>
      <c r="D108" s="102"/>
      <c r="E108" s="102"/>
      <c r="F108" s="139"/>
      <c r="G108" s="140"/>
      <c r="H108" s="102"/>
      <c r="I108" s="102"/>
      <c r="J108" s="102"/>
      <c r="K108" s="102"/>
      <c r="L108" s="102"/>
      <c r="M108" s="102"/>
      <c r="N108" s="105"/>
    </row>
    <row r="109" spans="1:14" s="4" customFormat="1" ht="25.8" thickBot="1">
      <c r="A109" s="104"/>
      <c r="B109" s="102"/>
      <c r="C109" s="102"/>
      <c r="D109" s="102"/>
      <c r="E109" s="139"/>
      <c r="F109" s="239"/>
      <c r="G109" s="139"/>
      <c r="H109" s="102"/>
      <c r="I109" s="102"/>
      <c r="J109" s="102"/>
      <c r="K109" s="102"/>
      <c r="L109" s="102"/>
      <c r="M109" s="102"/>
      <c r="N109" s="105"/>
    </row>
    <row r="110" spans="1:14" ht="21" customHeight="1">
      <c r="A110" s="98"/>
      <c r="B110" s="99"/>
      <c r="C110" s="99"/>
      <c r="D110" s="99"/>
      <c r="E110" s="510" t="s">
        <v>239</v>
      </c>
      <c r="F110" s="511"/>
      <c r="G110" s="511"/>
      <c r="H110" s="511"/>
      <c r="I110" s="511"/>
      <c r="J110" s="511"/>
      <c r="K110" s="511"/>
      <c r="L110" s="100"/>
      <c r="M110" s="100"/>
      <c r="N110" s="101"/>
    </row>
    <row r="111" spans="1:14" ht="25.5" customHeight="1" thickBot="1">
      <c r="A111" s="109"/>
      <c r="B111" s="110"/>
      <c r="C111" s="110"/>
      <c r="D111" s="110"/>
      <c r="E111" s="512"/>
      <c r="F111" s="512"/>
      <c r="G111" s="512"/>
      <c r="H111" s="512"/>
      <c r="I111" s="512"/>
      <c r="J111" s="512"/>
      <c r="K111" s="512"/>
      <c r="L111" s="111"/>
      <c r="M111" s="111"/>
      <c r="N111" s="112"/>
    </row>
    <row r="112" spans="1:14">
      <c r="A112" s="98"/>
      <c r="B112" s="99"/>
      <c r="C112" s="99"/>
      <c r="D112" s="99"/>
      <c r="E112" s="99"/>
      <c r="F112" s="100"/>
      <c r="G112" s="100"/>
      <c r="H112" s="100"/>
      <c r="I112" s="100"/>
      <c r="J112" s="100"/>
      <c r="K112" s="100"/>
      <c r="L112" s="100"/>
      <c r="M112" s="100"/>
      <c r="N112" s="101"/>
    </row>
    <row r="113" spans="1:16">
      <c r="A113" s="243"/>
      <c r="N113" s="242"/>
    </row>
    <row r="114" spans="1:16" ht="76.5" customHeight="1">
      <c r="A114" s="513" t="s">
        <v>207</v>
      </c>
      <c r="B114" s="514"/>
      <c r="C114" s="514"/>
      <c r="D114" s="514"/>
      <c r="E114" s="514"/>
      <c r="F114" s="514"/>
      <c r="G114" s="514"/>
      <c r="H114" s="514"/>
      <c r="I114" s="514"/>
      <c r="J114" s="514"/>
      <c r="K114" s="514"/>
      <c r="L114" s="514"/>
      <c r="M114" s="514"/>
      <c r="N114" s="515"/>
    </row>
    <row r="115" spans="1:16" s="3" customFormat="1" ht="37.950000000000003" customHeight="1">
      <c r="A115" s="115" t="s">
        <v>208</v>
      </c>
      <c r="B115" s="138"/>
      <c r="C115" s="138"/>
      <c r="D115" s="102"/>
      <c r="E115" s="102"/>
      <c r="F115" s="139" t="s">
        <v>209</v>
      </c>
      <c r="G115" s="508" t="s">
        <v>210</v>
      </c>
      <c r="H115" s="508"/>
      <c r="I115" s="508"/>
      <c r="J115" s="508"/>
      <c r="K115" s="508"/>
      <c r="L115" s="508"/>
      <c r="M115" s="508"/>
      <c r="N115" s="509"/>
    </row>
    <row r="116" spans="1:16" s="4" customFormat="1" ht="25.2">
      <c r="A116" s="104" t="s">
        <v>211</v>
      </c>
      <c r="B116" s="102"/>
      <c r="C116" s="102"/>
      <c r="D116" s="102"/>
      <c r="E116" s="102"/>
      <c r="F116" s="139"/>
      <c r="G116" s="508"/>
      <c r="H116" s="508"/>
      <c r="I116" s="508"/>
      <c r="J116" s="508"/>
      <c r="K116" s="508"/>
      <c r="L116" s="508"/>
      <c r="M116" s="508"/>
      <c r="N116" s="509"/>
    </row>
    <row r="117" spans="1:16" s="3" customFormat="1" ht="10.35" customHeight="1">
      <c r="A117" s="104"/>
      <c r="B117" s="102"/>
      <c r="C117" s="102"/>
      <c r="D117" s="102"/>
      <c r="E117" s="102"/>
      <c r="F117" s="139"/>
      <c r="G117" s="102"/>
      <c r="H117" s="102"/>
      <c r="I117" s="102"/>
      <c r="J117" s="102"/>
      <c r="K117" s="102"/>
      <c r="L117" s="102"/>
      <c r="M117" s="102"/>
      <c r="N117" s="105"/>
    </row>
    <row r="118" spans="1:16" s="3" customFormat="1" ht="18.75" customHeight="1">
      <c r="A118" s="104" t="s">
        <v>212</v>
      </c>
      <c r="B118" s="102"/>
      <c r="C118" s="102"/>
      <c r="D118" s="102"/>
      <c r="E118" s="102"/>
      <c r="F118" s="139" t="s">
        <v>213</v>
      </c>
      <c r="G118" s="508" t="str">
        <f>PL!$B$13</f>
        <v>Branch of JSC "Doosan Enerbility" in the Turkestan region</v>
      </c>
      <c r="H118" s="508"/>
      <c r="I118" s="508"/>
      <c r="J118" s="508"/>
      <c r="K118" s="508"/>
      <c r="L118" s="508"/>
      <c r="M118" s="508"/>
      <c r="N118" s="509"/>
    </row>
    <row r="119" spans="1:16" s="3" customFormat="1" ht="18.75" customHeight="1">
      <c r="A119" s="104" t="s">
        <v>214</v>
      </c>
      <c r="B119" s="102"/>
      <c r="C119" s="102"/>
      <c r="D119" s="102"/>
      <c r="E119" s="102"/>
      <c r="F119" s="139"/>
      <c r="G119" s="508" t="str">
        <f>PL!$B$14</f>
        <v>321 Tauke Khan Avenue, Turkestan region, Turkestan, Kazakhstan, 161200</v>
      </c>
      <c r="H119" s="508"/>
      <c r="I119" s="508"/>
      <c r="J119" s="508"/>
      <c r="K119" s="508"/>
      <c r="L119" s="508"/>
      <c r="M119" s="508"/>
      <c r="N119" s="509"/>
    </row>
    <row r="120" spans="1:16" s="3" customFormat="1" ht="18.75" customHeight="1">
      <c r="A120" s="104"/>
      <c r="B120" s="102"/>
      <c r="C120" s="102"/>
      <c r="D120" s="102"/>
      <c r="E120" s="102"/>
      <c r="F120" s="139"/>
      <c r="G120" s="508" t="str">
        <f>PL!$B$15</f>
        <v>BIN: 230741006561</v>
      </c>
      <c r="H120" s="508"/>
      <c r="I120" s="508"/>
      <c r="J120" s="508"/>
      <c r="K120" s="508"/>
      <c r="L120" s="508"/>
      <c r="M120" s="508"/>
      <c r="N120" s="509"/>
    </row>
    <row r="121" spans="1:16" s="3" customFormat="1" ht="18.75" customHeight="1">
      <c r="A121" s="104"/>
      <c r="B121" s="102"/>
      <c r="C121" s="102"/>
      <c r="D121" s="102"/>
      <c r="E121" s="102"/>
      <c r="F121" s="139"/>
      <c r="G121" s="210"/>
      <c r="H121" s="210"/>
      <c r="I121" s="210"/>
      <c r="J121" s="210"/>
      <c r="K121" s="210"/>
      <c r="L121" s="210"/>
      <c r="M121" s="210"/>
      <c r="N121" s="211"/>
    </row>
    <row r="122" spans="1:16" s="3" customFormat="1" ht="25.2">
      <c r="A122" s="104" t="s">
        <v>215</v>
      </c>
      <c r="B122" s="102"/>
      <c r="C122" s="102"/>
      <c r="D122" s="102"/>
      <c r="E122" s="102"/>
      <c r="F122" s="139" t="s">
        <v>216</v>
      </c>
      <c r="G122" s="102"/>
      <c r="H122" s="102"/>
      <c r="I122" s="102"/>
      <c r="J122" s="102"/>
      <c r="K122" s="102"/>
      <c r="L122" s="102"/>
      <c r="M122" s="102"/>
      <c r="N122" s="105"/>
    </row>
    <row r="123" spans="1:16" s="4" customFormat="1" ht="25.2">
      <c r="A123" s="104" t="s">
        <v>217</v>
      </c>
      <c r="B123" s="102"/>
      <c r="C123" s="102"/>
      <c r="D123" s="102"/>
      <c r="E123" s="102"/>
      <c r="F123" s="139" t="s">
        <v>218</v>
      </c>
      <c r="G123" s="102"/>
      <c r="H123" s="102"/>
      <c r="I123" s="102"/>
      <c r="J123" s="102"/>
      <c r="K123" s="102"/>
      <c r="L123" s="102"/>
      <c r="M123" s="102"/>
      <c r="N123" s="105"/>
    </row>
    <row r="124" spans="1:16" s="3" customFormat="1" ht="10.35" customHeight="1">
      <c r="A124" s="104"/>
      <c r="B124" s="102"/>
      <c r="C124" s="102"/>
      <c r="D124" s="102"/>
      <c r="E124" s="102"/>
      <c r="F124" s="139"/>
      <c r="G124" s="102"/>
      <c r="H124" s="102"/>
      <c r="I124" s="102"/>
      <c r="J124" s="102"/>
      <c r="K124" s="102"/>
      <c r="L124" s="102"/>
      <c r="M124" s="102"/>
      <c r="N124" s="105"/>
    </row>
    <row r="125" spans="1:16" s="3" customFormat="1" ht="25.2">
      <c r="A125" s="104" t="s">
        <v>219</v>
      </c>
      <c r="B125" s="102"/>
      <c r="C125" s="102"/>
      <c r="D125" s="102"/>
      <c r="E125" s="102"/>
      <c r="F125" s="139" t="s">
        <v>220</v>
      </c>
      <c r="G125" s="139" t="str">
        <f>PL!$V$8</f>
        <v>PGU-DE-0481</v>
      </c>
      <c r="H125" s="102"/>
      <c r="I125" s="102"/>
      <c r="J125" s="102"/>
      <c r="K125" s="102"/>
      <c r="L125" s="102"/>
      <c r="M125" s="102"/>
      <c r="N125" s="105"/>
    </row>
    <row r="126" spans="1:16" s="3" customFormat="1" ht="25.2">
      <c r="A126" s="104" t="s">
        <v>221</v>
      </c>
      <c r="B126" s="102"/>
      <c r="C126" s="102"/>
      <c r="D126" s="102"/>
      <c r="E126" s="102"/>
      <c r="F126" s="139"/>
      <c r="G126" s="102"/>
      <c r="H126" s="102"/>
      <c r="I126" s="102"/>
      <c r="J126" s="102"/>
      <c r="K126" s="102"/>
      <c r="L126" s="102"/>
      <c r="M126" s="102"/>
      <c r="N126" s="105"/>
    </row>
    <row r="127" spans="1:16" s="3" customFormat="1" ht="10.35" customHeight="1">
      <c r="A127" s="104"/>
      <c r="B127" s="102"/>
      <c r="C127" s="102"/>
      <c r="D127" s="102"/>
      <c r="E127" s="102"/>
      <c r="F127" s="139"/>
      <c r="G127" s="102"/>
      <c r="H127" s="102"/>
      <c r="I127" s="102"/>
      <c r="J127" s="102"/>
      <c r="K127" s="102"/>
      <c r="L127" s="102"/>
      <c r="M127" s="102"/>
      <c r="N127" s="105"/>
    </row>
    <row r="128" spans="1:16" s="3" customFormat="1" ht="25.2">
      <c r="A128" s="106" t="s">
        <v>222</v>
      </c>
      <c r="B128" s="141"/>
      <c r="C128" s="141"/>
      <c r="D128" s="141"/>
      <c r="E128" s="141"/>
      <c r="F128" s="142" t="s">
        <v>209</v>
      </c>
      <c r="G128" s="272" t="str">
        <f>VLOOKUP($P128,'Summary PL'!$A$14:$M$39,4,FALSE)</f>
        <v>Power Cable / Кабель питания для ОРУ</v>
      </c>
      <c r="H128" s="141"/>
      <c r="I128" s="141"/>
      <c r="J128" s="141"/>
      <c r="K128" s="141"/>
      <c r="L128" s="141"/>
      <c r="M128" s="141"/>
      <c r="N128" s="107"/>
      <c r="P128" s="3">
        <f>P91+1</f>
        <v>4</v>
      </c>
    </row>
    <row r="129" spans="1:14" s="3" customFormat="1" ht="25.2">
      <c r="A129" s="106" t="s">
        <v>223</v>
      </c>
      <c r="B129" s="141"/>
      <c r="C129" s="141"/>
      <c r="D129" s="141"/>
      <c r="E129" s="141"/>
      <c r="F129" s="142"/>
      <c r="G129" s="141"/>
      <c r="H129" s="141"/>
      <c r="I129" s="141"/>
      <c r="J129" s="141"/>
      <c r="K129" s="141"/>
      <c r="L129" s="141"/>
      <c r="M129" s="141"/>
      <c r="N129" s="107"/>
    </row>
    <row r="130" spans="1:14" s="3" customFormat="1" ht="10.35" customHeight="1">
      <c r="A130" s="104"/>
      <c r="B130" s="102"/>
      <c r="C130" s="102"/>
      <c r="D130" s="102"/>
      <c r="E130" s="102"/>
      <c r="F130" s="139"/>
      <c r="G130" s="102"/>
      <c r="H130" s="102"/>
      <c r="I130" s="102"/>
      <c r="J130" s="102"/>
      <c r="K130" s="102"/>
      <c r="L130" s="102"/>
      <c r="M130" s="102"/>
      <c r="N130" s="105"/>
    </row>
    <row r="131" spans="1:14" s="3" customFormat="1" ht="25.2">
      <c r="A131" s="104" t="s">
        <v>224</v>
      </c>
      <c r="B131" s="102"/>
      <c r="C131" s="102"/>
      <c r="D131" s="102"/>
      <c r="E131" s="102"/>
      <c r="F131" s="142" t="s">
        <v>225</v>
      </c>
      <c r="G131" s="272" t="str">
        <f>VLOOKUP($P128,'Summary PL'!$A$14:$M$39,3,FALSE)</f>
        <v>PGU-DE-0481-AIS-PoCable-004</v>
      </c>
      <c r="H131" s="102"/>
      <c r="I131" s="102"/>
      <c r="J131" s="102"/>
      <c r="K131" s="102"/>
      <c r="L131" s="102"/>
      <c r="M131" s="102"/>
      <c r="N131" s="105"/>
    </row>
    <row r="132" spans="1:14" s="4" customFormat="1" ht="25.2">
      <c r="A132" s="104" t="s">
        <v>226</v>
      </c>
      <c r="B132" s="102"/>
      <c r="C132" s="102"/>
      <c r="D132" s="102"/>
      <c r="E132" s="102"/>
      <c r="F132" s="139"/>
      <c r="G132" s="139"/>
      <c r="H132" s="102"/>
      <c r="I132" s="102"/>
      <c r="J132" s="102"/>
      <c r="K132" s="102"/>
      <c r="L132" s="102"/>
      <c r="M132" s="102"/>
      <c r="N132" s="105"/>
    </row>
    <row r="133" spans="1:14" s="3" customFormat="1" ht="10.35" customHeight="1">
      <c r="A133" s="104"/>
      <c r="B133" s="102"/>
      <c r="C133" s="102"/>
      <c r="D133" s="102"/>
      <c r="E133" s="102"/>
      <c r="F133" s="139"/>
      <c r="G133" s="139"/>
      <c r="H133" s="102"/>
      <c r="I133" s="102"/>
      <c r="J133" s="102"/>
      <c r="K133" s="102"/>
      <c r="L133" s="102"/>
      <c r="M133" s="102"/>
      <c r="N133" s="105"/>
    </row>
    <row r="134" spans="1:14" s="3" customFormat="1" ht="25.2">
      <c r="A134" s="104" t="s">
        <v>227</v>
      </c>
      <c r="B134" s="102"/>
      <c r="C134" s="102"/>
      <c r="D134" s="102"/>
      <c r="E134" s="102"/>
      <c r="F134" s="139" t="s">
        <v>220</v>
      </c>
      <c r="G134" s="241">
        <f>VLOOKUP($P128,'Summary PL'!$A$14:$M$39,12,FALSE)</f>
        <v>473</v>
      </c>
      <c r="H134" s="139" t="s">
        <v>228</v>
      </c>
      <c r="I134" s="102"/>
      <c r="J134" s="102"/>
      <c r="K134" s="102"/>
      <c r="L134" s="102"/>
      <c r="M134" s="102"/>
      <c r="N134" s="105"/>
    </row>
    <row r="135" spans="1:14" s="4" customFormat="1" ht="25.2">
      <c r="A135" s="104" t="s">
        <v>229</v>
      </c>
      <c r="B135" s="102"/>
      <c r="C135" s="102"/>
      <c r="D135" s="102"/>
      <c r="E135" s="102"/>
      <c r="F135" s="139"/>
      <c r="G135" s="139"/>
      <c r="H135" s="139"/>
      <c r="I135" s="102"/>
      <c r="J135" s="102"/>
      <c r="K135" s="102"/>
      <c r="L135" s="102"/>
      <c r="M135" s="102"/>
      <c r="N135" s="105"/>
    </row>
    <row r="136" spans="1:14" s="3" customFormat="1" ht="10.35" customHeight="1">
      <c r="A136" s="104"/>
      <c r="B136" s="102"/>
      <c r="C136" s="102"/>
      <c r="D136" s="102"/>
      <c r="E136" s="102"/>
      <c r="F136" s="139"/>
      <c r="G136" s="139"/>
      <c r="H136" s="139"/>
      <c r="I136" s="102"/>
      <c r="J136" s="102"/>
      <c r="K136" s="102"/>
      <c r="L136" s="102"/>
      <c r="M136" s="102"/>
      <c r="N136" s="105"/>
    </row>
    <row r="137" spans="1:14" s="3" customFormat="1" ht="25.2">
      <c r="A137" s="104" t="s">
        <v>230</v>
      </c>
      <c r="B137" s="102"/>
      <c r="C137" s="102"/>
      <c r="D137" s="102"/>
      <c r="E137" s="102"/>
      <c r="F137" s="139" t="s">
        <v>220</v>
      </c>
      <c r="G137" s="241">
        <f>VLOOKUP($P128,'Summary PL'!$A$14:$M$39,13,FALSE)</f>
        <v>641</v>
      </c>
      <c r="H137" s="139" t="s">
        <v>228</v>
      </c>
      <c r="I137" s="102"/>
      <c r="J137" s="102"/>
      <c r="K137" s="102"/>
      <c r="L137" s="102"/>
      <c r="M137" s="102"/>
      <c r="N137" s="105"/>
    </row>
    <row r="138" spans="1:14" s="4" customFormat="1" ht="25.2">
      <c r="A138" s="104" t="s">
        <v>231</v>
      </c>
      <c r="B138" s="102"/>
      <c r="C138" s="102"/>
      <c r="D138" s="102"/>
      <c r="E138" s="102"/>
      <c r="F138" s="139"/>
      <c r="G138" s="139"/>
      <c r="H138" s="102"/>
      <c r="I138" s="102"/>
      <c r="J138" s="102"/>
      <c r="K138" s="102"/>
      <c r="L138" s="102"/>
      <c r="M138" s="102"/>
      <c r="N138" s="105"/>
    </row>
    <row r="139" spans="1:14" s="3" customFormat="1" ht="10.35" customHeight="1">
      <c r="A139" s="104"/>
      <c r="B139" s="102"/>
      <c r="C139" s="102"/>
      <c r="D139" s="102"/>
      <c r="E139" s="102"/>
      <c r="F139" s="139"/>
      <c r="G139" s="139"/>
      <c r="H139" s="102"/>
      <c r="I139" s="102"/>
      <c r="J139" s="102"/>
      <c r="K139" s="102"/>
      <c r="L139" s="102"/>
      <c r="M139" s="102"/>
      <c r="N139" s="105"/>
    </row>
    <row r="140" spans="1:14" s="3" customFormat="1" ht="25.2">
      <c r="A140" s="108" t="s">
        <v>232</v>
      </c>
      <c r="B140" s="102"/>
      <c r="C140" s="102"/>
      <c r="D140" s="102"/>
      <c r="E140" s="102"/>
      <c r="F140" s="139" t="s">
        <v>220</v>
      </c>
      <c r="G140" s="241">
        <f>VLOOKUP($P128,'Summary PL'!$A$14:$M$39,11,FALSE)</f>
        <v>1.21</v>
      </c>
      <c r="H140" s="240" t="s">
        <v>233</v>
      </c>
      <c r="I140" s="240"/>
      <c r="J140" s="240"/>
      <c r="K140" s="240"/>
      <c r="L140" s="102"/>
      <c r="M140" s="102"/>
      <c r="N140" s="105"/>
    </row>
    <row r="141" spans="1:14" s="4" customFormat="1" ht="25.2">
      <c r="A141" s="104" t="s">
        <v>234</v>
      </c>
      <c r="B141" s="102"/>
      <c r="C141" s="102"/>
      <c r="D141" s="102"/>
      <c r="E141" s="102"/>
      <c r="F141" s="139"/>
      <c r="G141" s="139"/>
      <c r="H141" s="102"/>
      <c r="I141" s="102"/>
      <c r="J141" s="102"/>
      <c r="K141" s="102"/>
      <c r="L141" s="102"/>
      <c r="M141" s="102"/>
      <c r="N141" s="105"/>
    </row>
    <row r="142" spans="1:14" s="3" customFormat="1" ht="10.35" customHeight="1">
      <c r="A142" s="104"/>
      <c r="B142" s="102"/>
      <c r="C142" s="102"/>
      <c r="D142" s="102"/>
      <c r="E142" s="102"/>
      <c r="F142" s="139"/>
      <c r="G142" s="139"/>
      <c r="H142" s="102"/>
      <c r="I142" s="102"/>
      <c r="J142" s="102"/>
      <c r="K142" s="102"/>
      <c r="L142" s="102"/>
      <c r="M142" s="102"/>
      <c r="N142" s="105"/>
    </row>
    <row r="143" spans="1:14" s="3" customFormat="1" ht="25.2" customHeight="1">
      <c r="A143" s="104" t="s">
        <v>235</v>
      </c>
      <c r="B143" s="102"/>
      <c r="C143" s="102"/>
      <c r="D143" s="102"/>
      <c r="E143" s="102"/>
      <c r="F143" s="139" t="s">
        <v>236</v>
      </c>
      <c r="G143" s="508" t="s">
        <v>237</v>
      </c>
      <c r="H143" s="508"/>
      <c r="I143" s="508"/>
      <c r="J143" s="508"/>
      <c r="K143" s="508"/>
      <c r="L143" s="508"/>
      <c r="M143" s="508"/>
      <c r="N143" s="509"/>
    </row>
    <row r="144" spans="1:14" s="4" customFormat="1" ht="25.2">
      <c r="A144" s="104" t="s">
        <v>238</v>
      </c>
      <c r="B144" s="102"/>
      <c r="C144" s="102"/>
      <c r="D144" s="102"/>
      <c r="E144" s="102"/>
      <c r="F144" s="139"/>
      <c r="G144" s="508"/>
      <c r="H144" s="508"/>
      <c r="I144" s="508"/>
      <c r="J144" s="508"/>
      <c r="K144" s="508"/>
      <c r="L144" s="508"/>
      <c r="M144" s="508"/>
      <c r="N144" s="509"/>
    </row>
    <row r="145" spans="1:14" s="4" customFormat="1" ht="25.2">
      <c r="A145" s="104"/>
      <c r="B145" s="102"/>
      <c r="C145" s="102"/>
      <c r="D145" s="102"/>
      <c r="E145" s="102"/>
      <c r="F145" s="139"/>
      <c r="G145" s="140"/>
      <c r="H145" s="102"/>
      <c r="I145" s="102"/>
      <c r="J145" s="102"/>
      <c r="K145" s="102"/>
      <c r="L145" s="102"/>
      <c r="M145" s="102"/>
      <c r="N145" s="105"/>
    </row>
    <row r="146" spans="1:14" s="4" customFormat="1" ht="25.8" thickBot="1">
      <c r="A146" s="104"/>
      <c r="B146" s="102"/>
      <c r="C146" s="102"/>
      <c r="D146" s="102"/>
      <c r="E146" s="139"/>
      <c r="F146" s="239"/>
      <c r="G146" s="139"/>
      <c r="H146" s="102"/>
      <c r="I146" s="102"/>
      <c r="J146" s="102"/>
      <c r="K146" s="102"/>
      <c r="L146" s="102"/>
      <c r="M146" s="102"/>
      <c r="N146" s="105"/>
    </row>
    <row r="147" spans="1:14" ht="21" customHeight="1">
      <c r="A147" s="98"/>
      <c r="B147" s="99"/>
      <c r="C147" s="99"/>
      <c r="D147" s="99"/>
      <c r="E147" s="510" t="s">
        <v>239</v>
      </c>
      <c r="F147" s="511"/>
      <c r="G147" s="511"/>
      <c r="H147" s="511"/>
      <c r="I147" s="511"/>
      <c r="J147" s="511"/>
      <c r="K147" s="511"/>
      <c r="L147" s="100"/>
      <c r="M147" s="100"/>
      <c r="N147" s="101"/>
    </row>
    <row r="148" spans="1:14" ht="25.5" customHeight="1" thickBot="1">
      <c r="A148" s="109"/>
      <c r="B148" s="110"/>
      <c r="C148" s="110"/>
      <c r="D148" s="110"/>
      <c r="E148" s="512"/>
      <c r="F148" s="512"/>
      <c r="G148" s="512"/>
      <c r="H148" s="512"/>
      <c r="I148" s="512"/>
      <c r="J148" s="512"/>
      <c r="K148" s="512"/>
      <c r="L148" s="111"/>
      <c r="M148" s="111"/>
      <c r="N148" s="112"/>
    </row>
    <row r="149" spans="1:14">
      <c r="A149" s="98"/>
      <c r="B149" s="99"/>
      <c r="C149" s="99"/>
      <c r="D149" s="99"/>
      <c r="E149" s="99"/>
      <c r="F149" s="100"/>
      <c r="G149" s="100"/>
      <c r="H149" s="100"/>
      <c r="I149" s="100"/>
      <c r="J149" s="100"/>
      <c r="K149" s="100"/>
      <c r="L149" s="100"/>
      <c r="M149" s="100"/>
      <c r="N149" s="101"/>
    </row>
    <row r="150" spans="1:14">
      <c r="A150" s="243"/>
      <c r="N150" s="242"/>
    </row>
    <row r="151" spans="1:14" ht="76.5" customHeight="1">
      <c r="A151" s="513" t="s">
        <v>207</v>
      </c>
      <c r="B151" s="514"/>
      <c r="C151" s="514"/>
      <c r="D151" s="514"/>
      <c r="E151" s="514"/>
      <c r="F151" s="514"/>
      <c r="G151" s="514"/>
      <c r="H151" s="514"/>
      <c r="I151" s="514"/>
      <c r="J151" s="514"/>
      <c r="K151" s="514"/>
      <c r="L151" s="514"/>
      <c r="M151" s="514"/>
      <c r="N151" s="515"/>
    </row>
    <row r="152" spans="1:14" s="3" customFormat="1" ht="37.950000000000003" customHeight="1">
      <c r="A152" s="115" t="s">
        <v>208</v>
      </c>
      <c r="B152" s="138"/>
      <c r="C152" s="138"/>
      <c r="D152" s="102"/>
      <c r="E152" s="102"/>
      <c r="F152" s="139" t="s">
        <v>209</v>
      </c>
      <c r="G152" s="508" t="s">
        <v>210</v>
      </c>
      <c r="H152" s="508"/>
      <c r="I152" s="508"/>
      <c r="J152" s="508"/>
      <c r="K152" s="508"/>
      <c r="L152" s="508"/>
      <c r="M152" s="508"/>
      <c r="N152" s="509"/>
    </row>
    <row r="153" spans="1:14" s="4" customFormat="1" ht="25.2">
      <c r="A153" s="104" t="s">
        <v>211</v>
      </c>
      <c r="B153" s="102"/>
      <c r="C153" s="102"/>
      <c r="D153" s="102"/>
      <c r="E153" s="102"/>
      <c r="F153" s="139"/>
      <c r="G153" s="508"/>
      <c r="H153" s="508"/>
      <c r="I153" s="508"/>
      <c r="J153" s="508"/>
      <c r="K153" s="508"/>
      <c r="L153" s="508"/>
      <c r="M153" s="508"/>
      <c r="N153" s="509"/>
    </row>
    <row r="154" spans="1:14" s="3" customFormat="1" ht="10.35" customHeight="1">
      <c r="A154" s="104"/>
      <c r="B154" s="102"/>
      <c r="C154" s="102"/>
      <c r="D154" s="102"/>
      <c r="E154" s="102"/>
      <c r="F154" s="139"/>
      <c r="G154" s="102"/>
      <c r="H154" s="102"/>
      <c r="I154" s="102"/>
      <c r="J154" s="102"/>
      <c r="K154" s="102"/>
      <c r="L154" s="102"/>
      <c r="M154" s="102"/>
      <c r="N154" s="105"/>
    </row>
    <row r="155" spans="1:14" s="3" customFormat="1" ht="18.75" customHeight="1">
      <c r="A155" s="104" t="s">
        <v>212</v>
      </c>
      <c r="B155" s="102"/>
      <c r="C155" s="102"/>
      <c r="D155" s="102"/>
      <c r="E155" s="102"/>
      <c r="F155" s="139" t="s">
        <v>213</v>
      </c>
      <c r="G155" s="508" t="str">
        <f>PL!$B$13</f>
        <v>Branch of JSC "Doosan Enerbility" in the Turkestan region</v>
      </c>
      <c r="H155" s="508"/>
      <c r="I155" s="508"/>
      <c r="J155" s="508"/>
      <c r="K155" s="508"/>
      <c r="L155" s="508"/>
      <c r="M155" s="508"/>
      <c r="N155" s="509"/>
    </row>
    <row r="156" spans="1:14" s="3" customFormat="1" ht="18.75" customHeight="1">
      <c r="A156" s="104" t="s">
        <v>214</v>
      </c>
      <c r="B156" s="102"/>
      <c r="C156" s="102"/>
      <c r="D156" s="102"/>
      <c r="E156" s="102"/>
      <c r="F156" s="139"/>
      <c r="G156" s="508" t="str">
        <f>PL!$B$14</f>
        <v>321 Tauke Khan Avenue, Turkestan region, Turkestan, Kazakhstan, 161200</v>
      </c>
      <c r="H156" s="508"/>
      <c r="I156" s="508"/>
      <c r="J156" s="508"/>
      <c r="K156" s="508"/>
      <c r="L156" s="508"/>
      <c r="M156" s="508"/>
      <c r="N156" s="509"/>
    </row>
    <row r="157" spans="1:14" s="3" customFormat="1" ht="18.75" customHeight="1">
      <c r="A157" s="104"/>
      <c r="B157" s="102"/>
      <c r="C157" s="102"/>
      <c r="D157" s="102"/>
      <c r="E157" s="102"/>
      <c r="F157" s="139"/>
      <c r="G157" s="508" t="str">
        <f>PL!$B$15</f>
        <v>BIN: 230741006561</v>
      </c>
      <c r="H157" s="508"/>
      <c r="I157" s="508"/>
      <c r="J157" s="508"/>
      <c r="K157" s="508"/>
      <c r="L157" s="508"/>
      <c r="M157" s="508"/>
      <c r="N157" s="509"/>
    </row>
    <row r="158" spans="1:14" s="3" customFormat="1" ht="18.75" customHeight="1">
      <c r="A158" s="104"/>
      <c r="B158" s="102"/>
      <c r="C158" s="102"/>
      <c r="D158" s="102"/>
      <c r="E158" s="102"/>
      <c r="F158" s="139"/>
      <c r="G158" s="210"/>
      <c r="H158" s="210"/>
      <c r="I158" s="210"/>
      <c r="J158" s="210"/>
      <c r="K158" s="210"/>
      <c r="L158" s="210"/>
      <c r="M158" s="210"/>
      <c r="N158" s="211"/>
    </row>
    <row r="159" spans="1:14" s="3" customFormat="1" ht="25.2">
      <c r="A159" s="104" t="s">
        <v>215</v>
      </c>
      <c r="B159" s="102"/>
      <c r="C159" s="102"/>
      <c r="D159" s="102"/>
      <c r="E159" s="102"/>
      <c r="F159" s="139" t="s">
        <v>216</v>
      </c>
      <c r="G159" s="102"/>
      <c r="H159" s="102"/>
      <c r="I159" s="102"/>
      <c r="J159" s="102"/>
      <c r="K159" s="102"/>
      <c r="L159" s="102"/>
      <c r="M159" s="102"/>
      <c r="N159" s="105"/>
    </row>
    <row r="160" spans="1:14" s="4" customFormat="1" ht="25.2">
      <c r="A160" s="104" t="s">
        <v>217</v>
      </c>
      <c r="B160" s="102"/>
      <c r="C160" s="102"/>
      <c r="D160" s="102"/>
      <c r="E160" s="102"/>
      <c r="F160" s="139" t="s">
        <v>218</v>
      </c>
      <c r="G160" s="102"/>
      <c r="H160" s="102"/>
      <c r="I160" s="102"/>
      <c r="J160" s="102"/>
      <c r="K160" s="102"/>
      <c r="L160" s="102"/>
      <c r="M160" s="102"/>
      <c r="N160" s="105"/>
    </row>
    <row r="161" spans="1:16" s="3" customFormat="1" ht="10.35" customHeight="1">
      <c r="A161" s="104"/>
      <c r="B161" s="102"/>
      <c r="C161" s="102"/>
      <c r="D161" s="102"/>
      <c r="E161" s="102"/>
      <c r="F161" s="139"/>
      <c r="G161" s="102"/>
      <c r="H161" s="102"/>
      <c r="I161" s="102"/>
      <c r="J161" s="102"/>
      <c r="K161" s="102"/>
      <c r="L161" s="102"/>
      <c r="M161" s="102"/>
      <c r="N161" s="105"/>
    </row>
    <row r="162" spans="1:16" s="3" customFormat="1" ht="25.2">
      <c r="A162" s="104" t="s">
        <v>219</v>
      </c>
      <c r="B162" s="102"/>
      <c r="C162" s="102"/>
      <c r="D162" s="102"/>
      <c r="E162" s="102"/>
      <c r="F162" s="139" t="s">
        <v>220</v>
      </c>
      <c r="G162" s="139" t="str">
        <f>PL!$V$8</f>
        <v>PGU-DE-0481</v>
      </c>
      <c r="H162" s="102"/>
      <c r="I162" s="102"/>
      <c r="J162" s="102"/>
      <c r="K162" s="102"/>
      <c r="L162" s="102"/>
      <c r="M162" s="102"/>
      <c r="N162" s="105"/>
    </row>
    <row r="163" spans="1:16" s="3" customFormat="1" ht="25.2">
      <c r="A163" s="104" t="s">
        <v>221</v>
      </c>
      <c r="B163" s="102"/>
      <c r="C163" s="102"/>
      <c r="D163" s="102"/>
      <c r="E163" s="102"/>
      <c r="F163" s="139"/>
      <c r="G163" s="102"/>
      <c r="H163" s="102"/>
      <c r="I163" s="102"/>
      <c r="J163" s="102"/>
      <c r="K163" s="102"/>
      <c r="L163" s="102"/>
      <c r="M163" s="102"/>
      <c r="N163" s="105"/>
    </row>
    <row r="164" spans="1:16" s="3" customFormat="1" ht="10.35" customHeight="1">
      <c r="A164" s="104"/>
      <c r="B164" s="102"/>
      <c r="C164" s="102"/>
      <c r="D164" s="102"/>
      <c r="E164" s="102"/>
      <c r="F164" s="139"/>
      <c r="G164" s="102"/>
      <c r="H164" s="102"/>
      <c r="I164" s="102"/>
      <c r="J164" s="102"/>
      <c r="K164" s="102"/>
      <c r="L164" s="102"/>
      <c r="M164" s="102"/>
      <c r="N164" s="105"/>
    </row>
    <row r="165" spans="1:16" s="3" customFormat="1" ht="25.2">
      <c r="A165" s="106" t="s">
        <v>222</v>
      </c>
      <c r="B165" s="141"/>
      <c r="C165" s="141"/>
      <c r="D165" s="141"/>
      <c r="E165" s="141"/>
      <c r="F165" s="142" t="s">
        <v>209</v>
      </c>
      <c r="G165" s="272" t="str">
        <f>VLOOKUP($P165,'Summary PL'!$A$14:$M$39,4,FALSE)</f>
        <v>Power Cable / Кабель питания для ОРУ</v>
      </c>
      <c r="H165" s="141"/>
      <c r="I165" s="141"/>
      <c r="J165" s="141"/>
      <c r="K165" s="141"/>
      <c r="L165" s="141"/>
      <c r="M165" s="141"/>
      <c r="N165" s="107"/>
      <c r="P165" s="3">
        <f>P128+1</f>
        <v>5</v>
      </c>
    </row>
    <row r="166" spans="1:16" s="3" customFormat="1" ht="25.2">
      <c r="A166" s="106" t="s">
        <v>223</v>
      </c>
      <c r="B166" s="141"/>
      <c r="C166" s="141"/>
      <c r="D166" s="141"/>
      <c r="E166" s="141"/>
      <c r="F166" s="142"/>
      <c r="G166" s="141"/>
      <c r="H166" s="141"/>
      <c r="I166" s="141"/>
      <c r="J166" s="141"/>
      <c r="K166" s="141"/>
      <c r="L166" s="141"/>
      <c r="M166" s="141"/>
      <c r="N166" s="107"/>
    </row>
    <row r="167" spans="1:16" s="3" customFormat="1" ht="10.35" customHeight="1">
      <c r="A167" s="104"/>
      <c r="B167" s="102"/>
      <c r="C167" s="102"/>
      <c r="D167" s="102"/>
      <c r="E167" s="102"/>
      <c r="F167" s="139"/>
      <c r="G167" s="102"/>
      <c r="H167" s="102"/>
      <c r="I167" s="102"/>
      <c r="J167" s="102"/>
      <c r="K167" s="102"/>
      <c r="L167" s="102"/>
      <c r="M167" s="102"/>
      <c r="N167" s="105"/>
    </row>
    <row r="168" spans="1:16" s="3" customFormat="1" ht="25.2">
      <c r="A168" s="104" t="s">
        <v>224</v>
      </c>
      <c r="B168" s="102"/>
      <c r="C168" s="102"/>
      <c r="D168" s="102"/>
      <c r="E168" s="102"/>
      <c r="F168" s="142" t="s">
        <v>225</v>
      </c>
      <c r="G168" s="272" t="str">
        <f>VLOOKUP($P165,'Summary PL'!$A$14:$M$39,3,FALSE)</f>
        <v>PGU-DE-0481-AIS-PoCable-005</v>
      </c>
      <c r="H168" s="102"/>
      <c r="I168" s="102"/>
      <c r="J168" s="102"/>
      <c r="K168" s="102"/>
      <c r="L168" s="102"/>
      <c r="M168" s="102"/>
      <c r="N168" s="105"/>
    </row>
    <row r="169" spans="1:16" s="4" customFormat="1" ht="25.2">
      <c r="A169" s="104" t="s">
        <v>226</v>
      </c>
      <c r="B169" s="102"/>
      <c r="C169" s="102"/>
      <c r="D169" s="102"/>
      <c r="E169" s="102"/>
      <c r="F169" s="139"/>
      <c r="G169" s="139"/>
      <c r="H169" s="102"/>
      <c r="I169" s="102"/>
      <c r="J169" s="102"/>
      <c r="K169" s="102"/>
      <c r="L169" s="102"/>
      <c r="M169" s="102"/>
      <c r="N169" s="105"/>
    </row>
    <row r="170" spans="1:16" s="3" customFormat="1" ht="10.35" customHeight="1">
      <c r="A170" s="104"/>
      <c r="B170" s="102"/>
      <c r="C170" s="102"/>
      <c r="D170" s="102"/>
      <c r="E170" s="102"/>
      <c r="F170" s="139"/>
      <c r="G170" s="139"/>
      <c r="H170" s="102"/>
      <c r="I170" s="102"/>
      <c r="J170" s="102"/>
      <c r="K170" s="102"/>
      <c r="L170" s="102"/>
      <c r="M170" s="102"/>
      <c r="N170" s="105"/>
    </row>
    <row r="171" spans="1:16" s="3" customFormat="1" ht="25.2">
      <c r="A171" s="104" t="s">
        <v>227</v>
      </c>
      <c r="B171" s="102"/>
      <c r="C171" s="102"/>
      <c r="D171" s="102"/>
      <c r="E171" s="102"/>
      <c r="F171" s="139" t="s">
        <v>220</v>
      </c>
      <c r="G171" s="241">
        <f>VLOOKUP($P165,'Summary PL'!$A$14:$M$39,12,FALSE)</f>
        <v>473</v>
      </c>
      <c r="H171" s="139" t="s">
        <v>228</v>
      </c>
      <c r="I171" s="102"/>
      <c r="J171" s="102"/>
      <c r="K171" s="102"/>
      <c r="L171" s="102"/>
      <c r="M171" s="102"/>
      <c r="N171" s="105"/>
    </row>
    <row r="172" spans="1:16" s="4" customFormat="1" ht="25.2">
      <c r="A172" s="104" t="s">
        <v>229</v>
      </c>
      <c r="B172" s="102"/>
      <c r="C172" s="102"/>
      <c r="D172" s="102"/>
      <c r="E172" s="102"/>
      <c r="F172" s="139"/>
      <c r="G172" s="139"/>
      <c r="H172" s="139"/>
      <c r="I172" s="102"/>
      <c r="J172" s="102"/>
      <c r="K172" s="102"/>
      <c r="L172" s="102"/>
      <c r="M172" s="102"/>
      <c r="N172" s="105"/>
    </row>
    <row r="173" spans="1:16" s="3" customFormat="1" ht="10.35" customHeight="1">
      <c r="A173" s="104"/>
      <c r="B173" s="102"/>
      <c r="C173" s="102"/>
      <c r="D173" s="102"/>
      <c r="E173" s="102"/>
      <c r="F173" s="139"/>
      <c r="G173" s="139"/>
      <c r="H173" s="139"/>
      <c r="I173" s="102"/>
      <c r="J173" s="102"/>
      <c r="K173" s="102"/>
      <c r="L173" s="102"/>
      <c r="M173" s="102"/>
      <c r="N173" s="105"/>
    </row>
    <row r="174" spans="1:16" s="3" customFormat="1" ht="25.2">
      <c r="A174" s="104" t="s">
        <v>230</v>
      </c>
      <c r="B174" s="102"/>
      <c r="C174" s="102"/>
      <c r="D174" s="102"/>
      <c r="E174" s="102"/>
      <c r="F174" s="139" t="s">
        <v>220</v>
      </c>
      <c r="G174" s="241">
        <f>VLOOKUP($P165,'Summary PL'!$A$14:$M$39,13,FALSE)</f>
        <v>641</v>
      </c>
      <c r="H174" s="139" t="s">
        <v>228</v>
      </c>
      <c r="I174" s="102"/>
      <c r="J174" s="102"/>
      <c r="K174" s="102"/>
      <c r="L174" s="102"/>
      <c r="M174" s="102"/>
      <c r="N174" s="105"/>
    </row>
    <row r="175" spans="1:16" s="4" customFormat="1" ht="25.2">
      <c r="A175" s="104" t="s">
        <v>231</v>
      </c>
      <c r="B175" s="102"/>
      <c r="C175" s="102"/>
      <c r="D175" s="102"/>
      <c r="E175" s="102"/>
      <c r="F175" s="139"/>
      <c r="G175" s="139"/>
      <c r="H175" s="102"/>
      <c r="I175" s="102"/>
      <c r="J175" s="102"/>
      <c r="K175" s="102"/>
      <c r="L175" s="102"/>
      <c r="M175" s="102"/>
      <c r="N175" s="105"/>
    </row>
    <row r="176" spans="1:16" s="3" customFormat="1" ht="10.35" customHeight="1">
      <c r="A176" s="104"/>
      <c r="B176" s="102"/>
      <c r="C176" s="102"/>
      <c r="D176" s="102"/>
      <c r="E176" s="102"/>
      <c r="F176" s="139"/>
      <c r="G176" s="139"/>
      <c r="H176" s="102"/>
      <c r="I176" s="102"/>
      <c r="J176" s="102"/>
      <c r="K176" s="102"/>
      <c r="L176" s="102"/>
      <c r="M176" s="102"/>
      <c r="N176" s="105"/>
    </row>
    <row r="177" spans="1:14" s="3" customFormat="1" ht="25.2">
      <c r="A177" s="108" t="s">
        <v>232</v>
      </c>
      <c r="B177" s="102"/>
      <c r="C177" s="102"/>
      <c r="D177" s="102"/>
      <c r="E177" s="102"/>
      <c r="F177" s="139" t="s">
        <v>220</v>
      </c>
      <c r="G177" s="241">
        <f>VLOOKUP($P165,'Summary PL'!$A$14:$M$39,11,FALSE)</f>
        <v>1.21</v>
      </c>
      <c r="H177" s="240" t="s">
        <v>233</v>
      </c>
      <c r="I177" s="240"/>
      <c r="J177" s="240"/>
      <c r="K177" s="240"/>
      <c r="L177" s="102"/>
      <c r="M177" s="102"/>
      <c r="N177" s="105"/>
    </row>
    <row r="178" spans="1:14" s="4" customFormat="1" ht="25.2">
      <c r="A178" s="104" t="s">
        <v>234</v>
      </c>
      <c r="B178" s="102"/>
      <c r="C178" s="102"/>
      <c r="D178" s="102"/>
      <c r="E178" s="102"/>
      <c r="F178" s="139"/>
      <c r="G178" s="139"/>
      <c r="H178" s="102"/>
      <c r="I178" s="102"/>
      <c r="J178" s="102"/>
      <c r="K178" s="102"/>
      <c r="L178" s="102"/>
      <c r="M178" s="102"/>
      <c r="N178" s="105"/>
    </row>
    <row r="179" spans="1:14" s="3" customFormat="1" ht="10.35" customHeight="1">
      <c r="A179" s="104"/>
      <c r="B179" s="102"/>
      <c r="C179" s="102"/>
      <c r="D179" s="102"/>
      <c r="E179" s="102"/>
      <c r="F179" s="139"/>
      <c r="G179" s="139"/>
      <c r="H179" s="102"/>
      <c r="I179" s="102"/>
      <c r="J179" s="102"/>
      <c r="K179" s="102"/>
      <c r="L179" s="102"/>
      <c r="M179" s="102"/>
      <c r="N179" s="105"/>
    </row>
    <row r="180" spans="1:14" s="3" customFormat="1" ht="25.2" customHeight="1">
      <c r="A180" s="104" t="s">
        <v>235</v>
      </c>
      <c r="B180" s="102"/>
      <c r="C180" s="102"/>
      <c r="D180" s="102"/>
      <c r="E180" s="102"/>
      <c r="F180" s="139" t="s">
        <v>236</v>
      </c>
      <c r="G180" s="508" t="s">
        <v>237</v>
      </c>
      <c r="H180" s="508"/>
      <c r="I180" s="508"/>
      <c r="J180" s="508"/>
      <c r="K180" s="508"/>
      <c r="L180" s="508"/>
      <c r="M180" s="508"/>
      <c r="N180" s="509"/>
    </row>
    <row r="181" spans="1:14" s="4" customFormat="1" ht="25.2">
      <c r="A181" s="104" t="s">
        <v>238</v>
      </c>
      <c r="B181" s="102"/>
      <c r="C181" s="102"/>
      <c r="D181" s="102"/>
      <c r="E181" s="102"/>
      <c r="F181" s="139"/>
      <c r="G181" s="508"/>
      <c r="H181" s="508"/>
      <c r="I181" s="508"/>
      <c r="J181" s="508"/>
      <c r="K181" s="508"/>
      <c r="L181" s="508"/>
      <c r="M181" s="508"/>
      <c r="N181" s="509"/>
    </row>
    <row r="182" spans="1:14" s="4" customFormat="1" ht="25.2">
      <c r="A182" s="104"/>
      <c r="B182" s="102"/>
      <c r="C182" s="102"/>
      <c r="D182" s="102"/>
      <c r="E182" s="102"/>
      <c r="F182" s="139"/>
      <c r="G182" s="140"/>
      <c r="H182" s="102"/>
      <c r="I182" s="102"/>
      <c r="J182" s="102"/>
      <c r="K182" s="102"/>
      <c r="L182" s="102"/>
      <c r="M182" s="102"/>
      <c r="N182" s="105"/>
    </row>
    <row r="183" spans="1:14" s="4" customFormat="1" ht="25.8" thickBot="1">
      <c r="A183" s="104"/>
      <c r="B183" s="102"/>
      <c r="C183" s="102"/>
      <c r="D183" s="102"/>
      <c r="E183" s="139"/>
      <c r="F183" s="239"/>
      <c r="G183" s="139"/>
      <c r="H183" s="102"/>
      <c r="I183" s="102"/>
      <c r="J183" s="102"/>
      <c r="K183" s="102"/>
      <c r="L183" s="102"/>
      <c r="M183" s="102"/>
      <c r="N183" s="105"/>
    </row>
    <row r="184" spans="1:14" ht="21" customHeight="1">
      <c r="A184" s="98"/>
      <c r="B184" s="99"/>
      <c r="C184" s="99"/>
      <c r="D184" s="99"/>
      <c r="E184" s="510" t="s">
        <v>239</v>
      </c>
      <c r="F184" s="511"/>
      <c r="G184" s="511"/>
      <c r="H184" s="511"/>
      <c r="I184" s="511"/>
      <c r="J184" s="511"/>
      <c r="K184" s="511"/>
      <c r="L184" s="100"/>
      <c r="M184" s="100"/>
      <c r="N184" s="101"/>
    </row>
    <row r="185" spans="1:14" ht="25.5" customHeight="1" thickBot="1">
      <c r="A185" s="109"/>
      <c r="B185" s="110"/>
      <c r="C185" s="110"/>
      <c r="D185" s="110"/>
      <c r="E185" s="512"/>
      <c r="F185" s="512"/>
      <c r="G185" s="512"/>
      <c r="H185" s="512"/>
      <c r="I185" s="512"/>
      <c r="J185" s="512"/>
      <c r="K185" s="512"/>
      <c r="L185" s="111"/>
      <c r="M185" s="111"/>
      <c r="N185" s="112"/>
    </row>
    <row r="186" spans="1:14">
      <c r="A186" s="98"/>
      <c r="B186" s="99"/>
      <c r="C186" s="99"/>
      <c r="D186" s="99"/>
      <c r="E186" s="99"/>
      <c r="F186" s="100"/>
      <c r="G186" s="100"/>
      <c r="H186" s="100"/>
      <c r="I186" s="100"/>
      <c r="J186" s="100"/>
      <c r="K186" s="100"/>
      <c r="L186" s="100"/>
      <c r="M186" s="100"/>
      <c r="N186" s="101"/>
    </row>
    <row r="187" spans="1:14">
      <c r="A187" s="243"/>
      <c r="N187" s="242"/>
    </row>
    <row r="188" spans="1:14" ht="76.5" customHeight="1">
      <c r="A188" s="513" t="s">
        <v>207</v>
      </c>
      <c r="B188" s="514"/>
      <c r="C188" s="514"/>
      <c r="D188" s="514"/>
      <c r="E188" s="514"/>
      <c r="F188" s="514"/>
      <c r="G188" s="514"/>
      <c r="H188" s="514"/>
      <c r="I188" s="514"/>
      <c r="J188" s="514"/>
      <c r="K188" s="514"/>
      <c r="L188" s="514"/>
      <c r="M188" s="514"/>
      <c r="N188" s="515"/>
    </row>
    <row r="189" spans="1:14" s="3" customFormat="1" ht="37.950000000000003" customHeight="1">
      <c r="A189" s="115" t="s">
        <v>208</v>
      </c>
      <c r="B189" s="138"/>
      <c r="C189" s="138"/>
      <c r="D189" s="102"/>
      <c r="E189" s="102"/>
      <c r="F189" s="139" t="s">
        <v>209</v>
      </c>
      <c r="G189" s="508" t="s">
        <v>210</v>
      </c>
      <c r="H189" s="508"/>
      <c r="I189" s="508"/>
      <c r="J189" s="508"/>
      <c r="K189" s="508"/>
      <c r="L189" s="508"/>
      <c r="M189" s="508"/>
      <c r="N189" s="509"/>
    </row>
    <row r="190" spans="1:14" s="4" customFormat="1" ht="25.2">
      <c r="A190" s="104" t="s">
        <v>211</v>
      </c>
      <c r="B190" s="102"/>
      <c r="C190" s="102"/>
      <c r="D190" s="102"/>
      <c r="E190" s="102"/>
      <c r="F190" s="139"/>
      <c r="G190" s="508"/>
      <c r="H190" s="508"/>
      <c r="I190" s="508"/>
      <c r="J190" s="508"/>
      <c r="K190" s="508"/>
      <c r="L190" s="508"/>
      <c r="M190" s="508"/>
      <c r="N190" s="509"/>
    </row>
    <row r="191" spans="1:14" s="3" customFormat="1" ht="10.35" customHeight="1">
      <c r="A191" s="104"/>
      <c r="B191" s="102"/>
      <c r="C191" s="102"/>
      <c r="D191" s="102"/>
      <c r="E191" s="102"/>
      <c r="F191" s="139"/>
      <c r="G191" s="102"/>
      <c r="H191" s="102"/>
      <c r="I191" s="102"/>
      <c r="J191" s="102"/>
      <c r="K191" s="102"/>
      <c r="L191" s="102"/>
      <c r="M191" s="102"/>
      <c r="N191" s="105"/>
    </row>
    <row r="192" spans="1:14" s="3" customFormat="1" ht="18.75" customHeight="1">
      <c r="A192" s="104" t="s">
        <v>212</v>
      </c>
      <c r="B192" s="102"/>
      <c r="C192" s="102"/>
      <c r="D192" s="102"/>
      <c r="E192" s="102"/>
      <c r="F192" s="139" t="s">
        <v>213</v>
      </c>
      <c r="G192" s="508" t="str">
        <f>PL!$B$13</f>
        <v>Branch of JSC "Doosan Enerbility" in the Turkestan region</v>
      </c>
      <c r="H192" s="508"/>
      <c r="I192" s="508"/>
      <c r="J192" s="508"/>
      <c r="K192" s="508"/>
      <c r="L192" s="508"/>
      <c r="M192" s="508"/>
      <c r="N192" s="509"/>
    </row>
    <row r="193" spans="1:16" s="3" customFormat="1" ht="18.75" customHeight="1">
      <c r="A193" s="104" t="s">
        <v>214</v>
      </c>
      <c r="B193" s="102"/>
      <c r="C193" s="102"/>
      <c r="D193" s="102"/>
      <c r="E193" s="102"/>
      <c r="F193" s="139"/>
      <c r="G193" s="508" t="str">
        <f>PL!$B$14</f>
        <v>321 Tauke Khan Avenue, Turkestan region, Turkestan, Kazakhstan, 161200</v>
      </c>
      <c r="H193" s="508"/>
      <c r="I193" s="508"/>
      <c r="J193" s="508"/>
      <c r="K193" s="508"/>
      <c r="L193" s="508"/>
      <c r="M193" s="508"/>
      <c r="N193" s="509"/>
    </row>
    <row r="194" spans="1:16" s="3" customFormat="1" ht="18.75" customHeight="1">
      <c r="A194" s="104"/>
      <c r="B194" s="102"/>
      <c r="C194" s="102"/>
      <c r="D194" s="102"/>
      <c r="E194" s="102"/>
      <c r="F194" s="139"/>
      <c r="G194" s="508" t="str">
        <f>PL!$B$15</f>
        <v>BIN: 230741006561</v>
      </c>
      <c r="H194" s="508"/>
      <c r="I194" s="508"/>
      <c r="J194" s="508"/>
      <c r="K194" s="508"/>
      <c r="L194" s="508"/>
      <c r="M194" s="508"/>
      <c r="N194" s="509"/>
    </row>
    <row r="195" spans="1:16" s="3" customFormat="1" ht="18.75" customHeight="1">
      <c r="A195" s="104"/>
      <c r="B195" s="102"/>
      <c r="C195" s="102"/>
      <c r="D195" s="102"/>
      <c r="E195" s="102"/>
      <c r="F195" s="139"/>
      <c r="G195" s="210"/>
      <c r="H195" s="210"/>
      <c r="I195" s="210"/>
      <c r="J195" s="210"/>
      <c r="K195" s="210"/>
      <c r="L195" s="210"/>
      <c r="M195" s="210"/>
      <c r="N195" s="211"/>
    </row>
    <row r="196" spans="1:16" s="3" customFormat="1" ht="25.2">
      <c r="A196" s="104" t="s">
        <v>215</v>
      </c>
      <c r="B196" s="102"/>
      <c r="C196" s="102"/>
      <c r="D196" s="102"/>
      <c r="E196" s="102"/>
      <c r="F196" s="139" t="s">
        <v>216</v>
      </c>
      <c r="G196" s="102"/>
      <c r="H196" s="102"/>
      <c r="I196" s="102"/>
      <c r="J196" s="102"/>
      <c r="K196" s="102"/>
      <c r="L196" s="102"/>
      <c r="M196" s="102"/>
      <c r="N196" s="105"/>
    </row>
    <row r="197" spans="1:16" s="4" customFormat="1" ht="25.2">
      <c r="A197" s="104" t="s">
        <v>217</v>
      </c>
      <c r="B197" s="102"/>
      <c r="C197" s="102"/>
      <c r="D197" s="102"/>
      <c r="E197" s="102"/>
      <c r="F197" s="139" t="s">
        <v>218</v>
      </c>
      <c r="G197" s="102"/>
      <c r="H197" s="102"/>
      <c r="I197" s="102"/>
      <c r="J197" s="102"/>
      <c r="K197" s="102"/>
      <c r="L197" s="102"/>
      <c r="M197" s="102"/>
      <c r="N197" s="105"/>
    </row>
    <row r="198" spans="1:16" s="3" customFormat="1" ht="10.35" customHeight="1">
      <c r="A198" s="104"/>
      <c r="B198" s="102"/>
      <c r="C198" s="102"/>
      <c r="D198" s="102"/>
      <c r="E198" s="102"/>
      <c r="F198" s="139"/>
      <c r="G198" s="102"/>
      <c r="H198" s="102"/>
      <c r="I198" s="102"/>
      <c r="J198" s="102"/>
      <c r="K198" s="102"/>
      <c r="L198" s="102"/>
      <c r="M198" s="102"/>
      <c r="N198" s="105"/>
    </row>
    <row r="199" spans="1:16" s="3" customFormat="1" ht="25.2">
      <c r="A199" s="104" t="s">
        <v>219</v>
      </c>
      <c r="B199" s="102"/>
      <c r="C199" s="102"/>
      <c r="D199" s="102"/>
      <c r="E199" s="102"/>
      <c r="F199" s="139" t="s">
        <v>220</v>
      </c>
      <c r="G199" s="139" t="str">
        <f>PL!$V$8</f>
        <v>PGU-DE-0481</v>
      </c>
      <c r="H199" s="102"/>
      <c r="I199" s="102"/>
      <c r="J199" s="102"/>
      <c r="K199" s="102"/>
      <c r="L199" s="102"/>
      <c r="M199" s="102"/>
      <c r="N199" s="105"/>
    </row>
    <row r="200" spans="1:16" s="3" customFormat="1" ht="25.2">
      <c r="A200" s="104" t="s">
        <v>221</v>
      </c>
      <c r="B200" s="102"/>
      <c r="C200" s="102"/>
      <c r="D200" s="102"/>
      <c r="E200" s="102"/>
      <c r="F200" s="139"/>
      <c r="G200" s="102"/>
      <c r="H200" s="102"/>
      <c r="I200" s="102"/>
      <c r="J200" s="102"/>
      <c r="K200" s="102"/>
      <c r="L200" s="102"/>
      <c r="M200" s="102"/>
      <c r="N200" s="105"/>
    </row>
    <row r="201" spans="1:16" s="3" customFormat="1" ht="10.35" customHeight="1">
      <c r="A201" s="104"/>
      <c r="B201" s="102"/>
      <c r="C201" s="102"/>
      <c r="D201" s="102"/>
      <c r="E201" s="102"/>
      <c r="F201" s="139"/>
      <c r="G201" s="102"/>
      <c r="H201" s="102"/>
      <c r="I201" s="102"/>
      <c r="J201" s="102"/>
      <c r="K201" s="102"/>
      <c r="L201" s="102"/>
      <c r="M201" s="102"/>
      <c r="N201" s="105"/>
    </row>
    <row r="202" spans="1:16" s="3" customFormat="1" ht="25.2">
      <c r="A202" s="106" t="s">
        <v>222</v>
      </c>
      <c r="B202" s="141"/>
      <c r="C202" s="141"/>
      <c r="D202" s="141"/>
      <c r="E202" s="141"/>
      <c r="F202" s="142" t="s">
        <v>209</v>
      </c>
      <c r="G202" s="272" t="str">
        <f>VLOOKUP($P202,'Summary PL'!$A$14:$M$39,4,FALSE)</f>
        <v>Power Cable / Кабель питания для ОРУ</v>
      </c>
      <c r="H202" s="141"/>
      <c r="I202" s="141"/>
      <c r="J202" s="141"/>
      <c r="K202" s="141"/>
      <c r="L202" s="141"/>
      <c r="M202" s="141"/>
      <c r="N202" s="107"/>
      <c r="P202" s="3">
        <f>P165+1</f>
        <v>6</v>
      </c>
    </row>
    <row r="203" spans="1:16" s="3" customFormat="1" ht="25.2">
      <c r="A203" s="106" t="s">
        <v>223</v>
      </c>
      <c r="B203" s="141"/>
      <c r="C203" s="141"/>
      <c r="D203" s="141"/>
      <c r="E203" s="141"/>
      <c r="F203" s="142"/>
      <c r="G203" s="141"/>
      <c r="H203" s="141"/>
      <c r="I203" s="141"/>
      <c r="J203" s="141"/>
      <c r="K203" s="141"/>
      <c r="L203" s="141"/>
      <c r="M203" s="141"/>
      <c r="N203" s="107"/>
    </row>
    <row r="204" spans="1:16" s="3" customFormat="1" ht="10.35" customHeight="1">
      <c r="A204" s="104"/>
      <c r="B204" s="102"/>
      <c r="C204" s="102"/>
      <c r="D204" s="102"/>
      <c r="E204" s="102"/>
      <c r="F204" s="139"/>
      <c r="G204" s="102"/>
      <c r="H204" s="102"/>
      <c r="I204" s="102"/>
      <c r="J204" s="102"/>
      <c r="K204" s="102"/>
      <c r="L204" s="102"/>
      <c r="M204" s="102"/>
      <c r="N204" s="105"/>
    </row>
    <row r="205" spans="1:16" s="3" customFormat="1" ht="25.2">
      <c r="A205" s="104" t="s">
        <v>224</v>
      </c>
      <c r="B205" s="102"/>
      <c r="C205" s="102"/>
      <c r="D205" s="102"/>
      <c r="E205" s="102"/>
      <c r="F205" s="142" t="s">
        <v>225</v>
      </c>
      <c r="G205" s="272" t="str">
        <f>VLOOKUP($P202,'Summary PL'!$A$14:$M$39,3,FALSE)</f>
        <v>PGU-DE-0481-AIS-PoCable-006</v>
      </c>
      <c r="H205" s="102"/>
      <c r="I205" s="102"/>
      <c r="J205" s="102"/>
      <c r="K205" s="102"/>
      <c r="L205" s="102"/>
      <c r="M205" s="102"/>
      <c r="N205" s="105"/>
    </row>
    <row r="206" spans="1:16" s="4" customFormat="1" ht="25.2">
      <c r="A206" s="104" t="s">
        <v>226</v>
      </c>
      <c r="B206" s="102"/>
      <c r="C206" s="102"/>
      <c r="D206" s="102"/>
      <c r="E206" s="102"/>
      <c r="F206" s="139"/>
      <c r="G206" s="139"/>
      <c r="H206" s="102"/>
      <c r="I206" s="102"/>
      <c r="J206" s="102"/>
      <c r="K206" s="102"/>
      <c r="L206" s="102"/>
      <c r="M206" s="102"/>
      <c r="N206" s="105"/>
    </row>
    <row r="207" spans="1:16" s="3" customFormat="1" ht="10.35" customHeight="1">
      <c r="A207" s="104"/>
      <c r="B207" s="102"/>
      <c r="C207" s="102"/>
      <c r="D207" s="102"/>
      <c r="E207" s="102"/>
      <c r="F207" s="139"/>
      <c r="G207" s="139"/>
      <c r="H207" s="102"/>
      <c r="I207" s="102"/>
      <c r="J207" s="102"/>
      <c r="K207" s="102"/>
      <c r="L207" s="102"/>
      <c r="M207" s="102"/>
      <c r="N207" s="105"/>
    </row>
    <row r="208" spans="1:16" s="3" customFormat="1" ht="25.2">
      <c r="A208" s="104" t="s">
        <v>227</v>
      </c>
      <c r="B208" s="102"/>
      <c r="C208" s="102"/>
      <c r="D208" s="102"/>
      <c r="E208" s="102"/>
      <c r="F208" s="139" t="s">
        <v>220</v>
      </c>
      <c r="G208" s="241">
        <f>VLOOKUP($P202,'Summary PL'!$A$14:$M$39,12,FALSE)</f>
        <v>473</v>
      </c>
      <c r="H208" s="139" t="s">
        <v>228</v>
      </c>
      <c r="I208" s="102"/>
      <c r="J208" s="102"/>
      <c r="K208" s="102"/>
      <c r="L208" s="102"/>
      <c r="M208" s="102"/>
      <c r="N208" s="105"/>
    </row>
    <row r="209" spans="1:14" s="4" customFormat="1" ht="25.2">
      <c r="A209" s="104" t="s">
        <v>229</v>
      </c>
      <c r="B209" s="102"/>
      <c r="C209" s="102"/>
      <c r="D209" s="102"/>
      <c r="E209" s="102"/>
      <c r="F209" s="139"/>
      <c r="G209" s="139"/>
      <c r="H209" s="139"/>
      <c r="I209" s="102"/>
      <c r="J209" s="102"/>
      <c r="K209" s="102"/>
      <c r="L209" s="102"/>
      <c r="M209" s="102"/>
      <c r="N209" s="105"/>
    </row>
    <row r="210" spans="1:14" s="3" customFormat="1" ht="10.35" customHeight="1">
      <c r="A210" s="104"/>
      <c r="B210" s="102"/>
      <c r="C210" s="102"/>
      <c r="D210" s="102"/>
      <c r="E210" s="102"/>
      <c r="F210" s="139"/>
      <c r="G210" s="139"/>
      <c r="H210" s="139"/>
      <c r="I210" s="102"/>
      <c r="J210" s="102"/>
      <c r="K210" s="102"/>
      <c r="L210" s="102"/>
      <c r="M210" s="102"/>
      <c r="N210" s="105"/>
    </row>
    <row r="211" spans="1:14" s="3" customFormat="1" ht="25.2">
      <c r="A211" s="104" t="s">
        <v>230</v>
      </c>
      <c r="B211" s="102"/>
      <c r="C211" s="102"/>
      <c r="D211" s="102"/>
      <c r="E211" s="102"/>
      <c r="F211" s="139" t="s">
        <v>220</v>
      </c>
      <c r="G211" s="241">
        <f>VLOOKUP($P202,'Summary PL'!$A$14:$M$39,13,FALSE)</f>
        <v>641</v>
      </c>
      <c r="H211" s="139" t="s">
        <v>228</v>
      </c>
      <c r="I211" s="102"/>
      <c r="J211" s="102"/>
      <c r="K211" s="102"/>
      <c r="L211" s="102"/>
      <c r="M211" s="102"/>
      <c r="N211" s="105"/>
    </row>
    <row r="212" spans="1:14" s="4" customFormat="1" ht="25.2">
      <c r="A212" s="104" t="s">
        <v>231</v>
      </c>
      <c r="B212" s="102"/>
      <c r="C212" s="102"/>
      <c r="D212" s="102"/>
      <c r="E212" s="102"/>
      <c r="F212" s="139"/>
      <c r="G212" s="139"/>
      <c r="H212" s="102"/>
      <c r="I212" s="102"/>
      <c r="J212" s="102"/>
      <c r="K212" s="102"/>
      <c r="L212" s="102"/>
      <c r="M212" s="102"/>
      <c r="N212" s="105"/>
    </row>
    <row r="213" spans="1:14" s="3" customFormat="1" ht="10.35" customHeight="1">
      <c r="A213" s="104"/>
      <c r="B213" s="102"/>
      <c r="C213" s="102"/>
      <c r="D213" s="102"/>
      <c r="E213" s="102"/>
      <c r="F213" s="139"/>
      <c r="G213" s="139"/>
      <c r="H213" s="102"/>
      <c r="I213" s="102"/>
      <c r="J213" s="102"/>
      <c r="K213" s="102"/>
      <c r="L213" s="102"/>
      <c r="M213" s="102"/>
      <c r="N213" s="105"/>
    </row>
    <row r="214" spans="1:14" s="3" customFormat="1" ht="25.2">
      <c r="A214" s="108" t="s">
        <v>232</v>
      </c>
      <c r="B214" s="102"/>
      <c r="C214" s="102"/>
      <c r="D214" s="102"/>
      <c r="E214" s="102"/>
      <c r="F214" s="139" t="s">
        <v>220</v>
      </c>
      <c r="G214" s="241">
        <f>VLOOKUP($P202,'Summary PL'!$A$14:$M$39,11,FALSE)</f>
        <v>1.21</v>
      </c>
      <c r="H214" s="240" t="s">
        <v>233</v>
      </c>
      <c r="I214" s="240"/>
      <c r="J214" s="240"/>
      <c r="K214" s="240"/>
      <c r="L214" s="102"/>
      <c r="M214" s="102"/>
      <c r="N214" s="105"/>
    </row>
    <row r="215" spans="1:14" s="4" customFormat="1" ht="25.2">
      <c r="A215" s="104" t="s">
        <v>234</v>
      </c>
      <c r="B215" s="102"/>
      <c r="C215" s="102"/>
      <c r="D215" s="102"/>
      <c r="E215" s="102"/>
      <c r="F215" s="139"/>
      <c r="G215" s="139"/>
      <c r="H215" s="102"/>
      <c r="I215" s="102"/>
      <c r="J215" s="102"/>
      <c r="K215" s="102"/>
      <c r="L215" s="102"/>
      <c r="M215" s="102"/>
      <c r="N215" s="105"/>
    </row>
    <row r="216" spans="1:14" s="3" customFormat="1" ht="10.35" customHeight="1">
      <c r="A216" s="104"/>
      <c r="B216" s="102"/>
      <c r="C216" s="102"/>
      <c r="D216" s="102"/>
      <c r="E216" s="102"/>
      <c r="F216" s="139"/>
      <c r="G216" s="139"/>
      <c r="H216" s="102"/>
      <c r="I216" s="102"/>
      <c r="J216" s="102"/>
      <c r="K216" s="102"/>
      <c r="L216" s="102"/>
      <c r="M216" s="102"/>
      <c r="N216" s="105"/>
    </row>
    <row r="217" spans="1:14" s="3" customFormat="1" ht="25.2" customHeight="1">
      <c r="A217" s="104" t="s">
        <v>235</v>
      </c>
      <c r="B217" s="102"/>
      <c r="C217" s="102"/>
      <c r="D217" s="102"/>
      <c r="E217" s="102"/>
      <c r="F217" s="139" t="s">
        <v>236</v>
      </c>
      <c r="G217" s="508" t="s">
        <v>237</v>
      </c>
      <c r="H217" s="508"/>
      <c r="I217" s="508"/>
      <c r="J217" s="508"/>
      <c r="K217" s="508"/>
      <c r="L217" s="508"/>
      <c r="M217" s="508"/>
      <c r="N217" s="509"/>
    </row>
    <row r="218" spans="1:14" s="4" customFormat="1" ht="25.2">
      <c r="A218" s="104" t="s">
        <v>238</v>
      </c>
      <c r="B218" s="102"/>
      <c r="C218" s="102"/>
      <c r="D218" s="102"/>
      <c r="E218" s="102"/>
      <c r="F218" s="139"/>
      <c r="G218" s="508"/>
      <c r="H218" s="508"/>
      <c r="I218" s="508"/>
      <c r="J218" s="508"/>
      <c r="K218" s="508"/>
      <c r="L218" s="508"/>
      <c r="M218" s="508"/>
      <c r="N218" s="509"/>
    </row>
    <row r="219" spans="1:14" s="4" customFormat="1" ht="25.2">
      <c r="A219" s="104"/>
      <c r="B219" s="102"/>
      <c r="C219" s="102"/>
      <c r="D219" s="102"/>
      <c r="E219" s="102"/>
      <c r="F219" s="139"/>
      <c r="G219" s="140"/>
      <c r="H219" s="102"/>
      <c r="I219" s="102"/>
      <c r="J219" s="102"/>
      <c r="K219" s="102"/>
      <c r="L219" s="102"/>
      <c r="M219" s="102"/>
      <c r="N219" s="105"/>
    </row>
    <row r="220" spans="1:14" s="4" customFormat="1" ht="25.8" thickBot="1">
      <c r="A220" s="104"/>
      <c r="B220" s="102"/>
      <c r="C220" s="102"/>
      <c r="D220" s="102"/>
      <c r="E220" s="139"/>
      <c r="F220" s="239"/>
      <c r="G220" s="139"/>
      <c r="H220" s="102"/>
      <c r="I220" s="102"/>
      <c r="J220" s="102"/>
      <c r="K220" s="102"/>
      <c r="L220" s="102"/>
      <c r="M220" s="102"/>
      <c r="N220" s="105"/>
    </row>
    <row r="221" spans="1:14" ht="21" customHeight="1">
      <c r="A221" s="98"/>
      <c r="B221" s="99"/>
      <c r="C221" s="99"/>
      <c r="D221" s="99"/>
      <c r="E221" s="510" t="s">
        <v>239</v>
      </c>
      <c r="F221" s="511"/>
      <c r="G221" s="511"/>
      <c r="H221" s="511"/>
      <c r="I221" s="511"/>
      <c r="J221" s="511"/>
      <c r="K221" s="511"/>
      <c r="L221" s="100"/>
      <c r="M221" s="100"/>
      <c r="N221" s="101"/>
    </row>
    <row r="222" spans="1:14" ht="25.5" customHeight="1" thickBot="1">
      <c r="A222" s="109"/>
      <c r="B222" s="110"/>
      <c r="C222" s="110"/>
      <c r="D222" s="110"/>
      <c r="E222" s="512"/>
      <c r="F222" s="512"/>
      <c r="G222" s="512"/>
      <c r="H222" s="512"/>
      <c r="I222" s="512"/>
      <c r="J222" s="512"/>
      <c r="K222" s="512"/>
      <c r="L222" s="111"/>
      <c r="M222" s="111"/>
      <c r="N222" s="112"/>
    </row>
    <row r="223" spans="1:14">
      <c r="A223" s="98"/>
      <c r="B223" s="99"/>
      <c r="C223" s="99"/>
      <c r="D223" s="99"/>
      <c r="E223" s="99"/>
      <c r="F223" s="100"/>
      <c r="G223" s="100"/>
      <c r="H223" s="100"/>
      <c r="I223" s="100"/>
      <c r="J223" s="100"/>
      <c r="K223" s="100"/>
      <c r="L223" s="100"/>
      <c r="M223" s="100"/>
      <c r="N223" s="101"/>
    </row>
    <row r="224" spans="1:14">
      <c r="A224" s="243"/>
      <c r="N224" s="242"/>
    </row>
    <row r="225" spans="1:16" ht="76.5" customHeight="1">
      <c r="A225" s="513" t="s">
        <v>207</v>
      </c>
      <c r="B225" s="514"/>
      <c r="C225" s="514"/>
      <c r="D225" s="514"/>
      <c r="E225" s="514"/>
      <c r="F225" s="514"/>
      <c r="G225" s="514"/>
      <c r="H225" s="514"/>
      <c r="I225" s="514"/>
      <c r="J225" s="514"/>
      <c r="K225" s="514"/>
      <c r="L225" s="514"/>
      <c r="M225" s="514"/>
      <c r="N225" s="515"/>
    </row>
    <row r="226" spans="1:16" s="3" customFormat="1" ht="37.950000000000003" customHeight="1">
      <c r="A226" s="115" t="s">
        <v>208</v>
      </c>
      <c r="B226" s="138"/>
      <c r="C226" s="138"/>
      <c r="D226" s="102"/>
      <c r="E226" s="102"/>
      <c r="F226" s="139" t="s">
        <v>209</v>
      </c>
      <c r="G226" s="508" t="s">
        <v>210</v>
      </c>
      <c r="H226" s="508"/>
      <c r="I226" s="508"/>
      <c r="J226" s="508"/>
      <c r="K226" s="508"/>
      <c r="L226" s="508"/>
      <c r="M226" s="508"/>
      <c r="N226" s="509"/>
    </row>
    <row r="227" spans="1:16" s="4" customFormat="1" ht="25.2">
      <c r="A227" s="104" t="s">
        <v>211</v>
      </c>
      <c r="B227" s="102"/>
      <c r="C227" s="102"/>
      <c r="D227" s="102"/>
      <c r="E227" s="102"/>
      <c r="F227" s="139"/>
      <c r="G227" s="508"/>
      <c r="H227" s="508"/>
      <c r="I227" s="508"/>
      <c r="J227" s="508"/>
      <c r="K227" s="508"/>
      <c r="L227" s="508"/>
      <c r="M227" s="508"/>
      <c r="N227" s="509"/>
    </row>
    <row r="228" spans="1:16" s="3" customFormat="1" ht="10.35" customHeight="1">
      <c r="A228" s="104"/>
      <c r="B228" s="102"/>
      <c r="C228" s="102"/>
      <c r="D228" s="102"/>
      <c r="E228" s="102"/>
      <c r="F228" s="139"/>
      <c r="G228" s="102"/>
      <c r="H228" s="102"/>
      <c r="I228" s="102"/>
      <c r="J228" s="102"/>
      <c r="K228" s="102"/>
      <c r="L228" s="102"/>
      <c r="M228" s="102"/>
      <c r="N228" s="105"/>
    </row>
    <row r="229" spans="1:16" s="3" customFormat="1" ht="18.75" customHeight="1">
      <c r="A229" s="104" t="s">
        <v>212</v>
      </c>
      <c r="B229" s="102"/>
      <c r="C229" s="102"/>
      <c r="D229" s="102"/>
      <c r="E229" s="102"/>
      <c r="F229" s="139" t="s">
        <v>213</v>
      </c>
      <c r="G229" s="508" t="str">
        <f>PL!$B$13</f>
        <v>Branch of JSC "Doosan Enerbility" in the Turkestan region</v>
      </c>
      <c r="H229" s="508"/>
      <c r="I229" s="508"/>
      <c r="J229" s="508"/>
      <c r="K229" s="508"/>
      <c r="L229" s="508"/>
      <c r="M229" s="508"/>
      <c r="N229" s="509"/>
    </row>
    <row r="230" spans="1:16" s="3" customFormat="1" ht="18.75" customHeight="1">
      <c r="A230" s="104" t="s">
        <v>214</v>
      </c>
      <c r="B230" s="102"/>
      <c r="C230" s="102"/>
      <c r="D230" s="102"/>
      <c r="E230" s="102"/>
      <c r="F230" s="139"/>
      <c r="G230" s="508" t="str">
        <f>PL!$B$14</f>
        <v>321 Tauke Khan Avenue, Turkestan region, Turkestan, Kazakhstan, 161200</v>
      </c>
      <c r="H230" s="508"/>
      <c r="I230" s="508"/>
      <c r="J230" s="508"/>
      <c r="K230" s="508"/>
      <c r="L230" s="508"/>
      <c r="M230" s="508"/>
      <c r="N230" s="509"/>
    </row>
    <row r="231" spans="1:16" s="3" customFormat="1" ht="18.75" customHeight="1">
      <c r="A231" s="104"/>
      <c r="B231" s="102"/>
      <c r="C231" s="102"/>
      <c r="D231" s="102"/>
      <c r="E231" s="102"/>
      <c r="F231" s="139"/>
      <c r="G231" s="508" t="str">
        <f>PL!$B$15</f>
        <v>BIN: 230741006561</v>
      </c>
      <c r="H231" s="508"/>
      <c r="I231" s="508"/>
      <c r="J231" s="508"/>
      <c r="K231" s="508"/>
      <c r="L231" s="508"/>
      <c r="M231" s="508"/>
      <c r="N231" s="509"/>
    </row>
    <row r="232" spans="1:16" s="3" customFormat="1" ht="18.75" customHeight="1">
      <c r="A232" s="104"/>
      <c r="B232" s="102"/>
      <c r="C232" s="102"/>
      <c r="D232" s="102"/>
      <c r="E232" s="102"/>
      <c r="F232" s="139"/>
      <c r="G232" s="210"/>
      <c r="H232" s="210"/>
      <c r="I232" s="210"/>
      <c r="J232" s="210"/>
      <c r="K232" s="210"/>
      <c r="L232" s="210"/>
      <c r="M232" s="210"/>
      <c r="N232" s="211"/>
    </row>
    <row r="233" spans="1:16" s="3" customFormat="1" ht="25.2">
      <c r="A233" s="104" t="s">
        <v>215</v>
      </c>
      <c r="B233" s="102"/>
      <c r="C233" s="102"/>
      <c r="D233" s="102"/>
      <c r="E233" s="102"/>
      <c r="F233" s="139" t="s">
        <v>216</v>
      </c>
      <c r="G233" s="102"/>
      <c r="H233" s="102"/>
      <c r="I233" s="102"/>
      <c r="J233" s="102"/>
      <c r="K233" s="102"/>
      <c r="L233" s="102"/>
      <c r="M233" s="102"/>
      <c r="N233" s="105"/>
    </row>
    <row r="234" spans="1:16" s="4" customFormat="1" ht="25.2">
      <c r="A234" s="104" t="s">
        <v>217</v>
      </c>
      <c r="B234" s="102"/>
      <c r="C234" s="102"/>
      <c r="D234" s="102"/>
      <c r="E234" s="102"/>
      <c r="F234" s="139" t="s">
        <v>218</v>
      </c>
      <c r="G234" s="102"/>
      <c r="H234" s="102"/>
      <c r="I234" s="102"/>
      <c r="J234" s="102"/>
      <c r="K234" s="102"/>
      <c r="L234" s="102"/>
      <c r="M234" s="102"/>
      <c r="N234" s="105"/>
    </row>
    <row r="235" spans="1:16" s="3" customFormat="1" ht="10.35" customHeight="1">
      <c r="A235" s="104"/>
      <c r="B235" s="102"/>
      <c r="C235" s="102"/>
      <c r="D235" s="102"/>
      <c r="E235" s="102"/>
      <c r="F235" s="139"/>
      <c r="G235" s="102"/>
      <c r="H235" s="102"/>
      <c r="I235" s="102"/>
      <c r="J235" s="102"/>
      <c r="K235" s="102"/>
      <c r="L235" s="102"/>
      <c r="M235" s="102"/>
      <c r="N235" s="105"/>
    </row>
    <row r="236" spans="1:16" s="3" customFormat="1" ht="25.2">
      <c r="A236" s="104" t="s">
        <v>219</v>
      </c>
      <c r="B236" s="102"/>
      <c r="C236" s="102"/>
      <c r="D236" s="102"/>
      <c r="E236" s="102"/>
      <c r="F236" s="139" t="s">
        <v>220</v>
      </c>
      <c r="G236" s="139" t="str">
        <f>PL!$V$8</f>
        <v>PGU-DE-0481</v>
      </c>
      <c r="H236" s="102"/>
      <c r="I236" s="102"/>
      <c r="J236" s="102"/>
      <c r="K236" s="102"/>
      <c r="L236" s="102"/>
      <c r="M236" s="102"/>
      <c r="N236" s="105"/>
    </row>
    <row r="237" spans="1:16" s="3" customFormat="1" ht="25.2">
      <c r="A237" s="104" t="s">
        <v>221</v>
      </c>
      <c r="B237" s="102"/>
      <c r="C237" s="102"/>
      <c r="D237" s="102"/>
      <c r="E237" s="102"/>
      <c r="F237" s="139"/>
      <c r="G237" s="102"/>
      <c r="H237" s="102"/>
      <c r="I237" s="102"/>
      <c r="J237" s="102"/>
      <c r="K237" s="102"/>
      <c r="L237" s="102"/>
      <c r="M237" s="102"/>
      <c r="N237" s="105"/>
    </row>
    <row r="238" spans="1:16" s="3" customFormat="1" ht="10.35" customHeight="1">
      <c r="A238" s="104"/>
      <c r="B238" s="102"/>
      <c r="C238" s="102"/>
      <c r="D238" s="102"/>
      <c r="E238" s="102"/>
      <c r="F238" s="139"/>
      <c r="G238" s="102"/>
      <c r="H238" s="102"/>
      <c r="I238" s="102"/>
      <c r="J238" s="102"/>
      <c r="K238" s="102"/>
      <c r="L238" s="102"/>
      <c r="M238" s="102"/>
      <c r="N238" s="105"/>
    </row>
    <row r="239" spans="1:16" s="3" customFormat="1" ht="25.2">
      <c r="A239" s="106" t="s">
        <v>222</v>
      </c>
      <c r="B239" s="141"/>
      <c r="C239" s="141"/>
      <c r="D239" s="141"/>
      <c r="E239" s="141"/>
      <c r="F239" s="142" t="s">
        <v>209</v>
      </c>
      <c r="G239" s="272" t="str">
        <f>VLOOKUP($P239,'Summary PL'!$A$14:$M$39,4,FALSE)</f>
        <v>Power Cable / Кабель питания для ОРУ</v>
      </c>
      <c r="H239" s="141"/>
      <c r="I239" s="141"/>
      <c r="J239" s="141"/>
      <c r="K239" s="141"/>
      <c r="L239" s="141"/>
      <c r="M239" s="141"/>
      <c r="N239" s="107"/>
      <c r="P239" s="3">
        <f>P202+1</f>
        <v>7</v>
      </c>
    </row>
    <row r="240" spans="1:16" s="3" customFormat="1" ht="25.2">
      <c r="A240" s="106" t="s">
        <v>223</v>
      </c>
      <c r="B240" s="141"/>
      <c r="C240" s="141"/>
      <c r="D240" s="141"/>
      <c r="E240" s="141"/>
      <c r="F240" s="142"/>
      <c r="G240" s="141"/>
      <c r="H240" s="141"/>
      <c r="I240" s="141"/>
      <c r="J240" s="141"/>
      <c r="K240" s="141"/>
      <c r="L240" s="141"/>
      <c r="M240" s="141"/>
      <c r="N240" s="107"/>
    </row>
    <row r="241" spans="1:14" s="3" customFormat="1" ht="10.35" customHeight="1">
      <c r="A241" s="104"/>
      <c r="B241" s="102"/>
      <c r="C241" s="102"/>
      <c r="D241" s="102"/>
      <c r="E241" s="102"/>
      <c r="F241" s="139"/>
      <c r="G241" s="102"/>
      <c r="H241" s="102"/>
      <c r="I241" s="102"/>
      <c r="J241" s="102"/>
      <c r="K241" s="102"/>
      <c r="L241" s="102"/>
      <c r="M241" s="102"/>
      <c r="N241" s="105"/>
    </row>
    <row r="242" spans="1:14" s="3" customFormat="1" ht="25.2">
      <c r="A242" s="104" t="s">
        <v>224</v>
      </c>
      <c r="B242" s="102"/>
      <c r="C242" s="102"/>
      <c r="D242" s="102"/>
      <c r="E242" s="102"/>
      <c r="F242" s="142" t="s">
        <v>225</v>
      </c>
      <c r="G242" s="272" t="str">
        <f>VLOOKUP($P239,'Summary PL'!$A$14:$M$39,3,FALSE)</f>
        <v>PGU-DE-0481-AIS-PoCable-007</v>
      </c>
      <c r="H242" s="102"/>
      <c r="I242" s="102"/>
      <c r="J242" s="102"/>
      <c r="K242" s="102"/>
      <c r="L242" s="102"/>
      <c r="M242" s="102"/>
      <c r="N242" s="105"/>
    </row>
    <row r="243" spans="1:14" s="4" customFormat="1" ht="25.2">
      <c r="A243" s="104" t="s">
        <v>226</v>
      </c>
      <c r="B243" s="102"/>
      <c r="C243" s="102"/>
      <c r="D243" s="102"/>
      <c r="E243" s="102"/>
      <c r="F243" s="139"/>
      <c r="G243" s="139"/>
      <c r="H243" s="102"/>
      <c r="I243" s="102"/>
      <c r="J243" s="102"/>
      <c r="K243" s="102"/>
      <c r="L243" s="102"/>
      <c r="M243" s="102"/>
      <c r="N243" s="105"/>
    </row>
    <row r="244" spans="1:14" s="3" customFormat="1" ht="10.35" customHeight="1">
      <c r="A244" s="104"/>
      <c r="B244" s="102"/>
      <c r="C244" s="102"/>
      <c r="D244" s="102"/>
      <c r="E244" s="102"/>
      <c r="F244" s="139"/>
      <c r="G244" s="139"/>
      <c r="H244" s="102"/>
      <c r="I244" s="102"/>
      <c r="J244" s="102"/>
      <c r="K244" s="102"/>
      <c r="L244" s="102"/>
      <c r="M244" s="102"/>
      <c r="N244" s="105"/>
    </row>
    <row r="245" spans="1:14" s="3" customFormat="1" ht="25.2">
      <c r="A245" s="104" t="s">
        <v>227</v>
      </c>
      <c r="B245" s="102"/>
      <c r="C245" s="102"/>
      <c r="D245" s="102"/>
      <c r="E245" s="102"/>
      <c r="F245" s="139" t="s">
        <v>220</v>
      </c>
      <c r="G245" s="241">
        <f>VLOOKUP($P239,'Summary PL'!$A$14:$M$39,12,FALSE)</f>
        <v>473</v>
      </c>
      <c r="H245" s="139" t="s">
        <v>228</v>
      </c>
      <c r="I245" s="102"/>
      <c r="J245" s="102"/>
      <c r="K245" s="102"/>
      <c r="L245" s="102"/>
      <c r="M245" s="102"/>
      <c r="N245" s="105"/>
    </row>
    <row r="246" spans="1:14" s="4" customFormat="1" ht="25.2">
      <c r="A246" s="104" t="s">
        <v>229</v>
      </c>
      <c r="B246" s="102"/>
      <c r="C246" s="102"/>
      <c r="D246" s="102"/>
      <c r="E246" s="102"/>
      <c r="F246" s="139"/>
      <c r="G246" s="139"/>
      <c r="H246" s="139"/>
      <c r="I246" s="102"/>
      <c r="J246" s="102"/>
      <c r="K246" s="102"/>
      <c r="L246" s="102"/>
      <c r="M246" s="102"/>
      <c r="N246" s="105"/>
    </row>
    <row r="247" spans="1:14" s="3" customFormat="1" ht="10.35" customHeight="1">
      <c r="A247" s="104"/>
      <c r="B247" s="102"/>
      <c r="C247" s="102"/>
      <c r="D247" s="102"/>
      <c r="E247" s="102"/>
      <c r="F247" s="139"/>
      <c r="G247" s="139"/>
      <c r="H247" s="139"/>
      <c r="I247" s="102"/>
      <c r="J247" s="102"/>
      <c r="K247" s="102"/>
      <c r="L247" s="102"/>
      <c r="M247" s="102"/>
      <c r="N247" s="105"/>
    </row>
    <row r="248" spans="1:14" s="3" customFormat="1" ht="25.2">
      <c r="A248" s="104" t="s">
        <v>230</v>
      </c>
      <c r="B248" s="102"/>
      <c r="C248" s="102"/>
      <c r="D248" s="102"/>
      <c r="E248" s="102"/>
      <c r="F248" s="139" t="s">
        <v>220</v>
      </c>
      <c r="G248" s="241">
        <f>VLOOKUP($P239,'Summary PL'!$A$14:$M$39,13,FALSE)</f>
        <v>641</v>
      </c>
      <c r="H248" s="139" t="s">
        <v>228</v>
      </c>
      <c r="I248" s="102"/>
      <c r="J248" s="102"/>
      <c r="K248" s="102"/>
      <c r="L248" s="102"/>
      <c r="M248" s="102"/>
      <c r="N248" s="105"/>
    </row>
    <row r="249" spans="1:14" s="4" customFormat="1" ht="25.2">
      <c r="A249" s="104" t="s">
        <v>231</v>
      </c>
      <c r="B249" s="102"/>
      <c r="C249" s="102"/>
      <c r="D249" s="102"/>
      <c r="E249" s="102"/>
      <c r="F249" s="139"/>
      <c r="G249" s="139"/>
      <c r="H249" s="102"/>
      <c r="I249" s="102"/>
      <c r="J249" s="102"/>
      <c r="K249" s="102"/>
      <c r="L249" s="102"/>
      <c r="M249" s="102"/>
      <c r="N249" s="105"/>
    </row>
    <row r="250" spans="1:14" s="3" customFormat="1" ht="10.35" customHeight="1">
      <c r="A250" s="104"/>
      <c r="B250" s="102"/>
      <c r="C250" s="102"/>
      <c r="D250" s="102"/>
      <c r="E250" s="102"/>
      <c r="F250" s="139"/>
      <c r="G250" s="139"/>
      <c r="H250" s="102"/>
      <c r="I250" s="102"/>
      <c r="J250" s="102"/>
      <c r="K250" s="102"/>
      <c r="L250" s="102"/>
      <c r="M250" s="102"/>
      <c r="N250" s="105"/>
    </row>
    <row r="251" spans="1:14" s="3" customFormat="1" ht="25.2">
      <c r="A251" s="108" t="s">
        <v>232</v>
      </c>
      <c r="B251" s="102"/>
      <c r="C251" s="102"/>
      <c r="D251" s="102"/>
      <c r="E251" s="102"/>
      <c r="F251" s="139" t="s">
        <v>220</v>
      </c>
      <c r="G251" s="241">
        <f>VLOOKUP($P239,'Summary PL'!$A$14:$M$39,11,FALSE)</f>
        <v>1.21</v>
      </c>
      <c r="H251" s="240" t="s">
        <v>233</v>
      </c>
      <c r="I251" s="240"/>
      <c r="J251" s="240"/>
      <c r="K251" s="240"/>
      <c r="L251" s="102"/>
      <c r="M251" s="102"/>
      <c r="N251" s="105"/>
    </row>
    <row r="252" spans="1:14" s="4" customFormat="1" ht="25.2">
      <c r="A252" s="104" t="s">
        <v>234</v>
      </c>
      <c r="B252" s="102"/>
      <c r="C252" s="102"/>
      <c r="D252" s="102"/>
      <c r="E252" s="102"/>
      <c r="F252" s="139"/>
      <c r="G252" s="139"/>
      <c r="H252" s="102"/>
      <c r="I252" s="102"/>
      <c r="J252" s="102"/>
      <c r="K252" s="102"/>
      <c r="L252" s="102"/>
      <c r="M252" s="102"/>
      <c r="N252" s="105"/>
    </row>
    <row r="253" spans="1:14" s="3" customFormat="1" ht="10.35" customHeight="1">
      <c r="A253" s="104"/>
      <c r="B253" s="102"/>
      <c r="C253" s="102"/>
      <c r="D253" s="102"/>
      <c r="E253" s="102"/>
      <c r="F253" s="139"/>
      <c r="G253" s="139"/>
      <c r="H253" s="102"/>
      <c r="I253" s="102"/>
      <c r="J253" s="102"/>
      <c r="K253" s="102"/>
      <c r="L253" s="102"/>
      <c r="M253" s="102"/>
      <c r="N253" s="105"/>
    </row>
    <row r="254" spans="1:14" s="3" customFormat="1" ht="25.2" customHeight="1">
      <c r="A254" s="104" t="s">
        <v>235</v>
      </c>
      <c r="B254" s="102"/>
      <c r="C254" s="102"/>
      <c r="D254" s="102"/>
      <c r="E254" s="102"/>
      <c r="F254" s="139" t="s">
        <v>236</v>
      </c>
      <c r="G254" s="508" t="s">
        <v>237</v>
      </c>
      <c r="H254" s="508"/>
      <c r="I254" s="508"/>
      <c r="J254" s="508"/>
      <c r="K254" s="508"/>
      <c r="L254" s="508"/>
      <c r="M254" s="508"/>
      <c r="N254" s="509"/>
    </row>
    <row r="255" spans="1:14" s="4" customFormat="1" ht="25.2">
      <c r="A255" s="104" t="s">
        <v>238</v>
      </c>
      <c r="B255" s="102"/>
      <c r="C255" s="102"/>
      <c r="D255" s="102"/>
      <c r="E255" s="102"/>
      <c r="F255" s="139"/>
      <c r="G255" s="508"/>
      <c r="H255" s="508"/>
      <c r="I255" s="508"/>
      <c r="J255" s="508"/>
      <c r="K255" s="508"/>
      <c r="L255" s="508"/>
      <c r="M255" s="508"/>
      <c r="N255" s="509"/>
    </row>
    <row r="256" spans="1:14" s="4" customFormat="1" ht="25.2">
      <c r="A256" s="104"/>
      <c r="B256" s="102"/>
      <c r="C256" s="102"/>
      <c r="D256" s="102"/>
      <c r="E256" s="102"/>
      <c r="F256" s="139"/>
      <c r="G256" s="140"/>
      <c r="H256" s="102"/>
      <c r="I256" s="102"/>
      <c r="J256" s="102"/>
      <c r="K256" s="102"/>
      <c r="L256" s="102"/>
      <c r="M256" s="102"/>
      <c r="N256" s="105"/>
    </row>
    <row r="257" spans="1:14" s="4" customFormat="1" ht="25.8" thickBot="1">
      <c r="A257" s="104"/>
      <c r="B257" s="102"/>
      <c r="C257" s="102"/>
      <c r="D257" s="102"/>
      <c r="E257" s="139"/>
      <c r="F257" s="239"/>
      <c r="G257" s="139"/>
      <c r="H257" s="102"/>
      <c r="I257" s="102"/>
      <c r="J257" s="102"/>
      <c r="K257" s="102"/>
      <c r="L257" s="102"/>
      <c r="M257" s="102"/>
      <c r="N257" s="105"/>
    </row>
    <row r="258" spans="1:14" ht="21" customHeight="1">
      <c r="A258" s="98"/>
      <c r="B258" s="99"/>
      <c r="C258" s="99"/>
      <c r="D258" s="99"/>
      <c r="E258" s="510" t="s">
        <v>239</v>
      </c>
      <c r="F258" s="511"/>
      <c r="G258" s="511"/>
      <c r="H258" s="511"/>
      <c r="I258" s="511"/>
      <c r="J258" s="511"/>
      <c r="K258" s="511"/>
      <c r="L258" s="100"/>
      <c r="M258" s="100"/>
      <c r="N258" s="101"/>
    </row>
    <row r="259" spans="1:14" ht="25.5" customHeight="1" thickBot="1">
      <c r="A259" s="109"/>
      <c r="B259" s="110"/>
      <c r="C259" s="110"/>
      <c r="D259" s="110"/>
      <c r="E259" s="512"/>
      <c r="F259" s="512"/>
      <c r="G259" s="512"/>
      <c r="H259" s="512"/>
      <c r="I259" s="512"/>
      <c r="J259" s="512"/>
      <c r="K259" s="512"/>
      <c r="L259" s="111"/>
      <c r="M259" s="111"/>
      <c r="N259" s="112"/>
    </row>
    <row r="260" spans="1:14">
      <c r="A260" s="98"/>
      <c r="B260" s="99"/>
      <c r="C260" s="99"/>
      <c r="D260" s="99"/>
      <c r="E260" s="99"/>
      <c r="F260" s="100"/>
      <c r="G260" s="100"/>
      <c r="H260" s="100"/>
      <c r="I260" s="100"/>
      <c r="J260" s="100"/>
      <c r="K260" s="100"/>
      <c r="L260" s="100"/>
      <c r="M260" s="100"/>
      <c r="N260" s="101"/>
    </row>
    <row r="261" spans="1:14">
      <c r="A261" s="243"/>
      <c r="N261" s="242"/>
    </row>
    <row r="262" spans="1:14" ht="76.5" customHeight="1">
      <c r="A262" s="513" t="s">
        <v>207</v>
      </c>
      <c r="B262" s="514"/>
      <c r="C262" s="514"/>
      <c r="D262" s="514"/>
      <c r="E262" s="514"/>
      <c r="F262" s="514"/>
      <c r="G262" s="514"/>
      <c r="H262" s="514"/>
      <c r="I262" s="514"/>
      <c r="J262" s="514"/>
      <c r="K262" s="514"/>
      <c r="L262" s="514"/>
      <c r="M262" s="514"/>
      <c r="N262" s="515"/>
    </row>
    <row r="263" spans="1:14" s="3" customFormat="1" ht="37.950000000000003" customHeight="1">
      <c r="A263" s="115" t="s">
        <v>208</v>
      </c>
      <c r="B263" s="138"/>
      <c r="C263" s="138"/>
      <c r="D263" s="102"/>
      <c r="E263" s="102"/>
      <c r="F263" s="139" t="s">
        <v>209</v>
      </c>
      <c r="G263" s="508" t="s">
        <v>210</v>
      </c>
      <c r="H263" s="508"/>
      <c r="I263" s="508"/>
      <c r="J263" s="508"/>
      <c r="K263" s="508"/>
      <c r="L263" s="508"/>
      <c r="M263" s="508"/>
      <c r="N263" s="509"/>
    </row>
    <row r="264" spans="1:14" s="4" customFormat="1" ht="25.2">
      <c r="A264" s="104" t="s">
        <v>211</v>
      </c>
      <c r="B264" s="102"/>
      <c r="C264" s="102"/>
      <c r="D264" s="102"/>
      <c r="E264" s="102"/>
      <c r="F264" s="139"/>
      <c r="G264" s="508"/>
      <c r="H264" s="508"/>
      <c r="I264" s="508"/>
      <c r="J264" s="508"/>
      <c r="K264" s="508"/>
      <c r="L264" s="508"/>
      <c r="M264" s="508"/>
      <c r="N264" s="509"/>
    </row>
    <row r="265" spans="1:14" s="3" customFormat="1" ht="10.35" customHeight="1">
      <c r="A265" s="104"/>
      <c r="B265" s="102"/>
      <c r="C265" s="102"/>
      <c r="D265" s="102"/>
      <c r="E265" s="102"/>
      <c r="F265" s="139"/>
      <c r="G265" s="102"/>
      <c r="H265" s="102"/>
      <c r="I265" s="102"/>
      <c r="J265" s="102"/>
      <c r="K265" s="102"/>
      <c r="L265" s="102"/>
      <c r="M265" s="102"/>
      <c r="N265" s="105"/>
    </row>
    <row r="266" spans="1:14" s="3" customFormat="1" ht="18.75" customHeight="1">
      <c r="A266" s="104" t="s">
        <v>212</v>
      </c>
      <c r="B266" s="102"/>
      <c r="C266" s="102"/>
      <c r="D266" s="102"/>
      <c r="E266" s="102"/>
      <c r="F266" s="139" t="s">
        <v>213</v>
      </c>
      <c r="G266" s="508" t="str">
        <f>PL!$B$13</f>
        <v>Branch of JSC "Doosan Enerbility" in the Turkestan region</v>
      </c>
      <c r="H266" s="508"/>
      <c r="I266" s="508"/>
      <c r="J266" s="508"/>
      <c r="K266" s="508"/>
      <c r="L266" s="508"/>
      <c r="M266" s="508"/>
      <c r="N266" s="509"/>
    </row>
    <row r="267" spans="1:14" s="3" customFormat="1" ht="18.75" customHeight="1">
      <c r="A267" s="104" t="s">
        <v>214</v>
      </c>
      <c r="B267" s="102"/>
      <c r="C267" s="102"/>
      <c r="D267" s="102"/>
      <c r="E267" s="102"/>
      <c r="F267" s="139"/>
      <c r="G267" s="508" t="str">
        <f>PL!$B$14</f>
        <v>321 Tauke Khan Avenue, Turkestan region, Turkestan, Kazakhstan, 161200</v>
      </c>
      <c r="H267" s="508"/>
      <c r="I267" s="508"/>
      <c r="J267" s="508"/>
      <c r="K267" s="508"/>
      <c r="L267" s="508"/>
      <c r="M267" s="508"/>
      <c r="N267" s="509"/>
    </row>
    <row r="268" spans="1:14" s="3" customFormat="1" ht="18.75" customHeight="1">
      <c r="A268" s="104"/>
      <c r="B268" s="102"/>
      <c r="C268" s="102"/>
      <c r="D268" s="102"/>
      <c r="E268" s="102"/>
      <c r="F268" s="139"/>
      <c r="G268" s="508" t="str">
        <f>PL!$B$15</f>
        <v>BIN: 230741006561</v>
      </c>
      <c r="H268" s="508"/>
      <c r="I268" s="508"/>
      <c r="J268" s="508"/>
      <c r="K268" s="508"/>
      <c r="L268" s="508"/>
      <c r="M268" s="508"/>
      <c r="N268" s="509"/>
    </row>
    <row r="269" spans="1:14" s="3" customFormat="1" ht="18.75" customHeight="1">
      <c r="A269" s="104"/>
      <c r="B269" s="102"/>
      <c r="C269" s="102"/>
      <c r="D269" s="102"/>
      <c r="E269" s="102"/>
      <c r="F269" s="139"/>
      <c r="G269" s="210"/>
      <c r="H269" s="210"/>
      <c r="I269" s="210"/>
      <c r="J269" s="210"/>
      <c r="K269" s="210"/>
      <c r="L269" s="210"/>
      <c r="M269" s="210"/>
      <c r="N269" s="211"/>
    </row>
    <row r="270" spans="1:14" s="3" customFormat="1" ht="25.2">
      <c r="A270" s="104" t="s">
        <v>215</v>
      </c>
      <c r="B270" s="102"/>
      <c r="C270" s="102"/>
      <c r="D270" s="102"/>
      <c r="E270" s="102"/>
      <c r="F270" s="139" t="s">
        <v>216</v>
      </c>
      <c r="G270" s="102"/>
      <c r="H270" s="102"/>
      <c r="I270" s="102"/>
      <c r="J270" s="102"/>
      <c r="K270" s="102"/>
      <c r="L270" s="102"/>
      <c r="M270" s="102"/>
      <c r="N270" s="105"/>
    </row>
    <row r="271" spans="1:14" s="4" customFormat="1" ht="25.2">
      <c r="A271" s="104" t="s">
        <v>217</v>
      </c>
      <c r="B271" s="102"/>
      <c r="C271" s="102"/>
      <c r="D271" s="102"/>
      <c r="E271" s="102"/>
      <c r="F271" s="139" t="s">
        <v>218</v>
      </c>
      <c r="G271" s="102"/>
      <c r="H271" s="102"/>
      <c r="I271" s="102"/>
      <c r="J271" s="102"/>
      <c r="K271" s="102"/>
      <c r="L271" s="102"/>
      <c r="M271" s="102"/>
      <c r="N271" s="105"/>
    </row>
    <row r="272" spans="1:14" s="3" customFormat="1" ht="10.35" customHeight="1">
      <c r="A272" s="104"/>
      <c r="B272" s="102"/>
      <c r="C272" s="102"/>
      <c r="D272" s="102"/>
      <c r="E272" s="102"/>
      <c r="F272" s="139"/>
      <c r="G272" s="102"/>
      <c r="H272" s="102"/>
      <c r="I272" s="102"/>
      <c r="J272" s="102"/>
      <c r="K272" s="102"/>
      <c r="L272" s="102"/>
      <c r="M272" s="102"/>
      <c r="N272" s="105"/>
    </row>
    <row r="273" spans="1:16" s="3" customFormat="1" ht="25.2">
      <c r="A273" s="104" t="s">
        <v>219</v>
      </c>
      <c r="B273" s="102"/>
      <c r="C273" s="102"/>
      <c r="D273" s="102"/>
      <c r="E273" s="102"/>
      <c r="F273" s="139" t="s">
        <v>220</v>
      </c>
      <c r="G273" s="139" t="str">
        <f>PL!$V$8</f>
        <v>PGU-DE-0481</v>
      </c>
      <c r="H273" s="102"/>
      <c r="I273" s="102"/>
      <c r="J273" s="102"/>
      <c r="K273" s="102"/>
      <c r="L273" s="102"/>
      <c r="M273" s="102"/>
      <c r="N273" s="105"/>
    </row>
    <row r="274" spans="1:16" s="3" customFormat="1" ht="25.2">
      <c r="A274" s="104" t="s">
        <v>221</v>
      </c>
      <c r="B274" s="102"/>
      <c r="C274" s="102"/>
      <c r="D274" s="102"/>
      <c r="E274" s="102"/>
      <c r="F274" s="139"/>
      <c r="G274" s="102"/>
      <c r="H274" s="102"/>
      <c r="I274" s="102"/>
      <c r="J274" s="102"/>
      <c r="K274" s="102"/>
      <c r="L274" s="102"/>
      <c r="M274" s="102"/>
      <c r="N274" s="105"/>
    </row>
    <row r="275" spans="1:16" s="3" customFormat="1" ht="10.35" customHeight="1">
      <c r="A275" s="104"/>
      <c r="B275" s="102"/>
      <c r="C275" s="102"/>
      <c r="D275" s="102"/>
      <c r="E275" s="102"/>
      <c r="F275" s="139"/>
      <c r="G275" s="102"/>
      <c r="H275" s="102"/>
      <c r="I275" s="102"/>
      <c r="J275" s="102"/>
      <c r="K275" s="102"/>
      <c r="L275" s="102"/>
      <c r="M275" s="102"/>
      <c r="N275" s="105"/>
    </row>
    <row r="276" spans="1:16" s="3" customFormat="1" ht="25.2">
      <c r="A276" s="106" t="s">
        <v>222</v>
      </c>
      <c r="B276" s="141"/>
      <c r="C276" s="141"/>
      <c r="D276" s="141"/>
      <c r="E276" s="141"/>
      <c r="F276" s="142" t="s">
        <v>209</v>
      </c>
      <c r="G276" s="272" t="str">
        <f>VLOOKUP($P276,'Summary PL'!$A$14:$M$39,4,FALSE)</f>
        <v>Power Cable / Кабель питания для ОРУ</v>
      </c>
      <c r="H276" s="141"/>
      <c r="I276" s="141"/>
      <c r="J276" s="141"/>
      <c r="K276" s="141"/>
      <c r="L276" s="141"/>
      <c r="M276" s="141"/>
      <c r="N276" s="107"/>
      <c r="P276" s="3">
        <f>P239+1</f>
        <v>8</v>
      </c>
    </row>
    <row r="277" spans="1:16" s="3" customFormat="1" ht="25.2">
      <c r="A277" s="106" t="s">
        <v>223</v>
      </c>
      <c r="B277" s="141"/>
      <c r="C277" s="141"/>
      <c r="D277" s="141"/>
      <c r="E277" s="141"/>
      <c r="F277" s="142"/>
      <c r="G277" s="141"/>
      <c r="H277" s="141"/>
      <c r="I277" s="141"/>
      <c r="J277" s="141"/>
      <c r="K277" s="141"/>
      <c r="L277" s="141"/>
      <c r="M277" s="141"/>
      <c r="N277" s="107"/>
    </row>
    <row r="278" spans="1:16" s="3" customFormat="1" ht="10.35" customHeight="1">
      <c r="A278" s="104"/>
      <c r="B278" s="102"/>
      <c r="C278" s="102"/>
      <c r="D278" s="102"/>
      <c r="E278" s="102"/>
      <c r="F278" s="139"/>
      <c r="G278" s="102"/>
      <c r="H278" s="102"/>
      <c r="I278" s="102"/>
      <c r="J278" s="102"/>
      <c r="K278" s="102"/>
      <c r="L278" s="102"/>
      <c r="M278" s="102"/>
      <c r="N278" s="105"/>
    </row>
    <row r="279" spans="1:16" s="3" customFormat="1" ht="25.2">
      <c r="A279" s="104" t="s">
        <v>224</v>
      </c>
      <c r="B279" s="102"/>
      <c r="C279" s="102"/>
      <c r="D279" s="102"/>
      <c r="E279" s="102"/>
      <c r="F279" s="142" t="s">
        <v>225</v>
      </c>
      <c r="G279" s="272" t="str">
        <f>VLOOKUP($P276,'Summary PL'!$A$14:$M$39,3,FALSE)</f>
        <v>PGU-DE-0481-AIS-PoCable-008</v>
      </c>
      <c r="H279" s="102"/>
      <c r="I279" s="102"/>
      <c r="J279" s="102"/>
      <c r="K279" s="102"/>
      <c r="L279" s="102"/>
      <c r="M279" s="102"/>
      <c r="N279" s="105"/>
    </row>
    <row r="280" spans="1:16" s="4" customFormat="1" ht="25.2">
      <c r="A280" s="104" t="s">
        <v>226</v>
      </c>
      <c r="B280" s="102"/>
      <c r="C280" s="102"/>
      <c r="D280" s="102"/>
      <c r="E280" s="102"/>
      <c r="F280" s="139"/>
      <c r="G280" s="139"/>
      <c r="H280" s="102"/>
      <c r="I280" s="102"/>
      <c r="J280" s="102"/>
      <c r="K280" s="102"/>
      <c r="L280" s="102"/>
      <c r="M280" s="102"/>
      <c r="N280" s="105"/>
    </row>
    <row r="281" spans="1:16" s="3" customFormat="1" ht="10.35" customHeight="1">
      <c r="A281" s="104"/>
      <c r="B281" s="102"/>
      <c r="C281" s="102"/>
      <c r="D281" s="102"/>
      <c r="E281" s="102"/>
      <c r="F281" s="139"/>
      <c r="G281" s="139"/>
      <c r="H281" s="102"/>
      <c r="I281" s="102"/>
      <c r="J281" s="102"/>
      <c r="K281" s="102"/>
      <c r="L281" s="102"/>
      <c r="M281" s="102"/>
      <c r="N281" s="105"/>
    </row>
    <row r="282" spans="1:16" s="3" customFormat="1" ht="25.2">
      <c r="A282" s="104" t="s">
        <v>227</v>
      </c>
      <c r="B282" s="102"/>
      <c r="C282" s="102"/>
      <c r="D282" s="102"/>
      <c r="E282" s="102"/>
      <c r="F282" s="139" t="s">
        <v>220</v>
      </c>
      <c r="G282" s="241">
        <f>VLOOKUP($P276,'Summary PL'!$A$14:$M$39,12,FALSE)</f>
        <v>473</v>
      </c>
      <c r="H282" s="139" t="s">
        <v>228</v>
      </c>
      <c r="I282" s="102"/>
      <c r="J282" s="102"/>
      <c r="K282" s="102"/>
      <c r="L282" s="102"/>
      <c r="M282" s="102"/>
      <c r="N282" s="105"/>
    </row>
    <row r="283" spans="1:16" s="4" customFormat="1" ht="25.2">
      <c r="A283" s="104" t="s">
        <v>229</v>
      </c>
      <c r="B283" s="102"/>
      <c r="C283" s="102"/>
      <c r="D283" s="102"/>
      <c r="E283" s="102"/>
      <c r="F283" s="139"/>
      <c r="G283" s="139"/>
      <c r="H283" s="139"/>
      <c r="I283" s="102"/>
      <c r="J283" s="102"/>
      <c r="K283" s="102"/>
      <c r="L283" s="102"/>
      <c r="M283" s="102"/>
      <c r="N283" s="105"/>
    </row>
    <row r="284" spans="1:16" s="3" customFormat="1" ht="10.35" customHeight="1">
      <c r="A284" s="104"/>
      <c r="B284" s="102"/>
      <c r="C284" s="102"/>
      <c r="D284" s="102"/>
      <c r="E284" s="102"/>
      <c r="F284" s="139"/>
      <c r="G284" s="139"/>
      <c r="H284" s="139"/>
      <c r="I284" s="102"/>
      <c r="J284" s="102"/>
      <c r="K284" s="102"/>
      <c r="L284" s="102"/>
      <c r="M284" s="102"/>
      <c r="N284" s="105"/>
    </row>
    <row r="285" spans="1:16" s="3" customFormat="1" ht="25.2">
      <c r="A285" s="104" t="s">
        <v>230</v>
      </c>
      <c r="B285" s="102"/>
      <c r="C285" s="102"/>
      <c r="D285" s="102"/>
      <c r="E285" s="102"/>
      <c r="F285" s="139" t="s">
        <v>220</v>
      </c>
      <c r="G285" s="241">
        <f>VLOOKUP($P276,'Summary PL'!$A$14:$M$39,13,FALSE)</f>
        <v>641</v>
      </c>
      <c r="H285" s="139" t="s">
        <v>228</v>
      </c>
      <c r="I285" s="102"/>
      <c r="J285" s="102"/>
      <c r="K285" s="102"/>
      <c r="L285" s="102"/>
      <c r="M285" s="102"/>
      <c r="N285" s="105"/>
    </row>
    <row r="286" spans="1:16" s="4" customFormat="1" ht="25.2">
      <c r="A286" s="104" t="s">
        <v>231</v>
      </c>
      <c r="B286" s="102"/>
      <c r="C286" s="102"/>
      <c r="D286" s="102"/>
      <c r="E286" s="102"/>
      <c r="F286" s="139"/>
      <c r="G286" s="139"/>
      <c r="H286" s="102"/>
      <c r="I286" s="102"/>
      <c r="J286" s="102"/>
      <c r="K286" s="102"/>
      <c r="L286" s="102"/>
      <c r="M286" s="102"/>
      <c r="N286" s="105"/>
    </row>
    <row r="287" spans="1:16" s="3" customFormat="1" ht="10.35" customHeight="1">
      <c r="A287" s="104"/>
      <c r="B287" s="102"/>
      <c r="C287" s="102"/>
      <c r="D287" s="102"/>
      <c r="E287" s="102"/>
      <c r="F287" s="139"/>
      <c r="G287" s="139"/>
      <c r="H287" s="102"/>
      <c r="I287" s="102"/>
      <c r="J287" s="102"/>
      <c r="K287" s="102"/>
      <c r="L287" s="102"/>
      <c r="M287" s="102"/>
      <c r="N287" s="105"/>
    </row>
    <row r="288" spans="1:16" s="3" customFormat="1" ht="25.2">
      <c r="A288" s="108" t="s">
        <v>232</v>
      </c>
      <c r="B288" s="102"/>
      <c r="C288" s="102"/>
      <c r="D288" s="102"/>
      <c r="E288" s="102"/>
      <c r="F288" s="139" t="s">
        <v>220</v>
      </c>
      <c r="G288" s="241">
        <f>VLOOKUP($P276,'Summary PL'!$A$14:$M$39,11,FALSE)</f>
        <v>1.21</v>
      </c>
      <c r="H288" s="240" t="s">
        <v>233</v>
      </c>
      <c r="I288" s="240"/>
      <c r="J288" s="240"/>
      <c r="K288" s="240"/>
      <c r="L288" s="102"/>
      <c r="M288" s="102"/>
      <c r="N288" s="105"/>
    </row>
    <row r="289" spans="1:14" s="4" customFormat="1" ht="25.2">
      <c r="A289" s="104" t="s">
        <v>234</v>
      </c>
      <c r="B289" s="102"/>
      <c r="C289" s="102"/>
      <c r="D289" s="102"/>
      <c r="E289" s="102"/>
      <c r="F289" s="139"/>
      <c r="G289" s="139"/>
      <c r="H289" s="102"/>
      <c r="I289" s="102"/>
      <c r="J289" s="102"/>
      <c r="K289" s="102"/>
      <c r="L289" s="102"/>
      <c r="M289" s="102"/>
      <c r="N289" s="105"/>
    </row>
    <row r="290" spans="1:14" s="3" customFormat="1" ht="10.35" customHeight="1">
      <c r="A290" s="104"/>
      <c r="B290" s="102"/>
      <c r="C290" s="102"/>
      <c r="D290" s="102"/>
      <c r="E290" s="102"/>
      <c r="F290" s="139"/>
      <c r="G290" s="139"/>
      <c r="H290" s="102"/>
      <c r="I290" s="102"/>
      <c r="J290" s="102"/>
      <c r="K290" s="102"/>
      <c r="L290" s="102"/>
      <c r="M290" s="102"/>
      <c r="N290" s="105"/>
    </row>
    <row r="291" spans="1:14" s="3" customFormat="1" ht="25.2" customHeight="1">
      <c r="A291" s="104" t="s">
        <v>235</v>
      </c>
      <c r="B291" s="102"/>
      <c r="C291" s="102"/>
      <c r="D291" s="102"/>
      <c r="E291" s="102"/>
      <c r="F291" s="139" t="s">
        <v>236</v>
      </c>
      <c r="G291" s="508" t="s">
        <v>237</v>
      </c>
      <c r="H291" s="508"/>
      <c r="I291" s="508"/>
      <c r="J291" s="508"/>
      <c r="K291" s="508"/>
      <c r="L291" s="508"/>
      <c r="M291" s="508"/>
      <c r="N291" s="509"/>
    </row>
    <row r="292" spans="1:14" s="4" customFormat="1" ht="25.2">
      <c r="A292" s="104" t="s">
        <v>238</v>
      </c>
      <c r="B292" s="102"/>
      <c r="C292" s="102"/>
      <c r="D292" s="102"/>
      <c r="E292" s="102"/>
      <c r="F292" s="139"/>
      <c r="G292" s="508"/>
      <c r="H292" s="508"/>
      <c r="I292" s="508"/>
      <c r="J292" s="508"/>
      <c r="K292" s="508"/>
      <c r="L292" s="508"/>
      <c r="M292" s="508"/>
      <c r="N292" s="509"/>
    </row>
    <row r="293" spans="1:14" s="4" customFormat="1" ht="25.2">
      <c r="A293" s="104"/>
      <c r="B293" s="102"/>
      <c r="C293" s="102"/>
      <c r="D293" s="102"/>
      <c r="E293" s="102"/>
      <c r="F293" s="139"/>
      <c r="G293" s="140"/>
      <c r="H293" s="102"/>
      <c r="I293" s="102"/>
      <c r="J293" s="102"/>
      <c r="K293" s="102"/>
      <c r="L293" s="102"/>
      <c r="M293" s="102"/>
      <c r="N293" s="105"/>
    </row>
    <row r="294" spans="1:14" s="4" customFormat="1" ht="25.8" thickBot="1">
      <c r="A294" s="104"/>
      <c r="B294" s="102"/>
      <c r="C294" s="102"/>
      <c r="D294" s="102"/>
      <c r="E294" s="139"/>
      <c r="F294" s="239"/>
      <c r="G294" s="139"/>
      <c r="H294" s="102"/>
      <c r="I294" s="102"/>
      <c r="J294" s="102"/>
      <c r="K294" s="102"/>
      <c r="L294" s="102"/>
      <c r="M294" s="102"/>
      <c r="N294" s="105"/>
    </row>
    <row r="295" spans="1:14" ht="21" customHeight="1">
      <c r="A295" s="98"/>
      <c r="B295" s="99"/>
      <c r="C295" s="99"/>
      <c r="D295" s="99"/>
      <c r="E295" s="510" t="s">
        <v>239</v>
      </c>
      <c r="F295" s="511"/>
      <c r="G295" s="511"/>
      <c r="H295" s="511"/>
      <c r="I295" s="511"/>
      <c r="J295" s="511"/>
      <c r="K295" s="511"/>
      <c r="L295" s="100"/>
      <c r="M295" s="100"/>
      <c r="N295" s="101"/>
    </row>
    <row r="296" spans="1:14" ht="25.5" customHeight="1" thickBot="1">
      <c r="A296" s="109"/>
      <c r="B296" s="110"/>
      <c r="C296" s="110"/>
      <c r="D296" s="110"/>
      <c r="E296" s="512"/>
      <c r="F296" s="512"/>
      <c r="G296" s="512"/>
      <c r="H296" s="512"/>
      <c r="I296" s="512"/>
      <c r="J296" s="512"/>
      <c r="K296" s="512"/>
      <c r="L296" s="111"/>
      <c r="M296" s="111"/>
      <c r="N296" s="112"/>
    </row>
    <row r="297" spans="1:14">
      <c r="A297" s="98"/>
      <c r="B297" s="99"/>
      <c r="C297" s="99"/>
      <c r="D297" s="99"/>
      <c r="E297" s="99"/>
      <c r="F297" s="100"/>
      <c r="G297" s="100"/>
      <c r="H297" s="100"/>
      <c r="I297" s="100"/>
      <c r="J297" s="100"/>
      <c r="K297" s="100"/>
      <c r="L297" s="100"/>
      <c r="M297" s="100"/>
      <c r="N297" s="101"/>
    </row>
    <row r="298" spans="1:14">
      <c r="A298" s="243"/>
      <c r="N298" s="242"/>
    </row>
    <row r="299" spans="1:14" ht="76.5" customHeight="1">
      <c r="A299" s="513" t="s">
        <v>207</v>
      </c>
      <c r="B299" s="514"/>
      <c r="C299" s="514"/>
      <c r="D299" s="514"/>
      <c r="E299" s="514"/>
      <c r="F299" s="514"/>
      <c r="G299" s="514"/>
      <c r="H299" s="514"/>
      <c r="I299" s="514"/>
      <c r="J299" s="514"/>
      <c r="K299" s="514"/>
      <c r="L299" s="514"/>
      <c r="M299" s="514"/>
      <c r="N299" s="515"/>
    </row>
    <row r="300" spans="1:14" s="3" customFormat="1" ht="37.950000000000003" customHeight="1">
      <c r="A300" s="115" t="s">
        <v>208</v>
      </c>
      <c r="B300" s="138"/>
      <c r="C300" s="138"/>
      <c r="D300" s="102"/>
      <c r="E300" s="102"/>
      <c r="F300" s="139" t="s">
        <v>209</v>
      </c>
      <c r="G300" s="508" t="s">
        <v>210</v>
      </c>
      <c r="H300" s="508"/>
      <c r="I300" s="508"/>
      <c r="J300" s="508"/>
      <c r="K300" s="508"/>
      <c r="L300" s="508"/>
      <c r="M300" s="508"/>
      <c r="N300" s="509"/>
    </row>
    <row r="301" spans="1:14" s="4" customFormat="1" ht="25.2">
      <c r="A301" s="104" t="s">
        <v>211</v>
      </c>
      <c r="B301" s="102"/>
      <c r="C301" s="102"/>
      <c r="D301" s="102"/>
      <c r="E301" s="102"/>
      <c r="F301" s="139"/>
      <c r="G301" s="508"/>
      <c r="H301" s="508"/>
      <c r="I301" s="508"/>
      <c r="J301" s="508"/>
      <c r="K301" s="508"/>
      <c r="L301" s="508"/>
      <c r="M301" s="508"/>
      <c r="N301" s="509"/>
    </row>
    <row r="302" spans="1:14" s="3" customFormat="1" ht="10.35" customHeight="1">
      <c r="A302" s="104"/>
      <c r="B302" s="102"/>
      <c r="C302" s="102"/>
      <c r="D302" s="102"/>
      <c r="E302" s="102"/>
      <c r="F302" s="139"/>
      <c r="G302" s="102"/>
      <c r="H302" s="102"/>
      <c r="I302" s="102"/>
      <c r="J302" s="102"/>
      <c r="K302" s="102"/>
      <c r="L302" s="102"/>
      <c r="M302" s="102"/>
      <c r="N302" s="105"/>
    </row>
    <row r="303" spans="1:14" s="3" customFormat="1" ht="18.75" customHeight="1">
      <c r="A303" s="104" t="s">
        <v>212</v>
      </c>
      <c r="B303" s="102"/>
      <c r="C303" s="102"/>
      <c r="D303" s="102"/>
      <c r="E303" s="102"/>
      <c r="F303" s="139" t="s">
        <v>213</v>
      </c>
      <c r="G303" s="508" t="str">
        <f>PL!$B$13</f>
        <v>Branch of JSC "Doosan Enerbility" in the Turkestan region</v>
      </c>
      <c r="H303" s="508"/>
      <c r="I303" s="508"/>
      <c r="J303" s="508"/>
      <c r="K303" s="508"/>
      <c r="L303" s="508"/>
      <c r="M303" s="508"/>
      <c r="N303" s="509"/>
    </row>
    <row r="304" spans="1:14" s="3" customFormat="1" ht="18.75" customHeight="1">
      <c r="A304" s="104" t="s">
        <v>214</v>
      </c>
      <c r="B304" s="102"/>
      <c r="C304" s="102"/>
      <c r="D304" s="102"/>
      <c r="E304" s="102"/>
      <c r="F304" s="139"/>
      <c r="G304" s="508" t="str">
        <f>PL!$B$14</f>
        <v>321 Tauke Khan Avenue, Turkestan region, Turkestan, Kazakhstan, 161200</v>
      </c>
      <c r="H304" s="508"/>
      <c r="I304" s="508"/>
      <c r="J304" s="508"/>
      <c r="K304" s="508"/>
      <c r="L304" s="508"/>
      <c r="M304" s="508"/>
      <c r="N304" s="509"/>
    </row>
    <row r="305" spans="1:16" s="3" customFormat="1" ht="18.75" customHeight="1">
      <c r="A305" s="104"/>
      <c r="B305" s="102"/>
      <c r="C305" s="102"/>
      <c r="D305" s="102"/>
      <c r="E305" s="102"/>
      <c r="F305" s="139"/>
      <c r="G305" s="508" t="str">
        <f>PL!$B$15</f>
        <v>BIN: 230741006561</v>
      </c>
      <c r="H305" s="508"/>
      <c r="I305" s="508"/>
      <c r="J305" s="508"/>
      <c r="K305" s="508"/>
      <c r="L305" s="508"/>
      <c r="M305" s="508"/>
      <c r="N305" s="509"/>
    </row>
    <row r="306" spans="1:16" s="3" customFormat="1" ht="18.75" customHeight="1">
      <c r="A306" s="104"/>
      <c r="B306" s="102"/>
      <c r="C306" s="102"/>
      <c r="D306" s="102"/>
      <c r="E306" s="102"/>
      <c r="F306" s="139"/>
      <c r="G306" s="210"/>
      <c r="H306" s="210"/>
      <c r="I306" s="210"/>
      <c r="J306" s="210"/>
      <c r="K306" s="210"/>
      <c r="L306" s="210"/>
      <c r="M306" s="210"/>
      <c r="N306" s="211"/>
    </row>
    <row r="307" spans="1:16" s="3" customFormat="1" ht="25.2">
      <c r="A307" s="104" t="s">
        <v>215</v>
      </c>
      <c r="B307" s="102"/>
      <c r="C307" s="102"/>
      <c r="D307" s="102"/>
      <c r="E307" s="102"/>
      <c r="F307" s="139" t="s">
        <v>216</v>
      </c>
      <c r="G307" s="102"/>
      <c r="H307" s="102"/>
      <c r="I307" s="102"/>
      <c r="J307" s="102"/>
      <c r="K307" s="102"/>
      <c r="L307" s="102"/>
      <c r="M307" s="102"/>
      <c r="N307" s="105"/>
    </row>
    <row r="308" spans="1:16" s="4" customFormat="1" ht="25.2">
      <c r="A308" s="104" t="s">
        <v>217</v>
      </c>
      <c r="B308" s="102"/>
      <c r="C308" s="102"/>
      <c r="D308" s="102"/>
      <c r="E308" s="102"/>
      <c r="F308" s="139" t="s">
        <v>218</v>
      </c>
      <c r="G308" s="102"/>
      <c r="H308" s="102"/>
      <c r="I308" s="102"/>
      <c r="J308" s="102"/>
      <c r="K308" s="102"/>
      <c r="L308" s="102"/>
      <c r="M308" s="102"/>
      <c r="N308" s="105"/>
    </row>
    <row r="309" spans="1:16" s="3" customFormat="1" ht="10.35" customHeight="1">
      <c r="A309" s="104"/>
      <c r="B309" s="102"/>
      <c r="C309" s="102"/>
      <c r="D309" s="102"/>
      <c r="E309" s="102"/>
      <c r="F309" s="139"/>
      <c r="G309" s="102"/>
      <c r="H309" s="102"/>
      <c r="I309" s="102"/>
      <c r="J309" s="102"/>
      <c r="K309" s="102"/>
      <c r="L309" s="102"/>
      <c r="M309" s="102"/>
      <c r="N309" s="105"/>
    </row>
    <row r="310" spans="1:16" s="3" customFormat="1" ht="25.2">
      <c r="A310" s="104" t="s">
        <v>219</v>
      </c>
      <c r="B310" s="102"/>
      <c r="C310" s="102"/>
      <c r="D310" s="102"/>
      <c r="E310" s="102"/>
      <c r="F310" s="139" t="s">
        <v>220</v>
      </c>
      <c r="G310" s="139" t="str">
        <f>PL!$V$8</f>
        <v>PGU-DE-0481</v>
      </c>
      <c r="H310" s="102"/>
      <c r="I310" s="102"/>
      <c r="J310" s="102"/>
      <c r="K310" s="102"/>
      <c r="L310" s="102"/>
      <c r="M310" s="102"/>
      <c r="N310" s="105"/>
    </row>
    <row r="311" spans="1:16" s="3" customFormat="1" ht="25.2">
      <c r="A311" s="104" t="s">
        <v>221</v>
      </c>
      <c r="B311" s="102"/>
      <c r="C311" s="102"/>
      <c r="D311" s="102"/>
      <c r="E311" s="102"/>
      <c r="F311" s="139"/>
      <c r="G311" s="102"/>
      <c r="H311" s="102"/>
      <c r="I311" s="102"/>
      <c r="J311" s="102"/>
      <c r="K311" s="102"/>
      <c r="L311" s="102"/>
      <c r="M311" s="102"/>
      <c r="N311" s="105"/>
    </row>
    <row r="312" spans="1:16" s="3" customFormat="1" ht="10.35" customHeight="1">
      <c r="A312" s="104"/>
      <c r="B312" s="102"/>
      <c r="C312" s="102"/>
      <c r="D312" s="102"/>
      <c r="E312" s="102"/>
      <c r="F312" s="139"/>
      <c r="G312" s="102"/>
      <c r="H312" s="102"/>
      <c r="I312" s="102"/>
      <c r="J312" s="102"/>
      <c r="K312" s="102"/>
      <c r="L312" s="102"/>
      <c r="M312" s="102"/>
      <c r="N312" s="105"/>
    </row>
    <row r="313" spans="1:16" s="3" customFormat="1" ht="25.2">
      <c r="A313" s="106" t="s">
        <v>222</v>
      </c>
      <c r="B313" s="141"/>
      <c r="C313" s="141"/>
      <c r="D313" s="141"/>
      <c r="E313" s="141"/>
      <c r="F313" s="142" t="s">
        <v>209</v>
      </c>
      <c r="G313" s="272" t="str">
        <f>VLOOKUP($P313,'Summary PL'!$A$14:$M$39,4,FALSE)</f>
        <v>Power Cable / Кабель питания для ОРУ</v>
      </c>
      <c r="H313" s="141"/>
      <c r="I313" s="141"/>
      <c r="J313" s="141"/>
      <c r="K313" s="141"/>
      <c r="L313" s="141"/>
      <c r="M313" s="141"/>
      <c r="N313" s="107"/>
      <c r="P313" s="3">
        <f>P276+1</f>
        <v>9</v>
      </c>
    </row>
    <row r="314" spans="1:16" s="3" customFormat="1" ht="25.2">
      <c r="A314" s="106" t="s">
        <v>223</v>
      </c>
      <c r="B314" s="141"/>
      <c r="C314" s="141"/>
      <c r="D314" s="141"/>
      <c r="E314" s="141"/>
      <c r="F314" s="142"/>
      <c r="G314" s="141"/>
      <c r="H314" s="141"/>
      <c r="I314" s="141"/>
      <c r="J314" s="141"/>
      <c r="K314" s="141"/>
      <c r="L314" s="141"/>
      <c r="M314" s="141"/>
      <c r="N314" s="107"/>
    </row>
    <row r="315" spans="1:16" s="3" customFormat="1" ht="10.35" customHeight="1">
      <c r="A315" s="104"/>
      <c r="B315" s="102"/>
      <c r="C315" s="102"/>
      <c r="D315" s="102"/>
      <c r="E315" s="102"/>
      <c r="F315" s="139"/>
      <c r="G315" s="102"/>
      <c r="H315" s="102"/>
      <c r="I315" s="102"/>
      <c r="J315" s="102"/>
      <c r="K315" s="102"/>
      <c r="L315" s="102"/>
      <c r="M315" s="102"/>
      <c r="N315" s="105"/>
    </row>
    <row r="316" spans="1:16" s="3" customFormat="1" ht="25.2">
      <c r="A316" s="104" t="s">
        <v>224</v>
      </c>
      <c r="B316" s="102"/>
      <c r="C316" s="102"/>
      <c r="D316" s="102"/>
      <c r="E316" s="102"/>
      <c r="F316" s="142" t="s">
        <v>225</v>
      </c>
      <c r="G316" s="272" t="str">
        <f>VLOOKUP($P313,'Summary PL'!$A$14:$M$39,3,FALSE)</f>
        <v>PGU-DE-0481-AIS-PoCable-009</v>
      </c>
      <c r="H316" s="102"/>
      <c r="I316" s="102"/>
      <c r="J316" s="102"/>
      <c r="K316" s="102"/>
      <c r="L316" s="102"/>
      <c r="M316" s="102"/>
      <c r="N316" s="105"/>
    </row>
    <row r="317" spans="1:16" s="4" customFormat="1" ht="25.2">
      <c r="A317" s="104" t="s">
        <v>226</v>
      </c>
      <c r="B317" s="102"/>
      <c r="C317" s="102"/>
      <c r="D317" s="102"/>
      <c r="E317" s="102"/>
      <c r="F317" s="139"/>
      <c r="G317" s="139"/>
      <c r="H317" s="102"/>
      <c r="I317" s="102"/>
      <c r="J317" s="102"/>
      <c r="K317" s="102"/>
      <c r="L317" s="102"/>
      <c r="M317" s="102"/>
      <c r="N317" s="105"/>
    </row>
    <row r="318" spans="1:16" s="3" customFormat="1" ht="10.35" customHeight="1">
      <c r="A318" s="104"/>
      <c r="B318" s="102"/>
      <c r="C318" s="102"/>
      <c r="D318" s="102"/>
      <c r="E318" s="102"/>
      <c r="F318" s="139"/>
      <c r="G318" s="139"/>
      <c r="H318" s="102"/>
      <c r="I318" s="102"/>
      <c r="J318" s="102"/>
      <c r="K318" s="102"/>
      <c r="L318" s="102"/>
      <c r="M318" s="102"/>
      <c r="N318" s="105"/>
    </row>
    <row r="319" spans="1:16" s="3" customFormat="1" ht="25.2">
      <c r="A319" s="104" t="s">
        <v>227</v>
      </c>
      <c r="B319" s="102"/>
      <c r="C319" s="102"/>
      <c r="D319" s="102"/>
      <c r="E319" s="102"/>
      <c r="F319" s="139" t="s">
        <v>220</v>
      </c>
      <c r="G319" s="241">
        <f>VLOOKUP($P313,'Summary PL'!$A$14:$M$39,12,FALSE)</f>
        <v>473</v>
      </c>
      <c r="H319" s="139" t="s">
        <v>228</v>
      </c>
      <c r="I319" s="102"/>
      <c r="J319" s="102"/>
      <c r="K319" s="102"/>
      <c r="L319" s="102"/>
      <c r="M319" s="102"/>
      <c r="N319" s="105"/>
    </row>
    <row r="320" spans="1:16" s="4" customFormat="1" ht="25.2">
      <c r="A320" s="104" t="s">
        <v>229</v>
      </c>
      <c r="B320" s="102"/>
      <c r="C320" s="102"/>
      <c r="D320" s="102"/>
      <c r="E320" s="102"/>
      <c r="F320" s="139"/>
      <c r="G320" s="139"/>
      <c r="H320" s="139"/>
      <c r="I320" s="102"/>
      <c r="J320" s="102"/>
      <c r="K320" s="102"/>
      <c r="L320" s="102"/>
      <c r="M320" s="102"/>
      <c r="N320" s="105"/>
    </row>
    <row r="321" spans="1:14" s="3" customFormat="1" ht="10.35" customHeight="1">
      <c r="A321" s="104"/>
      <c r="B321" s="102"/>
      <c r="C321" s="102"/>
      <c r="D321" s="102"/>
      <c r="E321" s="102"/>
      <c r="F321" s="139"/>
      <c r="G321" s="139"/>
      <c r="H321" s="139"/>
      <c r="I321" s="102"/>
      <c r="J321" s="102"/>
      <c r="K321" s="102"/>
      <c r="L321" s="102"/>
      <c r="M321" s="102"/>
      <c r="N321" s="105"/>
    </row>
    <row r="322" spans="1:14" s="3" customFormat="1" ht="25.2">
      <c r="A322" s="104" t="s">
        <v>230</v>
      </c>
      <c r="B322" s="102"/>
      <c r="C322" s="102"/>
      <c r="D322" s="102"/>
      <c r="E322" s="102"/>
      <c r="F322" s="139" t="s">
        <v>220</v>
      </c>
      <c r="G322" s="241">
        <f>VLOOKUP($P313,'Summary PL'!$A$14:$M$39,13,FALSE)</f>
        <v>641</v>
      </c>
      <c r="H322" s="139" t="s">
        <v>228</v>
      </c>
      <c r="I322" s="102"/>
      <c r="J322" s="102"/>
      <c r="K322" s="102"/>
      <c r="L322" s="102"/>
      <c r="M322" s="102"/>
      <c r="N322" s="105"/>
    </row>
    <row r="323" spans="1:14" s="4" customFormat="1" ht="25.2">
      <c r="A323" s="104" t="s">
        <v>231</v>
      </c>
      <c r="B323" s="102"/>
      <c r="C323" s="102"/>
      <c r="D323" s="102"/>
      <c r="E323" s="102"/>
      <c r="F323" s="139"/>
      <c r="G323" s="139"/>
      <c r="H323" s="102"/>
      <c r="I323" s="102"/>
      <c r="J323" s="102"/>
      <c r="K323" s="102"/>
      <c r="L323" s="102"/>
      <c r="M323" s="102"/>
      <c r="N323" s="105"/>
    </row>
    <row r="324" spans="1:14" s="3" customFormat="1" ht="10.35" customHeight="1">
      <c r="A324" s="104"/>
      <c r="B324" s="102"/>
      <c r="C324" s="102"/>
      <c r="D324" s="102"/>
      <c r="E324" s="102"/>
      <c r="F324" s="139"/>
      <c r="G324" s="139"/>
      <c r="H324" s="102"/>
      <c r="I324" s="102"/>
      <c r="J324" s="102"/>
      <c r="K324" s="102"/>
      <c r="L324" s="102"/>
      <c r="M324" s="102"/>
      <c r="N324" s="105"/>
    </row>
    <row r="325" spans="1:14" s="3" customFormat="1" ht="25.2">
      <c r="A325" s="108" t="s">
        <v>232</v>
      </c>
      <c r="B325" s="102"/>
      <c r="C325" s="102"/>
      <c r="D325" s="102"/>
      <c r="E325" s="102"/>
      <c r="F325" s="139" t="s">
        <v>220</v>
      </c>
      <c r="G325" s="241">
        <f>VLOOKUP($P313,'Summary PL'!$A$14:$M$39,11,FALSE)</f>
        <v>1.21</v>
      </c>
      <c r="H325" s="240" t="s">
        <v>233</v>
      </c>
      <c r="I325" s="240"/>
      <c r="J325" s="240"/>
      <c r="K325" s="240"/>
      <c r="L325" s="102"/>
      <c r="M325" s="102"/>
      <c r="N325" s="105"/>
    </row>
    <row r="326" spans="1:14" s="4" customFormat="1" ht="25.2">
      <c r="A326" s="104" t="s">
        <v>234</v>
      </c>
      <c r="B326" s="102"/>
      <c r="C326" s="102"/>
      <c r="D326" s="102"/>
      <c r="E326" s="102"/>
      <c r="F326" s="139"/>
      <c r="G326" s="139"/>
      <c r="H326" s="102"/>
      <c r="I326" s="102"/>
      <c r="J326" s="102"/>
      <c r="K326" s="102"/>
      <c r="L326" s="102"/>
      <c r="M326" s="102"/>
      <c r="N326" s="105"/>
    </row>
    <row r="327" spans="1:14" s="3" customFormat="1" ht="10.35" customHeight="1">
      <c r="A327" s="104"/>
      <c r="B327" s="102"/>
      <c r="C327" s="102"/>
      <c r="D327" s="102"/>
      <c r="E327" s="102"/>
      <c r="F327" s="139"/>
      <c r="G327" s="139"/>
      <c r="H327" s="102"/>
      <c r="I327" s="102"/>
      <c r="J327" s="102"/>
      <c r="K327" s="102"/>
      <c r="L327" s="102"/>
      <c r="M327" s="102"/>
      <c r="N327" s="105"/>
    </row>
    <row r="328" spans="1:14" s="3" customFormat="1" ht="25.2" customHeight="1">
      <c r="A328" s="104" t="s">
        <v>235</v>
      </c>
      <c r="B328" s="102"/>
      <c r="C328" s="102"/>
      <c r="D328" s="102"/>
      <c r="E328" s="102"/>
      <c r="F328" s="139" t="s">
        <v>236</v>
      </c>
      <c r="G328" s="508" t="s">
        <v>237</v>
      </c>
      <c r="H328" s="508"/>
      <c r="I328" s="508"/>
      <c r="J328" s="508"/>
      <c r="K328" s="508"/>
      <c r="L328" s="508"/>
      <c r="M328" s="508"/>
      <c r="N328" s="509"/>
    </row>
    <row r="329" spans="1:14" s="4" customFormat="1" ht="25.2">
      <c r="A329" s="104" t="s">
        <v>238</v>
      </c>
      <c r="B329" s="102"/>
      <c r="C329" s="102"/>
      <c r="D329" s="102"/>
      <c r="E329" s="102"/>
      <c r="F329" s="139"/>
      <c r="G329" s="508"/>
      <c r="H329" s="508"/>
      <c r="I329" s="508"/>
      <c r="J329" s="508"/>
      <c r="K329" s="508"/>
      <c r="L329" s="508"/>
      <c r="M329" s="508"/>
      <c r="N329" s="509"/>
    </row>
    <row r="330" spans="1:14" s="4" customFormat="1" ht="25.2">
      <c r="A330" s="104"/>
      <c r="B330" s="102"/>
      <c r="C330" s="102"/>
      <c r="D330" s="102"/>
      <c r="E330" s="102"/>
      <c r="F330" s="139"/>
      <c r="G330" s="140"/>
      <c r="H330" s="102"/>
      <c r="I330" s="102"/>
      <c r="J330" s="102"/>
      <c r="K330" s="102"/>
      <c r="L330" s="102"/>
      <c r="M330" s="102"/>
      <c r="N330" s="105"/>
    </row>
    <row r="331" spans="1:14" s="4" customFormat="1" ht="25.8" thickBot="1">
      <c r="A331" s="104"/>
      <c r="B331" s="102"/>
      <c r="C331" s="102"/>
      <c r="D331" s="102"/>
      <c r="E331" s="139"/>
      <c r="F331" s="239"/>
      <c r="G331" s="139"/>
      <c r="H331" s="102"/>
      <c r="I331" s="102"/>
      <c r="J331" s="102"/>
      <c r="K331" s="102"/>
      <c r="L331" s="102"/>
      <c r="M331" s="102"/>
      <c r="N331" s="105"/>
    </row>
    <row r="332" spans="1:14" ht="21" customHeight="1">
      <c r="A332" s="98"/>
      <c r="B332" s="99"/>
      <c r="C332" s="99"/>
      <c r="D332" s="99"/>
      <c r="E332" s="510" t="s">
        <v>239</v>
      </c>
      <c r="F332" s="511"/>
      <c r="G332" s="511"/>
      <c r="H332" s="511"/>
      <c r="I332" s="511"/>
      <c r="J332" s="511"/>
      <c r="K332" s="511"/>
      <c r="L332" s="100"/>
      <c r="M332" s="100"/>
      <c r="N332" s="101"/>
    </row>
    <row r="333" spans="1:14" ht="25.5" customHeight="1" thickBot="1">
      <c r="A333" s="109"/>
      <c r="B333" s="110"/>
      <c r="C333" s="110"/>
      <c r="D333" s="110"/>
      <c r="E333" s="512"/>
      <c r="F333" s="512"/>
      <c r="G333" s="512"/>
      <c r="H333" s="512"/>
      <c r="I333" s="512"/>
      <c r="J333" s="512"/>
      <c r="K333" s="512"/>
      <c r="L333" s="111"/>
      <c r="M333" s="111"/>
      <c r="N333" s="112"/>
    </row>
    <row r="334" spans="1:14">
      <c r="A334" s="98"/>
      <c r="B334" s="99"/>
      <c r="C334" s="99"/>
      <c r="D334" s="99"/>
      <c r="E334" s="99"/>
      <c r="F334" s="100"/>
      <c r="G334" s="100"/>
      <c r="H334" s="100"/>
      <c r="I334" s="100"/>
      <c r="J334" s="100"/>
      <c r="K334" s="100"/>
      <c r="L334" s="100"/>
      <c r="M334" s="100"/>
      <c r="N334" s="101"/>
    </row>
    <row r="335" spans="1:14">
      <c r="A335" s="243"/>
      <c r="N335" s="242"/>
    </row>
    <row r="336" spans="1:14" ht="76.5" customHeight="1">
      <c r="A336" s="513" t="s">
        <v>207</v>
      </c>
      <c r="B336" s="514"/>
      <c r="C336" s="514"/>
      <c r="D336" s="514"/>
      <c r="E336" s="514"/>
      <c r="F336" s="514"/>
      <c r="G336" s="514"/>
      <c r="H336" s="514"/>
      <c r="I336" s="514"/>
      <c r="J336" s="514"/>
      <c r="K336" s="514"/>
      <c r="L336" s="514"/>
      <c r="M336" s="514"/>
      <c r="N336" s="515"/>
    </row>
    <row r="337" spans="1:16" s="3" customFormat="1" ht="37.950000000000003" customHeight="1">
      <c r="A337" s="115" t="s">
        <v>208</v>
      </c>
      <c r="B337" s="138"/>
      <c r="C337" s="138"/>
      <c r="D337" s="102"/>
      <c r="E337" s="102"/>
      <c r="F337" s="139" t="s">
        <v>209</v>
      </c>
      <c r="G337" s="508" t="s">
        <v>210</v>
      </c>
      <c r="H337" s="508"/>
      <c r="I337" s="508"/>
      <c r="J337" s="508"/>
      <c r="K337" s="508"/>
      <c r="L337" s="508"/>
      <c r="M337" s="508"/>
      <c r="N337" s="509"/>
    </row>
    <row r="338" spans="1:16" s="4" customFormat="1" ht="25.2">
      <c r="A338" s="104" t="s">
        <v>211</v>
      </c>
      <c r="B338" s="102"/>
      <c r="C338" s="102"/>
      <c r="D338" s="102"/>
      <c r="E338" s="102"/>
      <c r="F338" s="139"/>
      <c r="G338" s="508"/>
      <c r="H338" s="508"/>
      <c r="I338" s="508"/>
      <c r="J338" s="508"/>
      <c r="K338" s="508"/>
      <c r="L338" s="508"/>
      <c r="M338" s="508"/>
      <c r="N338" s="509"/>
    </row>
    <row r="339" spans="1:16" s="3" customFormat="1" ht="10.35" customHeight="1">
      <c r="A339" s="104"/>
      <c r="B339" s="102"/>
      <c r="C339" s="102"/>
      <c r="D339" s="102"/>
      <c r="E339" s="102"/>
      <c r="F339" s="139"/>
      <c r="G339" s="102"/>
      <c r="H339" s="102"/>
      <c r="I339" s="102"/>
      <c r="J339" s="102"/>
      <c r="K339" s="102"/>
      <c r="L339" s="102"/>
      <c r="M339" s="102"/>
      <c r="N339" s="105"/>
    </row>
    <row r="340" spans="1:16" s="3" customFormat="1" ht="18.75" customHeight="1">
      <c r="A340" s="104" t="s">
        <v>212</v>
      </c>
      <c r="B340" s="102"/>
      <c r="C340" s="102"/>
      <c r="D340" s="102"/>
      <c r="E340" s="102"/>
      <c r="F340" s="139" t="s">
        <v>213</v>
      </c>
      <c r="G340" s="508" t="str">
        <f>PL!$B$13</f>
        <v>Branch of JSC "Doosan Enerbility" in the Turkestan region</v>
      </c>
      <c r="H340" s="508"/>
      <c r="I340" s="508"/>
      <c r="J340" s="508"/>
      <c r="K340" s="508"/>
      <c r="L340" s="508"/>
      <c r="M340" s="508"/>
      <c r="N340" s="509"/>
    </row>
    <row r="341" spans="1:16" s="3" customFormat="1" ht="18.75" customHeight="1">
      <c r="A341" s="104" t="s">
        <v>214</v>
      </c>
      <c r="B341" s="102"/>
      <c r="C341" s="102"/>
      <c r="D341" s="102"/>
      <c r="E341" s="102"/>
      <c r="F341" s="139"/>
      <c r="G341" s="508" t="str">
        <f>PL!$B$14</f>
        <v>321 Tauke Khan Avenue, Turkestan region, Turkestan, Kazakhstan, 161200</v>
      </c>
      <c r="H341" s="508"/>
      <c r="I341" s="508"/>
      <c r="J341" s="508"/>
      <c r="K341" s="508"/>
      <c r="L341" s="508"/>
      <c r="M341" s="508"/>
      <c r="N341" s="509"/>
    </row>
    <row r="342" spans="1:16" s="3" customFormat="1" ht="18.75" customHeight="1">
      <c r="A342" s="104"/>
      <c r="B342" s="102"/>
      <c r="C342" s="102"/>
      <c r="D342" s="102"/>
      <c r="E342" s="102"/>
      <c r="F342" s="139"/>
      <c r="G342" s="508" t="str">
        <f>PL!$B$15</f>
        <v>BIN: 230741006561</v>
      </c>
      <c r="H342" s="508"/>
      <c r="I342" s="508"/>
      <c r="J342" s="508"/>
      <c r="K342" s="508"/>
      <c r="L342" s="508"/>
      <c r="M342" s="508"/>
      <c r="N342" s="509"/>
    </row>
    <row r="343" spans="1:16" s="3" customFormat="1" ht="18.75" customHeight="1">
      <c r="A343" s="104"/>
      <c r="B343" s="102"/>
      <c r="C343" s="102"/>
      <c r="D343" s="102"/>
      <c r="E343" s="102"/>
      <c r="F343" s="139"/>
      <c r="G343" s="210"/>
      <c r="H343" s="210"/>
      <c r="I343" s="210"/>
      <c r="J343" s="210"/>
      <c r="K343" s="210"/>
      <c r="L343" s="210"/>
      <c r="M343" s="210"/>
      <c r="N343" s="211"/>
    </row>
    <row r="344" spans="1:16" s="3" customFormat="1" ht="25.2">
      <c r="A344" s="104" t="s">
        <v>215</v>
      </c>
      <c r="B344" s="102"/>
      <c r="C344" s="102"/>
      <c r="D344" s="102"/>
      <c r="E344" s="102"/>
      <c r="F344" s="139" t="s">
        <v>216</v>
      </c>
      <c r="G344" s="102"/>
      <c r="H344" s="102"/>
      <c r="I344" s="102"/>
      <c r="J344" s="102"/>
      <c r="K344" s="102"/>
      <c r="L344" s="102"/>
      <c r="M344" s="102"/>
      <c r="N344" s="105"/>
    </row>
    <row r="345" spans="1:16" s="4" customFormat="1" ht="25.2">
      <c r="A345" s="104" t="s">
        <v>217</v>
      </c>
      <c r="B345" s="102"/>
      <c r="C345" s="102"/>
      <c r="D345" s="102"/>
      <c r="E345" s="102"/>
      <c r="F345" s="139" t="s">
        <v>218</v>
      </c>
      <c r="G345" s="102"/>
      <c r="H345" s="102"/>
      <c r="I345" s="102"/>
      <c r="J345" s="102"/>
      <c r="K345" s="102"/>
      <c r="L345" s="102"/>
      <c r="M345" s="102"/>
      <c r="N345" s="105"/>
    </row>
    <row r="346" spans="1:16" s="3" customFormat="1" ht="10.35" customHeight="1">
      <c r="A346" s="104"/>
      <c r="B346" s="102"/>
      <c r="C346" s="102"/>
      <c r="D346" s="102"/>
      <c r="E346" s="102"/>
      <c r="F346" s="139"/>
      <c r="G346" s="102"/>
      <c r="H346" s="102"/>
      <c r="I346" s="102"/>
      <c r="J346" s="102"/>
      <c r="K346" s="102"/>
      <c r="L346" s="102"/>
      <c r="M346" s="102"/>
      <c r="N346" s="105"/>
    </row>
    <row r="347" spans="1:16" s="3" customFormat="1" ht="25.2">
      <c r="A347" s="104" t="s">
        <v>219</v>
      </c>
      <c r="B347" s="102"/>
      <c r="C347" s="102"/>
      <c r="D347" s="102"/>
      <c r="E347" s="102"/>
      <c r="F347" s="139" t="s">
        <v>220</v>
      </c>
      <c r="G347" s="139" t="str">
        <f>PL!$V$8</f>
        <v>PGU-DE-0481</v>
      </c>
      <c r="H347" s="102"/>
      <c r="I347" s="102"/>
      <c r="J347" s="102"/>
      <c r="K347" s="102"/>
      <c r="L347" s="102"/>
      <c r="M347" s="102"/>
      <c r="N347" s="105"/>
    </row>
    <row r="348" spans="1:16" s="3" customFormat="1" ht="25.2">
      <c r="A348" s="104" t="s">
        <v>221</v>
      </c>
      <c r="B348" s="102"/>
      <c r="C348" s="102"/>
      <c r="D348" s="102"/>
      <c r="E348" s="102"/>
      <c r="F348" s="139"/>
      <c r="G348" s="102"/>
      <c r="H348" s="102"/>
      <c r="I348" s="102"/>
      <c r="J348" s="102"/>
      <c r="K348" s="102"/>
      <c r="L348" s="102"/>
      <c r="M348" s="102"/>
      <c r="N348" s="105"/>
    </row>
    <row r="349" spans="1:16" s="3" customFormat="1" ht="10.35" customHeight="1">
      <c r="A349" s="104"/>
      <c r="B349" s="102"/>
      <c r="C349" s="102"/>
      <c r="D349" s="102"/>
      <c r="E349" s="102"/>
      <c r="F349" s="139"/>
      <c r="G349" s="102"/>
      <c r="H349" s="102"/>
      <c r="I349" s="102"/>
      <c r="J349" s="102"/>
      <c r="K349" s="102"/>
      <c r="L349" s="102"/>
      <c r="M349" s="102"/>
      <c r="N349" s="105"/>
    </row>
    <row r="350" spans="1:16" s="3" customFormat="1" ht="25.2">
      <c r="A350" s="106" t="s">
        <v>222</v>
      </c>
      <c r="B350" s="141"/>
      <c r="C350" s="141"/>
      <c r="D350" s="141"/>
      <c r="E350" s="141"/>
      <c r="F350" s="142" t="s">
        <v>209</v>
      </c>
      <c r="G350" s="272" t="str">
        <f>VLOOKUP($P350,'Summary PL'!$A$14:$M$39,4,FALSE)</f>
        <v>Power Cable / Кабель питания для ОРУ</v>
      </c>
      <c r="H350" s="141"/>
      <c r="I350" s="141"/>
      <c r="J350" s="141"/>
      <c r="K350" s="141"/>
      <c r="L350" s="141"/>
      <c r="M350" s="141"/>
      <c r="N350" s="107"/>
      <c r="P350" s="3">
        <f>P313+1</f>
        <v>10</v>
      </c>
    </row>
    <row r="351" spans="1:16" s="3" customFormat="1" ht="25.2">
      <c r="A351" s="106" t="s">
        <v>223</v>
      </c>
      <c r="B351" s="141"/>
      <c r="C351" s="141"/>
      <c r="D351" s="141"/>
      <c r="E351" s="141"/>
      <c r="F351" s="142"/>
      <c r="G351" s="141"/>
      <c r="H351" s="141"/>
      <c r="I351" s="141"/>
      <c r="J351" s="141"/>
      <c r="K351" s="141"/>
      <c r="L351" s="141"/>
      <c r="M351" s="141"/>
      <c r="N351" s="107"/>
    </row>
    <row r="352" spans="1:16" s="3" customFormat="1" ht="10.35" customHeight="1">
      <c r="A352" s="104"/>
      <c r="B352" s="102"/>
      <c r="C352" s="102"/>
      <c r="D352" s="102"/>
      <c r="E352" s="102"/>
      <c r="F352" s="139"/>
      <c r="G352" s="102"/>
      <c r="H352" s="102"/>
      <c r="I352" s="102"/>
      <c r="J352" s="102"/>
      <c r="K352" s="102"/>
      <c r="L352" s="102"/>
      <c r="M352" s="102"/>
      <c r="N352" s="105"/>
    </row>
    <row r="353" spans="1:14" s="3" customFormat="1" ht="25.2">
      <c r="A353" s="104" t="s">
        <v>224</v>
      </c>
      <c r="B353" s="102"/>
      <c r="C353" s="102"/>
      <c r="D353" s="102"/>
      <c r="E353" s="102"/>
      <c r="F353" s="142" t="s">
        <v>225</v>
      </c>
      <c r="G353" s="272" t="str">
        <f>VLOOKUP($P350,'Summary PL'!$A$14:$M$39,3,FALSE)</f>
        <v>PGU-DE-0481-AIS-PoCable-010</v>
      </c>
      <c r="H353" s="102"/>
      <c r="I353" s="102"/>
      <c r="J353" s="102"/>
      <c r="K353" s="102"/>
      <c r="L353" s="102"/>
      <c r="M353" s="102"/>
      <c r="N353" s="105"/>
    </row>
    <row r="354" spans="1:14" s="4" customFormat="1" ht="25.2">
      <c r="A354" s="104" t="s">
        <v>226</v>
      </c>
      <c r="B354" s="102"/>
      <c r="C354" s="102"/>
      <c r="D354" s="102"/>
      <c r="E354" s="102"/>
      <c r="F354" s="139"/>
      <c r="G354" s="139"/>
      <c r="H354" s="102"/>
      <c r="I354" s="102"/>
      <c r="J354" s="102"/>
      <c r="K354" s="102"/>
      <c r="L354" s="102"/>
      <c r="M354" s="102"/>
      <c r="N354" s="105"/>
    </row>
    <row r="355" spans="1:14" s="3" customFormat="1" ht="10.35" customHeight="1">
      <c r="A355" s="104"/>
      <c r="B355" s="102"/>
      <c r="C355" s="102"/>
      <c r="D355" s="102"/>
      <c r="E355" s="102"/>
      <c r="F355" s="139"/>
      <c r="G355" s="139"/>
      <c r="H355" s="102"/>
      <c r="I355" s="102"/>
      <c r="J355" s="102"/>
      <c r="K355" s="102"/>
      <c r="L355" s="102"/>
      <c r="M355" s="102"/>
      <c r="N355" s="105"/>
    </row>
    <row r="356" spans="1:14" s="3" customFormat="1" ht="25.2">
      <c r="A356" s="104" t="s">
        <v>227</v>
      </c>
      <c r="B356" s="102"/>
      <c r="C356" s="102"/>
      <c r="D356" s="102"/>
      <c r="E356" s="102"/>
      <c r="F356" s="139" t="s">
        <v>220</v>
      </c>
      <c r="G356" s="241">
        <f>VLOOKUP($P350,'Summary PL'!$A$14:$M$39,12,FALSE)</f>
        <v>473</v>
      </c>
      <c r="H356" s="139" t="s">
        <v>228</v>
      </c>
      <c r="I356" s="102"/>
      <c r="J356" s="102"/>
      <c r="K356" s="102"/>
      <c r="L356" s="102"/>
      <c r="M356" s="102"/>
      <c r="N356" s="105"/>
    </row>
    <row r="357" spans="1:14" s="4" customFormat="1" ht="25.2">
      <c r="A357" s="104" t="s">
        <v>229</v>
      </c>
      <c r="B357" s="102"/>
      <c r="C357" s="102"/>
      <c r="D357" s="102"/>
      <c r="E357" s="102"/>
      <c r="F357" s="139"/>
      <c r="G357" s="139"/>
      <c r="H357" s="139"/>
      <c r="I357" s="102"/>
      <c r="J357" s="102"/>
      <c r="K357" s="102"/>
      <c r="L357" s="102"/>
      <c r="M357" s="102"/>
      <c r="N357" s="105"/>
    </row>
    <row r="358" spans="1:14" s="3" customFormat="1" ht="10.35" customHeight="1">
      <c r="A358" s="104"/>
      <c r="B358" s="102"/>
      <c r="C358" s="102"/>
      <c r="D358" s="102"/>
      <c r="E358" s="102"/>
      <c r="F358" s="139"/>
      <c r="G358" s="139"/>
      <c r="H358" s="139"/>
      <c r="I358" s="102"/>
      <c r="J358" s="102"/>
      <c r="K358" s="102"/>
      <c r="L358" s="102"/>
      <c r="M358" s="102"/>
      <c r="N358" s="105"/>
    </row>
    <row r="359" spans="1:14" s="3" customFormat="1" ht="25.2">
      <c r="A359" s="104" t="s">
        <v>230</v>
      </c>
      <c r="B359" s="102"/>
      <c r="C359" s="102"/>
      <c r="D359" s="102"/>
      <c r="E359" s="102"/>
      <c r="F359" s="139" t="s">
        <v>220</v>
      </c>
      <c r="G359" s="241">
        <f>VLOOKUP($P350,'Summary PL'!$A$14:$M$39,13,FALSE)</f>
        <v>641</v>
      </c>
      <c r="H359" s="139" t="s">
        <v>228</v>
      </c>
      <c r="I359" s="102"/>
      <c r="J359" s="102"/>
      <c r="K359" s="102"/>
      <c r="L359" s="102"/>
      <c r="M359" s="102"/>
      <c r="N359" s="105"/>
    </row>
    <row r="360" spans="1:14" s="4" customFormat="1" ht="25.2">
      <c r="A360" s="104" t="s">
        <v>231</v>
      </c>
      <c r="B360" s="102"/>
      <c r="C360" s="102"/>
      <c r="D360" s="102"/>
      <c r="E360" s="102"/>
      <c r="F360" s="139"/>
      <c r="G360" s="139"/>
      <c r="H360" s="102"/>
      <c r="I360" s="102"/>
      <c r="J360" s="102"/>
      <c r="K360" s="102"/>
      <c r="L360" s="102"/>
      <c r="M360" s="102"/>
      <c r="N360" s="105"/>
    </row>
    <row r="361" spans="1:14" s="3" customFormat="1" ht="10.35" customHeight="1">
      <c r="A361" s="104"/>
      <c r="B361" s="102"/>
      <c r="C361" s="102"/>
      <c r="D361" s="102"/>
      <c r="E361" s="102"/>
      <c r="F361" s="139"/>
      <c r="G361" s="139"/>
      <c r="H361" s="102"/>
      <c r="I361" s="102"/>
      <c r="J361" s="102"/>
      <c r="K361" s="102"/>
      <c r="L361" s="102"/>
      <c r="M361" s="102"/>
      <c r="N361" s="105"/>
    </row>
    <row r="362" spans="1:14" s="3" customFormat="1" ht="25.2">
      <c r="A362" s="108" t="s">
        <v>232</v>
      </c>
      <c r="B362" s="102"/>
      <c r="C362" s="102"/>
      <c r="D362" s="102"/>
      <c r="E362" s="102"/>
      <c r="F362" s="139" t="s">
        <v>220</v>
      </c>
      <c r="G362" s="241">
        <f>VLOOKUP($P350,'Summary PL'!$A$14:$M$39,11,FALSE)</f>
        <v>1.21</v>
      </c>
      <c r="H362" s="240" t="s">
        <v>233</v>
      </c>
      <c r="I362" s="240"/>
      <c r="J362" s="240"/>
      <c r="K362" s="240"/>
      <c r="L362" s="102"/>
      <c r="M362" s="102"/>
      <c r="N362" s="105"/>
    </row>
    <row r="363" spans="1:14" s="4" customFormat="1" ht="25.2">
      <c r="A363" s="104" t="s">
        <v>234</v>
      </c>
      <c r="B363" s="102"/>
      <c r="C363" s="102"/>
      <c r="D363" s="102"/>
      <c r="E363" s="102"/>
      <c r="F363" s="139"/>
      <c r="G363" s="139"/>
      <c r="H363" s="102"/>
      <c r="I363" s="102"/>
      <c r="J363" s="102"/>
      <c r="K363" s="102"/>
      <c r="L363" s="102"/>
      <c r="M363" s="102"/>
      <c r="N363" s="105"/>
    </row>
    <row r="364" spans="1:14" s="3" customFormat="1" ht="10.35" customHeight="1">
      <c r="A364" s="104"/>
      <c r="B364" s="102"/>
      <c r="C364" s="102"/>
      <c r="D364" s="102"/>
      <c r="E364" s="102"/>
      <c r="F364" s="139"/>
      <c r="G364" s="139"/>
      <c r="H364" s="102"/>
      <c r="I364" s="102"/>
      <c r="J364" s="102"/>
      <c r="K364" s="102"/>
      <c r="L364" s="102"/>
      <c r="M364" s="102"/>
      <c r="N364" s="105"/>
    </row>
    <row r="365" spans="1:14" s="3" customFormat="1" ht="25.2" customHeight="1">
      <c r="A365" s="104" t="s">
        <v>235</v>
      </c>
      <c r="B365" s="102"/>
      <c r="C365" s="102"/>
      <c r="D365" s="102"/>
      <c r="E365" s="102"/>
      <c r="F365" s="139" t="s">
        <v>236</v>
      </c>
      <c r="G365" s="508" t="s">
        <v>237</v>
      </c>
      <c r="H365" s="508"/>
      <c r="I365" s="508"/>
      <c r="J365" s="508"/>
      <c r="K365" s="508"/>
      <c r="L365" s="508"/>
      <c r="M365" s="508"/>
      <c r="N365" s="509"/>
    </row>
    <row r="366" spans="1:14" s="4" customFormat="1" ht="25.2">
      <c r="A366" s="104" t="s">
        <v>238</v>
      </c>
      <c r="B366" s="102"/>
      <c r="C366" s="102"/>
      <c r="D366" s="102"/>
      <c r="E366" s="102"/>
      <c r="F366" s="139"/>
      <c r="G366" s="508"/>
      <c r="H366" s="508"/>
      <c r="I366" s="508"/>
      <c r="J366" s="508"/>
      <c r="K366" s="508"/>
      <c r="L366" s="508"/>
      <c r="M366" s="508"/>
      <c r="N366" s="509"/>
    </row>
    <row r="367" spans="1:14" s="4" customFormat="1" ht="25.2">
      <c r="A367" s="104"/>
      <c r="B367" s="102"/>
      <c r="C367" s="102"/>
      <c r="D367" s="102"/>
      <c r="E367" s="102"/>
      <c r="F367" s="139"/>
      <c r="G367" s="140"/>
      <c r="H367" s="102"/>
      <c r="I367" s="102"/>
      <c r="J367" s="102"/>
      <c r="K367" s="102"/>
      <c r="L367" s="102"/>
      <c r="M367" s="102"/>
      <c r="N367" s="105"/>
    </row>
    <row r="368" spans="1:14" s="4" customFormat="1" ht="25.8" thickBot="1">
      <c r="A368" s="104"/>
      <c r="B368" s="102"/>
      <c r="C368" s="102"/>
      <c r="D368" s="102"/>
      <c r="E368" s="139"/>
      <c r="F368" s="239"/>
      <c r="G368" s="139"/>
      <c r="H368" s="102"/>
      <c r="I368" s="102"/>
      <c r="J368" s="102"/>
      <c r="K368" s="102"/>
      <c r="L368" s="102"/>
      <c r="M368" s="102"/>
      <c r="N368" s="105"/>
    </row>
    <row r="369" spans="1:14" ht="21" customHeight="1">
      <c r="A369" s="98"/>
      <c r="B369" s="99"/>
      <c r="C369" s="99"/>
      <c r="D369" s="99"/>
      <c r="E369" s="510" t="s">
        <v>239</v>
      </c>
      <c r="F369" s="511"/>
      <c r="G369" s="511"/>
      <c r="H369" s="511"/>
      <c r="I369" s="511"/>
      <c r="J369" s="511"/>
      <c r="K369" s="511"/>
      <c r="L369" s="100"/>
      <c r="M369" s="100"/>
      <c r="N369" s="101"/>
    </row>
    <row r="370" spans="1:14" ht="25.5" customHeight="1" thickBot="1">
      <c r="A370" s="109"/>
      <c r="B370" s="110"/>
      <c r="C370" s="110"/>
      <c r="D370" s="110"/>
      <c r="E370" s="512"/>
      <c r="F370" s="512"/>
      <c r="G370" s="512"/>
      <c r="H370" s="512"/>
      <c r="I370" s="512"/>
      <c r="J370" s="512"/>
      <c r="K370" s="512"/>
      <c r="L370" s="111"/>
      <c r="M370" s="111"/>
      <c r="N370" s="112"/>
    </row>
    <row r="371" spans="1:14">
      <c r="A371" s="98"/>
      <c r="B371" s="99"/>
      <c r="C371" s="99"/>
      <c r="D371" s="99"/>
      <c r="E371" s="99"/>
      <c r="F371" s="100"/>
      <c r="G371" s="100"/>
      <c r="H371" s="100"/>
      <c r="I371" s="100"/>
      <c r="J371" s="100"/>
      <c r="K371" s="100"/>
      <c r="L371" s="100"/>
      <c r="M371" s="100"/>
      <c r="N371" s="101"/>
    </row>
    <row r="372" spans="1:14">
      <c r="A372" s="243"/>
      <c r="N372" s="242"/>
    </row>
    <row r="373" spans="1:14" ht="76.5" customHeight="1">
      <c r="A373" s="513" t="s">
        <v>207</v>
      </c>
      <c r="B373" s="514"/>
      <c r="C373" s="514"/>
      <c r="D373" s="514"/>
      <c r="E373" s="514"/>
      <c r="F373" s="514"/>
      <c r="G373" s="514"/>
      <c r="H373" s="514"/>
      <c r="I373" s="514"/>
      <c r="J373" s="514"/>
      <c r="K373" s="514"/>
      <c r="L373" s="514"/>
      <c r="M373" s="514"/>
      <c r="N373" s="515"/>
    </row>
    <row r="374" spans="1:14" s="3" customFormat="1" ht="37.950000000000003" customHeight="1">
      <c r="A374" s="115" t="s">
        <v>208</v>
      </c>
      <c r="B374" s="138"/>
      <c r="C374" s="138"/>
      <c r="D374" s="102"/>
      <c r="E374" s="102"/>
      <c r="F374" s="139" t="s">
        <v>209</v>
      </c>
      <c r="G374" s="508" t="s">
        <v>210</v>
      </c>
      <c r="H374" s="508"/>
      <c r="I374" s="508"/>
      <c r="J374" s="508"/>
      <c r="K374" s="508"/>
      <c r="L374" s="508"/>
      <c r="M374" s="508"/>
      <c r="N374" s="509"/>
    </row>
    <row r="375" spans="1:14" s="4" customFormat="1" ht="25.2">
      <c r="A375" s="104" t="s">
        <v>211</v>
      </c>
      <c r="B375" s="102"/>
      <c r="C375" s="102"/>
      <c r="D375" s="102"/>
      <c r="E375" s="102"/>
      <c r="F375" s="139"/>
      <c r="G375" s="508"/>
      <c r="H375" s="508"/>
      <c r="I375" s="508"/>
      <c r="J375" s="508"/>
      <c r="K375" s="508"/>
      <c r="L375" s="508"/>
      <c r="M375" s="508"/>
      <c r="N375" s="509"/>
    </row>
    <row r="376" spans="1:14" s="3" customFormat="1" ht="10.35" customHeight="1">
      <c r="A376" s="104"/>
      <c r="B376" s="102"/>
      <c r="C376" s="102"/>
      <c r="D376" s="102"/>
      <c r="E376" s="102"/>
      <c r="F376" s="139"/>
      <c r="G376" s="102"/>
      <c r="H376" s="102"/>
      <c r="I376" s="102"/>
      <c r="J376" s="102"/>
      <c r="K376" s="102"/>
      <c r="L376" s="102"/>
      <c r="M376" s="102"/>
      <c r="N376" s="105"/>
    </row>
    <row r="377" spans="1:14" s="3" customFormat="1" ht="18.75" customHeight="1">
      <c r="A377" s="104" t="s">
        <v>212</v>
      </c>
      <c r="B377" s="102"/>
      <c r="C377" s="102"/>
      <c r="D377" s="102"/>
      <c r="E377" s="102"/>
      <c r="F377" s="139" t="s">
        <v>213</v>
      </c>
      <c r="G377" s="508" t="str">
        <f>PL!$B$13</f>
        <v>Branch of JSC "Doosan Enerbility" in the Turkestan region</v>
      </c>
      <c r="H377" s="508"/>
      <c r="I377" s="508"/>
      <c r="J377" s="508"/>
      <c r="K377" s="508"/>
      <c r="L377" s="508"/>
      <c r="M377" s="508"/>
      <c r="N377" s="509"/>
    </row>
    <row r="378" spans="1:14" s="3" customFormat="1" ht="18.75" customHeight="1">
      <c r="A378" s="104" t="s">
        <v>214</v>
      </c>
      <c r="B378" s="102"/>
      <c r="C378" s="102"/>
      <c r="D378" s="102"/>
      <c r="E378" s="102"/>
      <c r="F378" s="139"/>
      <c r="G378" s="508" t="str">
        <f>PL!$B$14</f>
        <v>321 Tauke Khan Avenue, Turkestan region, Turkestan, Kazakhstan, 161200</v>
      </c>
      <c r="H378" s="508"/>
      <c r="I378" s="508"/>
      <c r="J378" s="508"/>
      <c r="K378" s="508"/>
      <c r="L378" s="508"/>
      <c r="M378" s="508"/>
      <c r="N378" s="509"/>
    </row>
    <row r="379" spans="1:14" s="3" customFormat="1" ht="18.75" customHeight="1">
      <c r="A379" s="104"/>
      <c r="B379" s="102"/>
      <c r="C379" s="102"/>
      <c r="D379" s="102"/>
      <c r="E379" s="102"/>
      <c r="F379" s="139"/>
      <c r="G379" s="508" t="str">
        <f>PL!$B$15</f>
        <v>BIN: 230741006561</v>
      </c>
      <c r="H379" s="508"/>
      <c r="I379" s="508"/>
      <c r="J379" s="508"/>
      <c r="K379" s="508"/>
      <c r="L379" s="508"/>
      <c r="M379" s="508"/>
      <c r="N379" s="509"/>
    </row>
    <row r="380" spans="1:14" s="3" customFormat="1" ht="18.75" customHeight="1">
      <c r="A380" s="104"/>
      <c r="B380" s="102"/>
      <c r="C380" s="102"/>
      <c r="D380" s="102"/>
      <c r="E380" s="102"/>
      <c r="F380" s="139"/>
      <c r="G380" s="210"/>
      <c r="H380" s="210"/>
      <c r="I380" s="210"/>
      <c r="J380" s="210"/>
      <c r="K380" s="210"/>
      <c r="L380" s="210"/>
      <c r="M380" s="210"/>
      <c r="N380" s="211"/>
    </row>
    <row r="381" spans="1:14" s="3" customFormat="1" ht="25.2">
      <c r="A381" s="104" t="s">
        <v>215</v>
      </c>
      <c r="B381" s="102"/>
      <c r="C381" s="102"/>
      <c r="D381" s="102"/>
      <c r="E381" s="102"/>
      <c r="F381" s="139" t="s">
        <v>216</v>
      </c>
      <c r="G381" s="102"/>
      <c r="H381" s="102"/>
      <c r="I381" s="102"/>
      <c r="J381" s="102"/>
      <c r="K381" s="102"/>
      <c r="L381" s="102"/>
      <c r="M381" s="102"/>
      <c r="N381" s="105"/>
    </row>
    <row r="382" spans="1:14" s="4" customFormat="1" ht="25.2">
      <c r="A382" s="104" t="s">
        <v>217</v>
      </c>
      <c r="B382" s="102"/>
      <c r="C382" s="102"/>
      <c r="D382" s="102"/>
      <c r="E382" s="102"/>
      <c r="F382" s="139" t="s">
        <v>218</v>
      </c>
      <c r="G382" s="102"/>
      <c r="H382" s="102"/>
      <c r="I382" s="102"/>
      <c r="J382" s="102"/>
      <c r="K382" s="102"/>
      <c r="L382" s="102"/>
      <c r="M382" s="102"/>
      <c r="N382" s="105"/>
    </row>
    <row r="383" spans="1:14" s="3" customFormat="1" ht="10.35" customHeight="1">
      <c r="A383" s="104"/>
      <c r="B383" s="102"/>
      <c r="C383" s="102"/>
      <c r="D383" s="102"/>
      <c r="E383" s="102"/>
      <c r="F383" s="139"/>
      <c r="G383" s="102"/>
      <c r="H383" s="102"/>
      <c r="I383" s="102"/>
      <c r="J383" s="102"/>
      <c r="K383" s="102"/>
      <c r="L383" s="102"/>
      <c r="M383" s="102"/>
      <c r="N383" s="105"/>
    </row>
    <row r="384" spans="1:14" s="3" customFormat="1" ht="25.2">
      <c r="A384" s="104" t="s">
        <v>219</v>
      </c>
      <c r="B384" s="102"/>
      <c r="C384" s="102"/>
      <c r="D384" s="102"/>
      <c r="E384" s="102"/>
      <c r="F384" s="139" t="s">
        <v>220</v>
      </c>
      <c r="G384" s="139" t="str">
        <f>PL!$V$8</f>
        <v>PGU-DE-0481</v>
      </c>
      <c r="H384" s="102"/>
      <c r="I384" s="102"/>
      <c r="J384" s="102"/>
      <c r="K384" s="102"/>
      <c r="L384" s="102"/>
      <c r="M384" s="102"/>
      <c r="N384" s="105"/>
    </row>
    <row r="385" spans="1:16" s="3" customFormat="1" ht="25.2">
      <c r="A385" s="104" t="s">
        <v>221</v>
      </c>
      <c r="B385" s="102"/>
      <c r="C385" s="102"/>
      <c r="D385" s="102"/>
      <c r="E385" s="102"/>
      <c r="F385" s="139"/>
      <c r="G385" s="102"/>
      <c r="H385" s="102"/>
      <c r="I385" s="102"/>
      <c r="J385" s="102"/>
      <c r="K385" s="102"/>
      <c r="L385" s="102"/>
      <c r="M385" s="102"/>
      <c r="N385" s="105"/>
    </row>
    <row r="386" spans="1:16" s="3" customFormat="1" ht="10.35" customHeight="1">
      <c r="A386" s="104"/>
      <c r="B386" s="102"/>
      <c r="C386" s="102"/>
      <c r="D386" s="102"/>
      <c r="E386" s="102"/>
      <c r="F386" s="139"/>
      <c r="G386" s="102"/>
      <c r="H386" s="102"/>
      <c r="I386" s="102"/>
      <c r="J386" s="102"/>
      <c r="K386" s="102"/>
      <c r="L386" s="102"/>
      <c r="M386" s="102"/>
      <c r="N386" s="105"/>
    </row>
    <row r="387" spans="1:16" s="3" customFormat="1" ht="25.2">
      <c r="A387" s="106" t="s">
        <v>222</v>
      </c>
      <c r="B387" s="141"/>
      <c r="C387" s="141"/>
      <c r="D387" s="141"/>
      <c r="E387" s="141"/>
      <c r="F387" s="142" t="s">
        <v>209</v>
      </c>
      <c r="G387" s="272" t="str">
        <f>VLOOKUP($P387,'Summary PL'!$A$14:$M$39,4,FALSE)</f>
        <v>Power Cable / Кабель питания для ОРУ</v>
      </c>
      <c r="H387" s="141"/>
      <c r="I387" s="141"/>
      <c r="J387" s="141"/>
      <c r="K387" s="141"/>
      <c r="L387" s="141"/>
      <c r="M387" s="141"/>
      <c r="N387" s="107"/>
      <c r="P387" s="3">
        <f>P350+1</f>
        <v>11</v>
      </c>
    </row>
    <row r="388" spans="1:16" s="3" customFormat="1" ht="25.2">
      <c r="A388" s="106" t="s">
        <v>223</v>
      </c>
      <c r="B388" s="141"/>
      <c r="C388" s="141"/>
      <c r="D388" s="141"/>
      <c r="E388" s="141"/>
      <c r="F388" s="142"/>
      <c r="G388" s="141"/>
      <c r="H388" s="141"/>
      <c r="I388" s="141"/>
      <c r="J388" s="141"/>
      <c r="K388" s="141"/>
      <c r="L388" s="141"/>
      <c r="M388" s="141"/>
      <c r="N388" s="107"/>
    </row>
    <row r="389" spans="1:16" s="3" customFormat="1" ht="10.35" customHeight="1">
      <c r="A389" s="104"/>
      <c r="B389" s="102"/>
      <c r="C389" s="102"/>
      <c r="D389" s="102"/>
      <c r="E389" s="102"/>
      <c r="F389" s="139"/>
      <c r="G389" s="102"/>
      <c r="H389" s="102"/>
      <c r="I389" s="102"/>
      <c r="J389" s="102"/>
      <c r="K389" s="102"/>
      <c r="L389" s="102"/>
      <c r="M389" s="102"/>
      <c r="N389" s="105"/>
    </row>
    <row r="390" spans="1:16" s="3" customFormat="1" ht="25.2">
      <c r="A390" s="104" t="s">
        <v>224</v>
      </c>
      <c r="B390" s="102"/>
      <c r="C390" s="102"/>
      <c r="D390" s="102"/>
      <c r="E390" s="102"/>
      <c r="F390" s="142" t="s">
        <v>225</v>
      </c>
      <c r="G390" s="272" t="str">
        <f>VLOOKUP($P387,'Summary PL'!$A$14:$M$39,3,FALSE)</f>
        <v>PGU-DE-0481-AIS-PoCable-011</v>
      </c>
      <c r="H390" s="102"/>
      <c r="I390" s="102"/>
      <c r="J390" s="102"/>
      <c r="K390" s="102"/>
      <c r="L390" s="102"/>
      <c r="M390" s="102"/>
      <c r="N390" s="105"/>
    </row>
    <row r="391" spans="1:16" s="4" customFormat="1" ht="25.2">
      <c r="A391" s="104" t="s">
        <v>226</v>
      </c>
      <c r="B391" s="102"/>
      <c r="C391" s="102"/>
      <c r="D391" s="102"/>
      <c r="E391" s="102"/>
      <c r="F391" s="139"/>
      <c r="G391" s="139"/>
      <c r="H391" s="102"/>
      <c r="I391" s="102"/>
      <c r="J391" s="102"/>
      <c r="K391" s="102"/>
      <c r="L391" s="102"/>
      <c r="M391" s="102"/>
      <c r="N391" s="105"/>
    </row>
    <row r="392" spans="1:16" s="3" customFormat="1" ht="10.35" customHeight="1">
      <c r="A392" s="104"/>
      <c r="B392" s="102"/>
      <c r="C392" s="102"/>
      <c r="D392" s="102"/>
      <c r="E392" s="102"/>
      <c r="F392" s="139"/>
      <c r="G392" s="139"/>
      <c r="H392" s="102"/>
      <c r="I392" s="102"/>
      <c r="J392" s="102"/>
      <c r="K392" s="102"/>
      <c r="L392" s="102"/>
      <c r="M392" s="102"/>
      <c r="N392" s="105"/>
    </row>
    <row r="393" spans="1:16" s="3" customFormat="1" ht="25.2">
      <c r="A393" s="104" t="s">
        <v>227</v>
      </c>
      <c r="B393" s="102"/>
      <c r="C393" s="102"/>
      <c r="D393" s="102"/>
      <c r="E393" s="102"/>
      <c r="F393" s="139" t="s">
        <v>220</v>
      </c>
      <c r="G393" s="241">
        <f>VLOOKUP($P387,'Summary PL'!$A$14:$M$39,12,FALSE)</f>
        <v>473</v>
      </c>
      <c r="H393" s="139" t="s">
        <v>228</v>
      </c>
      <c r="I393" s="102"/>
      <c r="J393" s="102"/>
      <c r="K393" s="102"/>
      <c r="L393" s="102"/>
      <c r="M393" s="102"/>
      <c r="N393" s="105"/>
    </row>
    <row r="394" spans="1:16" s="4" customFormat="1" ht="25.2">
      <c r="A394" s="104" t="s">
        <v>229</v>
      </c>
      <c r="B394" s="102"/>
      <c r="C394" s="102"/>
      <c r="D394" s="102"/>
      <c r="E394" s="102"/>
      <c r="F394" s="139"/>
      <c r="G394" s="139"/>
      <c r="H394" s="139"/>
      <c r="I394" s="102"/>
      <c r="J394" s="102"/>
      <c r="K394" s="102"/>
      <c r="L394" s="102"/>
      <c r="M394" s="102"/>
      <c r="N394" s="105"/>
    </row>
    <row r="395" spans="1:16" s="3" customFormat="1" ht="10.35" customHeight="1">
      <c r="A395" s="104"/>
      <c r="B395" s="102"/>
      <c r="C395" s="102"/>
      <c r="D395" s="102"/>
      <c r="E395" s="102"/>
      <c r="F395" s="139"/>
      <c r="G395" s="139"/>
      <c r="H395" s="139"/>
      <c r="I395" s="102"/>
      <c r="J395" s="102"/>
      <c r="K395" s="102"/>
      <c r="L395" s="102"/>
      <c r="M395" s="102"/>
      <c r="N395" s="105"/>
    </row>
    <row r="396" spans="1:16" s="3" customFormat="1" ht="25.2">
      <c r="A396" s="104" t="s">
        <v>230</v>
      </c>
      <c r="B396" s="102"/>
      <c r="C396" s="102"/>
      <c r="D396" s="102"/>
      <c r="E396" s="102"/>
      <c r="F396" s="139" t="s">
        <v>220</v>
      </c>
      <c r="G396" s="241">
        <f>VLOOKUP($P387,'Summary PL'!$A$14:$M$39,13,FALSE)</f>
        <v>641</v>
      </c>
      <c r="H396" s="139" t="s">
        <v>228</v>
      </c>
      <c r="I396" s="102"/>
      <c r="J396" s="102"/>
      <c r="K396" s="102"/>
      <c r="L396" s="102"/>
      <c r="M396" s="102"/>
      <c r="N396" s="105"/>
    </row>
    <row r="397" spans="1:16" s="4" customFormat="1" ht="25.2">
      <c r="A397" s="104" t="s">
        <v>231</v>
      </c>
      <c r="B397" s="102"/>
      <c r="C397" s="102"/>
      <c r="D397" s="102"/>
      <c r="E397" s="102"/>
      <c r="F397" s="139"/>
      <c r="G397" s="139"/>
      <c r="H397" s="102"/>
      <c r="I397" s="102"/>
      <c r="J397" s="102"/>
      <c r="K397" s="102"/>
      <c r="L397" s="102"/>
      <c r="M397" s="102"/>
      <c r="N397" s="105"/>
    </row>
    <row r="398" spans="1:16" s="3" customFormat="1" ht="10.35" customHeight="1">
      <c r="A398" s="104"/>
      <c r="B398" s="102"/>
      <c r="C398" s="102"/>
      <c r="D398" s="102"/>
      <c r="E398" s="102"/>
      <c r="F398" s="139"/>
      <c r="G398" s="139"/>
      <c r="H398" s="102"/>
      <c r="I398" s="102"/>
      <c r="J398" s="102"/>
      <c r="K398" s="102"/>
      <c r="L398" s="102"/>
      <c r="M398" s="102"/>
      <c r="N398" s="105"/>
    </row>
    <row r="399" spans="1:16" s="3" customFormat="1" ht="25.2">
      <c r="A399" s="108" t="s">
        <v>232</v>
      </c>
      <c r="B399" s="102"/>
      <c r="C399" s="102"/>
      <c r="D399" s="102"/>
      <c r="E399" s="102"/>
      <c r="F399" s="139" t="s">
        <v>220</v>
      </c>
      <c r="G399" s="241">
        <f>VLOOKUP($P387,'Summary PL'!$A$14:$M$39,11,FALSE)</f>
        <v>1.21</v>
      </c>
      <c r="H399" s="240" t="s">
        <v>233</v>
      </c>
      <c r="I399" s="240"/>
      <c r="J399" s="240"/>
      <c r="K399" s="240"/>
      <c r="L399" s="102"/>
      <c r="M399" s="102"/>
      <c r="N399" s="105"/>
    </row>
    <row r="400" spans="1:16" s="4" customFormat="1" ht="25.2">
      <c r="A400" s="104" t="s">
        <v>234</v>
      </c>
      <c r="B400" s="102"/>
      <c r="C400" s="102"/>
      <c r="D400" s="102"/>
      <c r="E400" s="102"/>
      <c r="F400" s="139"/>
      <c r="G400" s="139"/>
      <c r="H400" s="102"/>
      <c r="I400" s="102"/>
      <c r="J400" s="102"/>
      <c r="K400" s="102"/>
      <c r="L400" s="102"/>
      <c r="M400" s="102"/>
      <c r="N400" s="105"/>
    </row>
    <row r="401" spans="1:14" s="3" customFormat="1" ht="10.35" customHeight="1">
      <c r="A401" s="104"/>
      <c r="B401" s="102"/>
      <c r="C401" s="102"/>
      <c r="D401" s="102"/>
      <c r="E401" s="102"/>
      <c r="F401" s="139"/>
      <c r="G401" s="139"/>
      <c r="H401" s="102"/>
      <c r="I401" s="102"/>
      <c r="J401" s="102"/>
      <c r="K401" s="102"/>
      <c r="L401" s="102"/>
      <c r="M401" s="102"/>
      <c r="N401" s="105"/>
    </row>
    <row r="402" spans="1:14" s="3" customFormat="1" ht="25.2" customHeight="1">
      <c r="A402" s="104" t="s">
        <v>235</v>
      </c>
      <c r="B402" s="102"/>
      <c r="C402" s="102"/>
      <c r="D402" s="102"/>
      <c r="E402" s="102"/>
      <c r="F402" s="139" t="s">
        <v>236</v>
      </c>
      <c r="G402" s="508" t="s">
        <v>237</v>
      </c>
      <c r="H402" s="508"/>
      <c r="I402" s="508"/>
      <c r="J402" s="508"/>
      <c r="K402" s="508"/>
      <c r="L402" s="508"/>
      <c r="M402" s="508"/>
      <c r="N402" s="509"/>
    </row>
    <row r="403" spans="1:14" s="4" customFormat="1" ht="25.2">
      <c r="A403" s="104" t="s">
        <v>238</v>
      </c>
      <c r="B403" s="102"/>
      <c r="C403" s="102"/>
      <c r="D403" s="102"/>
      <c r="E403" s="102"/>
      <c r="F403" s="139"/>
      <c r="G403" s="508"/>
      <c r="H403" s="508"/>
      <c r="I403" s="508"/>
      <c r="J403" s="508"/>
      <c r="K403" s="508"/>
      <c r="L403" s="508"/>
      <c r="M403" s="508"/>
      <c r="N403" s="509"/>
    </row>
    <row r="404" spans="1:14" s="4" customFormat="1" ht="25.2">
      <c r="A404" s="104"/>
      <c r="B404" s="102"/>
      <c r="C404" s="102"/>
      <c r="D404" s="102"/>
      <c r="E404" s="102"/>
      <c r="F404" s="139"/>
      <c r="G404" s="140"/>
      <c r="H404" s="102"/>
      <c r="I404" s="102"/>
      <c r="J404" s="102"/>
      <c r="K404" s="102"/>
      <c r="L404" s="102"/>
      <c r="M404" s="102"/>
      <c r="N404" s="105"/>
    </row>
    <row r="405" spans="1:14" s="4" customFormat="1" ht="25.8" thickBot="1">
      <c r="A405" s="104"/>
      <c r="B405" s="102"/>
      <c r="C405" s="102"/>
      <c r="D405" s="102"/>
      <c r="E405" s="139"/>
      <c r="F405" s="239"/>
      <c r="G405" s="139"/>
      <c r="H405" s="102"/>
      <c r="I405" s="102"/>
      <c r="J405" s="102"/>
      <c r="K405" s="102"/>
      <c r="L405" s="102"/>
      <c r="M405" s="102"/>
      <c r="N405" s="105"/>
    </row>
    <row r="406" spans="1:14" ht="21" customHeight="1">
      <c r="A406" s="98"/>
      <c r="B406" s="99"/>
      <c r="C406" s="99"/>
      <c r="D406" s="99"/>
      <c r="E406" s="510" t="s">
        <v>239</v>
      </c>
      <c r="F406" s="511"/>
      <c r="G406" s="511"/>
      <c r="H406" s="511"/>
      <c r="I406" s="511"/>
      <c r="J406" s="511"/>
      <c r="K406" s="511"/>
      <c r="L406" s="100"/>
      <c r="M406" s="100"/>
      <c r="N406" s="101"/>
    </row>
    <row r="407" spans="1:14" ht="25.5" customHeight="1" thickBot="1">
      <c r="A407" s="109"/>
      <c r="B407" s="110"/>
      <c r="C407" s="110"/>
      <c r="D407" s="110"/>
      <c r="E407" s="512"/>
      <c r="F407" s="512"/>
      <c r="G407" s="512"/>
      <c r="H407" s="512"/>
      <c r="I407" s="512"/>
      <c r="J407" s="512"/>
      <c r="K407" s="512"/>
      <c r="L407" s="111"/>
      <c r="M407" s="111"/>
      <c r="N407" s="112"/>
    </row>
    <row r="408" spans="1:14">
      <c r="A408" s="98"/>
      <c r="B408" s="99"/>
      <c r="C408" s="99"/>
      <c r="D408" s="99"/>
      <c r="E408" s="99"/>
      <c r="F408" s="100"/>
      <c r="G408" s="100"/>
      <c r="H408" s="100"/>
      <c r="I408" s="100"/>
      <c r="J408" s="100"/>
      <c r="K408" s="100"/>
      <c r="L408" s="100"/>
      <c r="M408" s="100"/>
      <c r="N408" s="101"/>
    </row>
    <row r="409" spans="1:14">
      <c r="A409" s="243"/>
      <c r="N409" s="242"/>
    </row>
    <row r="410" spans="1:14" ht="76.5" customHeight="1">
      <c r="A410" s="513" t="s">
        <v>207</v>
      </c>
      <c r="B410" s="514"/>
      <c r="C410" s="514"/>
      <c r="D410" s="514"/>
      <c r="E410" s="514"/>
      <c r="F410" s="514"/>
      <c r="G410" s="514"/>
      <c r="H410" s="514"/>
      <c r="I410" s="514"/>
      <c r="J410" s="514"/>
      <c r="K410" s="514"/>
      <c r="L410" s="514"/>
      <c r="M410" s="514"/>
      <c r="N410" s="515"/>
    </row>
    <row r="411" spans="1:14" s="3" customFormat="1" ht="37.950000000000003" customHeight="1">
      <c r="A411" s="115" t="s">
        <v>208</v>
      </c>
      <c r="B411" s="138"/>
      <c r="C411" s="138"/>
      <c r="D411" s="102"/>
      <c r="E411" s="102"/>
      <c r="F411" s="139" t="s">
        <v>209</v>
      </c>
      <c r="G411" s="508" t="s">
        <v>210</v>
      </c>
      <c r="H411" s="508"/>
      <c r="I411" s="508"/>
      <c r="J411" s="508"/>
      <c r="K411" s="508"/>
      <c r="L411" s="508"/>
      <c r="M411" s="508"/>
      <c r="N411" s="509"/>
    </row>
    <row r="412" spans="1:14" s="4" customFormat="1" ht="25.2">
      <c r="A412" s="104" t="s">
        <v>211</v>
      </c>
      <c r="B412" s="102"/>
      <c r="C412" s="102"/>
      <c r="D412" s="102"/>
      <c r="E412" s="102"/>
      <c r="F412" s="139"/>
      <c r="G412" s="508"/>
      <c r="H412" s="508"/>
      <c r="I412" s="508"/>
      <c r="J412" s="508"/>
      <c r="K412" s="508"/>
      <c r="L412" s="508"/>
      <c r="M412" s="508"/>
      <c r="N412" s="509"/>
    </row>
    <row r="413" spans="1:14" s="3" customFormat="1" ht="10.35" customHeight="1">
      <c r="A413" s="104"/>
      <c r="B413" s="102"/>
      <c r="C413" s="102"/>
      <c r="D413" s="102"/>
      <c r="E413" s="102"/>
      <c r="F413" s="139"/>
      <c r="G413" s="102"/>
      <c r="H413" s="102"/>
      <c r="I413" s="102"/>
      <c r="J413" s="102"/>
      <c r="K413" s="102"/>
      <c r="L413" s="102"/>
      <c r="M413" s="102"/>
      <c r="N413" s="105"/>
    </row>
    <row r="414" spans="1:14" s="3" customFormat="1" ht="18.75" customHeight="1">
      <c r="A414" s="104" t="s">
        <v>212</v>
      </c>
      <c r="B414" s="102"/>
      <c r="C414" s="102"/>
      <c r="D414" s="102"/>
      <c r="E414" s="102"/>
      <c r="F414" s="139" t="s">
        <v>213</v>
      </c>
      <c r="G414" s="508" t="str">
        <f>PL!$B$13</f>
        <v>Branch of JSC "Doosan Enerbility" in the Turkestan region</v>
      </c>
      <c r="H414" s="508"/>
      <c r="I414" s="508"/>
      <c r="J414" s="508"/>
      <c r="K414" s="508"/>
      <c r="L414" s="508"/>
      <c r="M414" s="508"/>
      <c r="N414" s="509"/>
    </row>
    <row r="415" spans="1:14" s="3" customFormat="1" ht="18.75" customHeight="1">
      <c r="A415" s="104" t="s">
        <v>214</v>
      </c>
      <c r="B415" s="102"/>
      <c r="C415" s="102"/>
      <c r="D415" s="102"/>
      <c r="E415" s="102"/>
      <c r="F415" s="139"/>
      <c r="G415" s="508" t="str">
        <f>PL!$B$14</f>
        <v>321 Tauke Khan Avenue, Turkestan region, Turkestan, Kazakhstan, 161200</v>
      </c>
      <c r="H415" s="508"/>
      <c r="I415" s="508"/>
      <c r="J415" s="508"/>
      <c r="K415" s="508"/>
      <c r="L415" s="508"/>
      <c r="M415" s="508"/>
      <c r="N415" s="509"/>
    </row>
    <row r="416" spans="1:14" s="3" customFormat="1" ht="18.75" customHeight="1">
      <c r="A416" s="104"/>
      <c r="B416" s="102"/>
      <c r="C416" s="102"/>
      <c r="D416" s="102"/>
      <c r="E416" s="102"/>
      <c r="F416" s="139"/>
      <c r="G416" s="508" t="str">
        <f>PL!$B$15</f>
        <v>BIN: 230741006561</v>
      </c>
      <c r="H416" s="508"/>
      <c r="I416" s="508"/>
      <c r="J416" s="508"/>
      <c r="K416" s="508"/>
      <c r="L416" s="508"/>
      <c r="M416" s="508"/>
      <c r="N416" s="509"/>
    </row>
    <row r="417" spans="1:16" s="3" customFormat="1" ht="18.75" customHeight="1">
      <c r="A417" s="104"/>
      <c r="B417" s="102"/>
      <c r="C417" s="102"/>
      <c r="D417" s="102"/>
      <c r="E417" s="102"/>
      <c r="F417" s="139"/>
      <c r="G417" s="210"/>
      <c r="H417" s="210"/>
      <c r="I417" s="210"/>
      <c r="J417" s="210"/>
      <c r="K417" s="210"/>
      <c r="L417" s="210"/>
      <c r="M417" s="210"/>
      <c r="N417" s="211"/>
    </row>
    <row r="418" spans="1:16" s="3" customFormat="1" ht="25.2">
      <c r="A418" s="104" t="s">
        <v>215</v>
      </c>
      <c r="B418" s="102"/>
      <c r="C418" s="102"/>
      <c r="D418" s="102"/>
      <c r="E418" s="102"/>
      <c r="F418" s="139" t="s">
        <v>216</v>
      </c>
      <c r="G418" s="102"/>
      <c r="H418" s="102"/>
      <c r="I418" s="102"/>
      <c r="J418" s="102"/>
      <c r="K418" s="102"/>
      <c r="L418" s="102"/>
      <c r="M418" s="102"/>
      <c r="N418" s="105"/>
    </row>
    <row r="419" spans="1:16" s="4" customFormat="1" ht="25.2">
      <c r="A419" s="104" t="s">
        <v>217</v>
      </c>
      <c r="B419" s="102"/>
      <c r="C419" s="102"/>
      <c r="D419" s="102"/>
      <c r="E419" s="102"/>
      <c r="F419" s="139" t="s">
        <v>218</v>
      </c>
      <c r="G419" s="102"/>
      <c r="H419" s="102"/>
      <c r="I419" s="102"/>
      <c r="J419" s="102"/>
      <c r="K419" s="102"/>
      <c r="L419" s="102"/>
      <c r="M419" s="102"/>
      <c r="N419" s="105"/>
    </row>
    <row r="420" spans="1:16" s="3" customFormat="1" ht="10.35" customHeight="1">
      <c r="A420" s="104"/>
      <c r="B420" s="102"/>
      <c r="C420" s="102"/>
      <c r="D420" s="102"/>
      <c r="E420" s="102"/>
      <c r="F420" s="139"/>
      <c r="G420" s="102"/>
      <c r="H420" s="102"/>
      <c r="I420" s="102"/>
      <c r="J420" s="102"/>
      <c r="K420" s="102"/>
      <c r="L420" s="102"/>
      <c r="M420" s="102"/>
      <c r="N420" s="105"/>
    </row>
    <row r="421" spans="1:16" s="3" customFormat="1" ht="25.2">
      <c r="A421" s="104" t="s">
        <v>219</v>
      </c>
      <c r="B421" s="102"/>
      <c r="C421" s="102"/>
      <c r="D421" s="102"/>
      <c r="E421" s="102"/>
      <c r="F421" s="139" t="s">
        <v>220</v>
      </c>
      <c r="G421" s="139" t="str">
        <f>PL!$V$8</f>
        <v>PGU-DE-0481</v>
      </c>
      <c r="H421" s="102"/>
      <c r="I421" s="102"/>
      <c r="J421" s="102"/>
      <c r="K421" s="102"/>
      <c r="L421" s="102"/>
      <c r="M421" s="102"/>
      <c r="N421" s="105"/>
    </row>
    <row r="422" spans="1:16" s="3" customFormat="1" ht="25.2">
      <c r="A422" s="104" t="s">
        <v>221</v>
      </c>
      <c r="B422" s="102"/>
      <c r="C422" s="102"/>
      <c r="D422" s="102"/>
      <c r="E422" s="102"/>
      <c r="F422" s="139"/>
      <c r="G422" s="102"/>
      <c r="H422" s="102"/>
      <c r="I422" s="102"/>
      <c r="J422" s="102"/>
      <c r="K422" s="102"/>
      <c r="L422" s="102"/>
      <c r="M422" s="102"/>
      <c r="N422" s="105"/>
    </row>
    <row r="423" spans="1:16" s="3" customFormat="1" ht="10.35" customHeight="1">
      <c r="A423" s="104"/>
      <c r="B423" s="102"/>
      <c r="C423" s="102"/>
      <c r="D423" s="102"/>
      <c r="E423" s="102"/>
      <c r="F423" s="139"/>
      <c r="G423" s="102"/>
      <c r="H423" s="102"/>
      <c r="I423" s="102"/>
      <c r="J423" s="102"/>
      <c r="K423" s="102"/>
      <c r="L423" s="102"/>
      <c r="M423" s="102"/>
      <c r="N423" s="105"/>
    </row>
    <row r="424" spans="1:16" s="3" customFormat="1" ht="25.2">
      <c r="A424" s="106" t="s">
        <v>222</v>
      </c>
      <c r="B424" s="141"/>
      <c r="C424" s="141"/>
      <c r="D424" s="141"/>
      <c r="E424" s="141"/>
      <c r="F424" s="142" t="s">
        <v>209</v>
      </c>
      <c r="G424" s="272" t="str">
        <f>VLOOKUP($P424,'Summary PL'!$A$14:$M$39,4,FALSE)</f>
        <v>Power Cable / Кабель питания для ОРУ</v>
      </c>
      <c r="H424" s="141"/>
      <c r="I424" s="141"/>
      <c r="J424" s="141"/>
      <c r="K424" s="141"/>
      <c r="L424" s="141"/>
      <c r="M424" s="141"/>
      <c r="N424" s="107"/>
      <c r="P424" s="3">
        <f>P387+1</f>
        <v>12</v>
      </c>
    </row>
    <row r="425" spans="1:16" s="3" customFormat="1" ht="25.2">
      <c r="A425" s="106" t="s">
        <v>223</v>
      </c>
      <c r="B425" s="141"/>
      <c r="C425" s="141"/>
      <c r="D425" s="141"/>
      <c r="E425" s="141"/>
      <c r="F425" s="142"/>
      <c r="G425" s="141"/>
      <c r="H425" s="141"/>
      <c r="I425" s="141"/>
      <c r="J425" s="141"/>
      <c r="K425" s="141"/>
      <c r="L425" s="141"/>
      <c r="M425" s="141"/>
      <c r="N425" s="107"/>
    </row>
    <row r="426" spans="1:16" s="3" customFormat="1" ht="10.35" customHeight="1">
      <c r="A426" s="104"/>
      <c r="B426" s="102"/>
      <c r="C426" s="102"/>
      <c r="D426" s="102"/>
      <c r="E426" s="102"/>
      <c r="F426" s="139"/>
      <c r="G426" s="102"/>
      <c r="H426" s="102"/>
      <c r="I426" s="102"/>
      <c r="J426" s="102"/>
      <c r="K426" s="102"/>
      <c r="L426" s="102"/>
      <c r="M426" s="102"/>
      <c r="N426" s="105"/>
    </row>
    <row r="427" spans="1:16" s="3" customFormat="1" ht="25.2">
      <c r="A427" s="104" t="s">
        <v>224</v>
      </c>
      <c r="B427" s="102"/>
      <c r="C427" s="102"/>
      <c r="D427" s="102"/>
      <c r="E427" s="102"/>
      <c r="F427" s="142" t="s">
        <v>225</v>
      </c>
      <c r="G427" s="272" t="str">
        <f>VLOOKUP($P424,'Summary PL'!$A$14:$M$39,3,FALSE)</f>
        <v>PGU-DE-0481-AIS-PoCable-012</v>
      </c>
      <c r="H427" s="102"/>
      <c r="I427" s="102"/>
      <c r="J427" s="102"/>
      <c r="K427" s="102"/>
      <c r="L427" s="102"/>
      <c r="M427" s="102"/>
      <c r="N427" s="105"/>
    </row>
    <row r="428" spans="1:16" s="4" customFormat="1" ht="25.2">
      <c r="A428" s="104" t="s">
        <v>226</v>
      </c>
      <c r="B428" s="102"/>
      <c r="C428" s="102"/>
      <c r="D428" s="102"/>
      <c r="E428" s="102"/>
      <c r="F428" s="139"/>
      <c r="G428" s="139"/>
      <c r="H428" s="102"/>
      <c r="I428" s="102"/>
      <c r="J428" s="102"/>
      <c r="K428" s="102"/>
      <c r="L428" s="102"/>
      <c r="M428" s="102"/>
      <c r="N428" s="105"/>
    </row>
    <row r="429" spans="1:16" s="3" customFormat="1" ht="10.35" customHeight="1">
      <c r="A429" s="104"/>
      <c r="B429" s="102"/>
      <c r="C429" s="102"/>
      <c r="D429" s="102"/>
      <c r="E429" s="102"/>
      <c r="F429" s="139"/>
      <c r="G429" s="139"/>
      <c r="H429" s="102"/>
      <c r="I429" s="102"/>
      <c r="J429" s="102"/>
      <c r="K429" s="102"/>
      <c r="L429" s="102"/>
      <c r="M429" s="102"/>
      <c r="N429" s="105"/>
    </row>
    <row r="430" spans="1:16" s="3" customFormat="1" ht="25.2">
      <c r="A430" s="104" t="s">
        <v>227</v>
      </c>
      <c r="B430" s="102"/>
      <c r="C430" s="102"/>
      <c r="D430" s="102"/>
      <c r="E430" s="102"/>
      <c r="F430" s="139" t="s">
        <v>220</v>
      </c>
      <c r="G430" s="241">
        <f>VLOOKUP($P424,'Summary PL'!$A$14:$M$39,12,FALSE)</f>
        <v>473</v>
      </c>
      <c r="H430" s="139" t="s">
        <v>228</v>
      </c>
      <c r="I430" s="102"/>
      <c r="J430" s="102"/>
      <c r="K430" s="102"/>
      <c r="L430" s="102"/>
      <c r="M430" s="102"/>
      <c r="N430" s="105"/>
    </row>
    <row r="431" spans="1:16" s="4" customFormat="1" ht="25.2">
      <c r="A431" s="104" t="s">
        <v>229</v>
      </c>
      <c r="B431" s="102"/>
      <c r="C431" s="102"/>
      <c r="D431" s="102"/>
      <c r="E431" s="102"/>
      <c r="F431" s="139"/>
      <c r="G431" s="139"/>
      <c r="H431" s="139"/>
      <c r="I431" s="102"/>
      <c r="J431" s="102"/>
      <c r="K431" s="102"/>
      <c r="L431" s="102"/>
      <c r="M431" s="102"/>
      <c r="N431" s="105"/>
    </row>
    <row r="432" spans="1:16" s="3" customFormat="1" ht="10.35" customHeight="1">
      <c r="A432" s="104"/>
      <c r="B432" s="102"/>
      <c r="C432" s="102"/>
      <c r="D432" s="102"/>
      <c r="E432" s="102"/>
      <c r="F432" s="139"/>
      <c r="G432" s="139"/>
      <c r="H432" s="139"/>
      <c r="I432" s="102"/>
      <c r="J432" s="102"/>
      <c r="K432" s="102"/>
      <c r="L432" s="102"/>
      <c r="M432" s="102"/>
      <c r="N432" s="105"/>
    </row>
    <row r="433" spans="1:14" s="3" customFormat="1" ht="25.2">
      <c r="A433" s="104" t="s">
        <v>230</v>
      </c>
      <c r="B433" s="102"/>
      <c r="C433" s="102"/>
      <c r="D433" s="102"/>
      <c r="E433" s="102"/>
      <c r="F433" s="139" t="s">
        <v>220</v>
      </c>
      <c r="G433" s="241">
        <f>VLOOKUP($P424,'Summary PL'!$A$14:$M$39,13,FALSE)</f>
        <v>641</v>
      </c>
      <c r="H433" s="139" t="s">
        <v>228</v>
      </c>
      <c r="I433" s="102"/>
      <c r="J433" s="102"/>
      <c r="K433" s="102"/>
      <c r="L433" s="102"/>
      <c r="M433" s="102"/>
      <c r="N433" s="105"/>
    </row>
    <row r="434" spans="1:14" s="4" customFormat="1" ht="25.2">
      <c r="A434" s="104" t="s">
        <v>231</v>
      </c>
      <c r="B434" s="102"/>
      <c r="C434" s="102"/>
      <c r="D434" s="102"/>
      <c r="E434" s="102"/>
      <c r="F434" s="139"/>
      <c r="G434" s="139"/>
      <c r="H434" s="102"/>
      <c r="I434" s="102"/>
      <c r="J434" s="102"/>
      <c r="K434" s="102"/>
      <c r="L434" s="102"/>
      <c r="M434" s="102"/>
      <c r="N434" s="105"/>
    </row>
    <row r="435" spans="1:14" s="3" customFormat="1" ht="10.35" customHeight="1">
      <c r="A435" s="104"/>
      <c r="B435" s="102"/>
      <c r="C435" s="102"/>
      <c r="D435" s="102"/>
      <c r="E435" s="102"/>
      <c r="F435" s="139"/>
      <c r="G435" s="139"/>
      <c r="H435" s="102"/>
      <c r="I435" s="102"/>
      <c r="J435" s="102"/>
      <c r="K435" s="102"/>
      <c r="L435" s="102"/>
      <c r="M435" s="102"/>
      <c r="N435" s="105"/>
    </row>
    <row r="436" spans="1:14" s="3" customFormat="1" ht="25.2">
      <c r="A436" s="108" t="s">
        <v>232</v>
      </c>
      <c r="B436" s="102"/>
      <c r="C436" s="102"/>
      <c r="D436" s="102"/>
      <c r="E436" s="102"/>
      <c r="F436" s="139" t="s">
        <v>220</v>
      </c>
      <c r="G436" s="241">
        <f>VLOOKUP($P424,'Summary PL'!$A$14:$M$39,11,FALSE)</f>
        <v>1.21</v>
      </c>
      <c r="H436" s="240" t="s">
        <v>233</v>
      </c>
      <c r="I436" s="240"/>
      <c r="J436" s="240"/>
      <c r="K436" s="240"/>
      <c r="L436" s="102"/>
      <c r="M436" s="102"/>
      <c r="N436" s="105"/>
    </row>
    <row r="437" spans="1:14" s="4" customFormat="1" ht="25.2">
      <c r="A437" s="104" t="s">
        <v>234</v>
      </c>
      <c r="B437" s="102"/>
      <c r="C437" s="102"/>
      <c r="D437" s="102"/>
      <c r="E437" s="102"/>
      <c r="F437" s="139"/>
      <c r="G437" s="139"/>
      <c r="H437" s="102"/>
      <c r="I437" s="102"/>
      <c r="J437" s="102"/>
      <c r="K437" s="102"/>
      <c r="L437" s="102"/>
      <c r="M437" s="102"/>
      <c r="N437" s="105"/>
    </row>
    <row r="438" spans="1:14" s="3" customFormat="1" ht="10.35" customHeight="1">
      <c r="A438" s="104"/>
      <c r="B438" s="102"/>
      <c r="C438" s="102"/>
      <c r="D438" s="102"/>
      <c r="E438" s="102"/>
      <c r="F438" s="139"/>
      <c r="G438" s="139"/>
      <c r="H438" s="102"/>
      <c r="I438" s="102"/>
      <c r="J438" s="102"/>
      <c r="K438" s="102"/>
      <c r="L438" s="102"/>
      <c r="M438" s="102"/>
      <c r="N438" s="105"/>
    </row>
    <row r="439" spans="1:14" s="3" customFormat="1" ht="25.2" customHeight="1">
      <c r="A439" s="104" t="s">
        <v>235</v>
      </c>
      <c r="B439" s="102"/>
      <c r="C439" s="102"/>
      <c r="D439" s="102"/>
      <c r="E439" s="102"/>
      <c r="F439" s="139" t="s">
        <v>236</v>
      </c>
      <c r="G439" s="508" t="s">
        <v>237</v>
      </c>
      <c r="H439" s="508"/>
      <c r="I439" s="508"/>
      <c r="J439" s="508"/>
      <c r="K439" s="508"/>
      <c r="L439" s="508"/>
      <c r="M439" s="508"/>
      <c r="N439" s="509"/>
    </row>
    <row r="440" spans="1:14" s="4" customFormat="1" ht="25.2">
      <c r="A440" s="104" t="s">
        <v>238</v>
      </c>
      <c r="B440" s="102"/>
      <c r="C440" s="102"/>
      <c r="D440" s="102"/>
      <c r="E440" s="102"/>
      <c r="F440" s="139"/>
      <c r="G440" s="508"/>
      <c r="H440" s="508"/>
      <c r="I440" s="508"/>
      <c r="J440" s="508"/>
      <c r="K440" s="508"/>
      <c r="L440" s="508"/>
      <c r="M440" s="508"/>
      <c r="N440" s="509"/>
    </row>
    <row r="441" spans="1:14" s="4" customFormat="1" ht="25.2">
      <c r="A441" s="104"/>
      <c r="B441" s="102"/>
      <c r="C441" s="102"/>
      <c r="D441" s="102"/>
      <c r="E441" s="102"/>
      <c r="F441" s="139"/>
      <c r="G441" s="140"/>
      <c r="H441" s="102"/>
      <c r="I441" s="102"/>
      <c r="J441" s="102"/>
      <c r="K441" s="102"/>
      <c r="L441" s="102"/>
      <c r="M441" s="102"/>
      <c r="N441" s="105"/>
    </row>
    <row r="442" spans="1:14" s="4" customFormat="1" ht="25.8" thickBot="1">
      <c r="A442" s="104"/>
      <c r="B442" s="102"/>
      <c r="C442" s="102"/>
      <c r="D442" s="102"/>
      <c r="E442" s="139"/>
      <c r="F442" s="239"/>
      <c r="G442" s="139"/>
      <c r="H442" s="102"/>
      <c r="I442" s="102"/>
      <c r="J442" s="102"/>
      <c r="K442" s="102"/>
      <c r="L442" s="102"/>
      <c r="M442" s="102"/>
      <c r="N442" s="105"/>
    </row>
    <row r="443" spans="1:14" ht="21" customHeight="1">
      <c r="A443" s="98"/>
      <c r="B443" s="99"/>
      <c r="C443" s="99"/>
      <c r="D443" s="99"/>
      <c r="E443" s="510" t="s">
        <v>239</v>
      </c>
      <c r="F443" s="511"/>
      <c r="G443" s="511"/>
      <c r="H443" s="511"/>
      <c r="I443" s="511"/>
      <c r="J443" s="511"/>
      <c r="K443" s="511"/>
      <c r="L443" s="100"/>
      <c r="M443" s="100"/>
      <c r="N443" s="101"/>
    </row>
    <row r="444" spans="1:14" ht="25.5" customHeight="1" thickBot="1">
      <c r="A444" s="109"/>
      <c r="B444" s="110"/>
      <c r="C444" s="110"/>
      <c r="D444" s="110"/>
      <c r="E444" s="512"/>
      <c r="F444" s="512"/>
      <c r="G444" s="512"/>
      <c r="H444" s="512"/>
      <c r="I444" s="512"/>
      <c r="J444" s="512"/>
      <c r="K444" s="512"/>
      <c r="L444" s="111"/>
      <c r="M444" s="111"/>
      <c r="N444" s="112"/>
    </row>
    <row r="445" spans="1:14">
      <c r="A445" s="98"/>
      <c r="B445" s="99"/>
      <c r="C445" s="99"/>
      <c r="D445" s="99"/>
      <c r="E445" s="99"/>
      <c r="F445" s="100"/>
      <c r="G445" s="100"/>
      <c r="H445" s="100"/>
      <c r="I445" s="100"/>
      <c r="J445" s="100"/>
      <c r="K445" s="100"/>
      <c r="L445" s="100"/>
      <c r="M445" s="100"/>
      <c r="N445" s="101"/>
    </row>
    <row r="446" spans="1:14">
      <c r="A446" s="243"/>
      <c r="N446" s="242"/>
    </row>
    <row r="447" spans="1:14" ht="76.5" customHeight="1">
      <c r="A447" s="513" t="s">
        <v>207</v>
      </c>
      <c r="B447" s="514"/>
      <c r="C447" s="514"/>
      <c r="D447" s="514"/>
      <c r="E447" s="514"/>
      <c r="F447" s="514"/>
      <c r="G447" s="514"/>
      <c r="H447" s="514"/>
      <c r="I447" s="514"/>
      <c r="J447" s="514"/>
      <c r="K447" s="514"/>
      <c r="L447" s="514"/>
      <c r="M447" s="514"/>
      <c r="N447" s="515"/>
    </row>
    <row r="448" spans="1:14" s="3" customFormat="1" ht="37.950000000000003" customHeight="1">
      <c r="A448" s="115" t="s">
        <v>208</v>
      </c>
      <c r="B448" s="138"/>
      <c r="C448" s="138"/>
      <c r="D448" s="102"/>
      <c r="E448" s="102"/>
      <c r="F448" s="139" t="s">
        <v>209</v>
      </c>
      <c r="G448" s="508" t="s">
        <v>210</v>
      </c>
      <c r="H448" s="508"/>
      <c r="I448" s="508"/>
      <c r="J448" s="508"/>
      <c r="K448" s="508"/>
      <c r="L448" s="508"/>
      <c r="M448" s="508"/>
      <c r="N448" s="509"/>
    </row>
    <row r="449" spans="1:16" s="4" customFormat="1" ht="25.2">
      <c r="A449" s="104" t="s">
        <v>211</v>
      </c>
      <c r="B449" s="102"/>
      <c r="C449" s="102"/>
      <c r="D449" s="102"/>
      <c r="E449" s="102"/>
      <c r="F449" s="139"/>
      <c r="G449" s="508"/>
      <c r="H449" s="508"/>
      <c r="I449" s="508"/>
      <c r="J449" s="508"/>
      <c r="K449" s="508"/>
      <c r="L449" s="508"/>
      <c r="M449" s="508"/>
      <c r="N449" s="509"/>
    </row>
    <row r="450" spans="1:16" s="3" customFormat="1" ht="10.35" customHeight="1">
      <c r="A450" s="104"/>
      <c r="B450" s="102"/>
      <c r="C450" s="102"/>
      <c r="D450" s="102"/>
      <c r="E450" s="102"/>
      <c r="F450" s="139"/>
      <c r="G450" s="102"/>
      <c r="H450" s="102"/>
      <c r="I450" s="102"/>
      <c r="J450" s="102"/>
      <c r="K450" s="102"/>
      <c r="L450" s="102"/>
      <c r="M450" s="102"/>
      <c r="N450" s="105"/>
    </row>
    <row r="451" spans="1:16" s="3" customFormat="1" ht="18.75" customHeight="1">
      <c r="A451" s="104" t="s">
        <v>212</v>
      </c>
      <c r="B451" s="102"/>
      <c r="C451" s="102"/>
      <c r="D451" s="102"/>
      <c r="E451" s="102"/>
      <c r="F451" s="139" t="s">
        <v>213</v>
      </c>
      <c r="G451" s="508" t="str">
        <f>PL!$B$13</f>
        <v>Branch of JSC "Doosan Enerbility" in the Turkestan region</v>
      </c>
      <c r="H451" s="508"/>
      <c r="I451" s="508"/>
      <c r="J451" s="508"/>
      <c r="K451" s="508"/>
      <c r="L451" s="508"/>
      <c r="M451" s="508"/>
      <c r="N451" s="509"/>
    </row>
    <row r="452" spans="1:16" s="3" customFormat="1" ht="18.75" customHeight="1">
      <c r="A452" s="104" t="s">
        <v>214</v>
      </c>
      <c r="B452" s="102"/>
      <c r="C452" s="102"/>
      <c r="D452" s="102"/>
      <c r="E452" s="102"/>
      <c r="F452" s="139"/>
      <c r="G452" s="508" t="str">
        <f>PL!$B$14</f>
        <v>321 Tauke Khan Avenue, Turkestan region, Turkestan, Kazakhstan, 161200</v>
      </c>
      <c r="H452" s="508"/>
      <c r="I452" s="508"/>
      <c r="J452" s="508"/>
      <c r="K452" s="508"/>
      <c r="L452" s="508"/>
      <c r="M452" s="508"/>
      <c r="N452" s="509"/>
    </row>
    <row r="453" spans="1:16" s="3" customFormat="1" ht="18.75" customHeight="1">
      <c r="A453" s="104"/>
      <c r="B453" s="102"/>
      <c r="C453" s="102"/>
      <c r="D453" s="102"/>
      <c r="E453" s="102"/>
      <c r="F453" s="139"/>
      <c r="G453" s="508" t="str">
        <f>PL!$B$15</f>
        <v>BIN: 230741006561</v>
      </c>
      <c r="H453" s="508"/>
      <c r="I453" s="508"/>
      <c r="J453" s="508"/>
      <c r="K453" s="508"/>
      <c r="L453" s="508"/>
      <c r="M453" s="508"/>
      <c r="N453" s="509"/>
    </row>
    <row r="454" spans="1:16" s="3" customFormat="1" ht="18.75" customHeight="1">
      <c r="A454" s="104"/>
      <c r="B454" s="102"/>
      <c r="C454" s="102"/>
      <c r="D454" s="102"/>
      <c r="E454" s="102"/>
      <c r="F454" s="139"/>
      <c r="G454" s="210"/>
      <c r="H454" s="210"/>
      <c r="I454" s="210"/>
      <c r="J454" s="210"/>
      <c r="K454" s="210"/>
      <c r="L454" s="210"/>
      <c r="M454" s="210"/>
      <c r="N454" s="211"/>
    </row>
    <row r="455" spans="1:16" s="3" customFormat="1" ht="25.2">
      <c r="A455" s="104" t="s">
        <v>215</v>
      </c>
      <c r="B455" s="102"/>
      <c r="C455" s="102"/>
      <c r="D455" s="102"/>
      <c r="E455" s="102"/>
      <c r="F455" s="139" t="s">
        <v>216</v>
      </c>
      <c r="G455" s="102"/>
      <c r="H455" s="102"/>
      <c r="I455" s="102"/>
      <c r="J455" s="102"/>
      <c r="K455" s="102"/>
      <c r="L455" s="102"/>
      <c r="M455" s="102"/>
      <c r="N455" s="105"/>
    </row>
    <row r="456" spans="1:16" s="4" customFormat="1" ht="25.2">
      <c r="A456" s="104" t="s">
        <v>217</v>
      </c>
      <c r="B456" s="102"/>
      <c r="C456" s="102"/>
      <c r="D456" s="102"/>
      <c r="E456" s="102"/>
      <c r="F456" s="139" t="s">
        <v>218</v>
      </c>
      <c r="G456" s="102"/>
      <c r="H456" s="102"/>
      <c r="I456" s="102"/>
      <c r="J456" s="102"/>
      <c r="K456" s="102"/>
      <c r="L456" s="102"/>
      <c r="M456" s="102"/>
      <c r="N456" s="105"/>
    </row>
    <row r="457" spans="1:16" s="3" customFormat="1" ht="10.35" customHeight="1">
      <c r="A457" s="104"/>
      <c r="B457" s="102"/>
      <c r="C457" s="102"/>
      <c r="D457" s="102"/>
      <c r="E457" s="102"/>
      <c r="F457" s="139"/>
      <c r="G457" s="102"/>
      <c r="H457" s="102"/>
      <c r="I457" s="102"/>
      <c r="J457" s="102"/>
      <c r="K457" s="102"/>
      <c r="L457" s="102"/>
      <c r="M457" s="102"/>
      <c r="N457" s="105"/>
    </row>
    <row r="458" spans="1:16" s="3" customFormat="1" ht="25.2">
      <c r="A458" s="104" t="s">
        <v>219</v>
      </c>
      <c r="B458" s="102"/>
      <c r="C458" s="102"/>
      <c r="D458" s="102"/>
      <c r="E458" s="102"/>
      <c r="F458" s="139" t="s">
        <v>220</v>
      </c>
      <c r="G458" s="139" t="str">
        <f>PL!$V$8</f>
        <v>PGU-DE-0481</v>
      </c>
      <c r="H458" s="102"/>
      <c r="I458" s="102"/>
      <c r="J458" s="102"/>
      <c r="K458" s="102"/>
      <c r="L458" s="102"/>
      <c r="M458" s="102"/>
      <c r="N458" s="105"/>
    </row>
    <row r="459" spans="1:16" s="3" customFormat="1" ht="25.2">
      <c r="A459" s="104" t="s">
        <v>221</v>
      </c>
      <c r="B459" s="102"/>
      <c r="C459" s="102"/>
      <c r="D459" s="102"/>
      <c r="E459" s="102"/>
      <c r="F459" s="139"/>
      <c r="G459" s="102"/>
      <c r="H459" s="102"/>
      <c r="I459" s="102"/>
      <c r="J459" s="102"/>
      <c r="K459" s="102"/>
      <c r="L459" s="102"/>
      <c r="M459" s="102"/>
      <c r="N459" s="105"/>
    </row>
    <row r="460" spans="1:16" s="3" customFormat="1" ht="10.35" customHeight="1">
      <c r="A460" s="104"/>
      <c r="B460" s="102"/>
      <c r="C460" s="102"/>
      <c r="D460" s="102"/>
      <c r="E460" s="102"/>
      <c r="F460" s="139"/>
      <c r="G460" s="102"/>
      <c r="H460" s="102"/>
      <c r="I460" s="102"/>
      <c r="J460" s="102"/>
      <c r="K460" s="102"/>
      <c r="L460" s="102"/>
      <c r="M460" s="102"/>
      <c r="N460" s="105"/>
    </row>
    <row r="461" spans="1:16" s="3" customFormat="1" ht="25.2">
      <c r="A461" s="106" t="s">
        <v>222</v>
      </c>
      <c r="B461" s="141"/>
      <c r="C461" s="141"/>
      <c r="D461" s="141"/>
      <c r="E461" s="141"/>
      <c r="F461" s="142" t="s">
        <v>209</v>
      </c>
      <c r="G461" s="272" t="str">
        <f>VLOOKUP($P461,'Summary PL'!$A$14:$M$39,4,FALSE)</f>
        <v>Power Cable / Кабель питания для ОРУ</v>
      </c>
      <c r="H461" s="141"/>
      <c r="I461" s="141"/>
      <c r="J461" s="141"/>
      <c r="K461" s="141"/>
      <c r="L461" s="141"/>
      <c r="M461" s="141"/>
      <c r="N461" s="107"/>
      <c r="P461" s="3">
        <f>P424+1</f>
        <v>13</v>
      </c>
    </row>
    <row r="462" spans="1:16" s="3" customFormat="1" ht="25.2">
      <c r="A462" s="106" t="s">
        <v>223</v>
      </c>
      <c r="B462" s="141"/>
      <c r="C462" s="141"/>
      <c r="D462" s="141"/>
      <c r="E462" s="141"/>
      <c r="F462" s="142"/>
      <c r="G462" s="141"/>
      <c r="H462" s="141"/>
      <c r="I462" s="141"/>
      <c r="J462" s="141"/>
      <c r="K462" s="141"/>
      <c r="L462" s="141"/>
      <c r="M462" s="141"/>
      <c r="N462" s="107"/>
    </row>
    <row r="463" spans="1:16" s="3" customFormat="1" ht="10.35" customHeight="1">
      <c r="A463" s="104"/>
      <c r="B463" s="102"/>
      <c r="C463" s="102"/>
      <c r="D463" s="102"/>
      <c r="E463" s="102"/>
      <c r="F463" s="139"/>
      <c r="G463" s="102"/>
      <c r="H463" s="102"/>
      <c r="I463" s="102"/>
      <c r="J463" s="102"/>
      <c r="K463" s="102"/>
      <c r="L463" s="102"/>
      <c r="M463" s="102"/>
      <c r="N463" s="105"/>
    </row>
    <row r="464" spans="1:16" s="3" customFormat="1" ht="25.2">
      <c r="A464" s="104" t="s">
        <v>224</v>
      </c>
      <c r="B464" s="102"/>
      <c r="C464" s="102"/>
      <c r="D464" s="102"/>
      <c r="E464" s="102"/>
      <c r="F464" s="142" t="s">
        <v>225</v>
      </c>
      <c r="G464" s="272" t="str">
        <f>VLOOKUP($P461,'Summary PL'!$A$14:$M$39,3,FALSE)</f>
        <v>PGU-DE-0481-AIS-PoCable-013</v>
      </c>
      <c r="H464" s="102"/>
      <c r="I464" s="102"/>
      <c r="J464" s="102"/>
      <c r="K464" s="102"/>
      <c r="L464" s="102"/>
      <c r="M464" s="102"/>
      <c r="N464" s="105"/>
    </row>
    <row r="465" spans="1:14" s="4" customFormat="1" ht="25.2">
      <c r="A465" s="104" t="s">
        <v>226</v>
      </c>
      <c r="B465" s="102"/>
      <c r="C465" s="102"/>
      <c r="D465" s="102"/>
      <c r="E465" s="102"/>
      <c r="F465" s="139"/>
      <c r="G465" s="139"/>
      <c r="H465" s="102"/>
      <c r="I465" s="102"/>
      <c r="J465" s="102"/>
      <c r="K465" s="102"/>
      <c r="L465" s="102"/>
      <c r="M465" s="102"/>
      <c r="N465" s="105"/>
    </row>
    <row r="466" spans="1:14" s="3" customFormat="1" ht="10.35" customHeight="1">
      <c r="A466" s="104"/>
      <c r="B466" s="102"/>
      <c r="C466" s="102"/>
      <c r="D466" s="102"/>
      <c r="E466" s="102"/>
      <c r="F466" s="139"/>
      <c r="G466" s="139"/>
      <c r="H466" s="102"/>
      <c r="I466" s="102"/>
      <c r="J466" s="102"/>
      <c r="K466" s="102"/>
      <c r="L466" s="102"/>
      <c r="M466" s="102"/>
      <c r="N466" s="105"/>
    </row>
    <row r="467" spans="1:14" s="3" customFormat="1" ht="25.2">
      <c r="A467" s="104" t="s">
        <v>227</v>
      </c>
      <c r="B467" s="102"/>
      <c r="C467" s="102"/>
      <c r="D467" s="102"/>
      <c r="E467" s="102"/>
      <c r="F467" s="139" t="s">
        <v>220</v>
      </c>
      <c r="G467" s="241">
        <f>VLOOKUP($P461,'Summary PL'!$A$14:$M$39,12,FALSE)</f>
        <v>473</v>
      </c>
      <c r="H467" s="139" t="s">
        <v>228</v>
      </c>
      <c r="I467" s="102"/>
      <c r="J467" s="102"/>
      <c r="K467" s="102"/>
      <c r="L467" s="102"/>
      <c r="M467" s="102"/>
      <c r="N467" s="105"/>
    </row>
    <row r="468" spans="1:14" s="4" customFormat="1" ht="25.2">
      <c r="A468" s="104" t="s">
        <v>229</v>
      </c>
      <c r="B468" s="102"/>
      <c r="C468" s="102"/>
      <c r="D468" s="102"/>
      <c r="E468" s="102"/>
      <c r="F468" s="139"/>
      <c r="G468" s="139"/>
      <c r="H468" s="139"/>
      <c r="I468" s="102"/>
      <c r="J468" s="102"/>
      <c r="K468" s="102"/>
      <c r="L468" s="102"/>
      <c r="M468" s="102"/>
      <c r="N468" s="105"/>
    </row>
    <row r="469" spans="1:14" s="3" customFormat="1" ht="10.35" customHeight="1">
      <c r="A469" s="104"/>
      <c r="B469" s="102"/>
      <c r="C469" s="102"/>
      <c r="D469" s="102"/>
      <c r="E469" s="102"/>
      <c r="F469" s="139"/>
      <c r="G469" s="139"/>
      <c r="H469" s="139"/>
      <c r="I469" s="102"/>
      <c r="J469" s="102"/>
      <c r="K469" s="102"/>
      <c r="L469" s="102"/>
      <c r="M469" s="102"/>
      <c r="N469" s="105"/>
    </row>
    <row r="470" spans="1:14" s="3" customFormat="1" ht="25.2">
      <c r="A470" s="104" t="s">
        <v>230</v>
      </c>
      <c r="B470" s="102"/>
      <c r="C470" s="102"/>
      <c r="D470" s="102"/>
      <c r="E470" s="102"/>
      <c r="F470" s="139" t="s">
        <v>220</v>
      </c>
      <c r="G470" s="241">
        <f>VLOOKUP($P461,'Summary PL'!$A$14:$M$39,13,FALSE)</f>
        <v>641</v>
      </c>
      <c r="H470" s="139" t="s">
        <v>228</v>
      </c>
      <c r="I470" s="102"/>
      <c r="J470" s="102"/>
      <c r="K470" s="102"/>
      <c r="L470" s="102"/>
      <c r="M470" s="102"/>
      <c r="N470" s="105"/>
    </row>
    <row r="471" spans="1:14" s="4" customFormat="1" ht="25.2">
      <c r="A471" s="104" t="s">
        <v>231</v>
      </c>
      <c r="B471" s="102"/>
      <c r="C471" s="102"/>
      <c r="D471" s="102"/>
      <c r="E471" s="102"/>
      <c r="F471" s="139"/>
      <c r="G471" s="139"/>
      <c r="H471" s="102"/>
      <c r="I471" s="102"/>
      <c r="J471" s="102"/>
      <c r="K471" s="102"/>
      <c r="L471" s="102"/>
      <c r="M471" s="102"/>
      <c r="N471" s="105"/>
    </row>
    <row r="472" spans="1:14" s="3" customFormat="1" ht="10.35" customHeight="1">
      <c r="A472" s="104"/>
      <c r="B472" s="102"/>
      <c r="C472" s="102"/>
      <c r="D472" s="102"/>
      <c r="E472" s="102"/>
      <c r="F472" s="139"/>
      <c r="G472" s="139"/>
      <c r="H472" s="102"/>
      <c r="I472" s="102"/>
      <c r="J472" s="102"/>
      <c r="K472" s="102"/>
      <c r="L472" s="102"/>
      <c r="M472" s="102"/>
      <c r="N472" s="105"/>
    </row>
    <row r="473" spans="1:14" s="3" customFormat="1" ht="25.2">
      <c r="A473" s="108" t="s">
        <v>232</v>
      </c>
      <c r="B473" s="102"/>
      <c r="C473" s="102"/>
      <c r="D473" s="102"/>
      <c r="E473" s="102"/>
      <c r="F473" s="139" t="s">
        <v>220</v>
      </c>
      <c r="G473" s="241">
        <f>VLOOKUP($P461,'Summary PL'!$A$14:$M$39,11,FALSE)</f>
        <v>1.21</v>
      </c>
      <c r="H473" s="240" t="s">
        <v>233</v>
      </c>
      <c r="I473" s="240"/>
      <c r="J473" s="240"/>
      <c r="K473" s="240"/>
      <c r="L473" s="102"/>
      <c r="M473" s="102"/>
      <c r="N473" s="105"/>
    </row>
    <row r="474" spans="1:14" s="4" customFormat="1" ht="25.2">
      <c r="A474" s="104" t="s">
        <v>234</v>
      </c>
      <c r="B474" s="102"/>
      <c r="C474" s="102"/>
      <c r="D474" s="102"/>
      <c r="E474" s="102"/>
      <c r="F474" s="139"/>
      <c r="G474" s="139"/>
      <c r="H474" s="102"/>
      <c r="I474" s="102"/>
      <c r="J474" s="102"/>
      <c r="K474" s="102"/>
      <c r="L474" s="102"/>
      <c r="M474" s="102"/>
      <c r="N474" s="105"/>
    </row>
    <row r="475" spans="1:14" s="3" customFormat="1" ht="10.35" customHeight="1">
      <c r="A475" s="104"/>
      <c r="B475" s="102"/>
      <c r="C475" s="102"/>
      <c r="D475" s="102"/>
      <c r="E475" s="102"/>
      <c r="F475" s="139"/>
      <c r="G475" s="139"/>
      <c r="H475" s="102"/>
      <c r="I475" s="102"/>
      <c r="J475" s="102"/>
      <c r="K475" s="102"/>
      <c r="L475" s="102"/>
      <c r="M475" s="102"/>
      <c r="N475" s="105"/>
    </row>
    <row r="476" spans="1:14" s="3" customFormat="1" ht="25.2" customHeight="1">
      <c r="A476" s="104" t="s">
        <v>235</v>
      </c>
      <c r="B476" s="102"/>
      <c r="C476" s="102"/>
      <c r="D476" s="102"/>
      <c r="E476" s="102"/>
      <c r="F476" s="139" t="s">
        <v>236</v>
      </c>
      <c r="G476" s="508" t="s">
        <v>237</v>
      </c>
      <c r="H476" s="508"/>
      <c r="I476" s="508"/>
      <c r="J476" s="508"/>
      <c r="K476" s="508"/>
      <c r="L476" s="508"/>
      <c r="M476" s="508"/>
      <c r="N476" s="509"/>
    </row>
    <row r="477" spans="1:14" s="4" customFormat="1" ht="25.2">
      <c r="A477" s="104" t="s">
        <v>238</v>
      </c>
      <c r="B477" s="102"/>
      <c r="C477" s="102"/>
      <c r="D477" s="102"/>
      <c r="E477" s="102"/>
      <c r="F477" s="139"/>
      <c r="G477" s="508"/>
      <c r="H477" s="508"/>
      <c r="I477" s="508"/>
      <c r="J477" s="508"/>
      <c r="K477" s="508"/>
      <c r="L477" s="508"/>
      <c r="M477" s="508"/>
      <c r="N477" s="509"/>
    </row>
    <row r="478" spans="1:14" s="4" customFormat="1" ht="25.2">
      <c r="A478" s="104"/>
      <c r="B478" s="102"/>
      <c r="C478" s="102"/>
      <c r="D478" s="102"/>
      <c r="E478" s="102"/>
      <c r="F478" s="139"/>
      <c r="G478" s="140"/>
      <c r="H478" s="102"/>
      <c r="I478" s="102"/>
      <c r="J478" s="102"/>
      <c r="K478" s="102"/>
      <c r="L478" s="102"/>
      <c r="M478" s="102"/>
      <c r="N478" s="105"/>
    </row>
    <row r="479" spans="1:14" s="4" customFormat="1" ht="25.8" thickBot="1">
      <c r="A479" s="104"/>
      <c r="B479" s="102"/>
      <c r="C479" s="102"/>
      <c r="D479" s="102"/>
      <c r="E479" s="139"/>
      <c r="F479" s="239"/>
      <c r="G479" s="139"/>
      <c r="H479" s="102"/>
      <c r="I479" s="102"/>
      <c r="J479" s="102"/>
      <c r="K479" s="102"/>
      <c r="L479" s="102"/>
      <c r="M479" s="102"/>
      <c r="N479" s="105"/>
    </row>
    <row r="480" spans="1:14" ht="21" customHeight="1">
      <c r="A480" s="98"/>
      <c r="B480" s="99"/>
      <c r="C480" s="99"/>
      <c r="D480" s="99"/>
      <c r="E480" s="510" t="s">
        <v>239</v>
      </c>
      <c r="F480" s="511"/>
      <c r="G480" s="511"/>
      <c r="H480" s="511"/>
      <c r="I480" s="511"/>
      <c r="J480" s="511"/>
      <c r="K480" s="511"/>
      <c r="L480" s="100"/>
      <c r="M480" s="100"/>
      <c r="N480" s="101"/>
    </row>
    <row r="481" spans="1:14" ht="25.5" customHeight="1" thickBot="1">
      <c r="A481" s="109"/>
      <c r="B481" s="110"/>
      <c r="C481" s="110"/>
      <c r="D481" s="110"/>
      <c r="E481" s="512"/>
      <c r="F481" s="512"/>
      <c r="G481" s="512"/>
      <c r="H481" s="512"/>
      <c r="I481" s="512"/>
      <c r="J481" s="512"/>
      <c r="K481" s="512"/>
      <c r="L481" s="111"/>
      <c r="M481" s="111"/>
      <c r="N481" s="112"/>
    </row>
    <row r="482" spans="1:14">
      <c r="A482" s="98"/>
      <c r="B482" s="99"/>
      <c r="C482" s="99"/>
      <c r="D482" s="99"/>
      <c r="E482" s="99"/>
      <c r="F482" s="100"/>
      <c r="G482" s="100"/>
      <c r="H482" s="100"/>
      <c r="I482" s="100"/>
      <c r="J482" s="100"/>
      <c r="K482" s="100"/>
      <c r="L482" s="100"/>
      <c r="M482" s="100"/>
      <c r="N482" s="101"/>
    </row>
    <row r="483" spans="1:14">
      <c r="A483" s="243"/>
      <c r="N483" s="242"/>
    </row>
    <row r="484" spans="1:14" ht="76.5" customHeight="1">
      <c r="A484" s="513" t="s">
        <v>207</v>
      </c>
      <c r="B484" s="514"/>
      <c r="C484" s="514"/>
      <c r="D484" s="514"/>
      <c r="E484" s="514"/>
      <c r="F484" s="514"/>
      <c r="G484" s="514"/>
      <c r="H484" s="514"/>
      <c r="I484" s="514"/>
      <c r="J484" s="514"/>
      <c r="K484" s="514"/>
      <c r="L484" s="514"/>
      <c r="M484" s="514"/>
      <c r="N484" s="515"/>
    </row>
    <row r="485" spans="1:14" s="3" customFormat="1" ht="37.950000000000003" customHeight="1">
      <c r="A485" s="115" t="s">
        <v>208</v>
      </c>
      <c r="B485" s="138"/>
      <c r="C485" s="138"/>
      <c r="D485" s="102"/>
      <c r="E485" s="102"/>
      <c r="F485" s="139" t="s">
        <v>209</v>
      </c>
      <c r="G485" s="508" t="s">
        <v>210</v>
      </c>
      <c r="H485" s="508"/>
      <c r="I485" s="508"/>
      <c r="J485" s="508"/>
      <c r="K485" s="508"/>
      <c r="L485" s="508"/>
      <c r="M485" s="508"/>
      <c r="N485" s="509"/>
    </row>
    <row r="486" spans="1:14" s="4" customFormat="1" ht="25.2">
      <c r="A486" s="104" t="s">
        <v>211</v>
      </c>
      <c r="B486" s="102"/>
      <c r="C486" s="102"/>
      <c r="D486" s="102"/>
      <c r="E486" s="102"/>
      <c r="F486" s="139"/>
      <c r="G486" s="508"/>
      <c r="H486" s="508"/>
      <c r="I486" s="508"/>
      <c r="J486" s="508"/>
      <c r="K486" s="508"/>
      <c r="L486" s="508"/>
      <c r="M486" s="508"/>
      <c r="N486" s="509"/>
    </row>
    <row r="487" spans="1:14" s="3" customFormat="1" ht="10.35" customHeight="1">
      <c r="A487" s="104"/>
      <c r="B487" s="102"/>
      <c r="C487" s="102"/>
      <c r="D487" s="102"/>
      <c r="E487" s="102"/>
      <c r="F487" s="139"/>
      <c r="G487" s="102"/>
      <c r="H487" s="102"/>
      <c r="I487" s="102"/>
      <c r="J487" s="102"/>
      <c r="K487" s="102"/>
      <c r="L487" s="102"/>
      <c r="M487" s="102"/>
      <c r="N487" s="105"/>
    </row>
    <row r="488" spans="1:14" s="3" customFormat="1" ht="18.75" customHeight="1">
      <c r="A488" s="104" t="s">
        <v>212</v>
      </c>
      <c r="B488" s="102"/>
      <c r="C488" s="102"/>
      <c r="D488" s="102"/>
      <c r="E488" s="102"/>
      <c r="F488" s="139" t="s">
        <v>213</v>
      </c>
      <c r="G488" s="508" t="str">
        <f>PL!$B$13</f>
        <v>Branch of JSC "Doosan Enerbility" in the Turkestan region</v>
      </c>
      <c r="H488" s="508"/>
      <c r="I488" s="508"/>
      <c r="J488" s="508"/>
      <c r="K488" s="508"/>
      <c r="L488" s="508"/>
      <c r="M488" s="508"/>
      <c r="N488" s="509"/>
    </row>
    <row r="489" spans="1:14" s="3" customFormat="1" ht="18.75" customHeight="1">
      <c r="A489" s="104" t="s">
        <v>214</v>
      </c>
      <c r="B489" s="102"/>
      <c r="C489" s="102"/>
      <c r="D489" s="102"/>
      <c r="E489" s="102"/>
      <c r="F489" s="139"/>
      <c r="G489" s="508" t="str">
        <f>PL!$B$14</f>
        <v>321 Tauke Khan Avenue, Turkestan region, Turkestan, Kazakhstan, 161200</v>
      </c>
      <c r="H489" s="508"/>
      <c r="I489" s="508"/>
      <c r="J489" s="508"/>
      <c r="K489" s="508"/>
      <c r="L489" s="508"/>
      <c r="M489" s="508"/>
      <c r="N489" s="509"/>
    </row>
    <row r="490" spans="1:14" s="3" customFormat="1" ht="18.75" customHeight="1">
      <c r="A490" s="104"/>
      <c r="B490" s="102"/>
      <c r="C490" s="102"/>
      <c r="D490" s="102"/>
      <c r="E490" s="102"/>
      <c r="F490" s="139"/>
      <c r="G490" s="508" t="str">
        <f>PL!$B$15</f>
        <v>BIN: 230741006561</v>
      </c>
      <c r="H490" s="508"/>
      <c r="I490" s="508"/>
      <c r="J490" s="508"/>
      <c r="K490" s="508"/>
      <c r="L490" s="508"/>
      <c r="M490" s="508"/>
      <c r="N490" s="509"/>
    </row>
    <row r="491" spans="1:14" s="3" customFormat="1" ht="18.75" customHeight="1">
      <c r="A491" s="104"/>
      <c r="B491" s="102"/>
      <c r="C491" s="102"/>
      <c r="D491" s="102"/>
      <c r="E491" s="102"/>
      <c r="F491" s="139"/>
      <c r="G491" s="210"/>
      <c r="H491" s="210"/>
      <c r="I491" s="210"/>
      <c r="J491" s="210"/>
      <c r="K491" s="210"/>
      <c r="L491" s="210"/>
      <c r="M491" s="210"/>
      <c r="N491" s="211"/>
    </row>
    <row r="492" spans="1:14" s="3" customFormat="1" ht="25.2">
      <c r="A492" s="104" t="s">
        <v>215</v>
      </c>
      <c r="B492" s="102"/>
      <c r="C492" s="102"/>
      <c r="D492" s="102"/>
      <c r="E492" s="102"/>
      <c r="F492" s="139" t="s">
        <v>216</v>
      </c>
      <c r="G492" s="102"/>
      <c r="H492" s="102"/>
      <c r="I492" s="102"/>
      <c r="J492" s="102"/>
      <c r="K492" s="102"/>
      <c r="L492" s="102"/>
      <c r="M492" s="102"/>
      <c r="N492" s="105"/>
    </row>
    <row r="493" spans="1:14" s="4" customFormat="1" ht="25.2">
      <c r="A493" s="104" t="s">
        <v>217</v>
      </c>
      <c r="B493" s="102"/>
      <c r="C493" s="102"/>
      <c r="D493" s="102"/>
      <c r="E493" s="102"/>
      <c r="F493" s="139" t="s">
        <v>218</v>
      </c>
      <c r="G493" s="102"/>
      <c r="H493" s="102"/>
      <c r="I493" s="102"/>
      <c r="J493" s="102"/>
      <c r="K493" s="102"/>
      <c r="L493" s="102"/>
      <c r="M493" s="102"/>
      <c r="N493" s="105"/>
    </row>
    <row r="494" spans="1:14" s="3" customFormat="1" ht="10.35" customHeight="1">
      <c r="A494" s="104"/>
      <c r="B494" s="102"/>
      <c r="C494" s="102"/>
      <c r="D494" s="102"/>
      <c r="E494" s="102"/>
      <c r="F494" s="139"/>
      <c r="G494" s="102"/>
      <c r="H494" s="102"/>
      <c r="I494" s="102"/>
      <c r="J494" s="102"/>
      <c r="K494" s="102"/>
      <c r="L494" s="102"/>
      <c r="M494" s="102"/>
      <c r="N494" s="105"/>
    </row>
    <row r="495" spans="1:14" s="3" customFormat="1" ht="25.2">
      <c r="A495" s="104" t="s">
        <v>219</v>
      </c>
      <c r="B495" s="102"/>
      <c r="C495" s="102"/>
      <c r="D495" s="102"/>
      <c r="E495" s="102"/>
      <c r="F495" s="139" t="s">
        <v>220</v>
      </c>
      <c r="G495" s="139" t="str">
        <f>PL!$V$8</f>
        <v>PGU-DE-0481</v>
      </c>
      <c r="H495" s="102"/>
      <c r="I495" s="102"/>
      <c r="J495" s="102"/>
      <c r="K495" s="102"/>
      <c r="L495" s="102"/>
      <c r="M495" s="102"/>
      <c r="N495" s="105"/>
    </row>
    <row r="496" spans="1:14" s="3" customFormat="1" ht="25.2">
      <c r="A496" s="104" t="s">
        <v>221</v>
      </c>
      <c r="B496" s="102"/>
      <c r="C496" s="102"/>
      <c r="D496" s="102"/>
      <c r="E496" s="102"/>
      <c r="F496" s="139"/>
      <c r="G496" s="102"/>
      <c r="H496" s="102"/>
      <c r="I496" s="102"/>
      <c r="J496" s="102"/>
      <c r="K496" s="102"/>
      <c r="L496" s="102"/>
      <c r="M496" s="102"/>
      <c r="N496" s="105"/>
    </row>
    <row r="497" spans="1:16" s="3" customFormat="1" ht="10.35" customHeight="1">
      <c r="A497" s="104"/>
      <c r="B497" s="102"/>
      <c r="C497" s="102"/>
      <c r="D497" s="102"/>
      <c r="E497" s="102"/>
      <c r="F497" s="139"/>
      <c r="G497" s="102"/>
      <c r="H497" s="102"/>
      <c r="I497" s="102"/>
      <c r="J497" s="102"/>
      <c r="K497" s="102"/>
      <c r="L497" s="102"/>
      <c r="M497" s="102"/>
      <c r="N497" s="105"/>
    </row>
    <row r="498" spans="1:16" s="3" customFormat="1" ht="25.2">
      <c r="A498" s="106" t="s">
        <v>222</v>
      </c>
      <c r="B498" s="141"/>
      <c r="C498" s="141"/>
      <c r="D498" s="141"/>
      <c r="E498" s="141"/>
      <c r="F498" s="142" t="s">
        <v>209</v>
      </c>
      <c r="G498" s="272" t="str">
        <f>VLOOKUP($P498,'Summary PL'!$A$14:$M$39,4,FALSE)</f>
        <v>Power Cable / Кабель питания для ОРУ</v>
      </c>
      <c r="H498" s="141"/>
      <c r="I498" s="141"/>
      <c r="J498" s="141"/>
      <c r="K498" s="141"/>
      <c r="L498" s="141"/>
      <c r="M498" s="141"/>
      <c r="N498" s="107"/>
      <c r="P498" s="3">
        <f>P461+1</f>
        <v>14</v>
      </c>
    </row>
    <row r="499" spans="1:16" s="3" customFormat="1" ht="25.2">
      <c r="A499" s="106" t="s">
        <v>223</v>
      </c>
      <c r="B499" s="141"/>
      <c r="C499" s="141"/>
      <c r="D499" s="141"/>
      <c r="E499" s="141"/>
      <c r="F499" s="142"/>
      <c r="G499" s="141"/>
      <c r="H499" s="141"/>
      <c r="I499" s="141"/>
      <c r="J499" s="141"/>
      <c r="K499" s="141"/>
      <c r="L499" s="141"/>
      <c r="M499" s="141"/>
      <c r="N499" s="107"/>
    </row>
    <row r="500" spans="1:16" s="3" customFormat="1" ht="10.35" customHeight="1">
      <c r="A500" s="104"/>
      <c r="B500" s="102"/>
      <c r="C500" s="102"/>
      <c r="D500" s="102"/>
      <c r="E500" s="102"/>
      <c r="F500" s="139"/>
      <c r="G500" s="102"/>
      <c r="H500" s="102"/>
      <c r="I500" s="102"/>
      <c r="J500" s="102"/>
      <c r="K500" s="102"/>
      <c r="L500" s="102"/>
      <c r="M500" s="102"/>
      <c r="N500" s="105"/>
    </row>
    <row r="501" spans="1:16" s="3" customFormat="1" ht="25.2">
      <c r="A501" s="104" t="s">
        <v>224</v>
      </c>
      <c r="B501" s="102"/>
      <c r="C501" s="102"/>
      <c r="D501" s="102"/>
      <c r="E501" s="102"/>
      <c r="F501" s="142" t="s">
        <v>225</v>
      </c>
      <c r="G501" s="272" t="str">
        <f>VLOOKUP($P498,'Summary PL'!$A$14:$M$39,3,FALSE)</f>
        <v>PGU-DE-0481-AIS-PoCable-014</v>
      </c>
      <c r="H501" s="102"/>
      <c r="I501" s="102"/>
      <c r="J501" s="102"/>
      <c r="K501" s="102"/>
      <c r="L501" s="102"/>
      <c r="M501" s="102"/>
      <c r="N501" s="105"/>
    </row>
    <row r="502" spans="1:16" s="4" customFormat="1" ht="25.2">
      <c r="A502" s="104" t="s">
        <v>226</v>
      </c>
      <c r="B502" s="102"/>
      <c r="C502" s="102"/>
      <c r="D502" s="102"/>
      <c r="E502" s="102"/>
      <c r="F502" s="139"/>
      <c r="G502" s="139"/>
      <c r="H502" s="102"/>
      <c r="I502" s="102"/>
      <c r="J502" s="102"/>
      <c r="K502" s="102"/>
      <c r="L502" s="102"/>
      <c r="M502" s="102"/>
      <c r="N502" s="105"/>
    </row>
    <row r="503" spans="1:16" s="3" customFormat="1" ht="10.35" customHeight="1">
      <c r="A503" s="104"/>
      <c r="B503" s="102"/>
      <c r="C503" s="102"/>
      <c r="D503" s="102"/>
      <c r="E503" s="102"/>
      <c r="F503" s="139"/>
      <c r="G503" s="139"/>
      <c r="H503" s="102"/>
      <c r="I503" s="102"/>
      <c r="J503" s="102"/>
      <c r="K503" s="102"/>
      <c r="L503" s="102"/>
      <c r="M503" s="102"/>
      <c r="N503" s="105"/>
    </row>
    <row r="504" spans="1:16" s="3" customFormat="1" ht="25.2">
      <c r="A504" s="104" t="s">
        <v>227</v>
      </c>
      <c r="B504" s="102"/>
      <c r="C504" s="102"/>
      <c r="D504" s="102"/>
      <c r="E504" s="102"/>
      <c r="F504" s="139" t="s">
        <v>220</v>
      </c>
      <c r="G504" s="241">
        <f>VLOOKUP($P498,'Summary PL'!$A$14:$M$39,12,FALSE)</f>
        <v>213</v>
      </c>
      <c r="H504" s="139" t="s">
        <v>228</v>
      </c>
      <c r="I504" s="102"/>
      <c r="J504" s="102"/>
      <c r="K504" s="102"/>
      <c r="L504" s="102"/>
      <c r="M504" s="102"/>
      <c r="N504" s="105"/>
    </row>
    <row r="505" spans="1:16" s="4" customFormat="1" ht="25.2">
      <c r="A505" s="104" t="s">
        <v>229</v>
      </c>
      <c r="B505" s="102"/>
      <c r="C505" s="102"/>
      <c r="D505" s="102"/>
      <c r="E505" s="102"/>
      <c r="F505" s="139"/>
      <c r="G505" s="139"/>
      <c r="H505" s="139"/>
      <c r="I505" s="102"/>
      <c r="J505" s="102"/>
      <c r="K505" s="102"/>
      <c r="L505" s="102"/>
      <c r="M505" s="102"/>
      <c r="N505" s="105"/>
    </row>
    <row r="506" spans="1:16" s="3" customFormat="1" ht="10.35" customHeight="1">
      <c r="A506" s="104"/>
      <c r="B506" s="102"/>
      <c r="C506" s="102"/>
      <c r="D506" s="102"/>
      <c r="E506" s="102"/>
      <c r="F506" s="139"/>
      <c r="G506" s="139"/>
      <c r="H506" s="139"/>
      <c r="I506" s="102"/>
      <c r="J506" s="102"/>
      <c r="K506" s="102"/>
      <c r="L506" s="102"/>
      <c r="M506" s="102"/>
      <c r="N506" s="105"/>
    </row>
    <row r="507" spans="1:16" s="3" customFormat="1" ht="25.2">
      <c r="A507" s="104" t="s">
        <v>230</v>
      </c>
      <c r="B507" s="102"/>
      <c r="C507" s="102"/>
      <c r="D507" s="102"/>
      <c r="E507" s="102"/>
      <c r="F507" s="139" t="s">
        <v>220</v>
      </c>
      <c r="G507" s="241">
        <f>VLOOKUP($P498,'Summary PL'!$A$14:$M$39,13,FALSE)</f>
        <v>294</v>
      </c>
      <c r="H507" s="139" t="s">
        <v>228</v>
      </c>
      <c r="I507" s="102"/>
      <c r="J507" s="102"/>
      <c r="K507" s="102"/>
      <c r="L507" s="102"/>
      <c r="M507" s="102"/>
      <c r="N507" s="105"/>
    </row>
    <row r="508" spans="1:16" s="4" customFormat="1" ht="25.2">
      <c r="A508" s="104" t="s">
        <v>231</v>
      </c>
      <c r="B508" s="102"/>
      <c r="C508" s="102"/>
      <c r="D508" s="102"/>
      <c r="E508" s="102"/>
      <c r="F508" s="139"/>
      <c r="G508" s="139"/>
      <c r="H508" s="102"/>
      <c r="I508" s="102"/>
      <c r="J508" s="102"/>
      <c r="K508" s="102"/>
      <c r="L508" s="102"/>
      <c r="M508" s="102"/>
      <c r="N508" s="105"/>
    </row>
    <row r="509" spans="1:16" s="3" customFormat="1" ht="10.35" customHeight="1">
      <c r="A509" s="104"/>
      <c r="B509" s="102"/>
      <c r="C509" s="102"/>
      <c r="D509" s="102"/>
      <c r="E509" s="102"/>
      <c r="F509" s="139"/>
      <c r="G509" s="139"/>
      <c r="H509" s="102"/>
      <c r="I509" s="102"/>
      <c r="J509" s="102"/>
      <c r="K509" s="102"/>
      <c r="L509" s="102"/>
      <c r="M509" s="102"/>
      <c r="N509" s="105"/>
    </row>
    <row r="510" spans="1:16" s="3" customFormat="1" ht="25.2">
      <c r="A510" s="108" t="s">
        <v>232</v>
      </c>
      <c r="B510" s="102"/>
      <c r="C510" s="102"/>
      <c r="D510" s="102"/>
      <c r="E510" s="102"/>
      <c r="F510" s="139" t="s">
        <v>220</v>
      </c>
      <c r="G510" s="241">
        <f>VLOOKUP($P498,'Summary PL'!$A$14:$M$39,11,FALSE)</f>
        <v>0.53</v>
      </c>
      <c r="H510" s="240" t="s">
        <v>233</v>
      </c>
      <c r="I510" s="240"/>
      <c r="J510" s="240"/>
      <c r="K510" s="240"/>
      <c r="L510" s="102"/>
      <c r="M510" s="102"/>
      <c r="N510" s="105"/>
    </row>
    <row r="511" spans="1:16" s="4" customFormat="1" ht="25.2">
      <c r="A511" s="104" t="s">
        <v>234</v>
      </c>
      <c r="B511" s="102"/>
      <c r="C511" s="102"/>
      <c r="D511" s="102"/>
      <c r="E511" s="102"/>
      <c r="F511" s="139"/>
      <c r="G511" s="139"/>
      <c r="H511" s="102"/>
      <c r="I511" s="102"/>
      <c r="J511" s="102"/>
      <c r="K511" s="102"/>
      <c r="L511" s="102"/>
      <c r="M511" s="102"/>
      <c r="N511" s="105"/>
    </row>
    <row r="512" spans="1:16" s="3" customFormat="1" ht="10.35" customHeight="1">
      <c r="A512" s="104"/>
      <c r="B512" s="102"/>
      <c r="C512" s="102"/>
      <c r="D512" s="102"/>
      <c r="E512" s="102"/>
      <c r="F512" s="139"/>
      <c r="G512" s="139"/>
      <c r="H512" s="102"/>
      <c r="I512" s="102"/>
      <c r="J512" s="102"/>
      <c r="K512" s="102"/>
      <c r="L512" s="102"/>
      <c r="M512" s="102"/>
      <c r="N512" s="105"/>
    </row>
    <row r="513" spans="1:14" s="3" customFormat="1" ht="25.2" customHeight="1">
      <c r="A513" s="104" t="s">
        <v>235</v>
      </c>
      <c r="B513" s="102"/>
      <c r="C513" s="102"/>
      <c r="D513" s="102"/>
      <c r="E513" s="102"/>
      <c r="F513" s="139" t="s">
        <v>236</v>
      </c>
      <c r="G513" s="508" t="s">
        <v>237</v>
      </c>
      <c r="H513" s="508"/>
      <c r="I513" s="508"/>
      <c r="J513" s="508"/>
      <c r="K513" s="508"/>
      <c r="L513" s="508"/>
      <c r="M513" s="508"/>
      <c r="N513" s="509"/>
    </row>
    <row r="514" spans="1:14" s="4" customFormat="1" ht="25.2">
      <c r="A514" s="104" t="s">
        <v>238</v>
      </c>
      <c r="B514" s="102"/>
      <c r="C514" s="102"/>
      <c r="D514" s="102"/>
      <c r="E514" s="102"/>
      <c r="F514" s="139"/>
      <c r="G514" s="508"/>
      <c r="H514" s="508"/>
      <c r="I514" s="508"/>
      <c r="J514" s="508"/>
      <c r="K514" s="508"/>
      <c r="L514" s="508"/>
      <c r="M514" s="508"/>
      <c r="N514" s="509"/>
    </row>
    <row r="515" spans="1:14" s="4" customFormat="1" ht="25.2">
      <c r="A515" s="104"/>
      <c r="B515" s="102"/>
      <c r="C515" s="102"/>
      <c r="D515" s="102"/>
      <c r="E515" s="102"/>
      <c r="F515" s="139"/>
      <c r="G515" s="140"/>
      <c r="H515" s="102"/>
      <c r="I515" s="102"/>
      <c r="J515" s="102"/>
      <c r="K515" s="102"/>
      <c r="L515" s="102"/>
      <c r="M515" s="102"/>
      <c r="N515" s="105"/>
    </row>
    <row r="516" spans="1:14" s="4" customFormat="1" ht="25.8" thickBot="1">
      <c r="A516" s="104"/>
      <c r="B516" s="102"/>
      <c r="C516" s="102"/>
      <c r="D516" s="102"/>
      <c r="E516" s="139"/>
      <c r="F516" s="239"/>
      <c r="G516" s="139"/>
      <c r="H516" s="102"/>
      <c r="I516" s="102"/>
      <c r="J516" s="102"/>
      <c r="K516" s="102"/>
      <c r="L516" s="102"/>
      <c r="M516" s="102"/>
      <c r="N516" s="105"/>
    </row>
    <row r="517" spans="1:14" ht="21" customHeight="1">
      <c r="A517" s="98"/>
      <c r="B517" s="99"/>
      <c r="C517" s="99"/>
      <c r="D517" s="99"/>
      <c r="E517" s="510" t="s">
        <v>239</v>
      </c>
      <c r="F517" s="511"/>
      <c r="G517" s="511"/>
      <c r="H517" s="511"/>
      <c r="I517" s="511"/>
      <c r="J517" s="511"/>
      <c r="K517" s="511"/>
      <c r="L517" s="100"/>
      <c r="M517" s="100"/>
      <c r="N517" s="101"/>
    </row>
    <row r="518" spans="1:14" ht="25.5" customHeight="1" thickBot="1">
      <c r="A518" s="109"/>
      <c r="B518" s="110"/>
      <c r="C518" s="110"/>
      <c r="D518" s="110"/>
      <c r="E518" s="512"/>
      <c r="F518" s="512"/>
      <c r="G518" s="512"/>
      <c r="H518" s="512"/>
      <c r="I518" s="512"/>
      <c r="J518" s="512"/>
      <c r="K518" s="512"/>
      <c r="L518" s="111"/>
      <c r="M518" s="111"/>
      <c r="N518" s="112"/>
    </row>
    <row r="519" spans="1:14">
      <c r="A519" s="98"/>
      <c r="B519" s="99"/>
      <c r="C519" s="99"/>
      <c r="D519" s="99"/>
      <c r="E519" s="99"/>
      <c r="F519" s="100"/>
      <c r="G519" s="100"/>
      <c r="H519" s="100"/>
      <c r="I519" s="100"/>
      <c r="J519" s="100"/>
      <c r="K519" s="100"/>
      <c r="L519" s="100"/>
      <c r="M519" s="100"/>
      <c r="N519" s="101"/>
    </row>
    <row r="520" spans="1:14">
      <c r="A520" s="243"/>
      <c r="N520" s="242"/>
    </row>
    <row r="521" spans="1:14" ht="76.5" customHeight="1">
      <c r="A521" s="513" t="s">
        <v>207</v>
      </c>
      <c r="B521" s="514"/>
      <c r="C521" s="514"/>
      <c r="D521" s="514"/>
      <c r="E521" s="514"/>
      <c r="F521" s="514"/>
      <c r="G521" s="514"/>
      <c r="H521" s="514"/>
      <c r="I521" s="514"/>
      <c r="J521" s="514"/>
      <c r="K521" s="514"/>
      <c r="L521" s="514"/>
      <c r="M521" s="514"/>
      <c r="N521" s="515"/>
    </row>
    <row r="522" spans="1:14" s="3" customFormat="1" ht="37.950000000000003" customHeight="1">
      <c r="A522" s="115" t="s">
        <v>208</v>
      </c>
      <c r="B522" s="138"/>
      <c r="C522" s="138"/>
      <c r="D522" s="102"/>
      <c r="E522" s="102"/>
      <c r="F522" s="139" t="s">
        <v>209</v>
      </c>
      <c r="G522" s="508" t="s">
        <v>210</v>
      </c>
      <c r="H522" s="508"/>
      <c r="I522" s="508"/>
      <c r="J522" s="508"/>
      <c r="K522" s="508"/>
      <c r="L522" s="508"/>
      <c r="M522" s="508"/>
      <c r="N522" s="509"/>
    </row>
    <row r="523" spans="1:14" s="4" customFormat="1" ht="25.2">
      <c r="A523" s="104" t="s">
        <v>211</v>
      </c>
      <c r="B523" s="102"/>
      <c r="C523" s="102"/>
      <c r="D523" s="102"/>
      <c r="E523" s="102"/>
      <c r="F523" s="139"/>
      <c r="G523" s="508"/>
      <c r="H523" s="508"/>
      <c r="I523" s="508"/>
      <c r="J523" s="508"/>
      <c r="K523" s="508"/>
      <c r="L523" s="508"/>
      <c r="M523" s="508"/>
      <c r="N523" s="509"/>
    </row>
    <row r="524" spans="1:14" s="3" customFormat="1" ht="10.35" customHeight="1">
      <c r="A524" s="104"/>
      <c r="B524" s="102"/>
      <c r="C524" s="102"/>
      <c r="D524" s="102"/>
      <c r="E524" s="102"/>
      <c r="F524" s="139"/>
      <c r="G524" s="102"/>
      <c r="H524" s="102"/>
      <c r="I524" s="102"/>
      <c r="J524" s="102"/>
      <c r="K524" s="102"/>
      <c r="L524" s="102"/>
      <c r="M524" s="102"/>
      <c r="N524" s="105"/>
    </row>
    <row r="525" spans="1:14" s="3" customFormat="1" ht="18.75" customHeight="1">
      <c r="A525" s="104" t="s">
        <v>212</v>
      </c>
      <c r="B525" s="102"/>
      <c r="C525" s="102"/>
      <c r="D525" s="102"/>
      <c r="E525" s="102"/>
      <c r="F525" s="139" t="s">
        <v>213</v>
      </c>
      <c r="G525" s="508" t="str">
        <f>PL!$B$13</f>
        <v>Branch of JSC "Doosan Enerbility" in the Turkestan region</v>
      </c>
      <c r="H525" s="508"/>
      <c r="I525" s="508"/>
      <c r="J525" s="508"/>
      <c r="K525" s="508"/>
      <c r="L525" s="508"/>
      <c r="M525" s="508"/>
      <c r="N525" s="509"/>
    </row>
    <row r="526" spans="1:14" s="3" customFormat="1" ht="18.75" customHeight="1">
      <c r="A526" s="104" t="s">
        <v>214</v>
      </c>
      <c r="B526" s="102"/>
      <c r="C526" s="102"/>
      <c r="D526" s="102"/>
      <c r="E526" s="102"/>
      <c r="F526" s="139"/>
      <c r="G526" s="508" t="str">
        <f>PL!$B$14</f>
        <v>321 Tauke Khan Avenue, Turkestan region, Turkestan, Kazakhstan, 161200</v>
      </c>
      <c r="H526" s="508"/>
      <c r="I526" s="508"/>
      <c r="J526" s="508"/>
      <c r="K526" s="508"/>
      <c r="L526" s="508"/>
      <c r="M526" s="508"/>
      <c r="N526" s="509"/>
    </row>
    <row r="527" spans="1:14" s="3" customFormat="1" ht="18.75" customHeight="1">
      <c r="A527" s="104"/>
      <c r="B527" s="102"/>
      <c r="C527" s="102"/>
      <c r="D527" s="102"/>
      <c r="E527" s="102"/>
      <c r="F527" s="139"/>
      <c r="G527" s="508" t="str">
        <f>PL!$B$15</f>
        <v>BIN: 230741006561</v>
      </c>
      <c r="H527" s="508"/>
      <c r="I527" s="508"/>
      <c r="J527" s="508"/>
      <c r="K527" s="508"/>
      <c r="L527" s="508"/>
      <c r="M527" s="508"/>
      <c r="N527" s="509"/>
    </row>
    <row r="528" spans="1:14" s="3" customFormat="1" ht="18.75" customHeight="1">
      <c r="A528" s="104"/>
      <c r="B528" s="102"/>
      <c r="C528" s="102"/>
      <c r="D528" s="102"/>
      <c r="E528" s="102"/>
      <c r="F528" s="139"/>
      <c r="G528" s="210"/>
      <c r="H528" s="210"/>
      <c r="I528" s="210"/>
      <c r="J528" s="210"/>
      <c r="K528" s="210"/>
      <c r="L528" s="210"/>
      <c r="M528" s="210"/>
      <c r="N528" s="211"/>
    </row>
    <row r="529" spans="1:16" s="3" customFormat="1" ht="25.2">
      <c r="A529" s="104" t="s">
        <v>215</v>
      </c>
      <c r="B529" s="102"/>
      <c r="C529" s="102"/>
      <c r="D529" s="102"/>
      <c r="E529" s="102"/>
      <c r="F529" s="139" t="s">
        <v>216</v>
      </c>
      <c r="G529" s="102"/>
      <c r="H529" s="102"/>
      <c r="I529" s="102"/>
      <c r="J529" s="102"/>
      <c r="K529" s="102"/>
      <c r="L529" s="102"/>
      <c r="M529" s="102"/>
      <c r="N529" s="105"/>
    </row>
    <row r="530" spans="1:16" s="4" customFormat="1" ht="25.2">
      <c r="A530" s="104" t="s">
        <v>217</v>
      </c>
      <c r="B530" s="102"/>
      <c r="C530" s="102"/>
      <c r="D530" s="102"/>
      <c r="E530" s="102"/>
      <c r="F530" s="139" t="s">
        <v>218</v>
      </c>
      <c r="G530" s="102"/>
      <c r="H530" s="102"/>
      <c r="I530" s="102"/>
      <c r="J530" s="102"/>
      <c r="K530" s="102"/>
      <c r="L530" s="102"/>
      <c r="M530" s="102"/>
      <c r="N530" s="105"/>
    </row>
    <row r="531" spans="1:16" s="3" customFormat="1" ht="10.35" customHeight="1">
      <c r="A531" s="104"/>
      <c r="B531" s="102"/>
      <c r="C531" s="102"/>
      <c r="D531" s="102"/>
      <c r="E531" s="102"/>
      <c r="F531" s="139"/>
      <c r="G531" s="102"/>
      <c r="H531" s="102"/>
      <c r="I531" s="102"/>
      <c r="J531" s="102"/>
      <c r="K531" s="102"/>
      <c r="L531" s="102"/>
      <c r="M531" s="102"/>
      <c r="N531" s="105"/>
    </row>
    <row r="532" spans="1:16" s="3" customFormat="1" ht="25.2">
      <c r="A532" s="104" t="s">
        <v>219</v>
      </c>
      <c r="B532" s="102"/>
      <c r="C532" s="102"/>
      <c r="D532" s="102"/>
      <c r="E532" s="102"/>
      <c r="F532" s="139" t="s">
        <v>220</v>
      </c>
      <c r="G532" s="139" t="str">
        <f>PL!$V$8</f>
        <v>PGU-DE-0481</v>
      </c>
      <c r="H532" s="102"/>
      <c r="I532" s="102"/>
      <c r="J532" s="102"/>
      <c r="K532" s="102"/>
      <c r="L532" s="102"/>
      <c r="M532" s="102"/>
      <c r="N532" s="105"/>
    </row>
    <row r="533" spans="1:16" s="3" customFormat="1" ht="25.2">
      <c r="A533" s="104" t="s">
        <v>221</v>
      </c>
      <c r="B533" s="102"/>
      <c r="C533" s="102"/>
      <c r="D533" s="102"/>
      <c r="E533" s="102"/>
      <c r="F533" s="139"/>
      <c r="G533" s="102"/>
      <c r="H533" s="102"/>
      <c r="I533" s="102"/>
      <c r="J533" s="102"/>
      <c r="K533" s="102"/>
      <c r="L533" s="102"/>
      <c r="M533" s="102"/>
      <c r="N533" s="105"/>
    </row>
    <row r="534" spans="1:16" s="3" customFormat="1" ht="10.35" customHeight="1">
      <c r="A534" s="104"/>
      <c r="B534" s="102"/>
      <c r="C534" s="102"/>
      <c r="D534" s="102"/>
      <c r="E534" s="102"/>
      <c r="F534" s="139"/>
      <c r="G534" s="102"/>
      <c r="H534" s="102"/>
      <c r="I534" s="102"/>
      <c r="J534" s="102"/>
      <c r="K534" s="102"/>
      <c r="L534" s="102"/>
      <c r="M534" s="102"/>
      <c r="N534" s="105"/>
    </row>
    <row r="535" spans="1:16" s="3" customFormat="1" ht="25.2">
      <c r="A535" s="106" t="s">
        <v>222</v>
      </c>
      <c r="B535" s="141"/>
      <c r="C535" s="141"/>
      <c r="D535" s="141"/>
      <c r="E535" s="141"/>
      <c r="F535" s="142" t="s">
        <v>209</v>
      </c>
      <c r="G535" s="272" t="str">
        <f>VLOOKUP($P535,'Summary PL'!$A$14:$M$39,4,FALSE)</f>
        <v>Power Cable / Кабель питания для ОРУ</v>
      </c>
      <c r="H535" s="141"/>
      <c r="I535" s="141"/>
      <c r="J535" s="141"/>
      <c r="K535" s="141"/>
      <c r="L535" s="141"/>
      <c r="M535" s="141"/>
      <c r="N535" s="107"/>
      <c r="P535" s="3">
        <f>P498+1</f>
        <v>15</v>
      </c>
    </row>
    <row r="536" spans="1:16" s="3" customFormat="1" ht="25.2">
      <c r="A536" s="106" t="s">
        <v>223</v>
      </c>
      <c r="B536" s="141"/>
      <c r="C536" s="141"/>
      <c r="D536" s="141"/>
      <c r="E536" s="141"/>
      <c r="F536" s="142"/>
      <c r="G536" s="141"/>
      <c r="H536" s="141"/>
      <c r="I536" s="141"/>
      <c r="J536" s="141"/>
      <c r="K536" s="141"/>
      <c r="L536" s="141"/>
      <c r="M536" s="141"/>
      <c r="N536" s="107"/>
    </row>
    <row r="537" spans="1:16" s="3" customFormat="1" ht="10.35" customHeight="1">
      <c r="A537" s="104"/>
      <c r="B537" s="102"/>
      <c r="C537" s="102"/>
      <c r="D537" s="102"/>
      <c r="E537" s="102"/>
      <c r="F537" s="139"/>
      <c r="G537" s="102"/>
      <c r="H537" s="102"/>
      <c r="I537" s="102"/>
      <c r="J537" s="102"/>
      <c r="K537" s="102"/>
      <c r="L537" s="102"/>
      <c r="M537" s="102"/>
      <c r="N537" s="105"/>
    </row>
    <row r="538" spans="1:16" s="3" customFormat="1" ht="25.2">
      <c r="A538" s="104" t="s">
        <v>224</v>
      </c>
      <c r="B538" s="102"/>
      <c r="C538" s="102"/>
      <c r="D538" s="102"/>
      <c r="E538" s="102"/>
      <c r="F538" s="142" t="s">
        <v>225</v>
      </c>
      <c r="G538" s="272" t="str">
        <f>VLOOKUP($P535,'Summary PL'!$A$14:$M$39,3,FALSE)</f>
        <v>PGU-DE-0481-AIS-PoCable-015</v>
      </c>
      <c r="H538" s="102"/>
      <c r="I538" s="102"/>
      <c r="J538" s="102"/>
      <c r="K538" s="102"/>
      <c r="L538" s="102"/>
      <c r="M538" s="102"/>
      <c r="N538" s="105"/>
    </row>
    <row r="539" spans="1:16" s="4" customFormat="1" ht="25.2">
      <c r="A539" s="104" t="s">
        <v>226</v>
      </c>
      <c r="B539" s="102"/>
      <c r="C539" s="102"/>
      <c r="D539" s="102"/>
      <c r="E539" s="102"/>
      <c r="F539" s="139"/>
      <c r="G539" s="139"/>
      <c r="H539" s="102"/>
      <c r="I539" s="102"/>
      <c r="J539" s="102"/>
      <c r="K539" s="102"/>
      <c r="L539" s="102"/>
      <c r="M539" s="102"/>
      <c r="N539" s="105"/>
    </row>
    <row r="540" spans="1:16" s="3" customFormat="1" ht="10.35" customHeight="1">
      <c r="A540" s="104"/>
      <c r="B540" s="102"/>
      <c r="C540" s="102"/>
      <c r="D540" s="102"/>
      <c r="E540" s="102"/>
      <c r="F540" s="139"/>
      <c r="G540" s="139"/>
      <c r="H540" s="102"/>
      <c r="I540" s="102"/>
      <c r="J540" s="102"/>
      <c r="K540" s="102"/>
      <c r="L540" s="102"/>
      <c r="M540" s="102"/>
      <c r="N540" s="105"/>
    </row>
    <row r="541" spans="1:16" s="3" customFormat="1" ht="25.2">
      <c r="A541" s="104" t="s">
        <v>227</v>
      </c>
      <c r="B541" s="102"/>
      <c r="C541" s="102"/>
      <c r="D541" s="102"/>
      <c r="E541" s="102"/>
      <c r="F541" s="139" t="s">
        <v>220</v>
      </c>
      <c r="G541" s="241">
        <f>VLOOKUP($P535,'Summary PL'!$A$14:$M$39,12,FALSE)</f>
        <v>228</v>
      </c>
      <c r="H541" s="139" t="s">
        <v>228</v>
      </c>
      <c r="I541" s="102"/>
      <c r="J541" s="102"/>
      <c r="K541" s="102"/>
      <c r="L541" s="102"/>
      <c r="M541" s="102"/>
      <c r="N541" s="105"/>
    </row>
    <row r="542" spans="1:16" s="4" customFormat="1" ht="25.2">
      <c r="A542" s="104" t="s">
        <v>229</v>
      </c>
      <c r="B542" s="102"/>
      <c r="C542" s="102"/>
      <c r="D542" s="102"/>
      <c r="E542" s="102"/>
      <c r="F542" s="139"/>
      <c r="G542" s="139"/>
      <c r="H542" s="139"/>
      <c r="I542" s="102"/>
      <c r="J542" s="102"/>
      <c r="K542" s="102"/>
      <c r="L542" s="102"/>
      <c r="M542" s="102"/>
      <c r="N542" s="105"/>
    </row>
    <row r="543" spans="1:16" s="3" customFormat="1" ht="10.35" customHeight="1">
      <c r="A543" s="104"/>
      <c r="B543" s="102"/>
      <c r="C543" s="102"/>
      <c r="D543" s="102"/>
      <c r="E543" s="102"/>
      <c r="F543" s="139"/>
      <c r="G543" s="139"/>
      <c r="H543" s="139"/>
      <c r="I543" s="102"/>
      <c r="J543" s="102"/>
      <c r="K543" s="102"/>
      <c r="L543" s="102"/>
      <c r="M543" s="102"/>
      <c r="N543" s="105"/>
    </row>
    <row r="544" spans="1:16" s="3" customFormat="1" ht="25.2">
      <c r="A544" s="104" t="s">
        <v>230</v>
      </c>
      <c r="B544" s="102"/>
      <c r="C544" s="102"/>
      <c r="D544" s="102"/>
      <c r="E544" s="102"/>
      <c r="F544" s="139" t="s">
        <v>220</v>
      </c>
      <c r="G544" s="241">
        <f>VLOOKUP($P535,'Summary PL'!$A$14:$M$39,13,FALSE)</f>
        <v>306</v>
      </c>
      <c r="H544" s="139" t="s">
        <v>228</v>
      </c>
      <c r="I544" s="102"/>
      <c r="J544" s="102"/>
      <c r="K544" s="102"/>
      <c r="L544" s="102"/>
      <c r="M544" s="102"/>
      <c r="N544" s="105"/>
    </row>
    <row r="545" spans="1:16" s="4" customFormat="1" ht="25.2">
      <c r="A545" s="104" t="s">
        <v>231</v>
      </c>
      <c r="B545" s="102"/>
      <c r="C545" s="102"/>
      <c r="D545" s="102"/>
      <c r="E545" s="102"/>
      <c r="F545" s="139"/>
      <c r="G545" s="139"/>
      <c r="H545" s="102"/>
      <c r="I545" s="102"/>
      <c r="J545" s="102"/>
      <c r="K545" s="102"/>
      <c r="L545" s="102"/>
      <c r="M545" s="102"/>
      <c r="N545" s="105"/>
    </row>
    <row r="546" spans="1:16" s="3" customFormat="1" ht="10.35" customHeight="1">
      <c r="A546" s="104"/>
      <c r="B546" s="102"/>
      <c r="C546" s="102"/>
      <c r="D546" s="102"/>
      <c r="E546" s="102"/>
      <c r="F546" s="139"/>
      <c r="G546" s="139"/>
      <c r="H546" s="102"/>
      <c r="I546" s="102"/>
      <c r="J546" s="102"/>
      <c r="K546" s="102"/>
      <c r="L546" s="102"/>
      <c r="M546" s="102"/>
      <c r="N546" s="105"/>
    </row>
    <row r="547" spans="1:16" s="3" customFormat="1" ht="25.2">
      <c r="A547" s="108" t="s">
        <v>232</v>
      </c>
      <c r="B547" s="102"/>
      <c r="C547" s="102"/>
      <c r="D547" s="102"/>
      <c r="E547" s="102"/>
      <c r="F547" s="139" t="s">
        <v>220</v>
      </c>
      <c r="G547" s="241">
        <f>VLOOKUP($P535,'Summary PL'!$A$14:$M$39,11,FALSE)</f>
        <v>0.5</v>
      </c>
      <c r="H547" s="240" t="s">
        <v>233</v>
      </c>
      <c r="I547" s="240"/>
      <c r="J547" s="240"/>
      <c r="K547" s="240"/>
      <c r="L547" s="102"/>
      <c r="M547" s="102"/>
      <c r="N547" s="105"/>
    </row>
    <row r="548" spans="1:16" s="4" customFormat="1" ht="25.2">
      <c r="A548" s="104" t="s">
        <v>234</v>
      </c>
      <c r="B548" s="102"/>
      <c r="C548" s="102"/>
      <c r="D548" s="102"/>
      <c r="E548" s="102"/>
      <c r="F548" s="139"/>
      <c r="G548" s="139"/>
      <c r="H548" s="102"/>
      <c r="I548" s="102"/>
      <c r="J548" s="102"/>
      <c r="K548" s="102"/>
      <c r="L548" s="102"/>
      <c r="M548" s="102"/>
      <c r="N548" s="105"/>
    </row>
    <row r="549" spans="1:16" s="3" customFormat="1" ht="10.35" customHeight="1">
      <c r="A549" s="104"/>
      <c r="B549" s="102"/>
      <c r="C549" s="102"/>
      <c r="D549" s="102"/>
      <c r="E549" s="102"/>
      <c r="F549" s="139"/>
      <c r="G549" s="139"/>
      <c r="H549" s="102"/>
      <c r="I549" s="102"/>
      <c r="J549" s="102"/>
      <c r="K549" s="102"/>
      <c r="L549" s="102"/>
      <c r="M549" s="102"/>
      <c r="N549" s="105"/>
    </row>
    <row r="550" spans="1:16" s="3" customFormat="1" ht="25.2" customHeight="1">
      <c r="A550" s="104" t="s">
        <v>235</v>
      </c>
      <c r="B550" s="102"/>
      <c r="C550" s="102"/>
      <c r="D550" s="102"/>
      <c r="E550" s="102"/>
      <c r="F550" s="139" t="s">
        <v>236</v>
      </c>
      <c r="G550" s="508" t="s">
        <v>237</v>
      </c>
      <c r="H550" s="508"/>
      <c r="I550" s="508"/>
      <c r="J550" s="508"/>
      <c r="K550" s="508"/>
      <c r="L550" s="508"/>
      <c r="M550" s="508"/>
      <c r="N550" s="509"/>
    </row>
    <row r="551" spans="1:16" s="4" customFormat="1" ht="25.2">
      <c r="A551" s="104" t="s">
        <v>238</v>
      </c>
      <c r="B551" s="102"/>
      <c r="C551" s="102"/>
      <c r="D551" s="102"/>
      <c r="E551" s="102"/>
      <c r="F551" s="139"/>
      <c r="G551" s="508"/>
      <c r="H551" s="508"/>
      <c r="I551" s="508"/>
      <c r="J551" s="508"/>
      <c r="K551" s="508"/>
      <c r="L551" s="508"/>
      <c r="M551" s="508"/>
      <c r="N551" s="509"/>
    </row>
    <row r="552" spans="1:16" s="4" customFormat="1" ht="25.2">
      <c r="A552" s="104"/>
      <c r="B552" s="102"/>
      <c r="C552" s="102"/>
      <c r="D552" s="102"/>
      <c r="E552" s="102"/>
      <c r="F552" s="139"/>
      <c r="G552" s="140"/>
      <c r="H552" s="102"/>
      <c r="I552" s="102"/>
      <c r="J552" s="102"/>
      <c r="K552" s="102"/>
      <c r="L552" s="102"/>
      <c r="M552" s="102"/>
      <c r="N552" s="105"/>
    </row>
    <row r="553" spans="1:16" s="4" customFormat="1" ht="25.8" thickBot="1">
      <c r="A553" s="104"/>
      <c r="B553" s="102"/>
      <c r="C553" s="102"/>
      <c r="D553" s="102"/>
      <c r="E553" s="139"/>
      <c r="F553" s="239"/>
      <c r="G553" s="139"/>
      <c r="H553" s="102"/>
      <c r="I553" s="102"/>
      <c r="J553" s="102"/>
      <c r="K553" s="102"/>
      <c r="L553" s="102"/>
      <c r="M553" s="102"/>
      <c r="N553" s="105"/>
    </row>
    <row r="554" spans="1:16" ht="21" customHeight="1">
      <c r="A554" s="98"/>
      <c r="B554" s="99"/>
      <c r="C554" s="99"/>
      <c r="D554" s="99"/>
      <c r="E554" s="510" t="s">
        <v>239</v>
      </c>
      <c r="F554" s="511"/>
      <c r="G554" s="511"/>
      <c r="H554" s="511"/>
      <c r="I554" s="511"/>
      <c r="J554" s="511"/>
      <c r="K554" s="511"/>
      <c r="L554" s="100"/>
      <c r="M554" s="100"/>
      <c r="N554" s="101"/>
    </row>
    <row r="555" spans="1:16" ht="25.5" customHeight="1" thickBot="1">
      <c r="A555" s="109"/>
      <c r="B555" s="110"/>
      <c r="C555" s="110"/>
      <c r="D555" s="110"/>
      <c r="E555" s="512"/>
      <c r="F555" s="512"/>
      <c r="G555" s="512"/>
      <c r="H555" s="512"/>
      <c r="I555" s="512"/>
      <c r="J555" s="512"/>
      <c r="K555" s="512"/>
      <c r="L555" s="111"/>
      <c r="M555" s="111"/>
      <c r="N555" s="112"/>
    </row>
    <row r="556" spans="1:16">
      <c r="A556" s="98"/>
      <c r="B556" s="99"/>
      <c r="C556" s="99"/>
      <c r="D556" s="99"/>
      <c r="E556" s="99"/>
      <c r="F556" s="100"/>
      <c r="G556" s="100"/>
      <c r="H556" s="100"/>
      <c r="I556" s="100"/>
      <c r="J556" s="100"/>
      <c r="K556" s="100"/>
      <c r="L556" s="100"/>
      <c r="M556" s="100"/>
      <c r="N556" s="101"/>
    </row>
    <row r="557" spans="1:16">
      <c r="A557" s="243"/>
      <c r="N557" s="242"/>
    </row>
    <row r="558" spans="1:16" ht="31.2">
      <c r="A558" s="513" t="s">
        <v>207</v>
      </c>
      <c r="B558" s="514"/>
      <c r="C558" s="514"/>
      <c r="D558" s="514"/>
      <c r="E558" s="514"/>
      <c r="F558" s="514"/>
      <c r="G558" s="514"/>
      <c r="H558" s="514"/>
      <c r="I558" s="514"/>
      <c r="J558" s="514"/>
      <c r="K558" s="514"/>
      <c r="L558" s="514"/>
      <c r="M558" s="514"/>
      <c r="N558" s="515"/>
    </row>
    <row r="559" spans="1:16" ht="25.2">
      <c r="A559" s="115" t="s">
        <v>208</v>
      </c>
      <c r="B559" s="138"/>
      <c r="C559" s="138"/>
      <c r="F559" s="139" t="s">
        <v>209</v>
      </c>
      <c r="G559" s="508" t="s">
        <v>210</v>
      </c>
      <c r="H559" s="508"/>
      <c r="I559" s="508"/>
      <c r="J559" s="508"/>
      <c r="K559" s="508"/>
      <c r="L559" s="508"/>
      <c r="M559" s="508"/>
      <c r="N559" s="509"/>
      <c r="O559" s="3"/>
      <c r="P559" s="3"/>
    </row>
    <row r="560" spans="1:16" ht="25.2">
      <c r="A560" s="104" t="s">
        <v>211</v>
      </c>
      <c r="F560" s="139"/>
      <c r="G560" s="508"/>
      <c r="H560" s="508"/>
      <c r="I560" s="508"/>
      <c r="J560" s="508"/>
      <c r="K560" s="508"/>
      <c r="L560" s="508"/>
      <c r="M560" s="508"/>
      <c r="N560" s="509"/>
      <c r="O560" s="4"/>
      <c r="P560" s="4"/>
    </row>
    <row r="561" spans="1:16" ht="25.2">
      <c r="A561" s="104"/>
      <c r="F561" s="139"/>
      <c r="G561" s="102"/>
      <c r="H561" s="102"/>
      <c r="I561" s="102"/>
      <c r="J561" s="102"/>
      <c r="K561" s="102"/>
      <c r="L561" s="102"/>
      <c r="M561" s="102"/>
      <c r="N561" s="105"/>
      <c r="O561" s="3"/>
      <c r="P561" s="3"/>
    </row>
    <row r="562" spans="1:16" ht="25.2">
      <c r="A562" s="104" t="s">
        <v>212</v>
      </c>
      <c r="F562" s="139" t="s">
        <v>213</v>
      </c>
      <c r="G562" s="508" t="str">
        <f>PL!$B$13</f>
        <v>Branch of JSC "Doosan Enerbility" in the Turkestan region</v>
      </c>
      <c r="H562" s="508"/>
      <c r="I562" s="508"/>
      <c r="J562" s="508"/>
      <c r="K562" s="508"/>
      <c r="L562" s="508"/>
      <c r="M562" s="508"/>
      <c r="N562" s="509"/>
      <c r="O562" s="3"/>
      <c r="P562" s="3"/>
    </row>
    <row r="563" spans="1:16" ht="25.2">
      <c r="A563" s="104" t="s">
        <v>214</v>
      </c>
      <c r="F563" s="139"/>
      <c r="G563" s="508" t="str">
        <f>PL!$B$14</f>
        <v>321 Tauke Khan Avenue, Turkestan region, Turkestan, Kazakhstan, 161200</v>
      </c>
      <c r="H563" s="508"/>
      <c r="I563" s="508"/>
      <c r="J563" s="508"/>
      <c r="K563" s="508"/>
      <c r="L563" s="508"/>
      <c r="M563" s="508"/>
      <c r="N563" s="509"/>
      <c r="O563" s="3"/>
      <c r="P563" s="3"/>
    </row>
    <row r="564" spans="1:16" ht="25.2">
      <c r="A564" s="104"/>
      <c r="F564" s="139"/>
      <c r="G564" s="508" t="str">
        <f>PL!$B$15</f>
        <v>BIN: 230741006561</v>
      </c>
      <c r="H564" s="508"/>
      <c r="I564" s="508"/>
      <c r="J564" s="508"/>
      <c r="K564" s="508"/>
      <c r="L564" s="508"/>
      <c r="M564" s="508"/>
      <c r="N564" s="509"/>
      <c r="O564" s="3"/>
      <c r="P564" s="3"/>
    </row>
    <row r="565" spans="1:16" ht="25.2">
      <c r="A565" s="104"/>
      <c r="F565" s="139"/>
      <c r="G565" s="210"/>
      <c r="H565" s="210"/>
      <c r="I565" s="210"/>
      <c r="J565" s="210"/>
      <c r="K565" s="210"/>
      <c r="L565" s="210"/>
      <c r="M565" s="210"/>
      <c r="N565" s="211"/>
      <c r="O565" s="3"/>
      <c r="P565" s="3"/>
    </row>
    <row r="566" spans="1:16" ht="25.2">
      <c r="A566" s="104" t="s">
        <v>215</v>
      </c>
      <c r="F566" s="139" t="s">
        <v>216</v>
      </c>
      <c r="G566" s="102"/>
      <c r="H566" s="102"/>
      <c r="I566" s="102"/>
      <c r="J566" s="102"/>
      <c r="K566" s="102"/>
      <c r="L566" s="102"/>
      <c r="M566" s="102"/>
      <c r="N566" s="105"/>
      <c r="O566" s="3"/>
      <c r="P566" s="3"/>
    </row>
    <row r="567" spans="1:16" ht="25.2">
      <c r="A567" s="104" t="s">
        <v>217</v>
      </c>
      <c r="F567" s="139" t="s">
        <v>218</v>
      </c>
      <c r="G567" s="102"/>
      <c r="H567" s="102"/>
      <c r="I567" s="102"/>
      <c r="J567" s="102"/>
      <c r="K567" s="102"/>
      <c r="L567" s="102"/>
      <c r="M567" s="102"/>
      <c r="N567" s="105"/>
      <c r="O567" s="4"/>
      <c r="P567" s="4"/>
    </row>
    <row r="568" spans="1:16" ht="25.2">
      <c r="A568" s="104"/>
      <c r="F568" s="139"/>
      <c r="G568" s="102"/>
      <c r="H568" s="102"/>
      <c r="I568" s="102"/>
      <c r="J568" s="102"/>
      <c r="K568" s="102"/>
      <c r="L568" s="102"/>
      <c r="M568" s="102"/>
      <c r="N568" s="105"/>
      <c r="O568" s="3"/>
      <c r="P568" s="3"/>
    </row>
    <row r="569" spans="1:16" ht="25.2">
      <c r="A569" s="104" t="s">
        <v>219</v>
      </c>
      <c r="F569" s="139" t="s">
        <v>220</v>
      </c>
      <c r="G569" s="139" t="str">
        <f>PL!$V$8</f>
        <v>PGU-DE-0481</v>
      </c>
      <c r="H569" s="102"/>
      <c r="I569" s="102"/>
      <c r="J569" s="102"/>
      <c r="K569" s="102"/>
      <c r="L569" s="102"/>
      <c r="M569" s="102"/>
      <c r="N569" s="105"/>
      <c r="O569" s="3"/>
      <c r="P569" s="3"/>
    </row>
    <row r="570" spans="1:16" ht="25.2">
      <c r="A570" s="104" t="s">
        <v>221</v>
      </c>
      <c r="F570" s="139"/>
      <c r="G570" s="102"/>
      <c r="H570" s="102"/>
      <c r="I570" s="102"/>
      <c r="J570" s="102"/>
      <c r="K570" s="102"/>
      <c r="L570" s="102"/>
      <c r="M570" s="102"/>
      <c r="N570" s="105"/>
      <c r="O570" s="3"/>
      <c r="P570" s="3"/>
    </row>
    <row r="571" spans="1:16" ht="25.2">
      <c r="A571" s="104"/>
      <c r="F571" s="139"/>
      <c r="G571" s="102"/>
      <c r="H571" s="102"/>
      <c r="I571" s="102"/>
      <c r="J571" s="102"/>
      <c r="K571" s="102"/>
      <c r="L571" s="102"/>
      <c r="M571" s="102"/>
      <c r="N571" s="105"/>
      <c r="O571" s="3"/>
      <c r="P571" s="3"/>
    </row>
    <row r="572" spans="1:16" ht="25.2">
      <c r="A572" s="106" t="s">
        <v>222</v>
      </c>
      <c r="B572" s="141"/>
      <c r="C572" s="141"/>
      <c r="D572" s="141"/>
      <c r="E572" s="141"/>
      <c r="F572" s="142" t="s">
        <v>209</v>
      </c>
      <c r="G572" s="272" t="str">
        <f>VLOOKUP($P572,'Summary PL'!$A$14:$M$39,4,FALSE)</f>
        <v>Power Cable / Кабель питания для ОРУ</v>
      </c>
      <c r="H572" s="141"/>
      <c r="I572" s="141"/>
      <c r="J572" s="141"/>
      <c r="K572" s="141"/>
      <c r="L572" s="141"/>
      <c r="M572" s="141"/>
      <c r="N572" s="107"/>
      <c r="O572" s="3"/>
      <c r="P572" s="3">
        <f>P535+1</f>
        <v>16</v>
      </c>
    </row>
    <row r="573" spans="1:16" ht="25.2">
      <c r="A573" s="106" t="s">
        <v>223</v>
      </c>
      <c r="B573" s="141"/>
      <c r="C573" s="141"/>
      <c r="D573" s="141"/>
      <c r="E573" s="141"/>
      <c r="F573" s="142"/>
      <c r="G573" s="141"/>
      <c r="H573" s="141"/>
      <c r="I573" s="141"/>
      <c r="J573" s="141"/>
      <c r="K573" s="141"/>
      <c r="L573" s="141"/>
      <c r="M573" s="141"/>
      <c r="N573" s="107"/>
      <c r="O573" s="3"/>
      <c r="P573" s="3"/>
    </row>
    <row r="574" spans="1:16" ht="25.2">
      <c r="A574" s="104"/>
      <c r="F574" s="139"/>
      <c r="G574" s="102"/>
      <c r="H574" s="102"/>
      <c r="I574" s="102"/>
      <c r="J574" s="102"/>
      <c r="K574" s="102"/>
      <c r="L574" s="102"/>
      <c r="M574" s="102"/>
      <c r="N574" s="105"/>
      <c r="O574" s="3"/>
      <c r="P574" s="3"/>
    </row>
    <row r="575" spans="1:16" ht="25.2">
      <c r="A575" s="104" t="s">
        <v>224</v>
      </c>
      <c r="F575" s="142" t="s">
        <v>225</v>
      </c>
      <c r="G575" s="272" t="str">
        <f>VLOOKUP($P572,'Summary PL'!$A$14:$M$39,3,FALSE)</f>
        <v>PGU-DE-0481-AIS-PoCable-016</v>
      </c>
      <c r="H575" s="102"/>
      <c r="I575" s="102"/>
      <c r="J575" s="102"/>
      <c r="K575" s="102"/>
      <c r="L575" s="102"/>
      <c r="M575" s="102"/>
      <c r="N575" s="105"/>
      <c r="O575" s="3"/>
      <c r="P575" s="3"/>
    </row>
    <row r="576" spans="1:16" ht="25.2">
      <c r="A576" s="104" t="s">
        <v>226</v>
      </c>
      <c r="F576" s="139"/>
      <c r="G576" s="139"/>
      <c r="H576" s="102"/>
      <c r="I576" s="102"/>
      <c r="J576" s="102"/>
      <c r="K576" s="102"/>
      <c r="L576" s="102"/>
      <c r="M576" s="102"/>
      <c r="N576" s="105"/>
      <c r="O576" s="4"/>
      <c r="P576" s="4"/>
    </row>
    <row r="577" spans="1:16" ht="25.2">
      <c r="A577" s="104"/>
      <c r="F577" s="139"/>
      <c r="G577" s="139"/>
      <c r="H577" s="102"/>
      <c r="I577" s="102"/>
      <c r="J577" s="102"/>
      <c r="K577" s="102"/>
      <c r="L577" s="102"/>
      <c r="M577" s="102"/>
      <c r="N577" s="105"/>
      <c r="O577" s="3"/>
      <c r="P577" s="3"/>
    </row>
    <row r="578" spans="1:16" ht="25.2">
      <c r="A578" s="104" t="s">
        <v>227</v>
      </c>
      <c r="F578" s="139" t="s">
        <v>220</v>
      </c>
      <c r="G578" s="241">
        <f>VLOOKUP($P572,'Summary PL'!$A$14:$M$39,12,FALSE)</f>
        <v>2102</v>
      </c>
      <c r="H578" s="139" t="s">
        <v>228</v>
      </c>
      <c r="I578" s="102"/>
      <c r="J578" s="102"/>
      <c r="K578" s="102"/>
      <c r="L578" s="102"/>
      <c r="M578" s="102"/>
      <c r="N578" s="105"/>
      <c r="O578" s="3"/>
      <c r="P578" s="3"/>
    </row>
    <row r="579" spans="1:16" ht="25.2">
      <c r="A579" s="104" t="s">
        <v>229</v>
      </c>
      <c r="F579" s="139"/>
      <c r="G579" s="139"/>
      <c r="H579" s="139"/>
      <c r="I579" s="102"/>
      <c r="J579" s="102"/>
      <c r="K579" s="102"/>
      <c r="L579" s="102"/>
      <c r="M579" s="102"/>
      <c r="N579" s="105"/>
      <c r="O579" s="4"/>
      <c r="P579" s="4"/>
    </row>
    <row r="580" spans="1:16" ht="25.2">
      <c r="A580" s="104"/>
      <c r="F580" s="139"/>
      <c r="G580" s="139"/>
      <c r="H580" s="139"/>
      <c r="I580" s="102"/>
      <c r="J580" s="102"/>
      <c r="K580" s="102"/>
      <c r="L580" s="102"/>
      <c r="M580" s="102"/>
      <c r="N580" s="105"/>
      <c r="O580" s="3"/>
      <c r="P580" s="3"/>
    </row>
    <row r="581" spans="1:16" ht="25.2">
      <c r="A581" s="104" t="s">
        <v>230</v>
      </c>
      <c r="F581" s="139" t="s">
        <v>220</v>
      </c>
      <c r="G581" s="241">
        <f>VLOOKUP($P572,'Summary PL'!$A$14:$M$39,13,FALSE)</f>
        <v>2529</v>
      </c>
      <c r="H581" s="139" t="s">
        <v>228</v>
      </c>
      <c r="I581" s="102"/>
      <c r="J581" s="102"/>
      <c r="K581" s="102"/>
      <c r="L581" s="102"/>
      <c r="M581" s="102"/>
      <c r="N581" s="105"/>
      <c r="O581" s="3"/>
      <c r="P581" s="3"/>
    </row>
    <row r="582" spans="1:16" ht="25.2">
      <c r="A582" s="104" t="s">
        <v>231</v>
      </c>
      <c r="F582" s="139"/>
      <c r="G582" s="139"/>
      <c r="H582" s="102"/>
      <c r="I582" s="102"/>
      <c r="J582" s="102"/>
      <c r="K582" s="102"/>
      <c r="L582" s="102"/>
      <c r="M582" s="102"/>
      <c r="N582" s="105"/>
      <c r="O582" s="4"/>
      <c r="P582" s="4"/>
    </row>
    <row r="583" spans="1:16" ht="25.2">
      <c r="A583" s="104"/>
      <c r="F583" s="139"/>
      <c r="G583" s="139"/>
      <c r="H583" s="102"/>
      <c r="I583" s="102"/>
      <c r="J583" s="102"/>
      <c r="K583" s="102"/>
      <c r="L583" s="102"/>
      <c r="M583" s="102"/>
      <c r="N583" s="105"/>
      <c r="O583" s="3"/>
      <c r="P583" s="3"/>
    </row>
    <row r="584" spans="1:16" ht="25.2">
      <c r="A584" s="108" t="s">
        <v>232</v>
      </c>
      <c r="F584" s="139" t="s">
        <v>220</v>
      </c>
      <c r="G584" s="241">
        <f>VLOOKUP($P572,'Summary PL'!$A$14:$M$39,11,FALSE)</f>
        <v>3.2149999999999999</v>
      </c>
      <c r="H584" s="240" t="s">
        <v>233</v>
      </c>
      <c r="I584" s="240"/>
      <c r="J584" s="240"/>
      <c r="K584" s="240"/>
      <c r="L584" s="102"/>
      <c r="M584" s="102"/>
      <c r="N584" s="105"/>
      <c r="O584" s="3"/>
      <c r="P584" s="3"/>
    </row>
    <row r="585" spans="1:16" ht="25.2">
      <c r="A585" s="104" t="s">
        <v>234</v>
      </c>
      <c r="F585" s="139"/>
      <c r="G585" s="139"/>
      <c r="H585" s="102"/>
      <c r="I585" s="102"/>
      <c r="J585" s="102"/>
      <c r="K585" s="102"/>
      <c r="L585" s="102"/>
      <c r="M585" s="102"/>
      <c r="N585" s="105"/>
      <c r="O585" s="4"/>
      <c r="P585" s="4"/>
    </row>
    <row r="586" spans="1:16" ht="25.2">
      <c r="A586" s="104"/>
      <c r="F586" s="139"/>
      <c r="G586" s="139"/>
      <c r="H586" s="102"/>
      <c r="I586" s="102"/>
      <c r="J586" s="102"/>
      <c r="K586" s="102"/>
      <c r="L586" s="102"/>
      <c r="M586" s="102"/>
      <c r="N586" s="105"/>
      <c r="O586" s="3"/>
      <c r="P586" s="3"/>
    </row>
    <row r="587" spans="1:16" ht="25.2">
      <c r="A587" s="104" t="s">
        <v>235</v>
      </c>
      <c r="F587" s="139" t="s">
        <v>236</v>
      </c>
      <c r="G587" s="508" t="s">
        <v>237</v>
      </c>
      <c r="H587" s="508"/>
      <c r="I587" s="508"/>
      <c r="J587" s="508"/>
      <c r="K587" s="508"/>
      <c r="L587" s="508"/>
      <c r="M587" s="508"/>
      <c r="N587" s="509"/>
      <c r="O587" s="3"/>
      <c r="P587" s="3"/>
    </row>
    <row r="588" spans="1:16" ht="25.2">
      <c r="A588" s="104" t="s">
        <v>238</v>
      </c>
      <c r="F588" s="139"/>
      <c r="G588" s="508"/>
      <c r="H588" s="508"/>
      <c r="I588" s="508"/>
      <c r="J588" s="508"/>
      <c r="K588" s="508"/>
      <c r="L588" s="508"/>
      <c r="M588" s="508"/>
      <c r="N588" s="509"/>
      <c r="O588" s="4"/>
      <c r="P588" s="4"/>
    </row>
    <row r="589" spans="1:16" ht="25.2">
      <c r="A589" s="104"/>
      <c r="F589" s="139"/>
      <c r="G589" s="140"/>
      <c r="H589" s="102"/>
      <c r="I589" s="102"/>
      <c r="J589" s="102"/>
      <c r="K589" s="102"/>
      <c r="L589" s="102"/>
      <c r="M589" s="102"/>
      <c r="N589" s="105"/>
      <c r="O589" s="4"/>
      <c r="P589" s="4"/>
    </row>
    <row r="590" spans="1:16" ht="25.8" thickBot="1">
      <c r="A590" s="104"/>
      <c r="E590" s="139"/>
      <c r="F590" s="239"/>
      <c r="G590" s="139"/>
      <c r="H590" s="102"/>
      <c r="I590" s="102"/>
      <c r="J590" s="102"/>
      <c r="K590" s="102"/>
      <c r="L590" s="102"/>
      <c r="M590" s="102"/>
      <c r="N590" s="105"/>
      <c r="O590" s="4"/>
      <c r="P590" s="4"/>
    </row>
    <row r="591" spans="1:16">
      <c r="A591" s="98"/>
      <c r="B591" s="99"/>
      <c r="C591" s="99"/>
      <c r="D591" s="99"/>
      <c r="E591" s="510" t="s">
        <v>239</v>
      </c>
      <c r="F591" s="511"/>
      <c r="G591" s="511"/>
      <c r="H591" s="511"/>
      <c r="I591" s="511"/>
      <c r="J591" s="511"/>
      <c r="K591" s="511"/>
      <c r="L591" s="100"/>
      <c r="M591" s="100"/>
      <c r="N591" s="101"/>
    </row>
    <row r="592" spans="1:16" ht="21.6" thickBot="1">
      <c r="A592" s="109"/>
      <c r="B592" s="110"/>
      <c r="C592" s="110"/>
      <c r="D592" s="110"/>
      <c r="E592" s="512"/>
      <c r="F592" s="512"/>
      <c r="G592" s="512"/>
      <c r="H592" s="512"/>
      <c r="I592" s="512"/>
      <c r="J592" s="512"/>
      <c r="K592" s="512"/>
      <c r="L592" s="111"/>
      <c r="M592" s="111"/>
      <c r="N592" s="112"/>
    </row>
    <row r="593" spans="1:16">
      <c r="A593" s="98"/>
      <c r="B593" s="99"/>
      <c r="C593" s="99"/>
      <c r="D593" s="99"/>
      <c r="E593" s="99"/>
      <c r="F593" s="100"/>
      <c r="G593" s="100"/>
      <c r="H593" s="100"/>
      <c r="I593" s="100"/>
      <c r="J593" s="100"/>
      <c r="K593" s="100"/>
      <c r="L593" s="100"/>
      <c r="M593" s="100"/>
      <c r="N593" s="101"/>
    </row>
    <row r="594" spans="1:16">
      <c r="A594" s="243"/>
      <c r="N594" s="242"/>
    </row>
    <row r="595" spans="1:16" ht="31.2">
      <c r="A595" s="513" t="s">
        <v>207</v>
      </c>
      <c r="B595" s="514"/>
      <c r="C595" s="514"/>
      <c r="D595" s="514"/>
      <c r="E595" s="514"/>
      <c r="F595" s="514"/>
      <c r="G595" s="514"/>
      <c r="H595" s="514"/>
      <c r="I595" s="514"/>
      <c r="J595" s="514"/>
      <c r="K595" s="514"/>
      <c r="L595" s="514"/>
      <c r="M595" s="514"/>
      <c r="N595" s="515"/>
    </row>
    <row r="596" spans="1:16" ht="25.2">
      <c r="A596" s="115" t="s">
        <v>208</v>
      </c>
      <c r="B596" s="138"/>
      <c r="C596" s="138"/>
      <c r="F596" s="139" t="s">
        <v>209</v>
      </c>
      <c r="G596" s="508" t="s">
        <v>210</v>
      </c>
      <c r="H596" s="508"/>
      <c r="I596" s="508"/>
      <c r="J596" s="508"/>
      <c r="K596" s="508"/>
      <c r="L596" s="508"/>
      <c r="M596" s="508"/>
      <c r="N596" s="509"/>
      <c r="O596" s="3"/>
      <c r="P596" s="3"/>
    </row>
    <row r="597" spans="1:16" ht="25.2">
      <c r="A597" s="104" t="s">
        <v>211</v>
      </c>
      <c r="F597" s="139"/>
      <c r="G597" s="508"/>
      <c r="H597" s="508"/>
      <c r="I597" s="508"/>
      <c r="J597" s="508"/>
      <c r="K597" s="508"/>
      <c r="L597" s="508"/>
      <c r="M597" s="508"/>
      <c r="N597" s="509"/>
      <c r="O597" s="4"/>
      <c r="P597" s="4"/>
    </row>
    <row r="598" spans="1:16" ht="25.2">
      <c r="A598" s="104"/>
      <c r="F598" s="139"/>
      <c r="G598" s="102"/>
      <c r="H598" s="102"/>
      <c r="I598" s="102"/>
      <c r="J598" s="102"/>
      <c r="K598" s="102"/>
      <c r="L598" s="102"/>
      <c r="M598" s="102"/>
      <c r="N598" s="105"/>
      <c r="O598" s="3"/>
      <c r="P598" s="3"/>
    </row>
    <row r="599" spans="1:16" ht="25.2">
      <c r="A599" s="104" t="s">
        <v>212</v>
      </c>
      <c r="F599" s="139" t="s">
        <v>213</v>
      </c>
      <c r="G599" s="508" t="str">
        <f>PL!$B$13</f>
        <v>Branch of JSC "Doosan Enerbility" in the Turkestan region</v>
      </c>
      <c r="H599" s="508"/>
      <c r="I599" s="508"/>
      <c r="J599" s="508"/>
      <c r="K599" s="508"/>
      <c r="L599" s="508"/>
      <c r="M599" s="508"/>
      <c r="N599" s="509"/>
      <c r="O599" s="3"/>
      <c r="P599" s="3"/>
    </row>
    <row r="600" spans="1:16" ht="25.2">
      <c r="A600" s="104" t="s">
        <v>214</v>
      </c>
      <c r="F600" s="139"/>
      <c r="G600" s="508" t="str">
        <f>PL!$B$14</f>
        <v>321 Tauke Khan Avenue, Turkestan region, Turkestan, Kazakhstan, 161200</v>
      </c>
      <c r="H600" s="508"/>
      <c r="I600" s="508"/>
      <c r="J600" s="508"/>
      <c r="K600" s="508"/>
      <c r="L600" s="508"/>
      <c r="M600" s="508"/>
      <c r="N600" s="509"/>
      <c r="O600" s="3"/>
      <c r="P600" s="3"/>
    </row>
    <row r="601" spans="1:16" ht="25.2">
      <c r="A601" s="104"/>
      <c r="F601" s="139"/>
      <c r="G601" s="508" t="str">
        <f>PL!$B$15</f>
        <v>BIN: 230741006561</v>
      </c>
      <c r="H601" s="508"/>
      <c r="I601" s="508"/>
      <c r="J601" s="508"/>
      <c r="K601" s="508"/>
      <c r="L601" s="508"/>
      <c r="M601" s="508"/>
      <c r="N601" s="509"/>
      <c r="O601" s="3"/>
      <c r="P601" s="3"/>
    </row>
    <row r="602" spans="1:16" ht="25.2">
      <c r="A602" s="104"/>
      <c r="F602" s="139"/>
      <c r="G602" s="210"/>
      <c r="H602" s="210"/>
      <c r="I602" s="210"/>
      <c r="J602" s="210"/>
      <c r="K602" s="210"/>
      <c r="L602" s="210"/>
      <c r="M602" s="210"/>
      <c r="N602" s="211"/>
      <c r="O602" s="3"/>
      <c r="P602" s="3"/>
    </row>
    <row r="603" spans="1:16" ht="25.2">
      <c r="A603" s="104" t="s">
        <v>215</v>
      </c>
      <c r="F603" s="139" t="s">
        <v>216</v>
      </c>
      <c r="G603" s="102"/>
      <c r="H603" s="102"/>
      <c r="I603" s="102"/>
      <c r="J603" s="102"/>
      <c r="K603" s="102"/>
      <c r="L603" s="102"/>
      <c r="M603" s="102"/>
      <c r="N603" s="105"/>
      <c r="O603" s="3"/>
      <c r="P603" s="3"/>
    </row>
    <row r="604" spans="1:16" ht="25.2">
      <c r="A604" s="104" t="s">
        <v>217</v>
      </c>
      <c r="F604" s="139" t="s">
        <v>218</v>
      </c>
      <c r="G604" s="102"/>
      <c r="H604" s="102"/>
      <c r="I604" s="102"/>
      <c r="J604" s="102"/>
      <c r="K604" s="102"/>
      <c r="L604" s="102"/>
      <c r="M604" s="102"/>
      <c r="N604" s="105"/>
      <c r="O604" s="4"/>
      <c r="P604" s="4"/>
    </row>
    <row r="605" spans="1:16" ht="25.2">
      <c r="A605" s="104"/>
      <c r="F605" s="139"/>
      <c r="G605" s="102"/>
      <c r="H605" s="102"/>
      <c r="I605" s="102"/>
      <c r="J605" s="102"/>
      <c r="K605" s="102"/>
      <c r="L605" s="102"/>
      <c r="M605" s="102"/>
      <c r="N605" s="105"/>
      <c r="O605" s="3"/>
      <c r="P605" s="3"/>
    </row>
    <row r="606" spans="1:16" ht="25.2">
      <c r="A606" s="104" t="s">
        <v>219</v>
      </c>
      <c r="F606" s="139" t="s">
        <v>220</v>
      </c>
      <c r="G606" s="139" t="str">
        <f>PL!$V$8</f>
        <v>PGU-DE-0481</v>
      </c>
      <c r="H606" s="102"/>
      <c r="I606" s="102"/>
      <c r="J606" s="102"/>
      <c r="K606" s="102"/>
      <c r="L606" s="102"/>
      <c r="M606" s="102"/>
      <c r="N606" s="105"/>
      <c r="O606" s="3"/>
      <c r="P606" s="3"/>
    </row>
    <row r="607" spans="1:16" ht="25.2">
      <c r="A607" s="104" t="s">
        <v>221</v>
      </c>
      <c r="F607" s="139"/>
      <c r="G607" s="102"/>
      <c r="H607" s="102"/>
      <c r="I607" s="102"/>
      <c r="J607" s="102"/>
      <c r="K607" s="102"/>
      <c r="L607" s="102"/>
      <c r="M607" s="102"/>
      <c r="N607" s="105"/>
      <c r="O607" s="3"/>
      <c r="P607" s="3"/>
    </row>
    <row r="608" spans="1:16" ht="25.2">
      <c r="A608" s="104"/>
      <c r="F608" s="139"/>
      <c r="G608" s="102"/>
      <c r="H608" s="102"/>
      <c r="I608" s="102"/>
      <c r="J608" s="102"/>
      <c r="K608" s="102"/>
      <c r="L608" s="102"/>
      <c r="M608" s="102"/>
      <c r="N608" s="105"/>
      <c r="O608" s="3"/>
      <c r="P608" s="3"/>
    </row>
    <row r="609" spans="1:16" ht="25.2">
      <c r="A609" s="106" t="s">
        <v>222</v>
      </c>
      <c r="B609" s="141"/>
      <c r="C609" s="141"/>
      <c r="D609" s="141"/>
      <c r="E609" s="141"/>
      <c r="F609" s="142" t="s">
        <v>209</v>
      </c>
      <c r="G609" s="272" t="str">
        <f>VLOOKUP($P609,'Summary PL'!$A$14:$M$39,4,FALSE)</f>
        <v>Power Cable / Кабель питания для ОРУ</v>
      </c>
      <c r="H609" s="141"/>
      <c r="I609" s="141"/>
      <c r="J609" s="141"/>
      <c r="K609" s="141"/>
      <c r="L609" s="141"/>
      <c r="M609" s="141"/>
      <c r="N609" s="107"/>
      <c r="O609" s="3"/>
      <c r="P609" s="3">
        <f>P572+1</f>
        <v>17</v>
      </c>
    </row>
    <row r="610" spans="1:16" ht="25.2">
      <c r="A610" s="106" t="s">
        <v>223</v>
      </c>
      <c r="B610" s="141"/>
      <c r="C610" s="141"/>
      <c r="D610" s="141"/>
      <c r="E610" s="141"/>
      <c r="F610" s="142"/>
      <c r="G610" s="141"/>
      <c r="H610" s="141"/>
      <c r="I610" s="141"/>
      <c r="J610" s="141"/>
      <c r="K610" s="141"/>
      <c r="L610" s="141"/>
      <c r="M610" s="141"/>
      <c r="N610" s="107"/>
      <c r="O610" s="3"/>
      <c r="P610" s="3"/>
    </row>
    <row r="611" spans="1:16" ht="25.2">
      <c r="A611" s="104"/>
      <c r="F611" s="139"/>
      <c r="G611" s="102"/>
      <c r="H611" s="102"/>
      <c r="I611" s="102"/>
      <c r="J611" s="102"/>
      <c r="K611" s="102"/>
      <c r="L611" s="102"/>
      <c r="M611" s="102"/>
      <c r="N611" s="105"/>
      <c r="O611" s="3"/>
      <c r="P611" s="3"/>
    </row>
    <row r="612" spans="1:16" ht="25.2">
      <c r="A612" s="104" t="s">
        <v>224</v>
      </c>
      <c r="F612" s="142" t="s">
        <v>225</v>
      </c>
      <c r="G612" s="272" t="str">
        <f>VLOOKUP($P609,'Summary PL'!$A$14:$M$39,3,FALSE)</f>
        <v>PGU-DE-0481-AIS-PoCable-017</v>
      </c>
      <c r="H612" s="102"/>
      <c r="I612" s="102"/>
      <c r="J612" s="102"/>
      <c r="K612" s="102"/>
      <c r="L612" s="102"/>
      <c r="M612" s="102"/>
      <c r="N612" s="105"/>
      <c r="O612" s="3"/>
      <c r="P612" s="3"/>
    </row>
    <row r="613" spans="1:16" ht="25.2">
      <c r="A613" s="104" t="s">
        <v>226</v>
      </c>
      <c r="F613" s="139"/>
      <c r="G613" s="139"/>
      <c r="H613" s="102"/>
      <c r="I613" s="102"/>
      <c r="J613" s="102"/>
      <c r="K613" s="102"/>
      <c r="L613" s="102"/>
      <c r="M613" s="102"/>
      <c r="N613" s="105"/>
      <c r="O613" s="4"/>
      <c r="P613" s="4"/>
    </row>
    <row r="614" spans="1:16" ht="25.2">
      <c r="A614" s="104"/>
      <c r="F614" s="139"/>
      <c r="G614" s="139"/>
      <c r="H614" s="102"/>
      <c r="I614" s="102"/>
      <c r="J614" s="102"/>
      <c r="K614" s="102"/>
      <c r="L614" s="102"/>
      <c r="M614" s="102"/>
      <c r="N614" s="105"/>
      <c r="O614" s="3"/>
      <c r="P614" s="3"/>
    </row>
    <row r="615" spans="1:16" ht="25.2">
      <c r="A615" s="104" t="s">
        <v>227</v>
      </c>
      <c r="F615" s="139" t="s">
        <v>220</v>
      </c>
      <c r="G615" s="241">
        <f>VLOOKUP($P609,'Summary PL'!$A$14:$M$39,12,FALSE)</f>
        <v>2102</v>
      </c>
      <c r="H615" s="139" t="s">
        <v>228</v>
      </c>
      <c r="I615" s="102"/>
      <c r="J615" s="102"/>
      <c r="K615" s="102"/>
      <c r="L615" s="102"/>
      <c r="M615" s="102"/>
      <c r="N615" s="105"/>
      <c r="O615" s="3"/>
      <c r="P615" s="3"/>
    </row>
    <row r="616" spans="1:16" ht="25.2">
      <c r="A616" s="104" t="s">
        <v>229</v>
      </c>
      <c r="F616" s="139"/>
      <c r="G616" s="139"/>
      <c r="H616" s="139"/>
      <c r="I616" s="102"/>
      <c r="J616" s="102"/>
      <c r="K616" s="102"/>
      <c r="L616" s="102"/>
      <c r="M616" s="102"/>
      <c r="N616" s="105"/>
      <c r="O616" s="4"/>
      <c r="P616" s="4"/>
    </row>
    <row r="617" spans="1:16" ht="25.2">
      <c r="A617" s="104"/>
      <c r="F617" s="139"/>
      <c r="G617" s="139"/>
      <c r="H617" s="139"/>
      <c r="I617" s="102"/>
      <c r="J617" s="102"/>
      <c r="K617" s="102"/>
      <c r="L617" s="102"/>
      <c r="M617" s="102"/>
      <c r="N617" s="105"/>
      <c r="O617" s="3"/>
      <c r="P617" s="3"/>
    </row>
    <row r="618" spans="1:16" ht="25.2">
      <c r="A618" s="104" t="s">
        <v>230</v>
      </c>
      <c r="F618" s="139" t="s">
        <v>220</v>
      </c>
      <c r="G618" s="241">
        <f>VLOOKUP($P609,'Summary PL'!$A$14:$M$39,13,FALSE)</f>
        <v>2529</v>
      </c>
      <c r="H618" s="139" t="s">
        <v>228</v>
      </c>
      <c r="I618" s="102"/>
      <c r="J618" s="102"/>
      <c r="K618" s="102"/>
      <c r="L618" s="102"/>
      <c r="M618" s="102"/>
      <c r="N618" s="105"/>
      <c r="O618" s="3"/>
      <c r="P618" s="3"/>
    </row>
    <row r="619" spans="1:16" ht="25.2">
      <c r="A619" s="104" t="s">
        <v>231</v>
      </c>
      <c r="F619" s="139"/>
      <c r="G619" s="139"/>
      <c r="H619" s="102"/>
      <c r="I619" s="102"/>
      <c r="J619" s="102"/>
      <c r="K619" s="102"/>
      <c r="L619" s="102"/>
      <c r="M619" s="102"/>
      <c r="N619" s="105"/>
      <c r="O619" s="4"/>
      <c r="P619" s="4"/>
    </row>
    <row r="620" spans="1:16" ht="25.2">
      <c r="A620" s="104"/>
      <c r="F620" s="139"/>
      <c r="G620" s="139"/>
      <c r="H620" s="102"/>
      <c r="I620" s="102"/>
      <c r="J620" s="102"/>
      <c r="K620" s="102"/>
      <c r="L620" s="102"/>
      <c r="M620" s="102"/>
      <c r="N620" s="105"/>
      <c r="O620" s="3"/>
      <c r="P620" s="3"/>
    </row>
    <row r="621" spans="1:16" ht="25.2">
      <c r="A621" s="108" t="s">
        <v>232</v>
      </c>
      <c r="F621" s="139" t="s">
        <v>220</v>
      </c>
      <c r="G621" s="241">
        <f>VLOOKUP($P609,'Summary PL'!$A$14:$M$39,11,FALSE)</f>
        <v>3.2149999999999999</v>
      </c>
      <c r="H621" s="240" t="s">
        <v>233</v>
      </c>
      <c r="I621" s="240"/>
      <c r="J621" s="240"/>
      <c r="K621" s="240"/>
      <c r="L621" s="102"/>
      <c r="M621" s="102"/>
      <c r="N621" s="105"/>
      <c r="O621" s="3"/>
      <c r="P621" s="3"/>
    </row>
    <row r="622" spans="1:16" ht="25.2">
      <c r="A622" s="104" t="s">
        <v>234</v>
      </c>
      <c r="F622" s="139"/>
      <c r="G622" s="139"/>
      <c r="H622" s="102"/>
      <c r="I622" s="102"/>
      <c r="J622" s="102"/>
      <c r="K622" s="102"/>
      <c r="L622" s="102"/>
      <c r="M622" s="102"/>
      <c r="N622" s="105"/>
      <c r="O622" s="4"/>
      <c r="P622" s="4"/>
    </row>
    <row r="623" spans="1:16" ht="25.2">
      <c r="A623" s="104"/>
      <c r="F623" s="139"/>
      <c r="G623" s="139"/>
      <c r="H623" s="102"/>
      <c r="I623" s="102"/>
      <c r="J623" s="102"/>
      <c r="K623" s="102"/>
      <c r="L623" s="102"/>
      <c r="M623" s="102"/>
      <c r="N623" s="105"/>
      <c r="O623" s="3"/>
      <c r="P623" s="3"/>
    </row>
    <row r="624" spans="1:16" ht="25.2">
      <c r="A624" s="104" t="s">
        <v>235</v>
      </c>
      <c r="F624" s="139" t="s">
        <v>236</v>
      </c>
      <c r="G624" s="508" t="s">
        <v>237</v>
      </c>
      <c r="H624" s="508"/>
      <c r="I624" s="508"/>
      <c r="J624" s="508"/>
      <c r="K624" s="508"/>
      <c r="L624" s="508"/>
      <c r="M624" s="508"/>
      <c r="N624" s="509"/>
      <c r="O624" s="3"/>
      <c r="P624" s="3"/>
    </row>
    <row r="625" spans="1:16" ht="25.2">
      <c r="A625" s="104" t="s">
        <v>238</v>
      </c>
      <c r="F625" s="139"/>
      <c r="G625" s="508"/>
      <c r="H625" s="508"/>
      <c r="I625" s="508"/>
      <c r="J625" s="508"/>
      <c r="K625" s="508"/>
      <c r="L625" s="508"/>
      <c r="M625" s="508"/>
      <c r="N625" s="509"/>
      <c r="O625" s="4"/>
      <c r="P625" s="4"/>
    </row>
    <row r="626" spans="1:16" ht="25.2">
      <c r="A626" s="104"/>
      <c r="F626" s="139"/>
      <c r="G626" s="140"/>
      <c r="H626" s="102"/>
      <c r="I626" s="102"/>
      <c r="J626" s="102"/>
      <c r="K626" s="102"/>
      <c r="L626" s="102"/>
      <c r="M626" s="102"/>
      <c r="N626" s="105"/>
      <c r="O626" s="4"/>
      <c r="P626" s="4"/>
    </row>
    <row r="627" spans="1:16" ht="25.8" thickBot="1">
      <c r="A627" s="104"/>
      <c r="E627" s="139"/>
      <c r="F627" s="239"/>
      <c r="G627" s="139"/>
      <c r="H627" s="102"/>
      <c r="I627" s="102"/>
      <c r="J627" s="102"/>
      <c r="K627" s="102"/>
      <c r="L627" s="102"/>
      <c r="M627" s="102"/>
      <c r="N627" s="105"/>
      <c r="O627" s="4"/>
      <c r="P627" s="4"/>
    </row>
    <row r="628" spans="1:16">
      <c r="A628" s="98"/>
      <c r="B628" s="99"/>
      <c r="C628" s="99"/>
      <c r="D628" s="99"/>
      <c r="E628" s="510" t="s">
        <v>239</v>
      </c>
      <c r="F628" s="511"/>
      <c r="G628" s="511"/>
      <c r="H628" s="511"/>
      <c r="I628" s="511"/>
      <c r="J628" s="511"/>
      <c r="K628" s="511"/>
      <c r="L628" s="100"/>
      <c r="M628" s="100"/>
      <c r="N628" s="101"/>
    </row>
    <row r="629" spans="1:16" ht="21.6" thickBot="1">
      <c r="A629" s="109"/>
      <c r="B629" s="110"/>
      <c r="C629" s="110"/>
      <c r="D629" s="110"/>
      <c r="E629" s="512"/>
      <c r="F629" s="512"/>
      <c r="G629" s="512"/>
      <c r="H629" s="512"/>
      <c r="I629" s="512"/>
      <c r="J629" s="512"/>
      <c r="K629" s="512"/>
      <c r="L629" s="111"/>
      <c r="M629" s="111"/>
      <c r="N629" s="112"/>
    </row>
    <row r="630" spans="1:16">
      <c r="A630" s="98"/>
      <c r="B630" s="99"/>
      <c r="C630" s="99"/>
      <c r="D630" s="99"/>
      <c r="E630" s="99"/>
      <c r="F630" s="100"/>
      <c r="G630" s="100"/>
      <c r="H630" s="100"/>
      <c r="I630" s="100"/>
      <c r="J630" s="100"/>
      <c r="K630" s="100"/>
      <c r="L630" s="100"/>
      <c r="M630" s="100"/>
      <c r="N630" s="101"/>
    </row>
    <row r="631" spans="1:16">
      <c r="A631" s="243"/>
      <c r="N631" s="242"/>
    </row>
    <row r="632" spans="1:16" ht="31.2">
      <c r="A632" s="513" t="s">
        <v>207</v>
      </c>
      <c r="B632" s="514"/>
      <c r="C632" s="514"/>
      <c r="D632" s="514"/>
      <c r="E632" s="514"/>
      <c r="F632" s="514"/>
      <c r="G632" s="514"/>
      <c r="H632" s="514"/>
      <c r="I632" s="514"/>
      <c r="J632" s="514"/>
      <c r="K632" s="514"/>
      <c r="L632" s="514"/>
      <c r="M632" s="514"/>
      <c r="N632" s="515"/>
    </row>
    <row r="633" spans="1:16" ht="25.2">
      <c r="A633" s="115" t="s">
        <v>208</v>
      </c>
      <c r="B633" s="138"/>
      <c r="C633" s="138"/>
      <c r="F633" s="139" t="s">
        <v>209</v>
      </c>
      <c r="G633" s="508" t="s">
        <v>210</v>
      </c>
      <c r="H633" s="508"/>
      <c r="I633" s="508"/>
      <c r="J633" s="508"/>
      <c r="K633" s="508"/>
      <c r="L633" s="508"/>
      <c r="M633" s="508"/>
      <c r="N633" s="509"/>
      <c r="O633" s="3"/>
      <c r="P633" s="3"/>
    </row>
    <row r="634" spans="1:16" ht="25.2">
      <c r="A634" s="104" t="s">
        <v>211</v>
      </c>
      <c r="F634" s="139"/>
      <c r="G634" s="508"/>
      <c r="H634" s="508"/>
      <c r="I634" s="508"/>
      <c r="J634" s="508"/>
      <c r="K634" s="508"/>
      <c r="L634" s="508"/>
      <c r="M634" s="508"/>
      <c r="N634" s="509"/>
      <c r="O634" s="4"/>
      <c r="P634" s="4"/>
    </row>
    <row r="635" spans="1:16" ht="25.2">
      <c r="A635" s="104"/>
      <c r="F635" s="139"/>
      <c r="G635" s="102"/>
      <c r="H635" s="102"/>
      <c r="I635" s="102"/>
      <c r="J635" s="102"/>
      <c r="K635" s="102"/>
      <c r="L635" s="102"/>
      <c r="M635" s="102"/>
      <c r="N635" s="105"/>
      <c r="O635" s="3"/>
      <c r="P635" s="3"/>
    </row>
    <row r="636" spans="1:16" ht="25.2">
      <c r="A636" s="104" t="s">
        <v>212</v>
      </c>
      <c r="F636" s="139" t="s">
        <v>213</v>
      </c>
      <c r="G636" s="508" t="str">
        <f>PL!$B$13</f>
        <v>Branch of JSC "Doosan Enerbility" in the Turkestan region</v>
      </c>
      <c r="H636" s="508"/>
      <c r="I636" s="508"/>
      <c r="J636" s="508"/>
      <c r="K636" s="508"/>
      <c r="L636" s="508"/>
      <c r="M636" s="508"/>
      <c r="N636" s="509"/>
      <c r="O636" s="3"/>
      <c r="P636" s="3"/>
    </row>
    <row r="637" spans="1:16" ht="25.2">
      <c r="A637" s="104" t="s">
        <v>214</v>
      </c>
      <c r="F637" s="139"/>
      <c r="G637" s="508" t="str">
        <f>PL!$B$14</f>
        <v>321 Tauke Khan Avenue, Turkestan region, Turkestan, Kazakhstan, 161200</v>
      </c>
      <c r="H637" s="508"/>
      <c r="I637" s="508"/>
      <c r="J637" s="508"/>
      <c r="K637" s="508"/>
      <c r="L637" s="508"/>
      <c r="M637" s="508"/>
      <c r="N637" s="509"/>
      <c r="O637" s="3"/>
      <c r="P637" s="3"/>
    </row>
    <row r="638" spans="1:16" ht="25.2">
      <c r="A638" s="104"/>
      <c r="F638" s="139"/>
      <c r="G638" s="508" t="str">
        <f>PL!$B$15</f>
        <v>BIN: 230741006561</v>
      </c>
      <c r="H638" s="508"/>
      <c r="I638" s="508"/>
      <c r="J638" s="508"/>
      <c r="K638" s="508"/>
      <c r="L638" s="508"/>
      <c r="M638" s="508"/>
      <c r="N638" s="509"/>
      <c r="O638" s="3"/>
      <c r="P638" s="3"/>
    </row>
    <row r="639" spans="1:16" ht="25.2">
      <c r="A639" s="104"/>
      <c r="F639" s="139"/>
      <c r="G639" s="210"/>
      <c r="H639" s="210"/>
      <c r="I639" s="210"/>
      <c r="J639" s="210"/>
      <c r="K639" s="210"/>
      <c r="L639" s="210"/>
      <c r="M639" s="210"/>
      <c r="N639" s="211"/>
      <c r="O639" s="3"/>
      <c r="P639" s="3"/>
    </row>
    <row r="640" spans="1:16" ht="25.2">
      <c r="A640" s="104" t="s">
        <v>215</v>
      </c>
      <c r="F640" s="139" t="s">
        <v>216</v>
      </c>
      <c r="G640" s="102"/>
      <c r="H640" s="102"/>
      <c r="I640" s="102"/>
      <c r="J640" s="102"/>
      <c r="K640" s="102"/>
      <c r="L640" s="102"/>
      <c r="M640" s="102"/>
      <c r="N640" s="105"/>
      <c r="O640" s="3"/>
      <c r="P640" s="3"/>
    </row>
    <row r="641" spans="1:16" ht="25.2">
      <c r="A641" s="104" t="s">
        <v>217</v>
      </c>
      <c r="F641" s="139" t="s">
        <v>218</v>
      </c>
      <c r="G641" s="102"/>
      <c r="H641" s="102"/>
      <c r="I641" s="102"/>
      <c r="J641" s="102"/>
      <c r="K641" s="102"/>
      <c r="L641" s="102"/>
      <c r="M641" s="102"/>
      <c r="N641" s="105"/>
      <c r="O641" s="4"/>
      <c r="P641" s="4"/>
    </row>
    <row r="642" spans="1:16" ht="25.2">
      <c r="A642" s="104"/>
      <c r="F642" s="139"/>
      <c r="G642" s="102"/>
      <c r="H642" s="102"/>
      <c r="I642" s="102"/>
      <c r="J642" s="102"/>
      <c r="K642" s="102"/>
      <c r="L642" s="102"/>
      <c r="M642" s="102"/>
      <c r="N642" s="105"/>
      <c r="O642" s="3"/>
      <c r="P642" s="3"/>
    </row>
    <row r="643" spans="1:16" ht="25.2">
      <c r="A643" s="104" t="s">
        <v>219</v>
      </c>
      <c r="F643" s="139" t="s">
        <v>220</v>
      </c>
      <c r="G643" s="139" t="str">
        <f>PL!$V$8</f>
        <v>PGU-DE-0481</v>
      </c>
      <c r="H643" s="102"/>
      <c r="I643" s="102"/>
      <c r="J643" s="102"/>
      <c r="K643" s="102"/>
      <c r="L643" s="102"/>
      <c r="M643" s="102"/>
      <c r="N643" s="105"/>
      <c r="O643" s="3"/>
      <c r="P643" s="3"/>
    </row>
    <row r="644" spans="1:16" ht="25.2">
      <c r="A644" s="104" t="s">
        <v>221</v>
      </c>
      <c r="F644" s="139"/>
      <c r="G644" s="102"/>
      <c r="H644" s="102"/>
      <c r="I644" s="102"/>
      <c r="J644" s="102"/>
      <c r="K644" s="102"/>
      <c r="L644" s="102"/>
      <c r="M644" s="102"/>
      <c r="N644" s="105"/>
      <c r="O644" s="3"/>
      <c r="P644" s="3"/>
    </row>
    <row r="645" spans="1:16" ht="25.2">
      <c r="A645" s="104"/>
      <c r="F645" s="139"/>
      <c r="G645" s="102"/>
      <c r="H645" s="102"/>
      <c r="I645" s="102"/>
      <c r="J645" s="102"/>
      <c r="K645" s="102"/>
      <c r="L645" s="102"/>
      <c r="M645" s="102"/>
      <c r="N645" s="105"/>
      <c r="O645" s="3"/>
      <c r="P645" s="3"/>
    </row>
    <row r="646" spans="1:16" ht="25.2">
      <c r="A646" s="106" t="s">
        <v>222</v>
      </c>
      <c r="B646" s="141"/>
      <c r="C646" s="141"/>
      <c r="D646" s="141"/>
      <c r="E646" s="141"/>
      <c r="F646" s="142" t="s">
        <v>209</v>
      </c>
      <c r="G646" s="272" t="str">
        <f>VLOOKUP($P646,'Summary PL'!$A$14:$M$39,4,FALSE)</f>
        <v>Power Cable / Кабель питания для ОРУ</v>
      </c>
      <c r="H646" s="141"/>
      <c r="I646" s="141"/>
      <c r="J646" s="141"/>
      <c r="K646" s="141"/>
      <c r="L646" s="141"/>
      <c r="M646" s="141"/>
      <c r="N646" s="107"/>
      <c r="O646" s="3"/>
      <c r="P646" s="3">
        <f>P609+1</f>
        <v>18</v>
      </c>
    </row>
    <row r="647" spans="1:16" ht="25.2">
      <c r="A647" s="106" t="s">
        <v>223</v>
      </c>
      <c r="B647" s="141"/>
      <c r="C647" s="141"/>
      <c r="D647" s="141"/>
      <c r="E647" s="141"/>
      <c r="F647" s="142"/>
      <c r="G647" s="141"/>
      <c r="H647" s="141"/>
      <c r="I647" s="141"/>
      <c r="J647" s="141"/>
      <c r="K647" s="141"/>
      <c r="L647" s="141"/>
      <c r="M647" s="141"/>
      <c r="N647" s="107"/>
      <c r="O647" s="3"/>
      <c r="P647" s="3"/>
    </row>
    <row r="648" spans="1:16" ht="25.2">
      <c r="A648" s="104"/>
      <c r="F648" s="139"/>
      <c r="G648" s="102"/>
      <c r="H648" s="102"/>
      <c r="I648" s="102"/>
      <c r="J648" s="102"/>
      <c r="K648" s="102"/>
      <c r="L648" s="102"/>
      <c r="M648" s="102"/>
      <c r="N648" s="105"/>
      <c r="O648" s="3"/>
      <c r="P648" s="3"/>
    </row>
    <row r="649" spans="1:16" ht="25.2">
      <c r="A649" s="104" t="s">
        <v>224</v>
      </c>
      <c r="F649" s="142" t="s">
        <v>225</v>
      </c>
      <c r="G649" s="272" t="str">
        <f>VLOOKUP($P646,'Summary PL'!$A$14:$M$39,3,FALSE)</f>
        <v>PGU-DE-0481-AIS-PoCable-018</v>
      </c>
      <c r="H649" s="102"/>
      <c r="I649" s="102"/>
      <c r="J649" s="102"/>
      <c r="K649" s="102"/>
      <c r="L649" s="102"/>
      <c r="M649" s="102"/>
      <c r="N649" s="105"/>
      <c r="O649" s="3"/>
      <c r="P649" s="3"/>
    </row>
    <row r="650" spans="1:16" ht="25.2">
      <c r="A650" s="104" t="s">
        <v>226</v>
      </c>
      <c r="F650" s="139"/>
      <c r="G650" s="139"/>
      <c r="H650" s="102"/>
      <c r="I650" s="102"/>
      <c r="J650" s="102"/>
      <c r="K650" s="102"/>
      <c r="L650" s="102"/>
      <c r="M650" s="102"/>
      <c r="N650" s="105"/>
      <c r="O650" s="4"/>
      <c r="P650" s="4"/>
    </row>
    <row r="651" spans="1:16" ht="25.2">
      <c r="A651" s="104"/>
      <c r="F651" s="139"/>
      <c r="G651" s="139"/>
      <c r="H651" s="102"/>
      <c r="I651" s="102"/>
      <c r="J651" s="102"/>
      <c r="K651" s="102"/>
      <c r="L651" s="102"/>
      <c r="M651" s="102"/>
      <c r="N651" s="105"/>
      <c r="O651" s="3"/>
      <c r="P651" s="3"/>
    </row>
    <row r="652" spans="1:16" ht="25.2">
      <c r="A652" s="104" t="s">
        <v>227</v>
      </c>
      <c r="F652" s="139" t="s">
        <v>220</v>
      </c>
      <c r="G652" s="241">
        <f>VLOOKUP($P646,'Summary PL'!$A$14:$M$39,12,FALSE)</f>
        <v>2312</v>
      </c>
      <c r="H652" s="139" t="s">
        <v>228</v>
      </c>
      <c r="I652" s="102"/>
      <c r="J652" s="102"/>
      <c r="K652" s="102"/>
      <c r="L652" s="102"/>
      <c r="M652" s="102"/>
      <c r="N652" s="105"/>
      <c r="O652" s="3"/>
      <c r="P652" s="3"/>
    </row>
    <row r="653" spans="1:16" ht="25.2">
      <c r="A653" s="104" t="s">
        <v>229</v>
      </c>
      <c r="F653" s="139"/>
      <c r="G653" s="139"/>
      <c r="H653" s="139"/>
      <c r="I653" s="102"/>
      <c r="J653" s="102"/>
      <c r="K653" s="102"/>
      <c r="L653" s="102"/>
      <c r="M653" s="102"/>
      <c r="N653" s="105"/>
      <c r="O653" s="4"/>
      <c r="P653" s="4"/>
    </row>
    <row r="654" spans="1:16" ht="25.2">
      <c r="A654" s="104"/>
      <c r="F654" s="139"/>
      <c r="G654" s="139"/>
      <c r="H654" s="139"/>
      <c r="I654" s="102"/>
      <c r="J654" s="102"/>
      <c r="K654" s="102"/>
      <c r="L654" s="102"/>
      <c r="M654" s="102"/>
      <c r="N654" s="105"/>
      <c r="O654" s="3"/>
      <c r="P654" s="3"/>
    </row>
    <row r="655" spans="1:16" ht="25.2">
      <c r="A655" s="104" t="s">
        <v>230</v>
      </c>
      <c r="F655" s="139" t="s">
        <v>220</v>
      </c>
      <c r="G655" s="241">
        <f>VLOOKUP($P646,'Summary PL'!$A$14:$M$39,13,FALSE)</f>
        <v>2911</v>
      </c>
      <c r="H655" s="139" t="s">
        <v>228</v>
      </c>
      <c r="I655" s="102"/>
      <c r="J655" s="102"/>
      <c r="K655" s="102"/>
      <c r="L655" s="102"/>
      <c r="M655" s="102"/>
      <c r="N655" s="105"/>
      <c r="O655" s="3"/>
      <c r="P655" s="3"/>
    </row>
    <row r="656" spans="1:16" ht="25.2">
      <c r="A656" s="104" t="s">
        <v>231</v>
      </c>
      <c r="F656" s="139"/>
      <c r="G656" s="139"/>
      <c r="H656" s="102"/>
      <c r="I656" s="102"/>
      <c r="J656" s="102"/>
      <c r="K656" s="102"/>
      <c r="L656" s="102"/>
      <c r="M656" s="102"/>
      <c r="N656" s="105"/>
      <c r="O656" s="4"/>
      <c r="P656" s="4"/>
    </row>
    <row r="657" spans="1:16" ht="25.2">
      <c r="A657" s="104"/>
      <c r="F657" s="139"/>
      <c r="G657" s="139"/>
      <c r="H657" s="102"/>
      <c r="I657" s="102"/>
      <c r="J657" s="102"/>
      <c r="K657" s="102"/>
      <c r="L657" s="102"/>
      <c r="M657" s="102"/>
      <c r="N657" s="105"/>
      <c r="O657" s="3"/>
      <c r="P657" s="3"/>
    </row>
    <row r="658" spans="1:16" ht="25.2">
      <c r="A658" s="108" t="s">
        <v>232</v>
      </c>
      <c r="F658" s="139" t="s">
        <v>220</v>
      </c>
      <c r="G658" s="241">
        <f>VLOOKUP($P646,'Summary PL'!$A$14:$M$39,11,FALSE)</f>
        <v>4.37</v>
      </c>
      <c r="H658" s="240" t="s">
        <v>233</v>
      </c>
      <c r="I658" s="240"/>
      <c r="J658" s="240"/>
      <c r="K658" s="240"/>
      <c r="L658" s="102"/>
      <c r="M658" s="102"/>
      <c r="N658" s="105"/>
      <c r="O658" s="3"/>
      <c r="P658" s="3"/>
    </row>
    <row r="659" spans="1:16" ht="25.2">
      <c r="A659" s="104" t="s">
        <v>234</v>
      </c>
      <c r="F659" s="139"/>
      <c r="G659" s="139"/>
      <c r="H659" s="102"/>
      <c r="I659" s="102"/>
      <c r="J659" s="102"/>
      <c r="K659" s="102"/>
      <c r="L659" s="102"/>
      <c r="M659" s="102"/>
      <c r="N659" s="105"/>
      <c r="O659" s="4"/>
      <c r="P659" s="4"/>
    </row>
    <row r="660" spans="1:16" ht="25.2">
      <c r="A660" s="104"/>
      <c r="F660" s="139"/>
      <c r="G660" s="139"/>
      <c r="H660" s="102"/>
      <c r="I660" s="102"/>
      <c r="J660" s="102"/>
      <c r="K660" s="102"/>
      <c r="L660" s="102"/>
      <c r="M660" s="102"/>
      <c r="N660" s="105"/>
      <c r="O660" s="3"/>
      <c r="P660" s="3"/>
    </row>
    <row r="661" spans="1:16" ht="25.2">
      <c r="A661" s="104" t="s">
        <v>235</v>
      </c>
      <c r="F661" s="139" t="s">
        <v>236</v>
      </c>
      <c r="G661" s="508" t="s">
        <v>237</v>
      </c>
      <c r="H661" s="508"/>
      <c r="I661" s="508"/>
      <c r="J661" s="508"/>
      <c r="K661" s="508"/>
      <c r="L661" s="508"/>
      <c r="M661" s="508"/>
      <c r="N661" s="509"/>
      <c r="O661" s="3"/>
      <c r="P661" s="3"/>
    </row>
    <row r="662" spans="1:16" ht="25.2">
      <c r="A662" s="104" t="s">
        <v>238</v>
      </c>
      <c r="F662" s="139"/>
      <c r="G662" s="508"/>
      <c r="H662" s="508"/>
      <c r="I662" s="508"/>
      <c r="J662" s="508"/>
      <c r="K662" s="508"/>
      <c r="L662" s="508"/>
      <c r="M662" s="508"/>
      <c r="N662" s="509"/>
      <c r="O662" s="4"/>
      <c r="P662" s="4"/>
    </row>
    <row r="663" spans="1:16" ht="25.2">
      <c r="A663" s="104"/>
      <c r="F663" s="139"/>
      <c r="G663" s="140"/>
      <c r="H663" s="102"/>
      <c r="I663" s="102"/>
      <c r="J663" s="102"/>
      <c r="K663" s="102"/>
      <c r="L663" s="102"/>
      <c r="M663" s="102"/>
      <c r="N663" s="105"/>
      <c r="O663" s="4"/>
      <c r="P663" s="4"/>
    </row>
    <row r="664" spans="1:16" ht="25.8" thickBot="1">
      <c r="A664" s="104"/>
      <c r="E664" s="139"/>
      <c r="F664" s="239"/>
      <c r="G664" s="139"/>
      <c r="H664" s="102"/>
      <c r="I664" s="102"/>
      <c r="J664" s="102"/>
      <c r="K664" s="102"/>
      <c r="L664" s="102"/>
      <c r="M664" s="102"/>
      <c r="N664" s="105"/>
      <c r="O664" s="4"/>
      <c r="P664" s="4"/>
    </row>
    <row r="665" spans="1:16">
      <c r="A665" s="98"/>
      <c r="B665" s="99"/>
      <c r="C665" s="99"/>
      <c r="D665" s="99"/>
      <c r="E665" s="510" t="s">
        <v>239</v>
      </c>
      <c r="F665" s="511"/>
      <c r="G665" s="511"/>
      <c r="H665" s="511"/>
      <c r="I665" s="511"/>
      <c r="J665" s="511"/>
      <c r="K665" s="511"/>
      <c r="L665" s="100"/>
      <c r="M665" s="100"/>
      <c r="N665" s="101"/>
    </row>
    <row r="666" spans="1:16" ht="21.6" thickBot="1">
      <c r="A666" s="109"/>
      <c r="B666" s="110"/>
      <c r="C666" s="110"/>
      <c r="D666" s="110"/>
      <c r="E666" s="512"/>
      <c r="F666" s="512"/>
      <c r="G666" s="512"/>
      <c r="H666" s="512"/>
      <c r="I666" s="512"/>
      <c r="J666" s="512"/>
      <c r="K666" s="512"/>
      <c r="L666" s="111"/>
      <c r="M666" s="111"/>
      <c r="N666" s="112"/>
    </row>
    <row r="667" spans="1:16">
      <c r="A667" s="98"/>
      <c r="B667" s="99"/>
      <c r="C667" s="99"/>
      <c r="D667" s="99"/>
      <c r="E667" s="99"/>
      <c r="F667" s="100"/>
      <c r="G667" s="100"/>
      <c r="H667" s="100"/>
      <c r="I667" s="100"/>
      <c r="J667" s="100"/>
      <c r="K667" s="100"/>
      <c r="L667" s="100"/>
      <c r="M667" s="100"/>
      <c r="N667" s="101"/>
    </row>
    <row r="668" spans="1:16">
      <c r="A668" s="243"/>
      <c r="N668" s="242"/>
    </row>
    <row r="669" spans="1:16" ht="31.2">
      <c r="A669" s="513" t="s">
        <v>207</v>
      </c>
      <c r="B669" s="514"/>
      <c r="C669" s="514"/>
      <c r="D669" s="514"/>
      <c r="E669" s="514"/>
      <c r="F669" s="514"/>
      <c r="G669" s="514"/>
      <c r="H669" s="514"/>
      <c r="I669" s="514"/>
      <c r="J669" s="514"/>
      <c r="K669" s="514"/>
      <c r="L669" s="514"/>
      <c r="M669" s="514"/>
      <c r="N669" s="515"/>
    </row>
    <row r="670" spans="1:16" ht="25.2">
      <c r="A670" s="115" t="s">
        <v>208</v>
      </c>
      <c r="B670" s="138"/>
      <c r="C670" s="138"/>
      <c r="F670" s="139" t="s">
        <v>209</v>
      </c>
      <c r="G670" s="508" t="s">
        <v>210</v>
      </c>
      <c r="H670" s="508"/>
      <c r="I670" s="508"/>
      <c r="J670" s="508"/>
      <c r="K670" s="508"/>
      <c r="L670" s="508"/>
      <c r="M670" s="508"/>
      <c r="N670" s="509"/>
      <c r="O670" s="3"/>
      <c r="P670" s="3"/>
    </row>
    <row r="671" spans="1:16" ht="25.2">
      <c r="A671" s="104" t="s">
        <v>211</v>
      </c>
      <c r="F671" s="139"/>
      <c r="G671" s="508"/>
      <c r="H671" s="508"/>
      <c r="I671" s="508"/>
      <c r="J671" s="508"/>
      <c r="K671" s="508"/>
      <c r="L671" s="508"/>
      <c r="M671" s="508"/>
      <c r="N671" s="509"/>
      <c r="O671" s="4"/>
      <c r="P671" s="4"/>
    </row>
    <row r="672" spans="1:16" ht="25.2">
      <c r="A672" s="104"/>
      <c r="F672" s="139"/>
      <c r="G672" s="102"/>
      <c r="H672" s="102"/>
      <c r="I672" s="102"/>
      <c r="J672" s="102"/>
      <c r="K672" s="102"/>
      <c r="L672" s="102"/>
      <c r="M672" s="102"/>
      <c r="N672" s="105"/>
      <c r="O672" s="3"/>
      <c r="P672" s="3"/>
    </row>
    <row r="673" spans="1:16" ht="25.2">
      <c r="A673" s="104" t="s">
        <v>212</v>
      </c>
      <c r="F673" s="139" t="s">
        <v>213</v>
      </c>
      <c r="G673" s="508" t="str">
        <f>PL!$B$13</f>
        <v>Branch of JSC "Doosan Enerbility" in the Turkestan region</v>
      </c>
      <c r="H673" s="508"/>
      <c r="I673" s="508"/>
      <c r="J673" s="508"/>
      <c r="K673" s="508"/>
      <c r="L673" s="508"/>
      <c r="M673" s="508"/>
      <c r="N673" s="509"/>
      <c r="O673" s="3"/>
      <c r="P673" s="3"/>
    </row>
    <row r="674" spans="1:16" ht="25.2">
      <c r="A674" s="104" t="s">
        <v>214</v>
      </c>
      <c r="F674" s="139"/>
      <c r="G674" s="508" t="str">
        <f>PL!$B$14</f>
        <v>321 Tauke Khan Avenue, Turkestan region, Turkestan, Kazakhstan, 161200</v>
      </c>
      <c r="H674" s="508"/>
      <c r="I674" s="508"/>
      <c r="J674" s="508"/>
      <c r="K674" s="508"/>
      <c r="L674" s="508"/>
      <c r="M674" s="508"/>
      <c r="N674" s="509"/>
      <c r="O674" s="3"/>
      <c r="P674" s="3"/>
    </row>
    <row r="675" spans="1:16" ht="25.2">
      <c r="A675" s="104"/>
      <c r="F675" s="139"/>
      <c r="G675" s="508" t="str">
        <f>PL!$B$15</f>
        <v>BIN: 230741006561</v>
      </c>
      <c r="H675" s="508"/>
      <c r="I675" s="508"/>
      <c r="J675" s="508"/>
      <c r="K675" s="508"/>
      <c r="L675" s="508"/>
      <c r="M675" s="508"/>
      <c r="N675" s="509"/>
      <c r="O675" s="3"/>
      <c r="P675" s="3"/>
    </row>
    <row r="676" spans="1:16" ht="25.2">
      <c r="A676" s="104"/>
      <c r="F676" s="139"/>
      <c r="G676" s="210"/>
      <c r="H676" s="210"/>
      <c r="I676" s="210"/>
      <c r="J676" s="210"/>
      <c r="K676" s="210"/>
      <c r="L676" s="210"/>
      <c r="M676" s="210"/>
      <c r="N676" s="211"/>
      <c r="O676" s="3"/>
      <c r="P676" s="3"/>
    </row>
    <row r="677" spans="1:16" ht="25.2">
      <c r="A677" s="104" t="s">
        <v>215</v>
      </c>
      <c r="F677" s="139" t="s">
        <v>216</v>
      </c>
      <c r="G677" s="102"/>
      <c r="H677" s="102"/>
      <c r="I677" s="102"/>
      <c r="J677" s="102"/>
      <c r="K677" s="102"/>
      <c r="L677" s="102"/>
      <c r="M677" s="102"/>
      <c r="N677" s="105"/>
      <c r="O677" s="3"/>
      <c r="P677" s="3"/>
    </row>
    <row r="678" spans="1:16" ht="25.2">
      <c r="A678" s="104" t="s">
        <v>217</v>
      </c>
      <c r="F678" s="139" t="s">
        <v>218</v>
      </c>
      <c r="G678" s="102"/>
      <c r="H678" s="102"/>
      <c r="I678" s="102"/>
      <c r="J678" s="102"/>
      <c r="K678" s="102"/>
      <c r="L678" s="102"/>
      <c r="M678" s="102"/>
      <c r="N678" s="105"/>
      <c r="O678" s="4"/>
      <c r="P678" s="4"/>
    </row>
    <row r="679" spans="1:16" ht="25.2">
      <c r="A679" s="104"/>
      <c r="F679" s="139"/>
      <c r="G679" s="102"/>
      <c r="H679" s="102"/>
      <c r="I679" s="102"/>
      <c r="J679" s="102"/>
      <c r="K679" s="102"/>
      <c r="L679" s="102"/>
      <c r="M679" s="102"/>
      <c r="N679" s="105"/>
      <c r="O679" s="3"/>
      <c r="P679" s="3"/>
    </row>
    <row r="680" spans="1:16" ht="25.2">
      <c r="A680" s="104" t="s">
        <v>219</v>
      </c>
      <c r="F680" s="139" t="s">
        <v>220</v>
      </c>
      <c r="G680" s="139" t="str">
        <f>PL!$V$8</f>
        <v>PGU-DE-0481</v>
      </c>
      <c r="H680" s="102"/>
      <c r="I680" s="102"/>
      <c r="J680" s="102"/>
      <c r="K680" s="102"/>
      <c r="L680" s="102"/>
      <c r="M680" s="102"/>
      <c r="N680" s="105"/>
      <c r="O680" s="3"/>
      <c r="P680" s="3"/>
    </row>
    <row r="681" spans="1:16" ht="25.2">
      <c r="A681" s="104" t="s">
        <v>221</v>
      </c>
      <c r="F681" s="139"/>
      <c r="G681" s="102"/>
      <c r="H681" s="102"/>
      <c r="I681" s="102"/>
      <c r="J681" s="102"/>
      <c r="K681" s="102"/>
      <c r="L681" s="102"/>
      <c r="M681" s="102"/>
      <c r="N681" s="105"/>
      <c r="O681" s="3"/>
      <c r="P681" s="3"/>
    </row>
    <row r="682" spans="1:16" ht="25.2">
      <c r="A682" s="104"/>
      <c r="F682" s="139"/>
      <c r="G682" s="102"/>
      <c r="H682" s="102"/>
      <c r="I682" s="102"/>
      <c r="J682" s="102"/>
      <c r="K682" s="102"/>
      <c r="L682" s="102"/>
      <c r="M682" s="102"/>
      <c r="N682" s="105"/>
      <c r="O682" s="3"/>
      <c r="P682" s="3"/>
    </row>
    <row r="683" spans="1:16" ht="25.2">
      <c r="A683" s="106" t="s">
        <v>222</v>
      </c>
      <c r="B683" s="141"/>
      <c r="C683" s="141"/>
      <c r="D683" s="141"/>
      <c r="E683" s="141"/>
      <c r="F683" s="142" t="s">
        <v>209</v>
      </c>
      <c r="G683" s="272" t="str">
        <f>VLOOKUP($P683,'Summary PL'!$A$14:$M$39,4,FALSE)</f>
        <v>Power Cable / Кабель питания для ОРУ</v>
      </c>
      <c r="H683" s="141"/>
      <c r="I683" s="141"/>
      <c r="J683" s="141"/>
      <c r="K683" s="141"/>
      <c r="L683" s="141"/>
      <c r="M683" s="141"/>
      <c r="N683" s="107"/>
      <c r="O683" s="3"/>
      <c r="P683" s="3">
        <f>P646+1</f>
        <v>19</v>
      </c>
    </row>
    <row r="684" spans="1:16" ht="25.2">
      <c r="A684" s="106" t="s">
        <v>223</v>
      </c>
      <c r="B684" s="141"/>
      <c r="C684" s="141"/>
      <c r="D684" s="141"/>
      <c r="E684" s="141"/>
      <c r="F684" s="142"/>
      <c r="G684" s="141"/>
      <c r="H684" s="141"/>
      <c r="I684" s="141"/>
      <c r="J684" s="141"/>
      <c r="K684" s="141"/>
      <c r="L684" s="141"/>
      <c r="M684" s="141"/>
      <c r="N684" s="107"/>
      <c r="O684" s="3"/>
      <c r="P684" s="3"/>
    </row>
    <row r="685" spans="1:16" ht="25.2">
      <c r="A685" s="104"/>
      <c r="F685" s="139"/>
      <c r="G685" s="102"/>
      <c r="H685" s="102"/>
      <c r="I685" s="102"/>
      <c r="J685" s="102"/>
      <c r="K685" s="102"/>
      <c r="L685" s="102"/>
      <c r="M685" s="102"/>
      <c r="N685" s="105"/>
      <c r="O685" s="3"/>
      <c r="P685" s="3"/>
    </row>
    <row r="686" spans="1:16" ht="25.2">
      <c r="A686" s="104" t="s">
        <v>224</v>
      </c>
      <c r="F686" s="142" t="s">
        <v>225</v>
      </c>
      <c r="G686" s="272" t="str">
        <f>VLOOKUP($P683,'Summary PL'!$A$14:$M$39,3,FALSE)</f>
        <v>PGU-DE-0481-AIS-PoCable-019</v>
      </c>
      <c r="H686" s="102"/>
      <c r="I686" s="102"/>
      <c r="J686" s="102"/>
      <c r="K686" s="102"/>
      <c r="L686" s="102"/>
      <c r="M686" s="102"/>
      <c r="N686" s="105"/>
      <c r="O686" s="3"/>
      <c r="P686" s="3"/>
    </row>
    <row r="687" spans="1:16" ht="25.2">
      <c r="A687" s="104" t="s">
        <v>226</v>
      </c>
      <c r="F687" s="139"/>
      <c r="G687" s="139"/>
      <c r="H687" s="102"/>
      <c r="I687" s="102"/>
      <c r="J687" s="102"/>
      <c r="K687" s="102"/>
      <c r="L687" s="102"/>
      <c r="M687" s="102"/>
      <c r="N687" s="105"/>
      <c r="O687" s="4"/>
      <c r="P687" s="4"/>
    </row>
    <row r="688" spans="1:16" ht="25.2">
      <c r="A688" s="104"/>
      <c r="F688" s="139"/>
      <c r="G688" s="139"/>
      <c r="H688" s="102"/>
      <c r="I688" s="102"/>
      <c r="J688" s="102"/>
      <c r="K688" s="102"/>
      <c r="L688" s="102"/>
      <c r="M688" s="102"/>
      <c r="N688" s="105"/>
      <c r="O688" s="3"/>
      <c r="P688" s="3"/>
    </row>
    <row r="689" spans="1:16" ht="25.2">
      <c r="A689" s="104" t="s">
        <v>227</v>
      </c>
      <c r="F689" s="139" t="s">
        <v>220</v>
      </c>
      <c r="G689" s="241">
        <f>VLOOKUP($P683,'Summary PL'!$A$14:$M$39,12,FALSE)</f>
        <v>542</v>
      </c>
      <c r="H689" s="139" t="s">
        <v>228</v>
      </c>
      <c r="I689" s="102"/>
      <c r="J689" s="102"/>
      <c r="K689" s="102"/>
      <c r="L689" s="102"/>
      <c r="M689" s="102"/>
      <c r="N689" s="105"/>
      <c r="O689" s="3"/>
      <c r="P689" s="3"/>
    </row>
    <row r="690" spans="1:16" ht="25.2">
      <c r="A690" s="104" t="s">
        <v>229</v>
      </c>
      <c r="F690" s="139"/>
      <c r="G690" s="139"/>
      <c r="H690" s="139"/>
      <c r="I690" s="102"/>
      <c r="J690" s="102"/>
      <c r="K690" s="102"/>
      <c r="L690" s="102"/>
      <c r="M690" s="102"/>
      <c r="N690" s="105"/>
      <c r="O690" s="4"/>
      <c r="P690" s="4"/>
    </row>
    <row r="691" spans="1:16" ht="25.2">
      <c r="A691" s="104"/>
      <c r="F691" s="139"/>
      <c r="G691" s="139"/>
      <c r="H691" s="139"/>
      <c r="I691" s="102"/>
      <c r="J691" s="102"/>
      <c r="K691" s="102"/>
      <c r="L691" s="102"/>
      <c r="M691" s="102"/>
      <c r="N691" s="105"/>
      <c r="O691" s="3"/>
      <c r="P691" s="3"/>
    </row>
    <row r="692" spans="1:16" ht="25.2">
      <c r="A692" s="104" t="s">
        <v>230</v>
      </c>
      <c r="F692" s="139" t="s">
        <v>220</v>
      </c>
      <c r="G692" s="241">
        <f>VLOOKUP($P683,'Summary PL'!$A$14:$M$39,13,FALSE)</f>
        <v>745</v>
      </c>
      <c r="H692" s="139" t="s">
        <v>228</v>
      </c>
      <c r="I692" s="102"/>
      <c r="J692" s="102"/>
      <c r="K692" s="102"/>
      <c r="L692" s="102"/>
      <c r="M692" s="102"/>
      <c r="N692" s="105"/>
      <c r="O692" s="3"/>
      <c r="P692" s="3"/>
    </row>
    <row r="693" spans="1:16" ht="25.2">
      <c r="A693" s="104" t="s">
        <v>231</v>
      </c>
      <c r="F693" s="139"/>
      <c r="G693" s="139"/>
      <c r="H693" s="102"/>
      <c r="I693" s="102"/>
      <c r="J693" s="102"/>
      <c r="K693" s="102"/>
      <c r="L693" s="102"/>
      <c r="M693" s="102"/>
      <c r="N693" s="105"/>
      <c r="O693" s="4"/>
      <c r="P693" s="4"/>
    </row>
    <row r="694" spans="1:16" ht="25.2">
      <c r="A694" s="104"/>
      <c r="F694" s="139"/>
      <c r="G694" s="139"/>
      <c r="H694" s="102"/>
      <c r="I694" s="102"/>
      <c r="J694" s="102"/>
      <c r="K694" s="102"/>
      <c r="L694" s="102"/>
      <c r="M694" s="102"/>
      <c r="N694" s="105"/>
      <c r="O694" s="3"/>
      <c r="P694" s="3"/>
    </row>
    <row r="695" spans="1:16" ht="25.2">
      <c r="A695" s="108" t="s">
        <v>232</v>
      </c>
      <c r="F695" s="139" t="s">
        <v>220</v>
      </c>
      <c r="G695" s="241">
        <f>VLOOKUP($P683,'Summary PL'!$A$14:$M$39,11,FALSE)</f>
        <v>1.512</v>
      </c>
      <c r="H695" s="240" t="s">
        <v>233</v>
      </c>
      <c r="I695" s="240"/>
      <c r="J695" s="240"/>
      <c r="K695" s="240"/>
      <c r="L695" s="102"/>
      <c r="M695" s="102"/>
      <c r="N695" s="105"/>
      <c r="O695" s="3"/>
      <c r="P695" s="3"/>
    </row>
    <row r="696" spans="1:16" ht="25.2">
      <c r="A696" s="104" t="s">
        <v>234</v>
      </c>
      <c r="F696" s="139"/>
      <c r="G696" s="139"/>
      <c r="H696" s="102"/>
      <c r="I696" s="102"/>
      <c r="J696" s="102"/>
      <c r="K696" s="102"/>
      <c r="L696" s="102"/>
      <c r="M696" s="102"/>
      <c r="N696" s="105"/>
      <c r="O696" s="4"/>
      <c r="P696" s="4"/>
    </row>
    <row r="697" spans="1:16" ht="25.2">
      <c r="A697" s="104"/>
      <c r="F697" s="139"/>
      <c r="G697" s="139"/>
      <c r="H697" s="102"/>
      <c r="I697" s="102"/>
      <c r="J697" s="102"/>
      <c r="K697" s="102"/>
      <c r="L697" s="102"/>
      <c r="M697" s="102"/>
      <c r="N697" s="105"/>
      <c r="O697" s="3"/>
      <c r="P697" s="3"/>
    </row>
    <row r="698" spans="1:16" ht="25.2">
      <c r="A698" s="104" t="s">
        <v>235</v>
      </c>
      <c r="F698" s="139" t="s">
        <v>236</v>
      </c>
      <c r="G698" s="508" t="s">
        <v>237</v>
      </c>
      <c r="H698" s="508"/>
      <c r="I698" s="508"/>
      <c r="J698" s="508"/>
      <c r="K698" s="508"/>
      <c r="L698" s="508"/>
      <c r="M698" s="508"/>
      <c r="N698" s="509"/>
      <c r="O698" s="3"/>
      <c r="P698" s="3"/>
    </row>
    <row r="699" spans="1:16" ht="25.2">
      <c r="A699" s="104" t="s">
        <v>238</v>
      </c>
      <c r="F699" s="139"/>
      <c r="G699" s="508"/>
      <c r="H699" s="508"/>
      <c r="I699" s="508"/>
      <c r="J699" s="508"/>
      <c r="K699" s="508"/>
      <c r="L699" s="508"/>
      <c r="M699" s="508"/>
      <c r="N699" s="509"/>
      <c r="O699" s="4"/>
      <c r="P699" s="4"/>
    </row>
    <row r="700" spans="1:16" ht="25.2">
      <c r="A700" s="104"/>
      <c r="F700" s="139"/>
      <c r="G700" s="140"/>
      <c r="H700" s="102"/>
      <c r="I700" s="102"/>
      <c r="J700" s="102"/>
      <c r="K700" s="102"/>
      <c r="L700" s="102"/>
      <c r="M700" s="102"/>
      <c r="N700" s="105"/>
      <c r="O700" s="4"/>
      <c r="P700" s="4"/>
    </row>
    <row r="701" spans="1:16" ht="25.8" thickBot="1">
      <c r="A701" s="104"/>
      <c r="E701" s="139"/>
      <c r="F701" s="239"/>
      <c r="G701" s="139"/>
      <c r="H701" s="102"/>
      <c r="I701" s="102"/>
      <c r="J701" s="102"/>
      <c r="K701" s="102"/>
      <c r="L701" s="102"/>
      <c r="M701" s="102"/>
      <c r="N701" s="105"/>
      <c r="O701" s="4"/>
      <c r="P701" s="4"/>
    </row>
    <row r="702" spans="1:16">
      <c r="A702" s="98"/>
      <c r="B702" s="99"/>
      <c r="C702" s="99"/>
      <c r="D702" s="99"/>
      <c r="E702" s="510" t="s">
        <v>239</v>
      </c>
      <c r="F702" s="511"/>
      <c r="G702" s="511"/>
      <c r="H702" s="511"/>
      <c r="I702" s="511"/>
      <c r="J702" s="511"/>
      <c r="K702" s="511"/>
      <c r="L702" s="100"/>
      <c r="M702" s="100"/>
      <c r="N702" s="101"/>
    </row>
    <row r="703" spans="1:16" ht="21.6" thickBot="1">
      <c r="A703" s="109"/>
      <c r="B703" s="110"/>
      <c r="C703" s="110"/>
      <c r="D703" s="110"/>
      <c r="E703" s="512"/>
      <c r="F703" s="512"/>
      <c r="G703" s="512"/>
      <c r="H703" s="512"/>
      <c r="I703" s="512"/>
      <c r="J703" s="512"/>
      <c r="K703" s="512"/>
      <c r="L703" s="111"/>
      <c r="M703" s="111"/>
      <c r="N703" s="112"/>
    </row>
    <row r="704" spans="1:16">
      <c r="A704" s="98"/>
      <c r="B704" s="99"/>
      <c r="C704" s="99"/>
      <c r="D704" s="99"/>
      <c r="E704" s="99"/>
      <c r="F704" s="100"/>
      <c r="G704" s="100"/>
      <c r="H704" s="100"/>
      <c r="I704" s="100"/>
      <c r="J704" s="100"/>
      <c r="K704" s="100"/>
      <c r="L704" s="100"/>
      <c r="M704" s="100"/>
      <c r="N704" s="101"/>
    </row>
    <row r="705" spans="1:16">
      <c r="A705" s="243"/>
      <c r="N705" s="242"/>
    </row>
    <row r="706" spans="1:16" ht="31.2">
      <c r="A706" s="513" t="s">
        <v>207</v>
      </c>
      <c r="B706" s="514"/>
      <c r="C706" s="514"/>
      <c r="D706" s="514"/>
      <c r="E706" s="514"/>
      <c r="F706" s="514"/>
      <c r="G706" s="514"/>
      <c r="H706" s="514"/>
      <c r="I706" s="514"/>
      <c r="J706" s="514"/>
      <c r="K706" s="514"/>
      <c r="L706" s="514"/>
      <c r="M706" s="514"/>
      <c r="N706" s="515"/>
    </row>
    <row r="707" spans="1:16" ht="25.2">
      <c r="A707" s="115" t="s">
        <v>208</v>
      </c>
      <c r="B707" s="138"/>
      <c r="C707" s="138"/>
      <c r="F707" s="139" t="s">
        <v>209</v>
      </c>
      <c r="G707" s="508" t="s">
        <v>210</v>
      </c>
      <c r="H707" s="508"/>
      <c r="I707" s="508"/>
      <c r="J707" s="508"/>
      <c r="K707" s="508"/>
      <c r="L707" s="508"/>
      <c r="M707" s="508"/>
      <c r="N707" s="509"/>
      <c r="O707" s="3"/>
      <c r="P707" s="3"/>
    </row>
    <row r="708" spans="1:16" ht="25.2">
      <c r="A708" s="104" t="s">
        <v>211</v>
      </c>
      <c r="F708" s="139"/>
      <c r="G708" s="508"/>
      <c r="H708" s="508"/>
      <c r="I708" s="508"/>
      <c r="J708" s="508"/>
      <c r="K708" s="508"/>
      <c r="L708" s="508"/>
      <c r="M708" s="508"/>
      <c r="N708" s="509"/>
      <c r="O708" s="4"/>
      <c r="P708" s="4"/>
    </row>
    <row r="709" spans="1:16" ht="25.2">
      <c r="A709" s="104"/>
      <c r="F709" s="139"/>
      <c r="G709" s="102"/>
      <c r="H709" s="102"/>
      <c r="I709" s="102"/>
      <c r="J709" s="102"/>
      <c r="K709" s="102"/>
      <c r="L709" s="102"/>
      <c r="M709" s="102"/>
      <c r="N709" s="105"/>
      <c r="O709" s="3"/>
      <c r="P709" s="3"/>
    </row>
    <row r="710" spans="1:16" ht="25.2">
      <c r="A710" s="104" t="s">
        <v>212</v>
      </c>
      <c r="F710" s="139" t="s">
        <v>213</v>
      </c>
      <c r="G710" s="508" t="str">
        <f>PL!$B$13</f>
        <v>Branch of JSC "Doosan Enerbility" in the Turkestan region</v>
      </c>
      <c r="H710" s="508"/>
      <c r="I710" s="508"/>
      <c r="J710" s="508"/>
      <c r="K710" s="508"/>
      <c r="L710" s="508"/>
      <c r="M710" s="508"/>
      <c r="N710" s="509"/>
      <c r="O710" s="3"/>
      <c r="P710" s="3"/>
    </row>
    <row r="711" spans="1:16" ht="25.2">
      <c r="A711" s="104" t="s">
        <v>214</v>
      </c>
      <c r="F711" s="139"/>
      <c r="G711" s="508" t="str">
        <f>PL!$B$14</f>
        <v>321 Tauke Khan Avenue, Turkestan region, Turkestan, Kazakhstan, 161200</v>
      </c>
      <c r="H711" s="508"/>
      <c r="I711" s="508"/>
      <c r="J711" s="508"/>
      <c r="K711" s="508"/>
      <c r="L711" s="508"/>
      <c r="M711" s="508"/>
      <c r="N711" s="509"/>
      <c r="O711" s="3"/>
      <c r="P711" s="3"/>
    </row>
    <row r="712" spans="1:16" ht="25.2">
      <c r="A712" s="104"/>
      <c r="F712" s="139"/>
      <c r="G712" s="508" t="str">
        <f>PL!$B$15</f>
        <v>BIN: 230741006561</v>
      </c>
      <c r="H712" s="508"/>
      <c r="I712" s="508"/>
      <c r="J712" s="508"/>
      <c r="K712" s="508"/>
      <c r="L712" s="508"/>
      <c r="M712" s="508"/>
      <c r="N712" s="509"/>
      <c r="O712" s="3"/>
      <c r="P712" s="3"/>
    </row>
    <row r="713" spans="1:16" ht="25.2">
      <c r="A713" s="104"/>
      <c r="F713" s="139"/>
      <c r="G713" s="210"/>
      <c r="H713" s="210"/>
      <c r="I713" s="210"/>
      <c r="J713" s="210"/>
      <c r="K713" s="210"/>
      <c r="L713" s="210"/>
      <c r="M713" s="210"/>
      <c r="N713" s="211"/>
      <c r="O713" s="3"/>
      <c r="P713" s="3"/>
    </row>
    <row r="714" spans="1:16" ht="25.2">
      <c r="A714" s="104" t="s">
        <v>215</v>
      </c>
      <c r="F714" s="139" t="s">
        <v>216</v>
      </c>
      <c r="G714" s="102"/>
      <c r="H714" s="102"/>
      <c r="I714" s="102"/>
      <c r="J714" s="102"/>
      <c r="K714" s="102"/>
      <c r="L714" s="102"/>
      <c r="M714" s="102"/>
      <c r="N714" s="105"/>
      <c r="O714" s="3"/>
      <c r="P714" s="3"/>
    </row>
    <row r="715" spans="1:16" ht="25.2">
      <c r="A715" s="104" t="s">
        <v>217</v>
      </c>
      <c r="F715" s="139" t="s">
        <v>218</v>
      </c>
      <c r="G715" s="102"/>
      <c r="H715" s="102"/>
      <c r="I715" s="102"/>
      <c r="J715" s="102"/>
      <c r="K715" s="102"/>
      <c r="L715" s="102"/>
      <c r="M715" s="102"/>
      <c r="N715" s="105"/>
      <c r="O715" s="4"/>
      <c r="P715" s="4"/>
    </row>
    <row r="716" spans="1:16" ht="25.2">
      <c r="A716" s="104"/>
      <c r="F716" s="139"/>
      <c r="G716" s="102"/>
      <c r="H716" s="102"/>
      <c r="I716" s="102"/>
      <c r="J716" s="102"/>
      <c r="K716" s="102"/>
      <c r="L716" s="102"/>
      <c r="M716" s="102"/>
      <c r="N716" s="105"/>
      <c r="O716" s="3"/>
      <c r="P716" s="3"/>
    </row>
    <row r="717" spans="1:16" ht="25.2">
      <c r="A717" s="104" t="s">
        <v>219</v>
      </c>
      <c r="F717" s="139" t="s">
        <v>220</v>
      </c>
      <c r="G717" s="139" t="str">
        <f>PL!$V$8</f>
        <v>PGU-DE-0481</v>
      </c>
      <c r="H717" s="102"/>
      <c r="I717" s="102"/>
      <c r="J717" s="102"/>
      <c r="K717" s="102"/>
      <c r="L717" s="102"/>
      <c r="M717" s="102"/>
      <c r="N717" s="105"/>
      <c r="O717" s="3"/>
      <c r="P717" s="3"/>
    </row>
    <row r="718" spans="1:16" ht="25.2">
      <c r="A718" s="104" t="s">
        <v>221</v>
      </c>
      <c r="F718" s="139"/>
      <c r="G718" s="102"/>
      <c r="H718" s="102"/>
      <c r="I718" s="102"/>
      <c r="J718" s="102"/>
      <c r="K718" s="102"/>
      <c r="L718" s="102"/>
      <c r="M718" s="102"/>
      <c r="N718" s="105"/>
      <c r="O718" s="3"/>
      <c r="P718" s="3"/>
    </row>
    <row r="719" spans="1:16" ht="25.2">
      <c r="A719" s="104"/>
      <c r="F719" s="139"/>
      <c r="G719" s="102"/>
      <c r="H719" s="102"/>
      <c r="I719" s="102"/>
      <c r="J719" s="102"/>
      <c r="K719" s="102"/>
      <c r="L719" s="102"/>
      <c r="M719" s="102"/>
      <c r="N719" s="105"/>
      <c r="O719" s="3"/>
      <c r="P719" s="3"/>
    </row>
    <row r="720" spans="1:16" ht="25.2">
      <c r="A720" s="106" t="s">
        <v>222</v>
      </c>
      <c r="B720" s="141"/>
      <c r="C720" s="141"/>
      <c r="D720" s="141"/>
      <c r="E720" s="141"/>
      <c r="F720" s="142" t="s">
        <v>209</v>
      </c>
      <c r="G720" s="272" t="str">
        <f>VLOOKUP($P720,'Summary PL'!$A$14:$M$39,4,FALSE)</f>
        <v>Power Cable / Кабель питания для ОРУ</v>
      </c>
      <c r="H720" s="141"/>
      <c r="I720" s="141"/>
      <c r="J720" s="141"/>
      <c r="K720" s="141"/>
      <c r="L720" s="141"/>
      <c r="M720" s="141"/>
      <c r="N720" s="107"/>
      <c r="O720" s="3"/>
      <c r="P720" s="3">
        <f>P683+1</f>
        <v>20</v>
      </c>
    </row>
    <row r="721" spans="1:16" ht="25.2">
      <c r="A721" s="106" t="s">
        <v>223</v>
      </c>
      <c r="B721" s="141"/>
      <c r="C721" s="141"/>
      <c r="D721" s="141"/>
      <c r="E721" s="141"/>
      <c r="F721" s="142"/>
      <c r="G721" s="141"/>
      <c r="H721" s="141"/>
      <c r="I721" s="141"/>
      <c r="J721" s="141"/>
      <c r="K721" s="141"/>
      <c r="L721" s="141"/>
      <c r="M721" s="141"/>
      <c r="N721" s="107"/>
      <c r="O721" s="3"/>
      <c r="P721" s="3"/>
    </row>
    <row r="722" spans="1:16" ht="25.2">
      <c r="A722" s="104"/>
      <c r="F722" s="139"/>
      <c r="G722" s="102"/>
      <c r="H722" s="102"/>
      <c r="I722" s="102"/>
      <c r="J722" s="102"/>
      <c r="K722" s="102"/>
      <c r="L722" s="102"/>
      <c r="M722" s="102"/>
      <c r="N722" s="105"/>
      <c r="O722" s="3"/>
      <c r="P722" s="3"/>
    </row>
    <row r="723" spans="1:16" ht="25.2">
      <c r="A723" s="104" t="s">
        <v>224</v>
      </c>
      <c r="F723" s="142" t="s">
        <v>225</v>
      </c>
      <c r="G723" s="272" t="str">
        <f>VLOOKUP($P720,'Summary PL'!$A$14:$M$39,3,FALSE)</f>
        <v>PGU-DE-0481-AIS-PoCable-020</v>
      </c>
      <c r="H723" s="102"/>
      <c r="I723" s="102"/>
      <c r="J723" s="102"/>
      <c r="K723" s="102"/>
      <c r="L723" s="102"/>
      <c r="M723" s="102"/>
      <c r="N723" s="105"/>
      <c r="O723" s="3"/>
      <c r="P723" s="3"/>
    </row>
    <row r="724" spans="1:16" ht="25.2">
      <c r="A724" s="104" t="s">
        <v>226</v>
      </c>
      <c r="F724" s="139"/>
      <c r="G724" s="139"/>
      <c r="H724" s="102"/>
      <c r="I724" s="102"/>
      <c r="J724" s="102"/>
      <c r="K724" s="102"/>
      <c r="L724" s="102"/>
      <c r="M724" s="102"/>
      <c r="N724" s="105"/>
      <c r="O724" s="4"/>
      <c r="P724" s="4"/>
    </row>
    <row r="725" spans="1:16" ht="25.2">
      <c r="A725" s="104"/>
      <c r="F725" s="139"/>
      <c r="G725" s="139"/>
      <c r="H725" s="102"/>
      <c r="I725" s="102"/>
      <c r="J725" s="102"/>
      <c r="K725" s="102"/>
      <c r="L725" s="102"/>
      <c r="M725" s="102"/>
      <c r="N725" s="105"/>
      <c r="O725" s="3"/>
      <c r="P725" s="3"/>
    </row>
    <row r="726" spans="1:16" ht="25.2">
      <c r="A726" s="104" t="s">
        <v>227</v>
      </c>
      <c r="F726" s="139" t="s">
        <v>220</v>
      </c>
      <c r="G726" s="241">
        <f>VLOOKUP($P720,'Summary PL'!$A$14:$M$39,12,FALSE)</f>
        <v>996</v>
      </c>
      <c r="H726" s="139" t="s">
        <v>228</v>
      </c>
      <c r="I726" s="102"/>
      <c r="J726" s="102"/>
      <c r="K726" s="102"/>
      <c r="L726" s="102"/>
      <c r="M726" s="102"/>
      <c r="N726" s="105"/>
      <c r="O726" s="3"/>
      <c r="P726" s="3"/>
    </row>
    <row r="727" spans="1:16" ht="25.2">
      <c r="A727" s="104" t="s">
        <v>229</v>
      </c>
      <c r="F727" s="139"/>
      <c r="G727" s="139"/>
      <c r="H727" s="139"/>
      <c r="I727" s="102"/>
      <c r="J727" s="102"/>
      <c r="K727" s="102"/>
      <c r="L727" s="102"/>
      <c r="M727" s="102"/>
      <c r="N727" s="105"/>
      <c r="O727" s="4"/>
      <c r="P727" s="4"/>
    </row>
    <row r="728" spans="1:16" ht="25.2">
      <c r="A728" s="104"/>
      <c r="F728" s="139"/>
      <c r="G728" s="139"/>
      <c r="H728" s="139"/>
      <c r="I728" s="102"/>
      <c r="J728" s="102"/>
      <c r="K728" s="102"/>
      <c r="L728" s="102"/>
      <c r="M728" s="102"/>
      <c r="N728" s="105"/>
      <c r="O728" s="3"/>
      <c r="P728" s="3"/>
    </row>
    <row r="729" spans="1:16" ht="25.2">
      <c r="A729" s="104" t="s">
        <v>230</v>
      </c>
      <c r="F729" s="139" t="s">
        <v>220</v>
      </c>
      <c r="G729" s="241">
        <f>VLOOKUP($P720,'Summary PL'!$A$14:$M$39,13,FALSE)</f>
        <v>1288</v>
      </c>
      <c r="H729" s="139" t="s">
        <v>228</v>
      </c>
      <c r="I729" s="102"/>
      <c r="J729" s="102"/>
      <c r="K729" s="102"/>
      <c r="L729" s="102"/>
      <c r="M729" s="102"/>
      <c r="N729" s="105"/>
      <c r="O729" s="3"/>
      <c r="P729" s="3"/>
    </row>
    <row r="730" spans="1:16" ht="25.2">
      <c r="A730" s="104" t="s">
        <v>231</v>
      </c>
      <c r="F730" s="139"/>
      <c r="G730" s="139"/>
      <c r="H730" s="102"/>
      <c r="I730" s="102"/>
      <c r="J730" s="102"/>
      <c r="K730" s="102"/>
      <c r="L730" s="102"/>
      <c r="M730" s="102"/>
      <c r="N730" s="105"/>
      <c r="O730" s="4"/>
      <c r="P730" s="4"/>
    </row>
    <row r="731" spans="1:16" ht="25.2">
      <c r="A731" s="104"/>
      <c r="F731" s="139"/>
      <c r="G731" s="139"/>
      <c r="H731" s="102"/>
      <c r="I731" s="102"/>
      <c r="J731" s="102"/>
      <c r="K731" s="102"/>
      <c r="L731" s="102"/>
      <c r="M731" s="102"/>
      <c r="N731" s="105"/>
      <c r="O731" s="3"/>
      <c r="P731" s="3"/>
    </row>
    <row r="732" spans="1:16" ht="25.2">
      <c r="A732" s="108" t="s">
        <v>232</v>
      </c>
      <c r="F732" s="139" t="s">
        <v>220</v>
      </c>
      <c r="G732" s="241">
        <f>VLOOKUP($P720,'Summary PL'!$A$14:$M$39,11,FALSE)</f>
        <v>2.218</v>
      </c>
      <c r="H732" s="240" t="s">
        <v>233</v>
      </c>
      <c r="I732" s="240"/>
      <c r="J732" s="240"/>
      <c r="K732" s="240"/>
      <c r="L732" s="102"/>
      <c r="M732" s="102"/>
      <c r="N732" s="105"/>
      <c r="O732" s="3"/>
      <c r="P732" s="3"/>
    </row>
    <row r="733" spans="1:16" ht="25.2">
      <c r="A733" s="104" t="s">
        <v>234</v>
      </c>
      <c r="F733" s="139"/>
      <c r="G733" s="139"/>
      <c r="H733" s="102"/>
      <c r="I733" s="102"/>
      <c r="J733" s="102"/>
      <c r="K733" s="102"/>
      <c r="L733" s="102"/>
      <c r="M733" s="102"/>
      <c r="N733" s="105"/>
      <c r="O733" s="4"/>
      <c r="P733" s="4"/>
    </row>
    <row r="734" spans="1:16" ht="25.2">
      <c r="A734" s="104"/>
      <c r="F734" s="139"/>
      <c r="G734" s="139"/>
      <c r="H734" s="102"/>
      <c r="I734" s="102"/>
      <c r="J734" s="102"/>
      <c r="K734" s="102"/>
      <c r="L734" s="102"/>
      <c r="M734" s="102"/>
      <c r="N734" s="105"/>
      <c r="O734" s="3"/>
      <c r="P734" s="3"/>
    </row>
    <row r="735" spans="1:16" ht="25.2">
      <c r="A735" s="104" t="s">
        <v>235</v>
      </c>
      <c r="F735" s="139" t="s">
        <v>236</v>
      </c>
      <c r="G735" s="508" t="s">
        <v>237</v>
      </c>
      <c r="H735" s="508"/>
      <c r="I735" s="508"/>
      <c r="J735" s="508"/>
      <c r="K735" s="508"/>
      <c r="L735" s="508"/>
      <c r="M735" s="508"/>
      <c r="N735" s="509"/>
      <c r="O735" s="3"/>
      <c r="P735" s="3"/>
    </row>
    <row r="736" spans="1:16" ht="25.2">
      <c r="A736" s="104" t="s">
        <v>238</v>
      </c>
      <c r="F736" s="139"/>
      <c r="G736" s="508"/>
      <c r="H736" s="508"/>
      <c r="I736" s="508"/>
      <c r="J736" s="508"/>
      <c r="K736" s="508"/>
      <c r="L736" s="508"/>
      <c r="M736" s="508"/>
      <c r="N736" s="509"/>
      <c r="O736" s="4"/>
      <c r="P736" s="4"/>
    </row>
    <row r="737" spans="1:16" ht="25.2">
      <c r="A737" s="104"/>
      <c r="F737" s="139"/>
      <c r="G737" s="140"/>
      <c r="H737" s="102"/>
      <c r="I737" s="102"/>
      <c r="J737" s="102"/>
      <c r="K737" s="102"/>
      <c r="L737" s="102"/>
      <c r="M737" s="102"/>
      <c r="N737" s="105"/>
      <c r="O737" s="4"/>
      <c r="P737" s="4"/>
    </row>
    <row r="738" spans="1:16" ht="25.8" thickBot="1">
      <c r="A738" s="104"/>
      <c r="E738" s="139"/>
      <c r="F738" s="239"/>
      <c r="G738" s="139"/>
      <c r="H738" s="102"/>
      <c r="I738" s="102"/>
      <c r="J738" s="102"/>
      <c r="K738" s="102"/>
      <c r="L738" s="102"/>
      <c r="M738" s="102"/>
      <c r="N738" s="105"/>
      <c r="O738" s="4"/>
      <c r="P738" s="4"/>
    </row>
    <row r="739" spans="1:16">
      <c r="A739" s="98"/>
      <c r="B739" s="99"/>
      <c r="C739" s="99"/>
      <c r="D739" s="99"/>
      <c r="E739" s="510" t="s">
        <v>239</v>
      </c>
      <c r="F739" s="511"/>
      <c r="G739" s="511"/>
      <c r="H739" s="511"/>
      <c r="I739" s="511"/>
      <c r="J739" s="511"/>
      <c r="K739" s="511"/>
      <c r="L739" s="100"/>
      <c r="M739" s="100"/>
      <c r="N739" s="101"/>
    </row>
    <row r="740" spans="1:16" ht="21.6" thickBot="1">
      <c r="A740" s="109"/>
      <c r="B740" s="110"/>
      <c r="C740" s="110"/>
      <c r="D740" s="110"/>
      <c r="E740" s="512"/>
      <c r="F740" s="512"/>
      <c r="G740" s="512"/>
      <c r="H740" s="512"/>
      <c r="I740" s="512"/>
      <c r="J740" s="512"/>
      <c r="K740" s="512"/>
      <c r="L740" s="111"/>
      <c r="M740" s="111"/>
      <c r="N740" s="112"/>
    </row>
    <row r="741" spans="1:16">
      <c r="A741" s="98"/>
      <c r="B741" s="99"/>
      <c r="C741" s="99"/>
      <c r="D741" s="99"/>
      <c r="E741" s="99"/>
      <c r="F741" s="100"/>
      <c r="G741" s="100"/>
      <c r="H741" s="100"/>
      <c r="I741" s="100"/>
      <c r="J741" s="100"/>
      <c r="K741" s="100"/>
      <c r="L741" s="100"/>
      <c r="M741" s="100"/>
      <c r="N741" s="101"/>
    </row>
    <row r="742" spans="1:16">
      <c r="A742" s="243"/>
      <c r="N742" s="242"/>
    </row>
    <row r="743" spans="1:16" ht="31.2">
      <c r="A743" s="513" t="s">
        <v>207</v>
      </c>
      <c r="B743" s="514"/>
      <c r="C743" s="514"/>
      <c r="D743" s="514"/>
      <c r="E743" s="514"/>
      <c r="F743" s="514"/>
      <c r="G743" s="514"/>
      <c r="H743" s="514"/>
      <c r="I743" s="514"/>
      <c r="J743" s="514"/>
      <c r="K743" s="514"/>
      <c r="L743" s="514"/>
      <c r="M743" s="514"/>
      <c r="N743" s="515"/>
    </row>
    <row r="744" spans="1:16" ht="25.2">
      <c r="A744" s="115" t="s">
        <v>208</v>
      </c>
      <c r="B744" s="138"/>
      <c r="C744" s="138"/>
      <c r="F744" s="139" t="s">
        <v>209</v>
      </c>
      <c r="G744" s="508" t="s">
        <v>210</v>
      </c>
      <c r="H744" s="508"/>
      <c r="I744" s="508"/>
      <c r="J744" s="508"/>
      <c r="K744" s="508"/>
      <c r="L744" s="508"/>
      <c r="M744" s="508"/>
      <c r="N744" s="509"/>
      <c r="O744" s="3"/>
      <c r="P744" s="3"/>
    </row>
    <row r="745" spans="1:16" ht="25.2">
      <c r="A745" s="104" t="s">
        <v>211</v>
      </c>
      <c r="F745" s="139"/>
      <c r="G745" s="508"/>
      <c r="H745" s="508"/>
      <c r="I745" s="508"/>
      <c r="J745" s="508"/>
      <c r="K745" s="508"/>
      <c r="L745" s="508"/>
      <c r="M745" s="508"/>
      <c r="N745" s="509"/>
      <c r="O745" s="4"/>
      <c r="P745" s="4"/>
    </row>
    <row r="746" spans="1:16" ht="25.2">
      <c r="A746" s="104"/>
      <c r="F746" s="139"/>
      <c r="G746" s="102"/>
      <c r="H746" s="102"/>
      <c r="I746" s="102"/>
      <c r="J746" s="102"/>
      <c r="K746" s="102"/>
      <c r="L746" s="102"/>
      <c r="M746" s="102"/>
      <c r="N746" s="105"/>
      <c r="O746" s="3"/>
      <c r="P746" s="3"/>
    </row>
    <row r="747" spans="1:16" ht="25.2">
      <c r="A747" s="104" t="s">
        <v>212</v>
      </c>
      <c r="F747" s="139" t="s">
        <v>213</v>
      </c>
      <c r="G747" s="508" t="str">
        <f>PL!$B$13</f>
        <v>Branch of JSC "Doosan Enerbility" in the Turkestan region</v>
      </c>
      <c r="H747" s="508"/>
      <c r="I747" s="508"/>
      <c r="J747" s="508"/>
      <c r="K747" s="508"/>
      <c r="L747" s="508"/>
      <c r="M747" s="508"/>
      <c r="N747" s="509"/>
      <c r="O747" s="3"/>
      <c r="P747" s="3"/>
    </row>
    <row r="748" spans="1:16" ht="25.2">
      <c r="A748" s="104" t="s">
        <v>214</v>
      </c>
      <c r="F748" s="139"/>
      <c r="G748" s="508" t="str">
        <f>PL!$B$14</f>
        <v>321 Tauke Khan Avenue, Turkestan region, Turkestan, Kazakhstan, 161200</v>
      </c>
      <c r="H748" s="508"/>
      <c r="I748" s="508"/>
      <c r="J748" s="508"/>
      <c r="K748" s="508"/>
      <c r="L748" s="508"/>
      <c r="M748" s="508"/>
      <c r="N748" s="509"/>
      <c r="O748" s="3"/>
      <c r="P748" s="3"/>
    </row>
    <row r="749" spans="1:16" ht="25.2">
      <c r="A749" s="104"/>
      <c r="F749" s="139"/>
      <c r="G749" s="508" t="str">
        <f>PL!$B$15</f>
        <v>BIN: 230741006561</v>
      </c>
      <c r="H749" s="508"/>
      <c r="I749" s="508"/>
      <c r="J749" s="508"/>
      <c r="K749" s="508"/>
      <c r="L749" s="508"/>
      <c r="M749" s="508"/>
      <c r="N749" s="509"/>
      <c r="O749" s="3"/>
      <c r="P749" s="3"/>
    </row>
    <row r="750" spans="1:16" ht="25.2">
      <c r="A750" s="104"/>
      <c r="F750" s="139"/>
      <c r="G750" s="210"/>
      <c r="H750" s="210"/>
      <c r="I750" s="210"/>
      <c r="J750" s="210"/>
      <c r="K750" s="210"/>
      <c r="L750" s="210"/>
      <c r="M750" s="210"/>
      <c r="N750" s="211"/>
      <c r="O750" s="3"/>
      <c r="P750" s="3"/>
    </row>
    <row r="751" spans="1:16" ht="25.2">
      <c r="A751" s="104" t="s">
        <v>215</v>
      </c>
      <c r="F751" s="139" t="s">
        <v>216</v>
      </c>
      <c r="G751" s="102"/>
      <c r="H751" s="102"/>
      <c r="I751" s="102"/>
      <c r="J751" s="102"/>
      <c r="K751" s="102"/>
      <c r="L751" s="102"/>
      <c r="M751" s="102"/>
      <c r="N751" s="105"/>
      <c r="O751" s="3"/>
      <c r="P751" s="3"/>
    </row>
    <row r="752" spans="1:16" ht="25.2">
      <c r="A752" s="104" t="s">
        <v>217</v>
      </c>
      <c r="F752" s="139" t="s">
        <v>218</v>
      </c>
      <c r="G752" s="102"/>
      <c r="H752" s="102"/>
      <c r="I752" s="102"/>
      <c r="J752" s="102"/>
      <c r="K752" s="102"/>
      <c r="L752" s="102"/>
      <c r="M752" s="102"/>
      <c r="N752" s="105"/>
      <c r="O752" s="4"/>
      <c r="P752" s="4"/>
    </row>
    <row r="753" spans="1:16" ht="25.2">
      <c r="A753" s="104"/>
      <c r="F753" s="139"/>
      <c r="G753" s="102"/>
      <c r="H753" s="102"/>
      <c r="I753" s="102"/>
      <c r="J753" s="102"/>
      <c r="K753" s="102"/>
      <c r="L753" s="102"/>
      <c r="M753" s="102"/>
      <c r="N753" s="105"/>
      <c r="O753" s="3"/>
      <c r="P753" s="3"/>
    </row>
    <row r="754" spans="1:16" ht="25.2">
      <c r="A754" s="104" t="s">
        <v>219</v>
      </c>
      <c r="F754" s="139" t="s">
        <v>220</v>
      </c>
      <c r="G754" s="139" t="str">
        <f>PL!$V$8</f>
        <v>PGU-DE-0481</v>
      </c>
      <c r="H754" s="102"/>
      <c r="I754" s="102"/>
      <c r="J754" s="102"/>
      <c r="K754" s="102"/>
      <c r="L754" s="102"/>
      <c r="M754" s="102"/>
      <c r="N754" s="105"/>
      <c r="O754" s="3"/>
      <c r="P754" s="3"/>
    </row>
    <row r="755" spans="1:16" ht="25.2">
      <c r="A755" s="104" t="s">
        <v>221</v>
      </c>
      <c r="F755" s="139"/>
      <c r="G755" s="102"/>
      <c r="H755" s="102"/>
      <c r="I755" s="102"/>
      <c r="J755" s="102"/>
      <c r="K755" s="102"/>
      <c r="L755" s="102"/>
      <c r="M755" s="102"/>
      <c r="N755" s="105"/>
      <c r="O755" s="3"/>
      <c r="P755" s="3"/>
    </row>
    <row r="756" spans="1:16" ht="25.2">
      <c r="A756" s="104"/>
      <c r="F756" s="139"/>
      <c r="G756" s="102"/>
      <c r="H756" s="102"/>
      <c r="I756" s="102"/>
      <c r="J756" s="102"/>
      <c r="K756" s="102"/>
      <c r="L756" s="102"/>
      <c r="M756" s="102"/>
      <c r="N756" s="105"/>
      <c r="O756" s="3"/>
      <c r="P756" s="3"/>
    </row>
    <row r="757" spans="1:16" ht="25.2">
      <c r="A757" s="106" t="s">
        <v>222</v>
      </c>
      <c r="B757" s="141"/>
      <c r="C757" s="141"/>
      <c r="D757" s="141"/>
      <c r="E757" s="141"/>
      <c r="F757" s="142" t="s">
        <v>209</v>
      </c>
      <c r="G757" s="272" t="str">
        <f>VLOOKUP($P757,'Summary PL'!$A$14:$M$39,4,FALSE)</f>
        <v>Power Cable / Кабель питания для ОРУ</v>
      </c>
      <c r="H757" s="141"/>
      <c r="I757" s="141"/>
      <c r="J757" s="141"/>
      <c r="K757" s="141"/>
      <c r="L757" s="141"/>
      <c r="M757" s="141"/>
      <c r="N757" s="107"/>
      <c r="O757" s="3"/>
      <c r="P757" s="3">
        <f>P720+1</f>
        <v>21</v>
      </c>
    </row>
    <row r="758" spans="1:16" ht="25.2">
      <c r="A758" s="106" t="s">
        <v>223</v>
      </c>
      <c r="B758" s="141"/>
      <c r="C758" s="141"/>
      <c r="D758" s="141"/>
      <c r="E758" s="141"/>
      <c r="F758" s="142"/>
      <c r="G758" s="141"/>
      <c r="H758" s="141"/>
      <c r="I758" s="141"/>
      <c r="J758" s="141"/>
      <c r="K758" s="141"/>
      <c r="L758" s="141"/>
      <c r="M758" s="141"/>
      <c r="N758" s="107"/>
      <c r="O758" s="3"/>
      <c r="P758" s="3"/>
    </row>
    <row r="759" spans="1:16" ht="25.2">
      <c r="A759" s="104"/>
      <c r="F759" s="139"/>
      <c r="G759" s="102"/>
      <c r="H759" s="102"/>
      <c r="I759" s="102"/>
      <c r="J759" s="102"/>
      <c r="K759" s="102"/>
      <c r="L759" s="102"/>
      <c r="M759" s="102"/>
      <c r="N759" s="105"/>
      <c r="O759" s="3"/>
      <c r="P759" s="3"/>
    </row>
    <row r="760" spans="1:16" ht="25.2">
      <c r="A760" s="104" t="s">
        <v>224</v>
      </c>
      <c r="F760" s="142" t="s">
        <v>225</v>
      </c>
      <c r="G760" s="272" t="str">
        <f>VLOOKUP($P757,'Summary PL'!$A$14:$M$39,3,FALSE)</f>
        <v>PGU-DE-0481-AIS-PoCable-021</v>
      </c>
      <c r="H760" s="102"/>
      <c r="I760" s="102"/>
      <c r="J760" s="102"/>
      <c r="K760" s="102"/>
      <c r="L760" s="102"/>
      <c r="M760" s="102"/>
      <c r="N760" s="105"/>
      <c r="O760" s="3"/>
      <c r="P760" s="3"/>
    </row>
    <row r="761" spans="1:16" ht="25.2">
      <c r="A761" s="104" t="s">
        <v>226</v>
      </c>
      <c r="F761" s="139"/>
      <c r="G761" s="139"/>
      <c r="H761" s="102"/>
      <c r="I761" s="102"/>
      <c r="J761" s="102"/>
      <c r="K761" s="102"/>
      <c r="L761" s="102"/>
      <c r="M761" s="102"/>
      <c r="N761" s="105"/>
      <c r="O761" s="4"/>
      <c r="P761" s="4"/>
    </row>
    <row r="762" spans="1:16" ht="25.2">
      <c r="A762" s="104"/>
      <c r="F762" s="139"/>
      <c r="G762" s="139"/>
      <c r="H762" s="102"/>
      <c r="I762" s="102"/>
      <c r="J762" s="102"/>
      <c r="K762" s="102"/>
      <c r="L762" s="102"/>
      <c r="M762" s="102"/>
      <c r="N762" s="105"/>
      <c r="O762" s="3"/>
      <c r="P762" s="3"/>
    </row>
    <row r="763" spans="1:16" ht="25.2">
      <c r="A763" s="104" t="s">
        <v>227</v>
      </c>
      <c r="F763" s="139" t="s">
        <v>220</v>
      </c>
      <c r="G763" s="241">
        <f>VLOOKUP($P757,'Summary PL'!$A$14:$M$39,12,FALSE)</f>
        <v>996</v>
      </c>
      <c r="H763" s="139" t="s">
        <v>228</v>
      </c>
      <c r="I763" s="102"/>
      <c r="J763" s="102"/>
      <c r="K763" s="102"/>
      <c r="L763" s="102"/>
      <c r="M763" s="102"/>
      <c r="N763" s="105"/>
      <c r="O763" s="3"/>
      <c r="P763" s="3"/>
    </row>
    <row r="764" spans="1:16" ht="25.2">
      <c r="A764" s="104" t="s">
        <v>229</v>
      </c>
      <c r="F764" s="139"/>
      <c r="G764" s="139"/>
      <c r="H764" s="139"/>
      <c r="I764" s="102"/>
      <c r="J764" s="102"/>
      <c r="K764" s="102"/>
      <c r="L764" s="102"/>
      <c r="M764" s="102"/>
      <c r="N764" s="105"/>
      <c r="O764" s="4"/>
      <c r="P764" s="4"/>
    </row>
    <row r="765" spans="1:16" ht="25.2">
      <c r="A765" s="104"/>
      <c r="F765" s="139"/>
      <c r="G765" s="139"/>
      <c r="H765" s="139"/>
      <c r="I765" s="102"/>
      <c r="J765" s="102"/>
      <c r="K765" s="102"/>
      <c r="L765" s="102"/>
      <c r="M765" s="102"/>
      <c r="N765" s="105"/>
      <c r="O765" s="3"/>
      <c r="P765" s="3"/>
    </row>
    <row r="766" spans="1:16" ht="25.2">
      <c r="A766" s="104" t="s">
        <v>230</v>
      </c>
      <c r="F766" s="139" t="s">
        <v>220</v>
      </c>
      <c r="G766" s="241">
        <f>VLOOKUP($P757,'Summary PL'!$A$14:$M$39,13,FALSE)</f>
        <v>1288</v>
      </c>
      <c r="H766" s="139" t="s">
        <v>228</v>
      </c>
      <c r="I766" s="102"/>
      <c r="J766" s="102"/>
      <c r="K766" s="102"/>
      <c r="L766" s="102"/>
      <c r="M766" s="102"/>
      <c r="N766" s="105"/>
      <c r="O766" s="3"/>
      <c r="P766" s="3"/>
    </row>
    <row r="767" spans="1:16" ht="25.2">
      <c r="A767" s="104" t="s">
        <v>231</v>
      </c>
      <c r="F767" s="139"/>
      <c r="G767" s="139"/>
      <c r="H767" s="102"/>
      <c r="I767" s="102"/>
      <c r="J767" s="102"/>
      <c r="K767" s="102"/>
      <c r="L767" s="102"/>
      <c r="M767" s="102"/>
      <c r="N767" s="105"/>
      <c r="O767" s="4"/>
      <c r="P767" s="4"/>
    </row>
    <row r="768" spans="1:16" ht="25.2">
      <c r="A768" s="104"/>
      <c r="F768" s="139"/>
      <c r="G768" s="139"/>
      <c r="H768" s="102"/>
      <c r="I768" s="102"/>
      <c r="J768" s="102"/>
      <c r="K768" s="102"/>
      <c r="L768" s="102"/>
      <c r="M768" s="102"/>
      <c r="N768" s="105"/>
      <c r="O768" s="3"/>
      <c r="P768" s="3"/>
    </row>
    <row r="769" spans="1:16" ht="25.2">
      <c r="A769" s="108" t="s">
        <v>232</v>
      </c>
      <c r="F769" s="139" t="s">
        <v>220</v>
      </c>
      <c r="G769" s="241">
        <f>VLOOKUP($P757,'Summary PL'!$A$14:$M$39,11,FALSE)</f>
        <v>2.218</v>
      </c>
      <c r="H769" s="240" t="s">
        <v>233</v>
      </c>
      <c r="I769" s="240"/>
      <c r="J769" s="240"/>
      <c r="K769" s="240"/>
      <c r="L769" s="102"/>
      <c r="M769" s="102"/>
      <c r="N769" s="105"/>
      <c r="O769" s="3"/>
      <c r="P769" s="3"/>
    </row>
    <row r="770" spans="1:16" ht="25.2">
      <c r="A770" s="104" t="s">
        <v>234</v>
      </c>
      <c r="F770" s="139"/>
      <c r="G770" s="139"/>
      <c r="H770" s="102"/>
      <c r="I770" s="102"/>
      <c r="J770" s="102"/>
      <c r="K770" s="102"/>
      <c r="L770" s="102"/>
      <c r="M770" s="102"/>
      <c r="N770" s="105"/>
      <c r="O770" s="4"/>
      <c r="P770" s="4"/>
    </row>
    <row r="771" spans="1:16" ht="25.2">
      <c r="A771" s="104"/>
      <c r="F771" s="139"/>
      <c r="G771" s="139"/>
      <c r="H771" s="102"/>
      <c r="I771" s="102"/>
      <c r="J771" s="102"/>
      <c r="K771" s="102"/>
      <c r="L771" s="102"/>
      <c r="M771" s="102"/>
      <c r="N771" s="105"/>
      <c r="O771" s="3"/>
      <c r="P771" s="3"/>
    </row>
    <row r="772" spans="1:16" ht="25.2">
      <c r="A772" s="104" t="s">
        <v>235</v>
      </c>
      <c r="F772" s="139" t="s">
        <v>236</v>
      </c>
      <c r="G772" s="508" t="s">
        <v>237</v>
      </c>
      <c r="H772" s="508"/>
      <c r="I772" s="508"/>
      <c r="J772" s="508"/>
      <c r="K772" s="508"/>
      <c r="L772" s="508"/>
      <c r="M772" s="508"/>
      <c r="N772" s="509"/>
      <c r="O772" s="3"/>
      <c r="P772" s="3"/>
    </row>
    <row r="773" spans="1:16" ht="25.2">
      <c r="A773" s="104" t="s">
        <v>238</v>
      </c>
      <c r="F773" s="139"/>
      <c r="G773" s="508"/>
      <c r="H773" s="508"/>
      <c r="I773" s="508"/>
      <c r="J773" s="508"/>
      <c r="K773" s="508"/>
      <c r="L773" s="508"/>
      <c r="M773" s="508"/>
      <c r="N773" s="509"/>
      <c r="O773" s="4"/>
      <c r="P773" s="4"/>
    </row>
    <row r="774" spans="1:16" ht="25.2">
      <c r="A774" s="104"/>
      <c r="F774" s="139"/>
      <c r="G774" s="140"/>
      <c r="H774" s="102"/>
      <c r="I774" s="102"/>
      <c r="J774" s="102"/>
      <c r="K774" s="102"/>
      <c r="L774" s="102"/>
      <c r="M774" s="102"/>
      <c r="N774" s="105"/>
      <c r="O774" s="4"/>
      <c r="P774" s="4"/>
    </row>
    <row r="775" spans="1:16" ht="25.8" thickBot="1">
      <c r="A775" s="104"/>
      <c r="E775" s="139"/>
      <c r="F775" s="239"/>
      <c r="G775" s="139"/>
      <c r="H775" s="102"/>
      <c r="I775" s="102"/>
      <c r="J775" s="102"/>
      <c r="K775" s="102"/>
      <c r="L775" s="102"/>
      <c r="M775" s="102"/>
      <c r="N775" s="105"/>
      <c r="O775" s="4"/>
      <c r="P775" s="4"/>
    </row>
    <row r="776" spans="1:16">
      <c r="A776" s="98"/>
      <c r="B776" s="99"/>
      <c r="C776" s="99"/>
      <c r="D776" s="99"/>
      <c r="E776" s="510" t="s">
        <v>239</v>
      </c>
      <c r="F776" s="511"/>
      <c r="G776" s="511"/>
      <c r="H776" s="511"/>
      <c r="I776" s="511"/>
      <c r="J776" s="511"/>
      <c r="K776" s="511"/>
      <c r="L776" s="100"/>
      <c r="M776" s="100"/>
      <c r="N776" s="101"/>
    </row>
    <row r="777" spans="1:16" ht="21.6" thickBot="1">
      <c r="A777" s="109"/>
      <c r="B777" s="110"/>
      <c r="C777" s="110"/>
      <c r="D777" s="110"/>
      <c r="E777" s="512"/>
      <c r="F777" s="512"/>
      <c r="G777" s="512"/>
      <c r="H777" s="512"/>
      <c r="I777" s="512"/>
      <c r="J777" s="512"/>
      <c r="K777" s="512"/>
      <c r="L777" s="111"/>
      <c r="M777" s="111"/>
      <c r="N777" s="112"/>
    </row>
    <row r="778" spans="1:16">
      <c r="A778" s="98"/>
      <c r="B778" s="99"/>
      <c r="C778" s="99"/>
      <c r="D778" s="99"/>
      <c r="E778" s="99"/>
      <c r="F778" s="100"/>
      <c r="G778" s="100"/>
      <c r="H778" s="100"/>
      <c r="I778" s="100"/>
      <c r="J778" s="100"/>
      <c r="K778" s="100"/>
      <c r="L778" s="100"/>
      <c r="M778" s="100"/>
      <c r="N778" s="101"/>
    </row>
    <row r="779" spans="1:16">
      <c r="A779" s="243"/>
      <c r="N779" s="242"/>
    </row>
    <row r="780" spans="1:16" ht="31.2">
      <c r="A780" s="513" t="s">
        <v>207</v>
      </c>
      <c r="B780" s="514"/>
      <c r="C780" s="514"/>
      <c r="D780" s="514"/>
      <c r="E780" s="514"/>
      <c r="F780" s="514"/>
      <c r="G780" s="514"/>
      <c r="H780" s="514"/>
      <c r="I780" s="514"/>
      <c r="J780" s="514"/>
      <c r="K780" s="514"/>
      <c r="L780" s="514"/>
      <c r="M780" s="514"/>
      <c r="N780" s="515"/>
    </row>
    <row r="781" spans="1:16" ht="25.2">
      <c r="A781" s="115" t="s">
        <v>208</v>
      </c>
      <c r="B781" s="138"/>
      <c r="C781" s="138"/>
      <c r="F781" s="139" t="s">
        <v>209</v>
      </c>
      <c r="G781" s="508" t="s">
        <v>210</v>
      </c>
      <c r="H781" s="508"/>
      <c r="I781" s="508"/>
      <c r="J781" s="508"/>
      <c r="K781" s="508"/>
      <c r="L781" s="508"/>
      <c r="M781" s="508"/>
      <c r="N781" s="509"/>
      <c r="O781" s="3"/>
      <c r="P781" s="3"/>
    </row>
    <row r="782" spans="1:16" ht="25.2">
      <c r="A782" s="104" t="s">
        <v>211</v>
      </c>
      <c r="F782" s="139"/>
      <c r="G782" s="508"/>
      <c r="H782" s="508"/>
      <c r="I782" s="508"/>
      <c r="J782" s="508"/>
      <c r="K782" s="508"/>
      <c r="L782" s="508"/>
      <c r="M782" s="508"/>
      <c r="N782" s="509"/>
      <c r="O782" s="4"/>
      <c r="P782" s="4"/>
    </row>
    <row r="783" spans="1:16" ht="25.2">
      <c r="A783" s="104"/>
      <c r="F783" s="139"/>
      <c r="G783" s="102"/>
      <c r="H783" s="102"/>
      <c r="I783" s="102"/>
      <c r="J783" s="102"/>
      <c r="K783" s="102"/>
      <c r="L783" s="102"/>
      <c r="M783" s="102"/>
      <c r="N783" s="105"/>
      <c r="O783" s="3"/>
      <c r="P783" s="3"/>
    </row>
    <row r="784" spans="1:16" ht="25.2">
      <c r="A784" s="104" t="s">
        <v>212</v>
      </c>
      <c r="F784" s="139" t="s">
        <v>213</v>
      </c>
      <c r="G784" s="508" t="str">
        <f>PL!$B$13</f>
        <v>Branch of JSC "Doosan Enerbility" in the Turkestan region</v>
      </c>
      <c r="H784" s="508"/>
      <c r="I784" s="508"/>
      <c r="J784" s="508"/>
      <c r="K784" s="508"/>
      <c r="L784" s="508"/>
      <c r="M784" s="508"/>
      <c r="N784" s="509"/>
      <c r="O784" s="3"/>
      <c r="P784" s="3"/>
    </row>
    <row r="785" spans="1:16" ht="25.2">
      <c r="A785" s="104" t="s">
        <v>214</v>
      </c>
      <c r="F785" s="139"/>
      <c r="G785" s="508" t="str">
        <f>PL!$B$14</f>
        <v>321 Tauke Khan Avenue, Turkestan region, Turkestan, Kazakhstan, 161200</v>
      </c>
      <c r="H785" s="508"/>
      <c r="I785" s="508"/>
      <c r="J785" s="508"/>
      <c r="K785" s="508"/>
      <c r="L785" s="508"/>
      <c r="M785" s="508"/>
      <c r="N785" s="509"/>
      <c r="O785" s="3"/>
      <c r="P785" s="3"/>
    </row>
    <row r="786" spans="1:16" ht="25.2">
      <c r="A786" s="104"/>
      <c r="F786" s="139"/>
      <c r="G786" s="508" t="str">
        <f>PL!$B$15</f>
        <v>BIN: 230741006561</v>
      </c>
      <c r="H786" s="508"/>
      <c r="I786" s="508"/>
      <c r="J786" s="508"/>
      <c r="K786" s="508"/>
      <c r="L786" s="508"/>
      <c r="M786" s="508"/>
      <c r="N786" s="509"/>
      <c r="O786" s="3"/>
      <c r="P786" s="3"/>
    </row>
    <row r="787" spans="1:16" ht="25.2">
      <c r="A787" s="104"/>
      <c r="F787" s="139"/>
      <c r="G787" s="210"/>
      <c r="H787" s="210"/>
      <c r="I787" s="210"/>
      <c r="J787" s="210"/>
      <c r="K787" s="210"/>
      <c r="L787" s="210"/>
      <c r="M787" s="210"/>
      <c r="N787" s="211"/>
      <c r="O787" s="3"/>
      <c r="P787" s="3"/>
    </row>
    <row r="788" spans="1:16" ht="25.2">
      <c r="A788" s="104" t="s">
        <v>215</v>
      </c>
      <c r="F788" s="139" t="s">
        <v>216</v>
      </c>
      <c r="G788" s="102"/>
      <c r="H788" s="102"/>
      <c r="I788" s="102"/>
      <c r="J788" s="102"/>
      <c r="K788" s="102"/>
      <c r="L788" s="102"/>
      <c r="M788" s="102"/>
      <c r="N788" s="105"/>
      <c r="O788" s="3"/>
      <c r="P788" s="3"/>
    </row>
    <row r="789" spans="1:16" ht="25.2">
      <c r="A789" s="104" t="s">
        <v>217</v>
      </c>
      <c r="F789" s="139" t="s">
        <v>218</v>
      </c>
      <c r="G789" s="102"/>
      <c r="H789" s="102"/>
      <c r="I789" s="102"/>
      <c r="J789" s="102"/>
      <c r="K789" s="102"/>
      <c r="L789" s="102"/>
      <c r="M789" s="102"/>
      <c r="N789" s="105"/>
      <c r="O789" s="4"/>
      <c r="P789" s="4"/>
    </row>
    <row r="790" spans="1:16" ht="25.2">
      <c r="A790" s="104"/>
      <c r="F790" s="139"/>
      <c r="G790" s="102"/>
      <c r="H790" s="102"/>
      <c r="I790" s="102"/>
      <c r="J790" s="102"/>
      <c r="K790" s="102"/>
      <c r="L790" s="102"/>
      <c r="M790" s="102"/>
      <c r="N790" s="105"/>
      <c r="O790" s="3"/>
      <c r="P790" s="3"/>
    </row>
    <row r="791" spans="1:16" ht="25.2">
      <c r="A791" s="104" t="s">
        <v>219</v>
      </c>
      <c r="F791" s="139" t="s">
        <v>220</v>
      </c>
      <c r="G791" s="139" t="str">
        <f>PL!$V$8</f>
        <v>PGU-DE-0481</v>
      </c>
      <c r="H791" s="102"/>
      <c r="I791" s="102"/>
      <c r="J791" s="102"/>
      <c r="K791" s="102"/>
      <c r="L791" s="102"/>
      <c r="M791" s="102"/>
      <c r="N791" s="105"/>
      <c r="O791" s="3"/>
      <c r="P791" s="3"/>
    </row>
    <row r="792" spans="1:16" ht="25.2">
      <c r="A792" s="104" t="s">
        <v>221</v>
      </c>
      <c r="F792" s="139"/>
      <c r="G792" s="102"/>
      <c r="H792" s="102"/>
      <c r="I792" s="102"/>
      <c r="J792" s="102"/>
      <c r="K792" s="102"/>
      <c r="L792" s="102"/>
      <c r="M792" s="102"/>
      <c r="N792" s="105"/>
      <c r="O792" s="3"/>
      <c r="P792" s="3"/>
    </row>
    <row r="793" spans="1:16" ht="25.2">
      <c r="A793" s="104"/>
      <c r="F793" s="139"/>
      <c r="G793" s="102"/>
      <c r="H793" s="102"/>
      <c r="I793" s="102"/>
      <c r="J793" s="102"/>
      <c r="K793" s="102"/>
      <c r="L793" s="102"/>
      <c r="M793" s="102"/>
      <c r="N793" s="105"/>
      <c r="O793" s="3"/>
      <c r="P793" s="3"/>
    </row>
    <row r="794" spans="1:16" ht="25.2">
      <c r="A794" s="106" t="s">
        <v>222</v>
      </c>
      <c r="B794" s="141"/>
      <c r="C794" s="141"/>
      <c r="D794" s="141"/>
      <c r="E794" s="141"/>
      <c r="F794" s="142" t="s">
        <v>209</v>
      </c>
      <c r="G794" s="272" t="str">
        <f>VLOOKUP($P794,'Summary PL'!$A$14:$M$39,4,FALSE)</f>
        <v>Power Cable / Кабель питания для ОРУ</v>
      </c>
      <c r="H794" s="141"/>
      <c r="I794" s="141"/>
      <c r="J794" s="141"/>
      <c r="K794" s="141"/>
      <c r="L794" s="141"/>
      <c r="M794" s="141"/>
      <c r="N794" s="107"/>
      <c r="O794" s="3"/>
      <c r="P794" s="3">
        <f>P757+1</f>
        <v>22</v>
      </c>
    </row>
    <row r="795" spans="1:16" ht="25.2">
      <c r="A795" s="106" t="s">
        <v>223</v>
      </c>
      <c r="B795" s="141"/>
      <c r="C795" s="141"/>
      <c r="D795" s="141"/>
      <c r="E795" s="141"/>
      <c r="F795" s="142"/>
      <c r="G795" s="141"/>
      <c r="H795" s="141"/>
      <c r="I795" s="141"/>
      <c r="J795" s="141"/>
      <c r="K795" s="141"/>
      <c r="L795" s="141"/>
      <c r="M795" s="141"/>
      <c r="N795" s="107"/>
      <c r="O795" s="3"/>
      <c r="P795" s="3"/>
    </row>
    <row r="796" spans="1:16" ht="25.2">
      <c r="A796" s="104"/>
      <c r="F796" s="139"/>
      <c r="G796" s="102"/>
      <c r="H796" s="102"/>
      <c r="I796" s="102"/>
      <c r="J796" s="102"/>
      <c r="K796" s="102"/>
      <c r="L796" s="102"/>
      <c r="M796" s="102"/>
      <c r="N796" s="105"/>
      <c r="O796" s="3"/>
      <c r="P796" s="3"/>
    </row>
    <row r="797" spans="1:16" ht="25.2">
      <c r="A797" s="104" t="s">
        <v>224</v>
      </c>
      <c r="F797" s="142" t="s">
        <v>225</v>
      </c>
      <c r="G797" s="272" t="str">
        <f>VLOOKUP($P794,'Summary PL'!$A$14:$M$39,3,FALSE)</f>
        <v>PGU-DE-0481-AIS-PoCable-022</v>
      </c>
      <c r="H797" s="102"/>
      <c r="I797" s="102"/>
      <c r="J797" s="102"/>
      <c r="K797" s="102"/>
      <c r="L797" s="102"/>
      <c r="M797" s="102"/>
      <c r="N797" s="105"/>
      <c r="O797" s="3"/>
      <c r="P797" s="3"/>
    </row>
    <row r="798" spans="1:16" ht="25.2">
      <c r="A798" s="104" t="s">
        <v>226</v>
      </c>
      <c r="F798" s="139"/>
      <c r="G798" s="139"/>
      <c r="H798" s="102"/>
      <c r="I798" s="102"/>
      <c r="J798" s="102"/>
      <c r="K798" s="102"/>
      <c r="L798" s="102"/>
      <c r="M798" s="102"/>
      <c r="N798" s="105"/>
      <c r="O798" s="4"/>
      <c r="P798" s="4"/>
    </row>
    <row r="799" spans="1:16" ht="25.2">
      <c r="A799" s="104"/>
      <c r="F799" s="139"/>
      <c r="G799" s="139"/>
      <c r="H799" s="102"/>
      <c r="I799" s="102"/>
      <c r="J799" s="102"/>
      <c r="K799" s="102"/>
      <c r="L799" s="102"/>
      <c r="M799" s="102"/>
      <c r="N799" s="105"/>
      <c r="O799" s="3"/>
      <c r="P799" s="3"/>
    </row>
    <row r="800" spans="1:16" ht="25.2">
      <c r="A800" s="104" t="s">
        <v>227</v>
      </c>
      <c r="F800" s="139" t="s">
        <v>220</v>
      </c>
      <c r="G800" s="241">
        <f>VLOOKUP($P794,'Summary PL'!$A$14:$M$39,12,FALSE)</f>
        <v>996</v>
      </c>
      <c r="H800" s="139" t="s">
        <v>228</v>
      </c>
      <c r="I800" s="102"/>
      <c r="J800" s="102"/>
      <c r="K800" s="102"/>
      <c r="L800" s="102"/>
      <c r="M800" s="102"/>
      <c r="N800" s="105"/>
      <c r="O800" s="3"/>
      <c r="P800" s="3"/>
    </row>
    <row r="801" spans="1:16" ht="25.2">
      <c r="A801" s="104" t="s">
        <v>229</v>
      </c>
      <c r="F801" s="139"/>
      <c r="G801" s="139"/>
      <c r="H801" s="139"/>
      <c r="I801" s="102"/>
      <c r="J801" s="102"/>
      <c r="K801" s="102"/>
      <c r="L801" s="102"/>
      <c r="M801" s="102"/>
      <c r="N801" s="105"/>
      <c r="O801" s="4"/>
      <c r="P801" s="4"/>
    </row>
    <row r="802" spans="1:16" ht="25.2">
      <c r="A802" s="104"/>
      <c r="F802" s="139"/>
      <c r="G802" s="139"/>
      <c r="H802" s="139"/>
      <c r="I802" s="102"/>
      <c r="J802" s="102"/>
      <c r="K802" s="102"/>
      <c r="L802" s="102"/>
      <c r="M802" s="102"/>
      <c r="N802" s="105"/>
      <c r="O802" s="3"/>
      <c r="P802" s="3"/>
    </row>
    <row r="803" spans="1:16" ht="25.2">
      <c r="A803" s="104" t="s">
        <v>230</v>
      </c>
      <c r="F803" s="139" t="s">
        <v>220</v>
      </c>
      <c r="G803" s="241">
        <f>VLOOKUP($P794,'Summary PL'!$A$14:$M$39,13,FALSE)</f>
        <v>1288</v>
      </c>
      <c r="H803" s="139" t="s">
        <v>228</v>
      </c>
      <c r="I803" s="102"/>
      <c r="J803" s="102"/>
      <c r="K803" s="102"/>
      <c r="L803" s="102"/>
      <c r="M803" s="102"/>
      <c r="N803" s="105"/>
      <c r="O803" s="3"/>
      <c r="P803" s="3"/>
    </row>
    <row r="804" spans="1:16" ht="25.2">
      <c r="A804" s="104" t="s">
        <v>231</v>
      </c>
      <c r="F804" s="139"/>
      <c r="G804" s="139"/>
      <c r="H804" s="102"/>
      <c r="I804" s="102"/>
      <c r="J804" s="102"/>
      <c r="K804" s="102"/>
      <c r="L804" s="102"/>
      <c r="M804" s="102"/>
      <c r="N804" s="105"/>
      <c r="O804" s="4"/>
      <c r="P804" s="4"/>
    </row>
    <row r="805" spans="1:16" ht="25.2">
      <c r="A805" s="104"/>
      <c r="F805" s="139"/>
      <c r="G805" s="139"/>
      <c r="H805" s="102"/>
      <c r="I805" s="102"/>
      <c r="J805" s="102"/>
      <c r="K805" s="102"/>
      <c r="L805" s="102"/>
      <c r="M805" s="102"/>
      <c r="N805" s="105"/>
      <c r="O805" s="3"/>
      <c r="P805" s="3"/>
    </row>
    <row r="806" spans="1:16" ht="25.2">
      <c r="A806" s="108" t="s">
        <v>232</v>
      </c>
      <c r="F806" s="139" t="s">
        <v>220</v>
      </c>
      <c r="G806" s="241">
        <f>VLOOKUP($P794,'Summary PL'!$A$14:$M$39,11,FALSE)</f>
        <v>2.218</v>
      </c>
      <c r="H806" s="240" t="s">
        <v>233</v>
      </c>
      <c r="I806" s="240"/>
      <c r="J806" s="240"/>
      <c r="K806" s="240"/>
      <c r="L806" s="102"/>
      <c r="M806" s="102"/>
      <c r="N806" s="105"/>
      <c r="O806" s="3"/>
      <c r="P806" s="3"/>
    </row>
    <row r="807" spans="1:16" ht="25.2">
      <c r="A807" s="104" t="s">
        <v>234</v>
      </c>
      <c r="F807" s="139"/>
      <c r="G807" s="139"/>
      <c r="H807" s="102"/>
      <c r="I807" s="102"/>
      <c r="J807" s="102"/>
      <c r="K807" s="102"/>
      <c r="L807" s="102"/>
      <c r="M807" s="102"/>
      <c r="N807" s="105"/>
      <c r="O807" s="4"/>
      <c r="P807" s="4"/>
    </row>
    <row r="808" spans="1:16" ht="25.2">
      <c r="A808" s="104"/>
      <c r="F808" s="139"/>
      <c r="G808" s="139"/>
      <c r="H808" s="102"/>
      <c r="I808" s="102"/>
      <c r="J808" s="102"/>
      <c r="K808" s="102"/>
      <c r="L808" s="102"/>
      <c r="M808" s="102"/>
      <c r="N808" s="105"/>
      <c r="O808" s="3"/>
      <c r="P808" s="3"/>
    </row>
    <row r="809" spans="1:16" ht="25.2">
      <c r="A809" s="104" t="s">
        <v>235</v>
      </c>
      <c r="F809" s="139" t="s">
        <v>236</v>
      </c>
      <c r="G809" s="508" t="s">
        <v>237</v>
      </c>
      <c r="H809" s="508"/>
      <c r="I809" s="508"/>
      <c r="J809" s="508"/>
      <c r="K809" s="508"/>
      <c r="L809" s="508"/>
      <c r="M809" s="508"/>
      <c r="N809" s="509"/>
      <c r="O809" s="3"/>
      <c r="P809" s="3"/>
    </row>
    <row r="810" spans="1:16" ht="25.2">
      <c r="A810" s="104" t="s">
        <v>238</v>
      </c>
      <c r="F810" s="139"/>
      <c r="G810" s="508"/>
      <c r="H810" s="508"/>
      <c r="I810" s="508"/>
      <c r="J810" s="508"/>
      <c r="K810" s="508"/>
      <c r="L810" s="508"/>
      <c r="M810" s="508"/>
      <c r="N810" s="509"/>
      <c r="O810" s="4"/>
      <c r="P810" s="4"/>
    </row>
    <row r="811" spans="1:16" ht="25.2">
      <c r="A811" s="104"/>
      <c r="F811" s="139"/>
      <c r="G811" s="140"/>
      <c r="H811" s="102"/>
      <c r="I811" s="102"/>
      <c r="J811" s="102"/>
      <c r="K811" s="102"/>
      <c r="L811" s="102"/>
      <c r="M811" s="102"/>
      <c r="N811" s="105"/>
      <c r="O811" s="4"/>
      <c r="P811" s="4"/>
    </row>
    <row r="812" spans="1:16" ht="25.8" thickBot="1">
      <c r="A812" s="104"/>
      <c r="E812" s="139"/>
      <c r="F812" s="239"/>
      <c r="G812" s="139"/>
      <c r="H812" s="102"/>
      <c r="I812" s="102"/>
      <c r="J812" s="102"/>
      <c r="K812" s="102"/>
      <c r="L812" s="102"/>
      <c r="M812" s="102"/>
      <c r="N812" s="105"/>
      <c r="O812" s="4"/>
      <c r="P812" s="4"/>
    </row>
    <row r="813" spans="1:16">
      <c r="A813" s="98"/>
      <c r="B813" s="99"/>
      <c r="C813" s="99"/>
      <c r="D813" s="99"/>
      <c r="E813" s="510" t="s">
        <v>239</v>
      </c>
      <c r="F813" s="511"/>
      <c r="G813" s="511"/>
      <c r="H813" s="511"/>
      <c r="I813" s="511"/>
      <c r="J813" s="511"/>
      <c r="K813" s="511"/>
      <c r="L813" s="100"/>
      <c r="M813" s="100"/>
      <c r="N813" s="101"/>
    </row>
    <row r="814" spans="1:16" ht="21.6" thickBot="1">
      <c r="A814" s="109"/>
      <c r="B814" s="110"/>
      <c r="C814" s="110"/>
      <c r="D814" s="110"/>
      <c r="E814" s="512"/>
      <c r="F814" s="512"/>
      <c r="G814" s="512"/>
      <c r="H814" s="512"/>
      <c r="I814" s="512"/>
      <c r="J814" s="512"/>
      <c r="K814" s="512"/>
      <c r="L814" s="111"/>
      <c r="M814" s="111"/>
      <c r="N814" s="112"/>
    </row>
    <row r="815" spans="1:16">
      <c r="A815" s="98"/>
      <c r="B815" s="99"/>
      <c r="C815" s="99"/>
      <c r="D815" s="99"/>
      <c r="E815" s="99"/>
      <c r="F815" s="100"/>
      <c r="G815" s="100"/>
      <c r="H815" s="100"/>
      <c r="I815" s="100"/>
      <c r="J815" s="100"/>
      <c r="K815" s="100"/>
      <c r="L815" s="100"/>
      <c r="M815" s="100"/>
      <c r="N815" s="101"/>
    </row>
    <row r="816" spans="1:16">
      <c r="A816" s="243"/>
      <c r="N816" s="242"/>
    </row>
    <row r="817" spans="1:16" ht="31.2">
      <c r="A817" s="513" t="s">
        <v>207</v>
      </c>
      <c r="B817" s="514"/>
      <c r="C817" s="514"/>
      <c r="D817" s="514"/>
      <c r="E817" s="514"/>
      <c r="F817" s="514"/>
      <c r="G817" s="514"/>
      <c r="H817" s="514"/>
      <c r="I817" s="514"/>
      <c r="J817" s="514"/>
      <c r="K817" s="514"/>
      <c r="L817" s="514"/>
      <c r="M817" s="514"/>
      <c r="N817" s="515"/>
    </row>
    <row r="818" spans="1:16" ht="25.2">
      <c r="A818" s="115" t="s">
        <v>208</v>
      </c>
      <c r="B818" s="138"/>
      <c r="C818" s="138"/>
      <c r="F818" s="139" t="s">
        <v>209</v>
      </c>
      <c r="G818" s="508" t="s">
        <v>210</v>
      </c>
      <c r="H818" s="508"/>
      <c r="I818" s="508"/>
      <c r="J818" s="508"/>
      <c r="K818" s="508"/>
      <c r="L818" s="508"/>
      <c r="M818" s="508"/>
      <c r="N818" s="509"/>
      <c r="O818" s="3"/>
      <c r="P818" s="3"/>
    </row>
    <row r="819" spans="1:16" ht="25.2">
      <c r="A819" s="104" t="s">
        <v>211</v>
      </c>
      <c r="F819" s="139"/>
      <c r="G819" s="508"/>
      <c r="H819" s="508"/>
      <c r="I819" s="508"/>
      <c r="J819" s="508"/>
      <c r="K819" s="508"/>
      <c r="L819" s="508"/>
      <c r="M819" s="508"/>
      <c r="N819" s="509"/>
      <c r="O819" s="4"/>
      <c r="P819" s="4"/>
    </row>
    <row r="820" spans="1:16" ht="25.2">
      <c r="A820" s="104"/>
      <c r="F820" s="139"/>
      <c r="G820" s="102"/>
      <c r="H820" s="102"/>
      <c r="I820" s="102"/>
      <c r="J820" s="102"/>
      <c r="K820" s="102"/>
      <c r="L820" s="102"/>
      <c r="M820" s="102"/>
      <c r="N820" s="105"/>
      <c r="O820" s="3"/>
      <c r="P820" s="3"/>
    </row>
    <row r="821" spans="1:16" ht="25.2">
      <c r="A821" s="104" t="s">
        <v>212</v>
      </c>
      <c r="F821" s="139" t="s">
        <v>213</v>
      </c>
      <c r="G821" s="508" t="str">
        <f>PL!$B$13</f>
        <v>Branch of JSC "Doosan Enerbility" in the Turkestan region</v>
      </c>
      <c r="H821" s="508"/>
      <c r="I821" s="508"/>
      <c r="J821" s="508"/>
      <c r="K821" s="508"/>
      <c r="L821" s="508"/>
      <c r="M821" s="508"/>
      <c r="N821" s="509"/>
      <c r="O821" s="3"/>
      <c r="P821" s="3"/>
    </row>
    <row r="822" spans="1:16" ht="25.2">
      <c r="A822" s="104" t="s">
        <v>214</v>
      </c>
      <c r="F822" s="139"/>
      <c r="G822" s="508" t="str">
        <f>PL!$B$14</f>
        <v>321 Tauke Khan Avenue, Turkestan region, Turkestan, Kazakhstan, 161200</v>
      </c>
      <c r="H822" s="508"/>
      <c r="I822" s="508"/>
      <c r="J822" s="508"/>
      <c r="K822" s="508"/>
      <c r="L822" s="508"/>
      <c r="M822" s="508"/>
      <c r="N822" s="509"/>
      <c r="O822" s="3"/>
      <c r="P822" s="3"/>
    </row>
    <row r="823" spans="1:16" ht="25.2">
      <c r="A823" s="104"/>
      <c r="F823" s="139"/>
      <c r="G823" s="508" t="str">
        <f>PL!$B$15</f>
        <v>BIN: 230741006561</v>
      </c>
      <c r="H823" s="508"/>
      <c r="I823" s="508"/>
      <c r="J823" s="508"/>
      <c r="K823" s="508"/>
      <c r="L823" s="508"/>
      <c r="M823" s="508"/>
      <c r="N823" s="509"/>
      <c r="O823" s="3"/>
      <c r="P823" s="3"/>
    </row>
    <row r="824" spans="1:16" ht="25.2">
      <c r="A824" s="104"/>
      <c r="F824" s="139"/>
      <c r="G824" s="210"/>
      <c r="H824" s="210"/>
      <c r="I824" s="210"/>
      <c r="J824" s="210"/>
      <c r="K824" s="210"/>
      <c r="L824" s="210"/>
      <c r="M824" s="210"/>
      <c r="N824" s="211"/>
      <c r="O824" s="3"/>
      <c r="P824" s="3"/>
    </row>
    <row r="825" spans="1:16" ht="25.2">
      <c r="A825" s="104" t="s">
        <v>215</v>
      </c>
      <c r="F825" s="139" t="s">
        <v>216</v>
      </c>
      <c r="G825" s="102"/>
      <c r="H825" s="102"/>
      <c r="I825" s="102"/>
      <c r="J825" s="102"/>
      <c r="K825" s="102"/>
      <c r="L825" s="102"/>
      <c r="M825" s="102"/>
      <c r="N825" s="105"/>
      <c r="O825" s="3"/>
      <c r="P825" s="3"/>
    </row>
    <row r="826" spans="1:16" ht="25.2">
      <c r="A826" s="104" t="s">
        <v>217</v>
      </c>
      <c r="F826" s="139" t="s">
        <v>218</v>
      </c>
      <c r="G826" s="102"/>
      <c r="H826" s="102"/>
      <c r="I826" s="102"/>
      <c r="J826" s="102"/>
      <c r="K826" s="102"/>
      <c r="L826" s="102"/>
      <c r="M826" s="102"/>
      <c r="N826" s="105"/>
      <c r="O826" s="4"/>
      <c r="P826" s="4"/>
    </row>
    <row r="827" spans="1:16" ht="25.2">
      <c r="A827" s="104"/>
      <c r="F827" s="139"/>
      <c r="G827" s="102"/>
      <c r="H827" s="102"/>
      <c r="I827" s="102"/>
      <c r="J827" s="102"/>
      <c r="K827" s="102"/>
      <c r="L827" s="102"/>
      <c r="M827" s="102"/>
      <c r="N827" s="105"/>
      <c r="O827" s="3"/>
      <c r="P827" s="3"/>
    </row>
    <row r="828" spans="1:16" ht="25.2">
      <c r="A828" s="104" t="s">
        <v>219</v>
      </c>
      <c r="F828" s="139" t="s">
        <v>220</v>
      </c>
      <c r="G828" s="139" t="str">
        <f>PL!$V$8</f>
        <v>PGU-DE-0481</v>
      </c>
      <c r="H828" s="102"/>
      <c r="I828" s="102"/>
      <c r="J828" s="102"/>
      <c r="K828" s="102"/>
      <c r="L828" s="102"/>
      <c r="M828" s="102"/>
      <c r="N828" s="105"/>
      <c r="O828" s="3"/>
      <c r="P828" s="3"/>
    </row>
    <row r="829" spans="1:16" ht="25.2">
      <c r="A829" s="104" t="s">
        <v>221</v>
      </c>
      <c r="F829" s="139"/>
      <c r="G829" s="102"/>
      <c r="H829" s="102"/>
      <c r="I829" s="102"/>
      <c r="J829" s="102"/>
      <c r="K829" s="102"/>
      <c r="L829" s="102"/>
      <c r="M829" s="102"/>
      <c r="N829" s="105"/>
      <c r="O829" s="3"/>
      <c r="P829" s="3"/>
    </row>
    <row r="830" spans="1:16" ht="25.2">
      <c r="A830" s="104"/>
      <c r="F830" s="139"/>
      <c r="G830" s="102"/>
      <c r="H830" s="102"/>
      <c r="I830" s="102"/>
      <c r="J830" s="102"/>
      <c r="K830" s="102"/>
      <c r="L830" s="102"/>
      <c r="M830" s="102"/>
      <c r="N830" s="105"/>
      <c r="O830" s="3"/>
      <c r="P830" s="3"/>
    </row>
    <row r="831" spans="1:16" ht="25.2">
      <c r="A831" s="106" t="s">
        <v>222</v>
      </c>
      <c r="B831" s="141"/>
      <c r="C831" s="141"/>
      <c r="D831" s="141"/>
      <c r="E831" s="141"/>
      <c r="F831" s="142" t="s">
        <v>209</v>
      </c>
      <c r="G831" s="272" t="str">
        <f>VLOOKUP($P831,'Summary PL'!$A$14:$M$39,4,FALSE)</f>
        <v>Power Cable / Кабель питания для ОРУ</v>
      </c>
      <c r="H831" s="141"/>
      <c r="I831" s="141"/>
      <c r="J831" s="141"/>
      <c r="K831" s="141"/>
      <c r="L831" s="141"/>
      <c r="M831" s="141"/>
      <c r="N831" s="107"/>
      <c r="O831" s="3"/>
      <c r="P831" s="3">
        <f>P794+1</f>
        <v>23</v>
      </c>
    </row>
    <row r="832" spans="1:16" ht="25.2">
      <c r="A832" s="106" t="s">
        <v>223</v>
      </c>
      <c r="B832" s="141"/>
      <c r="C832" s="141"/>
      <c r="D832" s="141"/>
      <c r="E832" s="141"/>
      <c r="F832" s="142"/>
      <c r="G832" s="141"/>
      <c r="H832" s="141"/>
      <c r="I832" s="141"/>
      <c r="J832" s="141"/>
      <c r="K832" s="141"/>
      <c r="L832" s="141"/>
      <c r="M832" s="141"/>
      <c r="N832" s="107"/>
      <c r="O832" s="3"/>
      <c r="P832" s="3"/>
    </row>
    <row r="833" spans="1:16" ht="25.2">
      <c r="A833" s="104"/>
      <c r="F833" s="139"/>
      <c r="G833" s="102"/>
      <c r="H833" s="102"/>
      <c r="I833" s="102"/>
      <c r="J833" s="102"/>
      <c r="K833" s="102"/>
      <c r="L833" s="102"/>
      <c r="M833" s="102"/>
      <c r="N833" s="105"/>
      <c r="O833" s="3"/>
      <c r="P833" s="3"/>
    </row>
    <row r="834" spans="1:16" ht="25.2">
      <c r="A834" s="104" t="s">
        <v>224</v>
      </c>
      <c r="F834" s="142" t="s">
        <v>225</v>
      </c>
      <c r="G834" s="272" t="str">
        <f>VLOOKUP($P831,'Summary PL'!$A$14:$M$39,3,FALSE)</f>
        <v>PGU-DE-0481-AIS-PoCable-023</v>
      </c>
      <c r="H834" s="102"/>
      <c r="I834" s="102"/>
      <c r="J834" s="102"/>
      <c r="K834" s="102"/>
      <c r="L834" s="102"/>
      <c r="M834" s="102"/>
      <c r="N834" s="105"/>
      <c r="O834" s="3"/>
      <c r="P834" s="3"/>
    </row>
    <row r="835" spans="1:16" ht="25.2">
      <c r="A835" s="104" t="s">
        <v>226</v>
      </c>
      <c r="F835" s="139"/>
      <c r="G835" s="139"/>
      <c r="H835" s="102"/>
      <c r="I835" s="102"/>
      <c r="J835" s="102"/>
      <c r="K835" s="102"/>
      <c r="L835" s="102"/>
      <c r="M835" s="102"/>
      <c r="N835" s="105"/>
      <c r="O835" s="4"/>
      <c r="P835" s="4"/>
    </row>
    <row r="836" spans="1:16" ht="25.2">
      <c r="A836" s="104"/>
      <c r="F836" s="139"/>
      <c r="G836" s="139"/>
      <c r="H836" s="102"/>
      <c r="I836" s="102"/>
      <c r="J836" s="102"/>
      <c r="K836" s="102"/>
      <c r="L836" s="102"/>
      <c r="M836" s="102"/>
      <c r="N836" s="105"/>
      <c r="O836" s="3"/>
      <c r="P836" s="3"/>
    </row>
    <row r="837" spans="1:16" ht="25.2">
      <c r="A837" s="104" t="s">
        <v>227</v>
      </c>
      <c r="F837" s="139" t="s">
        <v>220</v>
      </c>
      <c r="G837" s="288">
        <f>VLOOKUP($P831,'Summary PL'!$A$14:$M$39,12,FALSE)</f>
        <v>1408</v>
      </c>
      <c r="H837" s="139" t="s">
        <v>228</v>
      </c>
      <c r="I837" s="102"/>
      <c r="J837" s="102"/>
      <c r="K837" s="102"/>
      <c r="L837" s="102"/>
      <c r="M837" s="102"/>
      <c r="N837" s="105"/>
      <c r="O837" s="3"/>
      <c r="P837" s="3"/>
    </row>
    <row r="838" spans="1:16" ht="25.2">
      <c r="A838" s="104" t="s">
        <v>229</v>
      </c>
      <c r="F838" s="139"/>
      <c r="G838" s="139"/>
      <c r="H838" s="139"/>
      <c r="I838" s="102"/>
      <c r="J838" s="102"/>
      <c r="K838" s="102"/>
      <c r="L838" s="102"/>
      <c r="M838" s="102"/>
      <c r="N838" s="105"/>
      <c r="O838" s="4"/>
      <c r="P838" s="4"/>
    </row>
    <row r="839" spans="1:16" ht="25.2">
      <c r="A839" s="104"/>
      <c r="F839" s="139"/>
      <c r="G839" s="139"/>
      <c r="H839" s="139"/>
      <c r="I839" s="102"/>
      <c r="J839" s="102"/>
      <c r="K839" s="102"/>
      <c r="L839" s="102"/>
      <c r="M839" s="102"/>
      <c r="N839" s="105"/>
      <c r="O839" s="3"/>
      <c r="P839" s="3"/>
    </row>
    <row r="840" spans="1:16" ht="25.2">
      <c r="A840" s="104" t="s">
        <v>230</v>
      </c>
      <c r="F840" s="139" t="s">
        <v>220</v>
      </c>
      <c r="G840" s="241">
        <f>VLOOKUP($P831,'Summary PL'!$A$14:$M$39,13,FALSE)</f>
        <v>1725</v>
      </c>
      <c r="H840" s="139" t="s">
        <v>228</v>
      </c>
      <c r="I840" s="102"/>
      <c r="J840" s="102"/>
      <c r="K840" s="102"/>
      <c r="L840" s="102"/>
      <c r="M840" s="102"/>
      <c r="N840" s="105"/>
      <c r="O840" s="3"/>
      <c r="P840" s="3"/>
    </row>
    <row r="841" spans="1:16" ht="25.2">
      <c r="A841" s="104" t="s">
        <v>231</v>
      </c>
      <c r="F841" s="139"/>
      <c r="G841" s="139"/>
      <c r="H841" s="102"/>
      <c r="I841" s="102"/>
      <c r="J841" s="102"/>
      <c r="K841" s="102"/>
      <c r="L841" s="102"/>
      <c r="M841" s="102"/>
      <c r="N841" s="105"/>
      <c r="O841" s="4"/>
      <c r="P841" s="4"/>
    </row>
    <row r="842" spans="1:16" ht="25.2">
      <c r="A842" s="104"/>
      <c r="F842" s="139"/>
      <c r="G842" s="139"/>
      <c r="H842" s="102"/>
      <c r="I842" s="102"/>
      <c r="J842" s="102"/>
      <c r="K842" s="102"/>
      <c r="L842" s="102"/>
      <c r="M842" s="102"/>
      <c r="N842" s="105"/>
      <c r="O842" s="3"/>
      <c r="P842" s="3"/>
    </row>
    <row r="843" spans="1:16" ht="25.2">
      <c r="A843" s="108" t="s">
        <v>232</v>
      </c>
      <c r="F843" s="139" t="s">
        <v>220</v>
      </c>
      <c r="G843" s="241">
        <f>VLOOKUP($P831,'Summary PL'!$A$14:$M$39,11,FALSE)</f>
        <v>2.5099999999999998</v>
      </c>
      <c r="H843" s="240" t="s">
        <v>233</v>
      </c>
      <c r="I843" s="240"/>
      <c r="J843" s="240"/>
      <c r="K843" s="240"/>
      <c r="L843" s="102"/>
      <c r="M843" s="102"/>
      <c r="N843" s="105"/>
      <c r="O843" s="3"/>
      <c r="P843" s="3"/>
    </row>
    <row r="844" spans="1:16" ht="25.2">
      <c r="A844" s="104" t="s">
        <v>234</v>
      </c>
      <c r="F844" s="139"/>
      <c r="G844" s="139"/>
      <c r="H844" s="102"/>
      <c r="I844" s="102"/>
      <c r="J844" s="102"/>
      <c r="K844" s="102"/>
      <c r="L844" s="102"/>
      <c r="M844" s="102"/>
      <c r="N844" s="105"/>
      <c r="O844" s="4"/>
      <c r="P844" s="4"/>
    </row>
    <row r="845" spans="1:16" ht="25.2">
      <c r="A845" s="104"/>
      <c r="F845" s="139"/>
      <c r="G845" s="139"/>
      <c r="H845" s="102"/>
      <c r="I845" s="102"/>
      <c r="J845" s="102"/>
      <c r="K845" s="102"/>
      <c r="L845" s="102"/>
      <c r="M845" s="102"/>
      <c r="N845" s="105"/>
      <c r="O845" s="3"/>
      <c r="P845" s="3"/>
    </row>
    <row r="846" spans="1:16" ht="25.2">
      <c r="A846" s="104" t="s">
        <v>235</v>
      </c>
      <c r="F846" s="139" t="s">
        <v>236</v>
      </c>
      <c r="G846" s="508" t="s">
        <v>237</v>
      </c>
      <c r="H846" s="508"/>
      <c r="I846" s="508"/>
      <c r="J846" s="508"/>
      <c r="K846" s="508"/>
      <c r="L846" s="508"/>
      <c r="M846" s="508"/>
      <c r="N846" s="509"/>
      <c r="O846" s="3"/>
      <c r="P846" s="3"/>
    </row>
    <row r="847" spans="1:16" ht="25.2">
      <c r="A847" s="104" t="s">
        <v>238</v>
      </c>
      <c r="F847" s="139"/>
      <c r="G847" s="508"/>
      <c r="H847" s="508"/>
      <c r="I847" s="508"/>
      <c r="J847" s="508"/>
      <c r="K847" s="508"/>
      <c r="L847" s="508"/>
      <c r="M847" s="508"/>
      <c r="N847" s="509"/>
      <c r="O847" s="4"/>
      <c r="P847" s="4"/>
    </row>
    <row r="848" spans="1:16" ht="25.2">
      <c r="A848" s="104"/>
      <c r="F848" s="139"/>
      <c r="G848" s="140"/>
      <c r="H848" s="102"/>
      <c r="I848" s="102"/>
      <c r="J848" s="102"/>
      <c r="K848" s="102"/>
      <c r="L848" s="102"/>
      <c r="M848" s="102"/>
      <c r="N848" s="105"/>
      <c r="O848" s="4"/>
      <c r="P848" s="4"/>
    </row>
    <row r="849" spans="1:16" ht="25.8" thickBot="1">
      <c r="A849" s="104"/>
      <c r="E849" s="139"/>
      <c r="F849" s="239"/>
      <c r="G849" s="139"/>
      <c r="H849" s="102"/>
      <c r="I849" s="102"/>
      <c r="J849" s="102"/>
      <c r="K849" s="102"/>
      <c r="L849" s="102"/>
      <c r="M849" s="102"/>
      <c r="N849" s="105"/>
      <c r="O849" s="4"/>
      <c r="P849" s="4"/>
    </row>
    <row r="850" spans="1:16">
      <c r="A850" s="98"/>
      <c r="B850" s="99"/>
      <c r="C850" s="99"/>
      <c r="D850" s="99"/>
      <c r="E850" s="510" t="s">
        <v>239</v>
      </c>
      <c r="F850" s="511"/>
      <c r="G850" s="511"/>
      <c r="H850" s="511"/>
      <c r="I850" s="511"/>
      <c r="J850" s="511"/>
      <c r="K850" s="511"/>
      <c r="L850" s="100"/>
      <c r="M850" s="100"/>
      <c r="N850" s="101"/>
    </row>
    <row r="851" spans="1:16" ht="21.6" thickBot="1">
      <c r="A851" s="109"/>
      <c r="B851" s="110"/>
      <c r="C851" s="110"/>
      <c r="D851" s="110"/>
      <c r="E851" s="512"/>
      <c r="F851" s="512"/>
      <c r="G851" s="512"/>
      <c r="H851" s="512"/>
      <c r="I851" s="512"/>
      <c r="J851" s="512"/>
      <c r="K851" s="512"/>
      <c r="L851" s="111"/>
      <c r="M851" s="111"/>
      <c r="N851" s="112"/>
    </row>
    <row r="852" spans="1:16">
      <c r="A852" s="98"/>
      <c r="B852" s="99"/>
      <c r="C852" s="99"/>
      <c r="D852" s="99"/>
      <c r="E852" s="99"/>
      <c r="F852" s="100"/>
      <c r="G852" s="100"/>
      <c r="H852" s="100"/>
      <c r="I852" s="100"/>
      <c r="J852" s="100"/>
      <c r="K852" s="100"/>
      <c r="L852" s="100"/>
      <c r="M852" s="100"/>
      <c r="N852" s="101"/>
    </row>
    <row r="853" spans="1:16">
      <c r="A853" s="243"/>
      <c r="N853" s="242"/>
    </row>
    <row r="854" spans="1:16" ht="31.2">
      <c r="A854" s="513" t="s">
        <v>207</v>
      </c>
      <c r="B854" s="514"/>
      <c r="C854" s="514"/>
      <c r="D854" s="514"/>
      <c r="E854" s="514"/>
      <c r="F854" s="514"/>
      <c r="G854" s="514"/>
      <c r="H854" s="514"/>
      <c r="I854" s="514"/>
      <c r="J854" s="514"/>
      <c r="K854" s="514"/>
      <c r="L854" s="514"/>
      <c r="M854" s="514"/>
      <c r="N854" s="515"/>
    </row>
    <row r="855" spans="1:16" ht="25.2">
      <c r="A855" s="115" t="s">
        <v>208</v>
      </c>
      <c r="B855" s="138"/>
      <c r="C855" s="138"/>
      <c r="F855" s="139" t="s">
        <v>209</v>
      </c>
      <c r="G855" s="508" t="s">
        <v>210</v>
      </c>
      <c r="H855" s="508"/>
      <c r="I855" s="508"/>
      <c r="J855" s="508"/>
      <c r="K855" s="508"/>
      <c r="L855" s="508"/>
      <c r="M855" s="508"/>
      <c r="N855" s="509"/>
      <c r="O855" s="3"/>
      <c r="P855" s="3"/>
    </row>
    <row r="856" spans="1:16" ht="25.2">
      <c r="A856" s="104" t="s">
        <v>211</v>
      </c>
      <c r="F856" s="139"/>
      <c r="G856" s="508"/>
      <c r="H856" s="508"/>
      <c r="I856" s="508"/>
      <c r="J856" s="508"/>
      <c r="K856" s="508"/>
      <c r="L856" s="508"/>
      <c r="M856" s="508"/>
      <c r="N856" s="509"/>
      <c r="O856" s="4"/>
      <c r="P856" s="4"/>
    </row>
    <row r="857" spans="1:16" ht="25.2">
      <c r="A857" s="104"/>
      <c r="F857" s="139"/>
      <c r="G857" s="102"/>
      <c r="H857" s="102"/>
      <c r="I857" s="102"/>
      <c r="J857" s="102"/>
      <c r="K857" s="102"/>
      <c r="L857" s="102"/>
      <c r="M857" s="102"/>
      <c r="N857" s="105"/>
      <c r="O857" s="3"/>
      <c r="P857" s="3"/>
    </row>
    <row r="858" spans="1:16" ht="25.2">
      <c r="A858" s="104" t="s">
        <v>212</v>
      </c>
      <c r="F858" s="139" t="s">
        <v>213</v>
      </c>
      <c r="G858" s="508" t="str">
        <f>PL!$B$13</f>
        <v>Branch of JSC "Doosan Enerbility" in the Turkestan region</v>
      </c>
      <c r="H858" s="508"/>
      <c r="I858" s="508"/>
      <c r="J858" s="508"/>
      <c r="K858" s="508"/>
      <c r="L858" s="508"/>
      <c r="M858" s="508"/>
      <c r="N858" s="509"/>
      <c r="O858" s="3"/>
      <c r="P858" s="3"/>
    </row>
    <row r="859" spans="1:16" ht="25.2">
      <c r="A859" s="104" t="s">
        <v>214</v>
      </c>
      <c r="F859" s="139"/>
      <c r="G859" s="508" t="str">
        <f>PL!$B$14</f>
        <v>321 Tauke Khan Avenue, Turkestan region, Turkestan, Kazakhstan, 161200</v>
      </c>
      <c r="H859" s="508"/>
      <c r="I859" s="508"/>
      <c r="J859" s="508"/>
      <c r="K859" s="508"/>
      <c r="L859" s="508"/>
      <c r="M859" s="508"/>
      <c r="N859" s="509"/>
      <c r="O859" s="3"/>
      <c r="P859" s="3"/>
    </row>
    <row r="860" spans="1:16" ht="25.2">
      <c r="A860" s="104"/>
      <c r="F860" s="139"/>
      <c r="G860" s="508" t="str">
        <f>PL!$B$15</f>
        <v>BIN: 230741006561</v>
      </c>
      <c r="H860" s="508"/>
      <c r="I860" s="508"/>
      <c r="J860" s="508"/>
      <c r="K860" s="508"/>
      <c r="L860" s="508"/>
      <c r="M860" s="508"/>
      <c r="N860" s="509"/>
      <c r="O860" s="3"/>
      <c r="P860" s="3"/>
    </row>
    <row r="861" spans="1:16" ht="25.2">
      <c r="A861" s="104"/>
      <c r="F861" s="139"/>
      <c r="G861" s="210"/>
      <c r="H861" s="210"/>
      <c r="I861" s="210"/>
      <c r="J861" s="210"/>
      <c r="K861" s="210"/>
      <c r="L861" s="210"/>
      <c r="M861" s="210"/>
      <c r="N861" s="211"/>
      <c r="O861" s="3"/>
      <c r="P861" s="3"/>
    </row>
    <row r="862" spans="1:16" ht="25.2">
      <c r="A862" s="104" t="s">
        <v>215</v>
      </c>
      <c r="F862" s="139" t="s">
        <v>216</v>
      </c>
      <c r="G862" s="102"/>
      <c r="H862" s="102"/>
      <c r="I862" s="102"/>
      <c r="J862" s="102"/>
      <c r="K862" s="102"/>
      <c r="L862" s="102"/>
      <c r="M862" s="102"/>
      <c r="N862" s="105"/>
      <c r="O862" s="3"/>
      <c r="P862" s="3"/>
    </row>
    <row r="863" spans="1:16" ht="25.2">
      <c r="A863" s="104" t="s">
        <v>217</v>
      </c>
      <c r="F863" s="139" t="s">
        <v>218</v>
      </c>
      <c r="G863" s="102"/>
      <c r="H863" s="102"/>
      <c r="I863" s="102"/>
      <c r="J863" s="102"/>
      <c r="K863" s="102"/>
      <c r="L863" s="102"/>
      <c r="M863" s="102"/>
      <c r="N863" s="105"/>
      <c r="O863" s="4"/>
      <c r="P863" s="4"/>
    </row>
    <row r="864" spans="1:16" ht="25.2">
      <c r="A864" s="104"/>
      <c r="F864" s="139"/>
      <c r="G864" s="102"/>
      <c r="H864" s="102"/>
      <c r="I864" s="102"/>
      <c r="J864" s="102"/>
      <c r="K864" s="102"/>
      <c r="L864" s="102"/>
      <c r="M864" s="102"/>
      <c r="N864" s="105"/>
      <c r="O864" s="3"/>
      <c r="P864" s="3"/>
    </row>
    <row r="865" spans="1:16" ht="25.2">
      <c r="A865" s="104" t="s">
        <v>219</v>
      </c>
      <c r="F865" s="139" t="s">
        <v>220</v>
      </c>
      <c r="G865" s="139" t="str">
        <f>PL!$V$8</f>
        <v>PGU-DE-0481</v>
      </c>
      <c r="H865" s="102"/>
      <c r="I865" s="102"/>
      <c r="J865" s="102"/>
      <c r="K865" s="102"/>
      <c r="L865" s="102"/>
      <c r="M865" s="102"/>
      <c r="N865" s="105"/>
      <c r="O865" s="3"/>
      <c r="P865" s="3"/>
    </row>
    <row r="866" spans="1:16" ht="25.2">
      <c r="A866" s="104" t="s">
        <v>221</v>
      </c>
      <c r="F866" s="139"/>
      <c r="G866" s="102"/>
      <c r="H866" s="102"/>
      <c r="I866" s="102"/>
      <c r="J866" s="102"/>
      <c r="K866" s="102"/>
      <c r="L866" s="102"/>
      <c r="M866" s="102"/>
      <c r="N866" s="105"/>
      <c r="O866" s="3"/>
      <c r="P866" s="3"/>
    </row>
    <row r="867" spans="1:16" ht="25.2">
      <c r="A867" s="104"/>
      <c r="F867" s="139"/>
      <c r="G867" s="102"/>
      <c r="H867" s="102"/>
      <c r="I867" s="102"/>
      <c r="J867" s="102"/>
      <c r="K867" s="102"/>
      <c r="L867" s="102"/>
      <c r="M867" s="102"/>
      <c r="N867" s="105"/>
      <c r="O867" s="3"/>
      <c r="P867" s="3"/>
    </row>
    <row r="868" spans="1:16" ht="25.2">
      <c r="A868" s="106" t="s">
        <v>222</v>
      </c>
      <c r="B868" s="141"/>
      <c r="C868" s="141"/>
      <c r="D868" s="141"/>
      <c r="E868" s="141"/>
      <c r="F868" s="142" t="s">
        <v>209</v>
      </c>
      <c r="G868" s="272" t="str">
        <f>VLOOKUP($P868,'Summary PL'!$A$14:$M$39,4,FALSE)</f>
        <v>Power Cable / Кабель питания для ОРУ</v>
      </c>
      <c r="H868" s="141"/>
      <c r="I868" s="141"/>
      <c r="J868" s="141"/>
      <c r="K868" s="141"/>
      <c r="L868" s="141"/>
      <c r="M868" s="141"/>
      <c r="N868" s="107"/>
      <c r="O868" s="3"/>
      <c r="P868" s="3">
        <f>P831+1</f>
        <v>24</v>
      </c>
    </row>
    <row r="869" spans="1:16" ht="25.2">
      <c r="A869" s="106" t="s">
        <v>223</v>
      </c>
      <c r="B869" s="141"/>
      <c r="C869" s="141"/>
      <c r="D869" s="141"/>
      <c r="E869" s="141"/>
      <c r="F869" s="142"/>
      <c r="G869" s="141"/>
      <c r="H869" s="141"/>
      <c r="I869" s="141"/>
      <c r="J869" s="141"/>
      <c r="K869" s="141"/>
      <c r="L869" s="141"/>
      <c r="M869" s="141"/>
      <c r="N869" s="107"/>
      <c r="O869" s="3"/>
      <c r="P869" s="3"/>
    </row>
    <row r="870" spans="1:16" ht="25.2">
      <c r="A870" s="104"/>
      <c r="F870" s="139"/>
      <c r="G870" s="102"/>
      <c r="H870" s="102"/>
      <c r="I870" s="102"/>
      <c r="J870" s="102"/>
      <c r="K870" s="102"/>
      <c r="L870" s="102"/>
      <c r="M870" s="102"/>
      <c r="N870" s="105"/>
      <c r="O870" s="3"/>
      <c r="P870" s="3"/>
    </row>
    <row r="871" spans="1:16" ht="25.2">
      <c r="A871" s="104" t="s">
        <v>224</v>
      </c>
      <c r="F871" s="142" t="s">
        <v>225</v>
      </c>
      <c r="G871" s="272" t="str">
        <f>VLOOKUP($P868,'Summary PL'!$A$14:$M$39,3,FALSE)</f>
        <v>PGU-DE-0481-AIS-PoCable-024</v>
      </c>
      <c r="H871" s="102"/>
      <c r="I871" s="102"/>
      <c r="J871" s="102"/>
      <c r="K871" s="102"/>
      <c r="L871" s="102"/>
      <c r="M871" s="102"/>
      <c r="N871" s="105"/>
      <c r="O871" s="3"/>
      <c r="P871" s="3"/>
    </row>
    <row r="872" spans="1:16" ht="25.2">
      <c r="A872" s="104" t="s">
        <v>226</v>
      </c>
      <c r="F872" s="139"/>
      <c r="G872" s="139"/>
      <c r="H872" s="102"/>
      <c r="I872" s="102"/>
      <c r="J872" s="102"/>
      <c r="K872" s="102"/>
      <c r="L872" s="102"/>
      <c r="M872" s="102"/>
      <c r="N872" s="105"/>
      <c r="O872" s="4"/>
      <c r="P872" s="4"/>
    </row>
    <row r="873" spans="1:16" ht="25.2">
      <c r="A873" s="104"/>
      <c r="F873" s="139"/>
      <c r="G873" s="139"/>
      <c r="H873" s="102"/>
      <c r="I873" s="102"/>
      <c r="J873" s="102"/>
      <c r="K873" s="102"/>
      <c r="L873" s="102"/>
      <c r="M873" s="102"/>
      <c r="N873" s="105"/>
      <c r="O873" s="3"/>
      <c r="P873" s="3"/>
    </row>
    <row r="874" spans="1:16" ht="25.2">
      <c r="A874" s="104" t="s">
        <v>227</v>
      </c>
      <c r="F874" s="139" t="s">
        <v>220</v>
      </c>
      <c r="G874" s="288">
        <f>VLOOKUP($P868,'Summary PL'!$A$14:$M$39,12,FALSE)</f>
        <v>1408</v>
      </c>
      <c r="H874" s="139" t="s">
        <v>228</v>
      </c>
      <c r="I874" s="102"/>
      <c r="J874" s="102"/>
      <c r="K874" s="102"/>
      <c r="L874" s="102"/>
      <c r="M874" s="102"/>
      <c r="N874" s="105"/>
      <c r="O874" s="3"/>
      <c r="P874" s="3"/>
    </row>
    <row r="875" spans="1:16" ht="25.2">
      <c r="A875" s="104" t="s">
        <v>229</v>
      </c>
      <c r="F875" s="139"/>
      <c r="G875" s="139"/>
      <c r="H875" s="139"/>
      <c r="I875" s="102"/>
      <c r="J875" s="102"/>
      <c r="K875" s="102"/>
      <c r="L875" s="102"/>
      <c r="M875" s="102"/>
      <c r="N875" s="105"/>
      <c r="O875" s="4"/>
      <c r="P875" s="4"/>
    </row>
    <row r="876" spans="1:16" ht="25.2">
      <c r="A876" s="104"/>
      <c r="F876" s="139"/>
      <c r="G876" s="139"/>
      <c r="H876" s="139"/>
      <c r="I876" s="102"/>
      <c r="J876" s="102"/>
      <c r="K876" s="102"/>
      <c r="L876" s="102"/>
      <c r="M876" s="102"/>
      <c r="N876" s="105"/>
      <c r="O876" s="3"/>
      <c r="P876" s="3"/>
    </row>
    <row r="877" spans="1:16" ht="25.2">
      <c r="A877" s="104" t="s">
        <v>230</v>
      </c>
      <c r="F877" s="139" t="s">
        <v>220</v>
      </c>
      <c r="G877" s="241">
        <f>VLOOKUP($P868,'Summary PL'!$A$14:$M$39,13,FALSE)</f>
        <v>1725</v>
      </c>
      <c r="H877" s="139" t="s">
        <v>228</v>
      </c>
      <c r="I877" s="102"/>
      <c r="J877" s="102"/>
      <c r="K877" s="102"/>
      <c r="L877" s="102"/>
      <c r="M877" s="102"/>
      <c r="N877" s="105"/>
      <c r="O877" s="3"/>
      <c r="P877" s="3"/>
    </row>
    <row r="878" spans="1:16" ht="25.2">
      <c r="A878" s="104" t="s">
        <v>231</v>
      </c>
      <c r="F878" s="139"/>
      <c r="G878" s="139"/>
      <c r="H878" s="102"/>
      <c r="I878" s="102"/>
      <c r="J878" s="102"/>
      <c r="K878" s="102"/>
      <c r="L878" s="102"/>
      <c r="M878" s="102"/>
      <c r="N878" s="105"/>
      <c r="O878" s="4"/>
      <c r="P878" s="4"/>
    </row>
    <row r="879" spans="1:16" ht="25.2">
      <c r="A879" s="104"/>
      <c r="F879" s="139"/>
      <c r="G879" s="139"/>
      <c r="H879" s="102"/>
      <c r="I879" s="102"/>
      <c r="J879" s="102"/>
      <c r="K879" s="102"/>
      <c r="L879" s="102"/>
      <c r="M879" s="102"/>
      <c r="N879" s="105"/>
      <c r="O879" s="3"/>
      <c r="P879" s="3"/>
    </row>
    <row r="880" spans="1:16" ht="25.2">
      <c r="A880" s="108" t="s">
        <v>232</v>
      </c>
      <c r="F880" s="139" t="s">
        <v>220</v>
      </c>
      <c r="G880" s="241">
        <f>VLOOKUP($P868,'Summary PL'!$A$14:$M$39,11,FALSE)</f>
        <v>2.5099999999999998</v>
      </c>
      <c r="H880" s="240" t="s">
        <v>233</v>
      </c>
      <c r="I880" s="240"/>
      <c r="J880" s="240"/>
      <c r="K880" s="240"/>
      <c r="L880" s="102"/>
      <c r="M880" s="102"/>
      <c r="N880" s="105"/>
      <c r="O880" s="3"/>
      <c r="P880" s="3"/>
    </row>
    <row r="881" spans="1:16" ht="25.2">
      <c r="A881" s="104" t="s">
        <v>234</v>
      </c>
      <c r="F881" s="139"/>
      <c r="G881" s="139"/>
      <c r="H881" s="102"/>
      <c r="I881" s="102"/>
      <c r="J881" s="102"/>
      <c r="K881" s="102"/>
      <c r="L881" s="102"/>
      <c r="M881" s="102"/>
      <c r="N881" s="105"/>
      <c r="O881" s="4"/>
      <c r="P881" s="4"/>
    </row>
    <row r="882" spans="1:16" ht="25.2">
      <c r="A882" s="104"/>
      <c r="F882" s="139"/>
      <c r="G882" s="139"/>
      <c r="H882" s="102"/>
      <c r="I882" s="102"/>
      <c r="J882" s="102"/>
      <c r="K882" s="102"/>
      <c r="L882" s="102"/>
      <c r="M882" s="102"/>
      <c r="N882" s="105"/>
      <c r="O882" s="3"/>
      <c r="P882" s="3"/>
    </row>
    <row r="883" spans="1:16" ht="25.2">
      <c r="A883" s="104" t="s">
        <v>235</v>
      </c>
      <c r="F883" s="139" t="s">
        <v>236</v>
      </c>
      <c r="G883" s="508" t="s">
        <v>237</v>
      </c>
      <c r="H883" s="508"/>
      <c r="I883" s="508"/>
      <c r="J883" s="508"/>
      <c r="K883" s="508"/>
      <c r="L883" s="508"/>
      <c r="M883" s="508"/>
      <c r="N883" s="509"/>
      <c r="O883" s="3"/>
      <c r="P883" s="3"/>
    </row>
    <row r="884" spans="1:16" ht="25.2">
      <c r="A884" s="104" t="s">
        <v>238</v>
      </c>
      <c r="F884" s="139"/>
      <c r="G884" s="508"/>
      <c r="H884" s="508"/>
      <c r="I884" s="508"/>
      <c r="J884" s="508"/>
      <c r="K884" s="508"/>
      <c r="L884" s="508"/>
      <c r="M884" s="508"/>
      <c r="N884" s="509"/>
      <c r="O884" s="4"/>
      <c r="P884" s="4"/>
    </row>
    <row r="885" spans="1:16" ht="25.2">
      <c r="A885" s="104"/>
      <c r="F885" s="139"/>
      <c r="G885" s="140"/>
      <c r="H885" s="102"/>
      <c r="I885" s="102"/>
      <c r="J885" s="102"/>
      <c r="K885" s="102"/>
      <c r="L885" s="102"/>
      <c r="M885" s="102"/>
      <c r="N885" s="105"/>
      <c r="O885" s="4"/>
      <c r="P885" s="4"/>
    </row>
    <row r="886" spans="1:16" ht="25.8" thickBot="1">
      <c r="A886" s="104"/>
      <c r="E886" s="139"/>
      <c r="F886" s="239"/>
      <c r="G886" s="139"/>
      <c r="H886" s="102"/>
      <c r="I886" s="102"/>
      <c r="J886" s="102"/>
      <c r="K886" s="102"/>
      <c r="L886" s="102"/>
      <c r="M886" s="102"/>
      <c r="N886" s="105"/>
      <c r="O886" s="4"/>
      <c r="P886" s="4"/>
    </row>
    <row r="887" spans="1:16">
      <c r="A887" s="98"/>
      <c r="B887" s="99"/>
      <c r="C887" s="99"/>
      <c r="D887" s="99"/>
      <c r="E887" s="510" t="s">
        <v>239</v>
      </c>
      <c r="F887" s="511"/>
      <c r="G887" s="511"/>
      <c r="H887" s="511"/>
      <c r="I887" s="511"/>
      <c r="J887" s="511"/>
      <c r="K887" s="511"/>
      <c r="L887" s="100"/>
      <c r="M887" s="100"/>
      <c r="N887" s="101"/>
    </row>
    <row r="888" spans="1:16" ht="21.6" thickBot="1">
      <c r="A888" s="109"/>
      <c r="B888" s="110"/>
      <c r="C888" s="110"/>
      <c r="D888" s="110"/>
      <c r="E888" s="512"/>
      <c r="F888" s="512"/>
      <c r="G888" s="512"/>
      <c r="H888" s="512"/>
      <c r="I888" s="512"/>
      <c r="J888" s="512"/>
      <c r="K888" s="512"/>
      <c r="L888" s="111"/>
      <c r="M888" s="111"/>
      <c r="N888" s="112"/>
    </row>
    <row r="889" spans="1:16">
      <c r="A889" s="98"/>
      <c r="B889" s="99"/>
      <c r="C889" s="99"/>
      <c r="D889" s="99"/>
      <c r="E889" s="99"/>
      <c r="F889" s="100"/>
      <c r="G889" s="100"/>
      <c r="H889" s="100"/>
      <c r="I889" s="100"/>
      <c r="J889" s="100"/>
      <c r="K889" s="100"/>
      <c r="L889" s="100"/>
      <c r="M889" s="100"/>
      <c r="N889" s="101"/>
    </row>
    <row r="890" spans="1:16">
      <c r="A890" s="243"/>
      <c r="N890" s="242"/>
    </row>
    <row r="891" spans="1:16" ht="31.2">
      <c r="A891" s="513" t="s">
        <v>207</v>
      </c>
      <c r="B891" s="514"/>
      <c r="C891" s="514"/>
      <c r="D891" s="514"/>
      <c r="E891" s="514"/>
      <c r="F891" s="514"/>
      <c r="G891" s="514"/>
      <c r="H891" s="514"/>
      <c r="I891" s="514"/>
      <c r="J891" s="514"/>
      <c r="K891" s="514"/>
      <c r="L891" s="514"/>
      <c r="M891" s="514"/>
      <c r="N891" s="515"/>
    </row>
    <row r="892" spans="1:16" ht="25.2">
      <c r="A892" s="115" t="s">
        <v>208</v>
      </c>
      <c r="B892" s="138"/>
      <c r="C892" s="138"/>
      <c r="F892" s="139" t="s">
        <v>209</v>
      </c>
      <c r="G892" s="508" t="s">
        <v>210</v>
      </c>
      <c r="H892" s="508"/>
      <c r="I892" s="508"/>
      <c r="J892" s="508"/>
      <c r="K892" s="508"/>
      <c r="L892" s="508"/>
      <c r="M892" s="508"/>
      <c r="N892" s="509"/>
      <c r="O892" s="3"/>
      <c r="P892" s="3"/>
    </row>
    <row r="893" spans="1:16" ht="25.2">
      <c r="A893" s="104" t="s">
        <v>211</v>
      </c>
      <c r="F893" s="139"/>
      <c r="G893" s="508"/>
      <c r="H893" s="508"/>
      <c r="I893" s="508"/>
      <c r="J893" s="508"/>
      <c r="K893" s="508"/>
      <c r="L893" s="508"/>
      <c r="M893" s="508"/>
      <c r="N893" s="509"/>
      <c r="O893" s="4"/>
      <c r="P893" s="4"/>
    </row>
    <row r="894" spans="1:16" ht="25.2">
      <c r="A894" s="104"/>
      <c r="F894" s="139"/>
      <c r="G894" s="102"/>
      <c r="H894" s="102"/>
      <c r="I894" s="102"/>
      <c r="J894" s="102"/>
      <c r="K894" s="102"/>
      <c r="L894" s="102"/>
      <c r="M894" s="102"/>
      <c r="N894" s="105"/>
      <c r="O894" s="3"/>
      <c r="P894" s="3"/>
    </row>
    <row r="895" spans="1:16" ht="25.2">
      <c r="A895" s="104" t="s">
        <v>212</v>
      </c>
      <c r="F895" s="139" t="s">
        <v>213</v>
      </c>
      <c r="G895" s="508" t="str">
        <f>PL!$B$13</f>
        <v>Branch of JSC "Doosan Enerbility" in the Turkestan region</v>
      </c>
      <c r="H895" s="508"/>
      <c r="I895" s="508"/>
      <c r="J895" s="508"/>
      <c r="K895" s="508"/>
      <c r="L895" s="508"/>
      <c r="M895" s="508"/>
      <c r="N895" s="509"/>
      <c r="O895" s="3"/>
      <c r="P895" s="3"/>
    </row>
    <row r="896" spans="1:16" ht="25.2">
      <c r="A896" s="104" t="s">
        <v>214</v>
      </c>
      <c r="F896" s="139"/>
      <c r="G896" s="508" t="str">
        <f>PL!$B$14</f>
        <v>321 Tauke Khan Avenue, Turkestan region, Turkestan, Kazakhstan, 161200</v>
      </c>
      <c r="H896" s="508"/>
      <c r="I896" s="508"/>
      <c r="J896" s="508"/>
      <c r="K896" s="508"/>
      <c r="L896" s="508"/>
      <c r="M896" s="508"/>
      <c r="N896" s="509"/>
      <c r="O896" s="3"/>
      <c r="P896" s="3"/>
    </row>
    <row r="897" spans="1:16" ht="25.2">
      <c r="A897" s="104"/>
      <c r="F897" s="139"/>
      <c r="G897" s="508" t="str">
        <f>PL!$B$15</f>
        <v>BIN: 230741006561</v>
      </c>
      <c r="H897" s="508"/>
      <c r="I897" s="508"/>
      <c r="J897" s="508"/>
      <c r="K897" s="508"/>
      <c r="L897" s="508"/>
      <c r="M897" s="508"/>
      <c r="N897" s="509"/>
      <c r="O897" s="3"/>
      <c r="P897" s="3"/>
    </row>
    <row r="898" spans="1:16" ht="25.2">
      <c r="A898" s="104"/>
      <c r="F898" s="139"/>
      <c r="G898" s="210"/>
      <c r="H898" s="210"/>
      <c r="I898" s="210"/>
      <c r="J898" s="210"/>
      <c r="K898" s="210"/>
      <c r="L898" s="210"/>
      <c r="M898" s="210"/>
      <c r="N898" s="211"/>
      <c r="O898" s="3"/>
      <c r="P898" s="3"/>
    </row>
    <row r="899" spans="1:16" ht="25.2">
      <c r="A899" s="104" t="s">
        <v>215</v>
      </c>
      <c r="F899" s="139" t="s">
        <v>216</v>
      </c>
      <c r="G899" s="102"/>
      <c r="H899" s="102"/>
      <c r="I899" s="102"/>
      <c r="J899" s="102"/>
      <c r="K899" s="102"/>
      <c r="L899" s="102"/>
      <c r="M899" s="102"/>
      <c r="N899" s="105"/>
      <c r="O899" s="3"/>
      <c r="P899" s="3"/>
    </row>
    <row r="900" spans="1:16" ht="25.2">
      <c r="A900" s="104" t="s">
        <v>217</v>
      </c>
      <c r="F900" s="139" t="s">
        <v>218</v>
      </c>
      <c r="G900" s="102"/>
      <c r="H900" s="102"/>
      <c r="I900" s="102"/>
      <c r="J900" s="102"/>
      <c r="K900" s="102"/>
      <c r="L900" s="102"/>
      <c r="M900" s="102"/>
      <c r="N900" s="105"/>
      <c r="O900" s="4"/>
      <c r="P900" s="4"/>
    </row>
    <row r="901" spans="1:16" ht="25.2">
      <c r="A901" s="104"/>
      <c r="F901" s="139"/>
      <c r="G901" s="102"/>
      <c r="H901" s="102"/>
      <c r="I901" s="102"/>
      <c r="J901" s="102"/>
      <c r="K901" s="102"/>
      <c r="L901" s="102"/>
      <c r="M901" s="102"/>
      <c r="N901" s="105"/>
      <c r="O901" s="3"/>
      <c r="P901" s="3"/>
    </row>
    <row r="902" spans="1:16" ht="25.2">
      <c r="A902" s="104" t="s">
        <v>219</v>
      </c>
      <c r="F902" s="139" t="s">
        <v>220</v>
      </c>
      <c r="G902" s="139" t="str">
        <f>PL!$V$8</f>
        <v>PGU-DE-0481</v>
      </c>
      <c r="H902" s="102"/>
      <c r="I902" s="102"/>
      <c r="J902" s="102"/>
      <c r="K902" s="102"/>
      <c r="L902" s="102"/>
      <c r="M902" s="102"/>
      <c r="N902" s="105"/>
      <c r="O902" s="3"/>
      <c r="P902" s="3"/>
    </row>
    <row r="903" spans="1:16" ht="25.2">
      <c r="A903" s="104" t="s">
        <v>221</v>
      </c>
      <c r="F903" s="139"/>
      <c r="G903" s="102"/>
      <c r="H903" s="102"/>
      <c r="I903" s="102"/>
      <c r="J903" s="102"/>
      <c r="K903" s="102"/>
      <c r="L903" s="102"/>
      <c r="M903" s="102"/>
      <c r="N903" s="105"/>
      <c r="O903" s="3"/>
      <c r="P903" s="3"/>
    </row>
    <row r="904" spans="1:16" ht="25.2">
      <c r="A904" s="104"/>
      <c r="F904" s="139"/>
      <c r="G904" s="102"/>
      <c r="H904" s="102"/>
      <c r="I904" s="102"/>
      <c r="J904" s="102"/>
      <c r="K904" s="102"/>
      <c r="L904" s="102"/>
      <c r="M904" s="102"/>
      <c r="N904" s="105"/>
      <c r="O904" s="3"/>
      <c r="P904" s="3"/>
    </row>
    <row r="905" spans="1:16" ht="25.2">
      <c r="A905" s="106" t="s">
        <v>222</v>
      </c>
      <c r="B905" s="141"/>
      <c r="C905" s="141"/>
      <c r="D905" s="141"/>
      <c r="E905" s="141"/>
      <c r="F905" s="142" t="s">
        <v>209</v>
      </c>
      <c r="G905" s="272" t="str">
        <f>VLOOKUP($P905,'Summary PL'!$A$14:$M$39,4,FALSE)</f>
        <v>Power Cable / Кабель питания для ОРУ</v>
      </c>
      <c r="H905" s="141"/>
      <c r="I905" s="141"/>
      <c r="J905" s="141"/>
      <c r="K905" s="141"/>
      <c r="L905" s="141"/>
      <c r="M905" s="141"/>
      <c r="N905" s="107"/>
      <c r="O905" s="3"/>
      <c r="P905" s="3">
        <f>P868+1</f>
        <v>25</v>
      </c>
    </row>
    <row r="906" spans="1:16" ht="25.2">
      <c r="A906" s="106" t="s">
        <v>223</v>
      </c>
      <c r="B906" s="141"/>
      <c r="C906" s="141"/>
      <c r="D906" s="141"/>
      <c r="E906" s="141"/>
      <c r="F906" s="142"/>
      <c r="G906" s="141"/>
      <c r="H906" s="141"/>
      <c r="I906" s="141"/>
      <c r="J906" s="141"/>
      <c r="K906" s="141"/>
      <c r="L906" s="141"/>
      <c r="M906" s="141"/>
      <c r="N906" s="107"/>
      <c r="O906" s="3"/>
      <c r="P906" s="3"/>
    </row>
    <row r="907" spans="1:16" ht="25.2">
      <c r="A907" s="104"/>
      <c r="F907" s="139"/>
      <c r="G907" s="102"/>
      <c r="H907" s="102"/>
      <c r="I907" s="102"/>
      <c r="J907" s="102"/>
      <c r="K907" s="102"/>
      <c r="L907" s="102"/>
      <c r="M907" s="102"/>
      <c r="N907" s="105"/>
      <c r="O907" s="3"/>
      <c r="P907" s="3"/>
    </row>
    <row r="908" spans="1:16" ht="25.2">
      <c r="A908" s="104" t="s">
        <v>224</v>
      </c>
      <c r="F908" s="142" t="s">
        <v>225</v>
      </c>
      <c r="G908" s="272" t="str">
        <f>VLOOKUP($P905,'Summary PL'!$A$14:$M$39,3,FALSE)</f>
        <v>PGU-DE-0481-AIS-PoCable-025</v>
      </c>
      <c r="H908" s="102"/>
      <c r="I908" s="102"/>
      <c r="J908" s="102"/>
      <c r="K908" s="102"/>
      <c r="L908" s="102"/>
      <c r="M908" s="102"/>
      <c r="N908" s="105"/>
      <c r="O908" s="3"/>
      <c r="P908" s="3"/>
    </row>
    <row r="909" spans="1:16" ht="25.2">
      <c r="A909" s="104" t="s">
        <v>226</v>
      </c>
      <c r="F909" s="139"/>
      <c r="G909" s="139"/>
      <c r="H909" s="102"/>
      <c r="I909" s="102"/>
      <c r="J909" s="102"/>
      <c r="K909" s="102"/>
      <c r="L909" s="102"/>
      <c r="M909" s="102"/>
      <c r="N909" s="105"/>
      <c r="O909" s="4"/>
      <c r="P909" s="4"/>
    </row>
    <row r="910" spans="1:16" ht="25.2">
      <c r="A910" s="104"/>
      <c r="F910" s="139"/>
      <c r="G910" s="139"/>
      <c r="H910" s="102"/>
      <c r="I910" s="102"/>
      <c r="J910" s="102"/>
      <c r="K910" s="102"/>
      <c r="L910" s="102"/>
      <c r="M910" s="102"/>
      <c r="N910" s="105"/>
      <c r="O910" s="3"/>
      <c r="P910" s="3"/>
    </row>
    <row r="911" spans="1:16" ht="25.2">
      <c r="A911" s="104" t="s">
        <v>227</v>
      </c>
      <c r="F911" s="139" t="s">
        <v>220</v>
      </c>
      <c r="G911" s="288">
        <f>VLOOKUP($P905,'Summary PL'!$A$14:$M$39,12,FALSE)</f>
        <v>1320</v>
      </c>
      <c r="H911" s="139" t="s">
        <v>228</v>
      </c>
      <c r="I911" s="102"/>
      <c r="J911" s="102"/>
      <c r="K911" s="102"/>
      <c r="L911" s="102"/>
      <c r="M911" s="102"/>
      <c r="N911" s="105"/>
      <c r="O911" s="3"/>
      <c r="P911" s="3"/>
    </row>
    <row r="912" spans="1:16" ht="25.2">
      <c r="A912" s="104" t="s">
        <v>229</v>
      </c>
      <c r="F912" s="139"/>
      <c r="G912" s="139"/>
      <c r="H912" s="139"/>
      <c r="I912" s="102"/>
      <c r="J912" s="102"/>
      <c r="K912" s="102"/>
      <c r="L912" s="102"/>
      <c r="M912" s="102"/>
      <c r="N912" s="105"/>
      <c r="O912" s="4"/>
      <c r="P912" s="4"/>
    </row>
    <row r="913" spans="1:16" ht="25.2">
      <c r="A913" s="104"/>
      <c r="F913" s="139"/>
      <c r="G913" s="139"/>
      <c r="H913" s="139"/>
      <c r="I913" s="102"/>
      <c r="J913" s="102"/>
      <c r="K913" s="102"/>
      <c r="L913" s="102"/>
      <c r="M913" s="102"/>
      <c r="N913" s="105"/>
      <c r="O913" s="3"/>
      <c r="P913" s="3"/>
    </row>
    <row r="914" spans="1:16" ht="25.2">
      <c r="A914" s="104" t="s">
        <v>230</v>
      </c>
      <c r="F914" s="139" t="s">
        <v>220</v>
      </c>
      <c r="G914" s="241">
        <f>VLOOKUP($P905,'Summary PL'!$A$14:$M$39,13,FALSE)</f>
        <v>1625</v>
      </c>
      <c r="H914" s="139" t="s">
        <v>228</v>
      </c>
      <c r="I914" s="102"/>
      <c r="J914" s="102"/>
      <c r="K914" s="102"/>
      <c r="L914" s="102"/>
      <c r="M914" s="102"/>
      <c r="N914" s="105"/>
      <c r="O914" s="3"/>
      <c r="P914" s="3"/>
    </row>
    <row r="915" spans="1:16" ht="25.2">
      <c r="A915" s="104" t="s">
        <v>231</v>
      </c>
      <c r="F915" s="139"/>
      <c r="G915" s="139"/>
      <c r="H915" s="102"/>
      <c r="I915" s="102"/>
      <c r="J915" s="102"/>
      <c r="K915" s="102"/>
      <c r="L915" s="102"/>
      <c r="M915" s="102"/>
      <c r="N915" s="105"/>
      <c r="O915" s="4"/>
      <c r="P915" s="4"/>
    </row>
    <row r="916" spans="1:16" ht="25.2">
      <c r="A916" s="104"/>
      <c r="F916" s="139"/>
      <c r="G916" s="139"/>
      <c r="H916" s="102"/>
      <c r="I916" s="102"/>
      <c r="J916" s="102"/>
      <c r="K916" s="102"/>
      <c r="L916" s="102"/>
      <c r="M916" s="102"/>
      <c r="N916" s="105"/>
      <c r="O916" s="3"/>
      <c r="P916" s="3"/>
    </row>
    <row r="917" spans="1:16" ht="25.2">
      <c r="A917" s="108" t="s">
        <v>232</v>
      </c>
      <c r="F917" s="139" t="s">
        <v>220</v>
      </c>
      <c r="G917" s="241">
        <f>VLOOKUP($P905,'Summary PL'!$A$14:$M$39,11,FALSE)</f>
        <v>2.3620000000000001</v>
      </c>
      <c r="H917" s="240" t="s">
        <v>233</v>
      </c>
      <c r="I917" s="240"/>
      <c r="J917" s="240"/>
      <c r="K917" s="240"/>
      <c r="L917" s="102"/>
      <c r="M917" s="102"/>
      <c r="N917" s="105"/>
      <c r="O917" s="3"/>
      <c r="P917" s="3"/>
    </row>
    <row r="918" spans="1:16" ht="25.2">
      <c r="A918" s="104" t="s">
        <v>234</v>
      </c>
      <c r="F918" s="139"/>
      <c r="G918" s="139"/>
      <c r="H918" s="102"/>
      <c r="I918" s="102"/>
      <c r="J918" s="102"/>
      <c r="K918" s="102"/>
      <c r="L918" s="102"/>
      <c r="M918" s="102"/>
      <c r="N918" s="105"/>
      <c r="O918" s="4"/>
      <c r="P918" s="4"/>
    </row>
    <row r="919" spans="1:16" ht="25.2">
      <c r="A919" s="104"/>
      <c r="F919" s="139"/>
      <c r="G919" s="139"/>
      <c r="H919" s="102"/>
      <c r="I919" s="102"/>
      <c r="J919" s="102"/>
      <c r="K919" s="102"/>
      <c r="L919" s="102"/>
      <c r="M919" s="102"/>
      <c r="N919" s="105"/>
      <c r="O919" s="3"/>
      <c r="P919" s="3"/>
    </row>
    <row r="920" spans="1:16" ht="25.2">
      <c r="A920" s="104" t="s">
        <v>235</v>
      </c>
      <c r="F920" s="139" t="s">
        <v>236</v>
      </c>
      <c r="G920" s="508" t="s">
        <v>237</v>
      </c>
      <c r="H920" s="508"/>
      <c r="I920" s="508"/>
      <c r="J920" s="508"/>
      <c r="K920" s="508"/>
      <c r="L920" s="508"/>
      <c r="M920" s="508"/>
      <c r="N920" s="509"/>
      <c r="O920" s="3"/>
      <c r="P920" s="3"/>
    </row>
    <row r="921" spans="1:16" ht="25.2">
      <c r="A921" s="104" t="s">
        <v>238</v>
      </c>
      <c r="F921" s="139"/>
      <c r="G921" s="508"/>
      <c r="H921" s="508"/>
      <c r="I921" s="508"/>
      <c r="J921" s="508"/>
      <c r="K921" s="508"/>
      <c r="L921" s="508"/>
      <c r="M921" s="508"/>
      <c r="N921" s="509"/>
      <c r="O921" s="4"/>
      <c r="P921" s="4"/>
    </row>
    <row r="922" spans="1:16" ht="25.2">
      <c r="A922" s="104"/>
      <c r="F922" s="139"/>
      <c r="G922" s="140"/>
      <c r="H922" s="102"/>
      <c r="I922" s="102"/>
      <c r="J922" s="102"/>
      <c r="K922" s="102"/>
      <c r="L922" s="102"/>
      <c r="M922" s="102"/>
      <c r="N922" s="105"/>
      <c r="O922" s="4"/>
      <c r="P922" s="4"/>
    </row>
    <row r="923" spans="1:16" ht="25.8" thickBot="1">
      <c r="A923" s="104"/>
      <c r="E923" s="139"/>
      <c r="F923" s="239"/>
      <c r="G923" s="139"/>
      <c r="H923" s="102"/>
      <c r="I923" s="102"/>
      <c r="J923" s="102"/>
      <c r="K923" s="102"/>
      <c r="L923" s="102"/>
      <c r="M923" s="102"/>
      <c r="N923" s="105"/>
      <c r="O923" s="4"/>
      <c r="P923" s="4"/>
    </row>
    <row r="924" spans="1:16">
      <c r="A924" s="98"/>
      <c r="B924" s="99"/>
      <c r="C924" s="99"/>
      <c r="D924" s="99"/>
      <c r="E924" s="510" t="s">
        <v>239</v>
      </c>
      <c r="F924" s="511"/>
      <c r="G924" s="511"/>
      <c r="H924" s="511"/>
      <c r="I924" s="511"/>
      <c r="J924" s="511"/>
      <c r="K924" s="511"/>
      <c r="L924" s="100"/>
      <c r="M924" s="100"/>
      <c r="N924" s="101"/>
    </row>
    <row r="925" spans="1:16" ht="21.6" thickBot="1">
      <c r="A925" s="109"/>
      <c r="B925" s="110"/>
      <c r="C925" s="110"/>
      <c r="D925" s="110"/>
      <c r="E925" s="512"/>
      <c r="F925" s="512"/>
      <c r="G925" s="512"/>
      <c r="H925" s="512"/>
      <c r="I925" s="512"/>
      <c r="J925" s="512"/>
      <c r="K925" s="512"/>
      <c r="L925" s="111"/>
      <c r="M925" s="111"/>
      <c r="N925" s="112"/>
    </row>
    <row r="926" spans="1:16">
      <c r="A926" s="98"/>
      <c r="B926" s="99"/>
      <c r="C926" s="99"/>
      <c r="D926" s="99"/>
      <c r="E926" s="99"/>
      <c r="F926" s="100"/>
      <c r="G926" s="100"/>
      <c r="H926" s="100"/>
      <c r="I926" s="100"/>
      <c r="J926" s="100"/>
      <c r="K926" s="100"/>
      <c r="L926" s="100"/>
      <c r="M926" s="100"/>
      <c r="N926" s="101"/>
    </row>
    <row r="927" spans="1:16">
      <c r="A927" s="243"/>
      <c r="N927" s="242"/>
    </row>
    <row r="928" spans="1:16" ht="31.2">
      <c r="A928" s="513" t="s">
        <v>207</v>
      </c>
      <c r="B928" s="514"/>
      <c r="C928" s="514"/>
      <c r="D928" s="514"/>
      <c r="E928" s="514"/>
      <c r="F928" s="514"/>
      <c r="G928" s="514"/>
      <c r="H928" s="514"/>
      <c r="I928" s="514"/>
      <c r="J928" s="514"/>
      <c r="K928" s="514"/>
      <c r="L928" s="514"/>
      <c r="M928" s="514"/>
      <c r="N928" s="515"/>
    </row>
    <row r="929" spans="1:16" ht="25.2">
      <c r="A929" s="115" t="s">
        <v>208</v>
      </c>
      <c r="B929" s="138"/>
      <c r="C929" s="138"/>
      <c r="F929" s="139" t="s">
        <v>209</v>
      </c>
      <c r="G929" s="508" t="s">
        <v>210</v>
      </c>
      <c r="H929" s="508"/>
      <c r="I929" s="508"/>
      <c r="J929" s="508"/>
      <c r="K929" s="508"/>
      <c r="L929" s="508"/>
      <c r="M929" s="508"/>
      <c r="N929" s="509"/>
      <c r="O929" s="3"/>
      <c r="P929" s="3"/>
    </row>
    <row r="930" spans="1:16" ht="25.2">
      <c r="A930" s="104" t="s">
        <v>211</v>
      </c>
      <c r="F930" s="139"/>
      <c r="G930" s="508"/>
      <c r="H930" s="508"/>
      <c r="I930" s="508"/>
      <c r="J930" s="508"/>
      <c r="K930" s="508"/>
      <c r="L930" s="508"/>
      <c r="M930" s="508"/>
      <c r="N930" s="509"/>
      <c r="O930" s="4"/>
      <c r="P930" s="4"/>
    </row>
    <row r="931" spans="1:16" ht="25.2">
      <c r="A931" s="104"/>
      <c r="F931" s="139"/>
      <c r="G931" s="102"/>
      <c r="H931" s="102"/>
      <c r="I931" s="102"/>
      <c r="J931" s="102"/>
      <c r="K931" s="102"/>
      <c r="L931" s="102"/>
      <c r="M931" s="102"/>
      <c r="N931" s="105"/>
      <c r="O931" s="3"/>
      <c r="P931" s="3"/>
    </row>
    <row r="932" spans="1:16" ht="25.2">
      <c r="A932" s="104" t="s">
        <v>212</v>
      </c>
      <c r="F932" s="139" t="s">
        <v>213</v>
      </c>
      <c r="G932" s="508" t="str">
        <f>PL!$B$13</f>
        <v>Branch of JSC "Doosan Enerbility" in the Turkestan region</v>
      </c>
      <c r="H932" s="508"/>
      <c r="I932" s="508"/>
      <c r="J932" s="508"/>
      <c r="K932" s="508"/>
      <c r="L932" s="508"/>
      <c r="M932" s="508"/>
      <c r="N932" s="509"/>
      <c r="O932" s="3"/>
      <c r="P932" s="3"/>
    </row>
    <row r="933" spans="1:16" ht="25.2">
      <c r="A933" s="104" t="s">
        <v>214</v>
      </c>
      <c r="F933" s="139"/>
      <c r="G933" s="508" t="str">
        <f>PL!$B$14</f>
        <v>321 Tauke Khan Avenue, Turkestan region, Turkestan, Kazakhstan, 161200</v>
      </c>
      <c r="H933" s="508"/>
      <c r="I933" s="508"/>
      <c r="J933" s="508"/>
      <c r="K933" s="508"/>
      <c r="L933" s="508"/>
      <c r="M933" s="508"/>
      <c r="N933" s="509"/>
      <c r="O933" s="3"/>
      <c r="P933" s="3"/>
    </row>
    <row r="934" spans="1:16" ht="25.2">
      <c r="A934" s="104"/>
      <c r="F934" s="139"/>
      <c r="G934" s="508" t="str">
        <f>PL!$B$15</f>
        <v>BIN: 230741006561</v>
      </c>
      <c r="H934" s="508"/>
      <c r="I934" s="508"/>
      <c r="J934" s="508"/>
      <c r="K934" s="508"/>
      <c r="L934" s="508"/>
      <c r="M934" s="508"/>
      <c r="N934" s="509"/>
      <c r="O934" s="3"/>
      <c r="P934" s="3"/>
    </row>
    <row r="935" spans="1:16" ht="25.2">
      <c r="A935" s="104"/>
      <c r="F935" s="139"/>
      <c r="G935" s="210"/>
      <c r="H935" s="210"/>
      <c r="I935" s="210"/>
      <c r="J935" s="210"/>
      <c r="K935" s="210"/>
      <c r="L935" s="210"/>
      <c r="M935" s="210"/>
      <c r="N935" s="211"/>
      <c r="O935" s="3"/>
      <c r="P935" s="3"/>
    </row>
    <row r="936" spans="1:16" ht="25.2">
      <c r="A936" s="104" t="s">
        <v>215</v>
      </c>
      <c r="F936" s="139" t="s">
        <v>216</v>
      </c>
      <c r="G936" s="102"/>
      <c r="H936" s="102"/>
      <c r="I936" s="102"/>
      <c r="J936" s="102"/>
      <c r="K936" s="102"/>
      <c r="L936" s="102"/>
      <c r="M936" s="102"/>
      <c r="N936" s="105"/>
      <c r="O936" s="3"/>
      <c r="P936" s="3"/>
    </row>
    <row r="937" spans="1:16" ht="25.2">
      <c r="A937" s="104" t="s">
        <v>217</v>
      </c>
      <c r="F937" s="139" t="s">
        <v>218</v>
      </c>
      <c r="G937" s="102"/>
      <c r="H937" s="102"/>
      <c r="I937" s="102"/>
      <c r="J937" s="102"/>
      <c r="K937" s="102"/>
      <c r="L937" s="102"/>
      <c r="M937" s="102"/>
      <c r="N937" s="105"/>
      <c r="O937" s="4"/>
      <c r="P937" s="4"/>
    </row>
    <row r="938" spans="1:16" ht="25.2">
      <c r="A938" s="104"/>
      <c r="F938" s="139"/>
      <c r="G938" s="102"/>
      <c r="H938" s="102"/>
      <c r="I938" s="102"/>
      <c r="J938" s="102"/>
      <c r="K938" s="102"/>
      <c r="L938" s="102"/>
      <c r="M938" s="102"/>
      <c r="N938" s="105"/>
      <c r="O938" s="3"/>
      <c r="P938" s="3"/>
    </row>
    <row r="939" spans="1:16" ht="25.2">
      <c r="A939" s="104" t="s">
        <v>219</v>
      </c>
      <c r="F939" s="139" t="s">
        <v>220</v>
      </c>
      <c r="G939" s="139" t="str">
        <f>PL!$V$8</f>
        <v>PGU-DE-0481</v>
      </c>
      <c r="H939" s="102"/>
      <c r="I939" s="102"/>
      <c r="J939" s="102"/>
      <c r="K939" s="102"/>
      <c r="L939" s="102"/>
      <c r="M939" s="102"/>
      <c r="N939" s="105"/>
      <c r="O939" s="3"/>
      <c r="P939" s="3"/>
    </row>
    <row r="940" spans="1:16" ht="25.2">
      <c r="A940" s="104" t="s">
        <v>221</v>
      </c>
      <c r="F940" s="139"/>
      <c r="G940" s="102"/>
      <c r="H940" s="102"/>
      <c r="I940" s="102"/>
      <c r="J940" s="102"/>
      <c r="K940" s="102"/>
      <c r="L940" s="102"/>
      <c r="M940" s="102"/>
      <c r="N940" s="105"/>
      <c r="O940" s="3"/>
      <c r="P940" s="3"/>
    </row>
    <row r="941" spans="1:16" ht="25.2">
      <c r="A941" s="104"/>
      <c r="F941" s="139"/>
      <c r="G941" s="102"/>
      <c r="H941" s="102"/>
      <c r="I941" s="102"/>
      <c r="J941" s="102"/>
      <c r="K941" s="102"/>
      <c r="L941" s="102"/>
      <c r="M941" s="102"/>
      <c r="N941" s="105"/>
      <c r="O941" s="3"/>
      <c r="P941" s="3"/>
    </row>
    <row r="942" spans="1:16" ht="25.2">
      <c r="A942" s="106" t="s">
        <v>222</v>
      </c>
      <c r="B942" s="141"/>
      <c r="C942" s="141"/>
      <c r="D942" s="141"/>
      <c r="E942" s="141"/>
      <c r="F942" s="142" t="s">
        <v>209</v>
      </c>
      <c r="G942" s="272" t="str">
        <f>VLOOKUP($P942,'Summary PL'!$A$14:$M$39,4,FALSE)</f>
        <v>Power Cable / Кабель питания для ОРУ</v>
      </c>
      <c r="H942" s="141"/>
      <c r="I942" s="141"/>
      <c r="J942" s="141"/>
      <c r="K942" s="141"/>
      <c r="L942" s="141"/>
      <c r="M942" s="141"/>
      <c r="N942" s="107"/>
      <c r="O942" s="3"/>
      <c r="P942" s="3">
        <f>P905+1</f>
        <v>26</v>
      </c>
    </row>
    <row r="943" spans="1:16" ht="25.2">
      <c r="A943" s="106" t="s">
        <v>223</v>
      </c>
      <c r="B943" s="141"/>
      <c r="C943" s="141"/>
      <c r="D943" s="141"/>
      <c r="E943" s="141"/>
      <c r="F943" s="142"/>
      <c r="G943" s="141"/>
      <c r="H943" s="141"/>
      <c r="I943" s="141"/>
      <c r="J943" s="141"/>
      <c r="K943" s="141"/>
      <c r="L943" s="141"/>
      <c r="M943" s="141"/>
      <c r="N943" s="107"/>
      <c r="O943" s="3"/>
      <c r="P943" s="3"/>
    </row>
    <row r="944" spans="1:16" ht="25.2">
      <c r="A944" s="104"/>
      <c r="F944" s="139"/>
      <c r="G944" s="102"/>
      <c r="H944" s="102"/>
      <c r="I944" s="102"/>
      <c r="J944" s="102"/>
      <c r="K944" s="102"/>
      <c r="L944" s="102"/>
      <c r="M944" s="102"/>
      <c r="N944" s="105"/>
      <c r="O944" s="3"/>
      <c r="P944" s="3"/>
    </row>
    <row r="945" spans="1:16" ht="25.2">
      <c r="A945" s="104" t="s">
        <v>224</v>
      </c>
      <c r="F945" s="142" t="s">
        <v>225</v>
      </c>
      <c r="G945" s="272" t="str">
        <f>VLOOKUP($P942,'Summary PL'!$A$14:$M$39,3,FALSE)</f>
        <v>PGU-DE-0481-AIS-PoCable-026</v>
      </c>
      <c r="H945" s="102"/>
      <c r="I945" s="102"/>
      <c r="J945" s="102"/>
      <c r="K945" s="102"/>
      <c r="L945" s="102"/>
      <c r="M945" s="102"/>
      <c r="N945" s="105"/>
      <c r="O945" s="3"/>
      <c r="P945" s="3"/>
    </row>
    <row r="946" spans="1:16" ht="25.2">
      <c r="A946" s="104" t="s">
        <v>226</v>
      </c>
      <c r="F946" s="139"/>
      <c r="G946" s="139"/>
      <c r="H946" s="102"/>
      <c r="I946" s="102"/>
      <c r="J946" s="102"/>
      <c r="K946" s="102"/>
      <c r="L946" s="102"/>
      <c r="M946" s="102"/>
      <c r="N946" s="105"/>
      <c r="O946" s="4"/>
      <c r="P946" s="4"/>
    </row>
    <row r="947" spans="1:16" ht="25.2">
      <c r="A947" s="104"/>
      <c r="F947" s="139"/>
      <c r="G947" s="139"/>
      <c r="H947" s="102"/>
      <c r="I947" s="102"/>
      <c r="J947" s="102"/>
      <c r="K947" s="102"/>
      <c r="L947" s="102"/>
      <c r="M947" s="102"/>
      <c r="N947" s="105"/>
      <c r="O947" s="3"/>
      <c r="P947" s="3"/>
    </row>
    <row r="948" spans="1:16" ht="25.2">
      <c r="A948" s="104" t="s">
        <v>227</v>
      </c>
      <c r="F948" s="139" t="s">
        <v>220</v>
      </c>
      <c r="G948" s="241">
        <f>VLOOKUP($P942,'Summary PL'!$A$14:$M$39,12,FALSE)</f>
        <v>487</v>
      </c>
      <c r="H948" s="139" t="s">
        <v>228</v>
      </c>
      <c r="I948" s="102"/>
      <c r="J948" s="102"/>
      <c r="K948" s="102"/>
      <c r="L948" s="102"/>
      <c r="M948" s="102"/>
      <c r="N948" s="105"/>
      <c r="O948" s="3"/>
      <c r="P948" s="3"/>
    </row>
    <row r="949" spans="1:16" ht="25.2">
      <c r="A949" s="104" t="s">
        <v>229</v>
      </c>
      <c r="F949" s="139"/>
      <c r="G949" s="139"/>
      <c r="H949" s="139"/>
      <c r="I949" s="102"/>
      <c r="J949" s="102"/>
      <c r="K949" s="102"/>
      <c r="L949" s="102"/>
      <c r="M949" s="102"/>
      <c r="N949" s="105"/>
      <c r="O949" s="4"/>
      <c r="P949" s="4"/>
    </row>
    <row r="950" spans="1:16" ht="25.2">
      <c r="A950" s="104"/>
      <c r="F950" s="139"/>
      <c r="G950" s="139"/>
      <c r="H950" s="139"/>
      <c r="I950" s="102"/>
      <c r="J950" s="102"/>
      <c r="K950" s="102"/>
      <c r="L950" s="102"/>
      <c r="M950" s="102"/>
      <c r="N950" s="105"/>
      <c r="O950" s="3"/>
      <c r="P950" s="3"/>
    </row>
    <row r="951" spans="1:16" ht="25.2">
      <c r="A951" s="104" t="s">
        <v>230</v>
      </c>
      <c r="F951" s="139" t="s">
        <v>220</v>
      </c>
      <c r="G951" s="241">
        <f>VLOOKUP($P942,'Summary PL'!$A$14:$M$39,13,FALSE)</f>
        <v>637</v>
      </c>
      <c r="H951" s="139" t="s">
        <v>228</v>
      </c>
      <c r="I951" s="102"/>
      <c r="J951" s="102"/>
      <c r="K951" s="102"/>
      <c r="L951" s="102"/>
      <c r="M951" s="102"/>
      <c r="N951" s="105"/>
      <c r="O951" s="3"/>
      <c r="P951" s="3"/>
    </row>
    <row r="952" spans="1:16" ht="25.2">
      <c r="A952" s="104" t="s">
        <v>231</v>
      </c>
      <c r="F952" s="139"/>
      <c r="G952" s="139"/>
      <c r="H952" s="102"/>
      <c r="I952" s="102"/>
      <c r="J952" s="102"/>
      <c r="K952" s="102"/>
      <c r="L952" s="102"/>
      <c r="M952" s="102"/>
      <c r="N952" s="105"/>
      <c r="O952" s="4"/>
      <c r="P952" s="4"/>
    </row>
    <row r="953" spans="1:16" ht="25.2">
      <c r="A953" s="104"/>
      <c r="F953" s="139"/>
      <c r="G953" s="139"/>
      <c r="H953" s="102"/>
      <c r="I953" s="102"/>
      <c r="J953" s="102"/>
      <c r="K953" s="102"/>
      <c r="L953" s="102"/>
      <c r="M953" s="102"/>
      <c r="N953" s="105"/>
      <c r="O953" s="3"/>
      <c r="P953" s="3"/>
    </row>
    <row r="954" spans="1:16" ht="25.2">
      <c r="A954" s="108" t="s">
        <v>232</v>
      </c>
      <c r="F954" s="139" t="s">
        <v>220</v>
      </c>
      <c r="G954" s="241">
        <f>VLOOKUP($P942,'Summary PL'!$A$14:$M$39,11,FALSE)</f>
        <v>1.0269999999999999</v>
      </c>
      <c r="H954" s="240" t="s">
        <v>233</v>
      </c>
      <c r="I954" s="240"/>
      <c r="J954" s="240"/>
      <c r="K954" s="240"/>
      <c r="L954" s="102"/>
      <c r="M954" s="102"/>
      <c r="N954" s="105"/>
      <c r="O954" s="3"/>
      <c r="P954" s="3"/>
    </row>
    <row r="955" spans="1:16" ht="25.2">
      <c r="A955" s="104" t="s">
        <v>234</v>
      </c>
      <c r="F955" s="139"/>
      <c r="G955" s="139"/>
      <c r="H955" s="102"/>
      <c r="I955" s="102"/>
      <c r="J955" s="102"/>
      <c r="K955" s="102"/>
      <c r="L955" s="102"/>
      <c r="M955" s="102"/>
      <c r="N955" s="105"/>
      <c r="O955" s="4"/>
      <c r="P955" s="4"/>
    </row>
    <row r="956" spans="1:16" ht="25.2">
      <c r="A956" s="104"/>
      <c r="F956" s="139"/>
      <c r="G956" s="139"/>
      <c r="H956" s="102"/>
      <c r="I956" s="102"/>
      <c r="J956" s="102"/>
      <c r="K956" s="102"/>
      <c r="L956" s="102"/>
      <c r="M956" s="102"/>
      <c r="N956" s="105"/>
      <c r="O956" s="3"/>
      <c r="P956" s="3"/>
    </row>
    <row r="957" spans="1:16" ht="25.2">
      <c r="A957" s="104" t="s">
        <v>235</v>
      </c>
      <c r="F957" s="139" t="s">
        <v>236</v>
      </c>
      <c r="G957" s="508" t="s">
        <v>237</v>
      </c>
      <c r="H957" s="508"/>
      <c r="I957" s="508"/>
      <c r="J957" s="508"/>
      <c r="K957" s="508"/>
      <c r="L957" s="508"/>
      <c r="M957" s="508"/>
      <c r="N957" s="509"/>
      <c r="O957" s="3"/>
      <c r="P957" s="3"/>
    </row>
    <row r="958" spans="1:16" ht="25.2">
      <c r="A958" s="104" t="s">
        <v>238</v>
      </c>
      <c r="F958" s="139"/>
      <c r="G958" s="508"/>
      <c r="H958" s="508"/>
      <c r="I958" s="508"/>
      <c r="J958" s="508"/>
      <c r="K958" s="508"/>
      <c r="L958" s="508"/>
      <c r="M958" s="508"/>
      <c r="N958" s="509"/>
      <c r="O958" s="4"/>
      <c r="P958" s="4"/>
    </row>
    <row r="959" spans="1:16" ht="25.2">
      <c r="A959" s="104"/>
      <c r="F959" s="139"/>
      <c r="G959" s="140"/>
      <c r="H959" s="102"/>
      <c r="I959" s="102"/>
      <c r="J959" s="102"/>
      <c r="K959" s="102"/>
      <c r="L959" s="102"/>
      <c r="M959" s="102"/>
      <c r="N959" s="105"/>
      <c r="O959" s="4"/>
      <c r="P959" s="4"/>
    </row>
    <row r="960" spans="1:16" ht="25.8" thickBot="1">
      <c r="A960" s="104"/>
      <c r="E960" s="139"/>
      <c r="F960" s="239"/>
      <c r="G960" s="139"/>
      <c r="H960" s="102"/>
      <c r="I960" s="102"/>
      <c r="J960" s="102"/>
      <c r="K960" s="102"/>
      <c r="L960" s="102"/>
      <c r="M960" s="102"/>
      <c r="N960" s="105"/>
      <c r="O960" s="4"/>
      <c r="P960" s="4"/>
    </row>
    <row r="961" spans="1:14">
      <c r="A961" s="98"/>
      <c r="B961" s="99"/>
      <c r="C961" s="99"/>
      <c r="D961" s="99"/>
      <c r="E961" s="510" t="s">
        <v>239</v>
      </c>
      <c r="F961" s="511"/>
      <c r="G961" s="511"/>
      <c r="H961" s="511"/>
      <c r="I961" s="511"/>
      <c r="J961" s="511"/>
      <c r="K961" s="511"/>
      <c r="L961" s="100"/>
      <c r="M961" s="100"/>
      <c r="N961" s="101"/>
    </row>
    <row r="962" spans="1:14" ht="21.6" thickBot="1">
      <c r="A962" s="109"/>
      <c r="B962" s="110"/>
      <c r="C962" s="110"/>
      <c r="D962" s="110"/>
      <c r="E962" s="512"/>
      <c r="F962" s="512"/>
      <c r="G962" s="512"/>
      <c r="H962" s="512"/>
      <c r="I962" s="512"/>
      <c r="J962" s="512"/>
      <c r="K962" s="512"/>
      <c r="L962" s="111"/>
      <c r="M962" s="111"/>
      <c r="N962" s="112"/>
    </row>
  </sheetData>
  <mergeCells count="182">
    <mergeCell ref="G254:N255"/>
    <mergeCell ref="E258:K259"/>
    <mergeCell ref="A262:N262"/>
    <mergeCell ref="G522:N523"/>
    <mergeCell ref="G525:N525"/>
    <mergeCell ref="G489:N489"/>
    <mergeCell ref="G490:N490"/>
    <mergeCell ref="G193:N193"/>
    <mergeCell ref="G194:N194"/>
    <mergeCell ref="G230:N230"/>
    <mergeCell ref="G231:N231"/>
    <mergeCell ref="G267:N267"/>
    <mergeCell ref="G268:N268"/>
    <mergeCell ref="G304:N304"/>
    <mergeCell ref="G305:N305"/>
    <mergeCell ref="G341:N341"/>
    <mergeCell ref="G263:N264"/>
    <mergeCell ref="G266:N266"/>
    <mergeCell ref="G291:N292"/>
    <mergeCell ref="E295:K296"/>
    <mergeCell ref="A299:N299"/>
    <mergeCell ref="G300:N301"/>
    <mergeCell ref="G217:N218"/>
    <mergeCell ref="E221:K222"/>
    <mergeCell ref="A225:N225"/>
    <mergeCell ref="G226:N227"/>
    <mergeCell ref="G229:N229"/>
    <mergeCell ref="G526:N526"/>
    <mergeCell ref="G527:N527"/>
    <mergeCell ref="G550:N551"/>
    <mergeCell ref="E554:K555"/>
    <mergeCell ref="A410:N410"/>
    <mergeCell ref="G411:N412"/>
    <mergeCell ref="G414:N414"/>
    <mergeCell ref="G439:N440"/>
    <mergeCell ref="E443:K444"/>
    <mergeCell ref="A447:N447"/>
    <mergeCell ref="G448:N449"/>
    <mergeCell ref="G451:N451"/>
    <mergeCell ref="G476:N477"/>
    <mergeCell ref="G415:N415"/>
    <mergeCell ref="G416:N416"/>
    <mergeCell ref="G452:N452"/>
    <mergeCell ref="G453:N453"/>
    <mergeCell ref="E480:K481"/>
    <mergeCell ref="A484:N484"/>
    <mergeCell ref="G485:N486"/>
    <mergeCell ref="G488:N488"/>
    <mergeCell ref="G513:N514"/>
    <mergeCell ref="E517:K518"/>
    <mergeCell ref="A521:N521"/>
    <mergeCell ref="A373:N373"/>
    <mergeCell ref="G374:N375"/>
    <mergeCell ref="G377:N377"/>
    <mergeCell ref="G303:N303"/>
    <mergeCell ref="G328:N329"/>
    <mergeCell ref="E332:K333"/>
    <mergeCell ref="A336:N336"/>
    <mergeCell ref="G402:N403"/>
    <mergeCell ref="E406:K407"/>
    <mergeCell ref="G342:N342"/>
    <mergeCell ref="G378:N378"/>
    <mergeCell ref="G379:N379"/>
    <mergeCell ref="G340:N340"/>
    <mergeCell ref="G365:N366"/>
    <mergeCell ref="E369:K370"/>
    <mergeCell ref="G337:N338"/>
    <mergeCell ref="E147:K148"/>
    <mergeCell ref="A151:N151"/>
    <mergeCell ref="G152:N153"/>
    <mergeCell ref="G155:N155"/>
    <mergeCell ref="G180:N181"/>
    <mergeCell ref="E184:K185"/>
    <mergeCell ref="A188:N188"/>
    <mergeCell ref="G189:N190"/>
    <mergeCell ref="G192:N192"/>
    <mergeCell ref="G156:N156"/>
    <mergeCell ref="G157:N157"/>
    <mergeCell ref="A77:N77"/>
    <mergeCell ref="G78:N79"/>
    <mergeCell ref="G81:N81"/>
    <mergeCell ref="G106:N107"/>
    <mergeCell ref="E110:K111"/>
    <mergeCell ref="A114:N114"/>
    <mergeCell ref="G115:N116"/>
    <mergeCell ref="G118:N118"/>
    <mergeCell ref="G143:N144"/>
    <mergeCell ref="G82:N82"/>
    <mergeCell ref="G83:N83"/>
    <mergeCell ref="G119:N119"/>
    <mergeCell ref="G120:N120"/>
    <mergeCell ref="A3:N3"/>
    <mergeCell ref="G4:N5"/>
    <mergeCell ref="G7:N7"/>
    <mergeCell ref="E36:K37"/>
    <mergeCell ref="G41:N42"/>
    <mergeCell ref="G44:N44"/>
    <mergeCell ref="G69:N70"/>
    <mergeCell ref="E73:K74"/>
    <mergeCell ref="A40:N40"/>
    <mergeCell ref="G8:N8"/>
    <mergeCell ref="G9:N9"/>
    <mergeCell ref="G45:N45"/>
    <mergeCell ref="G46:N46"/>
    <mergeCell ref="G32:N33"/>
    <mergeCell ref="A558:N558"/>
    <mergeCell ref="G559:N560"/>
    <mergeCell ref="G562:N562"/>
    <mergeCell ref="G563:N563"/>
    <mergeCell ref="G564:N564"/>
    <mergeCell ref="G587:N588"/>
    <mergeCell ref="E591:K592"/>
    <mergeCell ref="A595:N595"/>
    <mergeCell ref="G596:N597"/>
    <mergeCell ref="G599:N599"/>
    <mergeCell ref="G600:N600"/>
    <mergeCell ref="G601:N601"/>
    <mergeCell ref="G624:N625"/>
    <mergeCell ref="E628:K629"/>
    <mergeCell ref="A632:N632"/>
    <mergeCell ref="G633:N634"/>
    <mergeCell ref="G636:N636"/>
    <mergeCell ref="G637:N637"/>
    <mergeCell ref="G638:N638"/>
    <mergeCell ref="G661:N662"/>
    <mergeCell ref="E665:K666"/>
    <mergeCell ref="A669:N669"/>
    <mergeCell ref="G670:N671"/>
    <mergeCell ref="G673:N673"/>
    <mergeCell ref="G674:N674"/>
    <mergeCell ref="G675:N675"/>
    <mergeCell ref="G698:N699"/>
    <mergeCell ref="E702:K703"/>
    <mergeCell ref="A706:N706"/>
    <mergeCell ref="G707:N708"/>
    <mergeCell ref="G710:N710"/>
    <mergeCell ref="G711:N711"/>
    <mergeCell ref="G712:N712"/>
    <mergeCell ref="G735:N736"/>
    <mergeCell ref="E739:K740"/>
    <mergeCell ref="A743:N743"/>
    <mergeCell ref="G744:N745"/>
    <mergeCell ref="G747:N747"/>
    <mergeCell ref="G748:N748"/>
    <mergeCell ref="G749:N749"/>
    <mergeCell ref="G772:N773"/>
    <mergeCell ref="E776:K777"/>
    <mergeCell ref="A780:N780"/>
    <mergeCell ref="G781:N782"/>
    <mergeCell ref="G784:N784"/>
    <mergeCell ref="G785:N785"/>
    <mergeCell ref="G786:N786"/>
    <mergeCell ref="G809:N810"/>
    <mergeCell ref="E813:K814"/>
    <mergeCell ref="A817:N817"/>
    <mergeCell ref="G818:N819"/>
    <mergeCell ref="G821:N821"/>
    <mergeCell ref="G822:N822"/>
    <mergeCell ref="G823:N823"/>
    <mergeCell ref="G846:N847"/>
    <mergeCell ref="E850:K851"/>
    <mergeCell ref="A854:N854"/>
    <mergeCell ref="G855:N856"/>
    <mergeCell ref="G858:N858"/>
    <mergeCell ref="G859:N859"/>
    <mergeCell ref="G860:N860"/>
    <mergeCell ref="G883:N884"/>
    <mergeCell ref="E887:K888"/>
    <mergeCell ref="G932:N932"/>
    <mergeCell ref="G933:N933"/>
    <mergeCell ref="G934:N934"/>
    <mergeCell ref="G957:N958"/>
    <mergeCell ref="E961:K962"/>
    <mergeCell ref="A891:N891"/>
    <mergeCell ref="G892:N893"/>
    <mergeCell ref="G895:N895"/>
    <mergeCell ref="G896:N896"/>
    <mergeCell ref="G897:N897"/>
    <mergeCell ref="G920:N921"/>
    <mergeCell ref="E924:K925"/>
    <mergeCell ref="A928:N928"/>
    <mergeCell ref="G929:N930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55" orientation="portrait" r:id="rId1"/>
  <rowBreaks count="25" manualBreakCount="25">
    <brk id="37" max="13" man="1"/>
    <brk id="74" max="13" man="1"/>
    <brk id="111" max="13" man="1"/>
    <brk id="148" max="13" man="1"/>
    <brk id="185" max="13" man="1"/>
    <brk id="222" max="13" man="1"/>
    <brk id="259" max="13" man="1"/>
    <brk id="296" max="13" man="1"/>
    <brk id="333" max="13" man="1"/>
    <brk id="370" max="13" man="1"/>
    <brk id="407" max="13" man="1"/>
    <brk id="444" max="13" man="1"/>
    <brk id="481" max="13" man="1"/>
    <brk id="518" max="13" man="1"/>
    <brk id="555" max="13" man="1"/>
    <brk id="592" max="13" man="1"/>
    <brk id="629" max="13" man="1"/>
    <brk id="666" max="13" man="1"/>
    <brk id="703" max="13" man="1"/>
    <brk id="740" max="13" man="1"/>
    <brk id="777" max="13" man="1"/>
    <brk id="814" max="13" man="1"/>
    <brk id="851" max="13" man="1"/>
    <brk id="888" max="13" man="1"/>
    <brk id="925" max="1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28EF1209DEC48A970DDDB93544B7D" ma:contentTypeVersion="17" ma:contentTypeDescription="새 문서를 만듭니다." ma:contentTypeScope="" ma:versionID="74046605fe204a0752e4bfa5bc1570bb">
  <xsd:schema xmlns:xsd="http://www.w3.org/2001/XMLSchema" xmlns:xs="http://www.w3.org/2001/XMLSchema" xmlns:p="http://schemas.microsoft.com/office/2006/metadata/properties" xmlns:ns2="fafe03ea-8b69-4947-9101-36aab1225da6" xmlns:ns3="0fd7f0fd-4562-4143-a7f1-276269a5d384" targetNamespace="http://schemas.microsoft.com/office/2006/metadata/properties" ma:root="true" ma:fieldsID="af3551d98b6fc785585459350e49d0b4" ns2:_="" ns3:_="">
    <xsd:import namespace="fafe03ea-8b69-4947-9101-36aab1225da6"/>
    <xsd:import namespace="0fd7f0fd-4562-4143-a7f1-276269a5d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User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e03ea-8b69-4947-9101-36aab1225d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User" ma:index="23" nillable="true" ma:displayName="User" ma:format="Dropdown" ma:list="UserInfo" ma:SharePointGroup="0" ma:internalName="Us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scription" ma:index="24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7f0fd-4562-4143-a7f1-276269a5d3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8e606e-d84f-4495-a3cd-5e3f37618732}" ma:internalName="TaxCatchAll" ma:showField="CatchAllData" ma:web="0fd7f0fd-4562-4143-a7f1-276269a5d3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fe03ea-8b69-4947-9101-36aab1225da6">
      <Terms xmlns="http://schemas.microsoft.com/office/infopath/2007/PartnerControls"/>
    </lcf76f155ced4ddcb4097134ff3c332f>
    <TaxCatchAll xmlns="0fd7f0fd-4562-4143-a7f1-276269a5d384" xsi:nil="true"/>
    <User xmlns="fafe03ea-8b69-4947-9101-36aab1225da6">
      <UserInfo>
        <DisplayName/>
        <AccountId xsi:nil="true"/>
        <AccountType/>
      </UserInfo>
    </User>
    <Description xmlns="fafe03ea-8b69-4947-9101-36aab1225da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DA4A0E-7965-4E1D-856F-E8D4600B14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fe03ea-8b69-4947-9101-36aab1225da6"/>
    <ds:schemaRef ds:uri="0fd7f0fd-4562-4143-a7f1-276269a5d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B4D1C2-B3EB-4841-99C1-DE89D6CFBB09}">
  <ds:schemaRefs>
    <ds:schemaRef ds:uri="http://schemas.openxmlformats.org/package/2006/metadata/core-properties"/>
    <ds:schemaRef ds:uri="0fd7f0fd-4562-4143-a7f1-276269a5d384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fafe03ea-8b69-4947-9101-36aab1225da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22461D-902A-416E-9DA2-3663A258DF1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9</vt:i4>
      </vt:variant>
    </vt:vector>
  </HeadingPairs>
  <TitlesOfParts>
    <vt:vector size="16" baseType="lpstr">
      <vt:lpstr>CI</vt:lpstr>
      <vt:lpstr>CI_BD</vt:lpstr>
      <vt:lpstr>PL</vt:lpstr>
      <vt:lpstr>Summary PL</vt:lpstr>
      <vt:lpstr>Detail PL</vt:lpstr>
      <vt:lpstr>Description</vt:lpstr>
      <vt:lpstr>Marking - 1</vt:lpstr>
      <vt:lpstr>CI!Print_Area</vt:lpstr>
      <vt:lpstr>CI_BD!Print_Area</vt:lpstr>
      <vt:lpstr>Description!Print_Area</vt:lpstr>
      <vt:lpstr>'Detail PL'!Print_Area</vt:lpstr>
      <vt:lpstr>'Marking - 1'!Print_Area</vt:lpstr>
      <vt:lpstr>PL!Print_Area</vt:lpstr>
      <vt:lpstr>'Summary PL'!Print_Area</vt:lpstr>
      <vt:lpstr>'Detail PL'!Print_Titles</vt:lpstr>
      <vt:lpstr>'Summary PL'!Print_Titles</vt:lpstr>
    </vt:vector>
  </TitlesOfParts>
  <Manager/>
  <Company>DHI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PL008564</dc:creator>
  <cp:keywords/>
  <dc:description/>
  <cp:lastModifiedBy>우재상(Jaesang Woo) 수석 두산에너빌리티</cp:lastModifiedBy>
  <cp:revision/>
  <cp:lastPrinted>2025-11-25T07:36:37Z</cp:lastPrinted>
  <dcterms:created xsi:type="dcterms:W3CDTF">2016-03-15T11:01:58Z</dcterms:created>
  <dcterms:modified xsi:type="dcterms:W3CDTF">2026-06-26T05:09:28Z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0x010100CDD28EF1209DEC48A970DDDB93544B7D</vt:lpwstr>
  </property>
  <property fmtid="{D5CDD505-2E9C-101B-9397-08002B2CF9AE}" pid="3" name="MediaServiceImageTags">
    <vt:lpwstr/>
  </property>
</Properties>
</file>