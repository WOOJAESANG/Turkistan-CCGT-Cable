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urkistan\15. Cable\Packing List\"/>
    </mc:Choice>
  </mc:AlternateContent>
  <xr:revisionPtr revIDLastSave="0" documentId="8_{902F0D72-0FCE-4638-8C3D-0DC432DC83B0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CI" sheetId="24" r:id="rId1"/>
    <sheet name="CI_BD" sheetId="31" r:id="rId2"/>
    <sheet name="PL" sheetId="20" r:id="rId3"/>
    <sheet name="Summary PL" sheetId="28" r:id="rId4"/>
    <sheet name="Detail PL" sheetId="30" r:id="rId5"/>
    <sheet name="Marking" sheetId="21" state="hidden" r:id="rId6"/>
  </sheets>
  <definedNames>
    <definedName name="_xlnm._FilterDatabase" localSheetId="1" hidden="1">CI_BD!$B$8:$J$27</definedName>
    <definedName name="_xlnm._FilterDatabase" localSheetId="4" hidden="1">'Detail PL'!$B$12:$Q$135</definedName>
    <definedName name="_xlnm._FilterDatabase" localSheetId="3" hidden="1">'Summary PL'!$A$12:$P$32</definedName>
    <definedName name="AnnullaInseriscidata" localSheetId="1">#REF!</definedName>
    <definedName name="AnnullaInseriscidata">#REF!</definedName>
    <definedName name="InserisciData" localSheetId="1">#REF!</definedName>
    <definedName name="InserisciData">#REF!</definedName>
    <definedName name="_xlnm.Print_Area" localSheetId="0">CI!$A$1:$AC$59</definedName>
    <definedName name="_xlnm.Print_Area" localSheetId="1">CI_BD!$A$1:$J$27</definedName>
    <definedName name="_xlnm.Print_Area" localSheetId="4">'Detail PL'!$A$1:$Q$135</definedName>
    <definedName name="_xlnm.Print_Area" localSheetId="5">Marking!$A$1:$AD$33</definedName>
    <definedName name="_xlnm.Print_Area" localSheetId="2">PL!$A$1:$AC$60</definedName>
    <definedName name="_xlnm.Print_Area" localSheetId="3">'Summary PL'!$A$1:$Q$32</definedName>
    <definedName name="_xlnm.Print_Titles" localSheetId="4">'Detail PL'!$9:$12</definedName>
    <definedName name="_xlnm.Print_Titles" localSheetId="3">'Summary PL'!$9:$12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30" l="1"/>
  <c r="B51" i="30"/>
  <c r="B46" i="30"/>
  <c r="B41" i="30"/>
  <c r="B36" i="30"/>
  <c r="B31" i="30"/>
  <c r="B26" i="30"/>
  <c r="B43" i="20"/>
  <c r="M32" i="28"/>
  <c r="L32" i="28"/>
  <c r="K32" i="28"/>
  <c r="B11" i="30"/>
  <c r="B10" i="30"/>
  <c r="B11" i="28"/>
  <c r="B10" i="28"/>
  <c r="AC42" i="24"/>
  <c r="H26" i="31"/>
  <c r="H27" i="31" s="1"/>
  <c r="H25" i="31"/>
  <c r="H24" i="31"/>
  <c r="H23" i="31"/>
  <c r="H22" i="31"/>
  <c r="H21" i="31"/>
  <c r="H20" i="31"/>
  <c r="H19" i="31"/>
  <c r="H18" i="31"/>
  <c r="H17" i="31"/>
  <c r="H16" i="31"/>
  <c r="H15" i="31"/>
  <c r="H14" i="31"/>
  <c r="H13" i="31"/>
  <c r="H12" i="31"/>
  <c r="H11" i="31"/>
  <c r="H10" i="31"/>
  <c r="H9" i="31"/>
  <c r="AC43" i="20" l="1"/>
  <c r="Y43" i="20"/>
  <c r="U43" i="20"/>
  <c r="B44" i="20"/>
  <c r="S24" i="20"/>
  <c r="I31" i="28"/>
  <c r="J31" i="28"/>
  <c r="L31" i="28"/>
  <c r="M31" i="28"/>
  <c r="I30" i="28"/>
  <c r="J30" i="28"/>
  <c r="L30" i="28"/>
  <c r="M30" i="28"/>
  <c r="I29" i="28"/>
  <c r="J29" i="28"/>
  <c r="L29" i="28"/>
  <c r="M29" i="28"/>
  <c r="I28" i="28"/>
  <c r="J28" i="28"/>
  <c r="L28" i="28"/>
  <c r="M28" i="28"/>
  <c r="I27" i="28"/>
  <c r="J27" i="28"/>
  <c r="L27" i="28"/>
  <c r="M27" i="28"/>
  <c r="I26" i="28"/>
  <c r="J26" i="28"/>
  <c r="L26" i="28"/>
  <c r="M26" i="28"/>
  <c r="I25" i="28"/>
  <c r="J25" i="28"/>
  <c r="L25" i="28"/>
  <c r="M25" i="28"/>
  <c r="I24" i="28"/>
  <c r="J24" i="28"/>
  <c r="K24" i="28"/>
  <c r="L24" i="28"/>
  <c r="M24" i="28"/>
  <c r="H31" i="28"/>
  <c r="H30" i="28"/>
  <c r="H29" i="28"/>
  <c r="H28" i="28"/>
  <c r="H27" i="28"/>
  <c r="H26" i="28"/>
  <c r="H25" i="28"/>
  <c r="H24" i="28"/>
  <c r="I23" i="28"/>
  <c r="J23" i="28"/>
  <c r="L23" i="28"/>
  <c r="M23" i="28"/>
  <c r="H23" i="28"/>
  <c r="I22" i="28"/>
  <c r="J22" i="28"/>
  <c r="L22" i="28"/>
  <c r="M22" i="28"/>
  <c r="H22" i="28"/>
  <c r="I21" i="28"/>
  <c r="J21" i="28"/>
  <c r="K21" i="28"/>
  <c r="L21" i="28"/>
  <c r="M21" i="28"/>
  <c r="H21" i="28"/>
  <c r="M20" i="28"/>
  <c r="I20" i="28"/>
  <c r="J20" i="28"/>
  <c r="L20" i="28"/>
  <c r="H20" i="28"/>
  <c r="I19" i="28"/>
  <c r="J19" i="28"/>
  <c r="L19" i="28"/>
  <c r="M19" i="28"/>
  <c r="H19" i="28"/>
  <c r="I18" i="28"/>
  <c r="J18" i="28"/>
  <c r="L18" i="28"/>
  <c r="M18" i="28"/>
  <c r="H18" i="28"/>
  <c r="I17" i="28"/>
  <c r="J17" i="28"/>
  <c r="K17" i="28"/>
  <c r="L17" i="28"/>
  <c r="M17" i="28"/>
  <c r="H17" i="28"/>
  <c r="I16" i="28"/>
  <c r="J16" i="28"/>
  <c r="K16" i="28"/>
  <c r="L16" i="28"/>
  <c r="M16" i="28"/>
  <c r="H16" i="28"/>
  <c r="I15" i="28"/>
  <c r="J15" i="28"/>
  <c r="L15" i="28"/>
  <c r="M15" i="28"/>
  <c r="H15" i="28"/>
  <c r="I14" i="28"/>
  <c r="J14" i="28"/>
  <c r="L14" i="28"/>
  <c r="M14" i="28"/>
  <c r="H14" i="28"/>
  <c r="K135" i="30"/>
  <c r="J40" i="30"/>
  <c r="K19" i="28" s="1"/>
  <c r="J23" i="30"/>
  <c r="K15" i="28" s="1"/>
  <c r="J18" i="30"/>
  <c r="K14" i="28" s="1"/>
  <c r="J25" i="30"/>
  <c r="J30" i="30"/>
  <c r="J35" i="30"/>
  <c r="K18" i="28" s="1"/>
  <c r="J45" i="30"/>
  <c r="K20" i="28" s="1"/>
  <c r="J50" i="30"/>
  <c r="J55" i="30"/>
  <c r="K22" i="28" s="1"/>
  <c r="J60" i="30"/>
  <c r="K23" i="28" s="1"/>
  <c r="J65" i="30"/>
  <c r="J70" i="30"/>
  <c r="K25" i="28" s="1"/>
  <c r="J77" i="30"/>
  <c r="K26" i="28" s="1"/>
  <c r="J94" i="30"/>
  <c r="K27" i="28" s="1"/>
  <c r="J111" i="30"/>
  <c r="K28" i="28" s="1"/>
  <c r="J113" i="30"/>
  <c r="K29" i="28" s="1"/>
  <c r="J125" i="30"/>
  <c r="K30" i="28" s="1"/>
  <c r="J134" i="30"/>
  <c r="K31" i="28" s="1"/>
  <c r="L135" i="30"/>
  <c r="J135" i="30" l="1"/>
  <c r="G14" i="21"/>
  <c r="G23" i="21"/>
  <c r="G20" i="21"/>
  <c r="AB30" i="20"/>
  <c r="Y31" i="20"/>
  <c r="Y32" i="20"/>
  <c r="Y33" i="20" l="1"/>
  <c r="Y46" i="20"/>
  <c r="V17" i="21"/>
  <c r="G17" i="21"/>
  <c r="V11" i="21"/>
  <c r="V5" i="21"/>
  <c r="G5" i="21"/>
  <c r="V10" i="20"/>
  <c r="V8" i="20"/>
  <c r="B21" i="20"/>
  <c r="B22" i="20"/>
  <c r="B23" i="20"/>
  <c r="B20" i="20"/>
  <c r="U46" i="20" l="1"/>
  <c r="V29" i="21"/>
  <c r="B9" i="28"/>
  <c r="AC46" i="20" l="1"/>
  <c r="V26" i="21"/>
  <c r="V23" i="21"/>
  <c r="V20" i="21"/>
  <c r="G11" i="21"/>
  <c r="Y30" i="24" l="1"/>
  <c r="G26" i="21" l="1"/>
  <c r="Y31" i="24"/>
  <c r="Y32" i="24" l="1"/>
  <c r="AA45" i="24" l="1"/>
</calcChain>
</file>

<file path=xl/sharedStrings.xml><?xml version="1.0" encoding="utf-8"?>
<sst xmlns="http://schemas.openxmlformats.org/spreadsheetml/2006/main" count="835" uniqueCount="242">
  <si>
    <t>HEAD OFFICE &amp; CHANGWON PLANT</t>
  </si>
  <si>
    <t>22, DoosanVolvo-ro, Seongsan-gu, Changwon-Si,</t>
    <phoneticPr fontId="9" type="noConversion"/>
  </si>
  <si>
    <t>Gyeongsangnam-do, Korea</t>
    <phoneticPr fontId="9" type="noConversion"/>
  </si>
  <si>
    <t>(P.O.BOX 77, Changwon, Korea)</t>
    <phoneticPr fontId="9" type="noConversion"/>
  </si>
  <si>
    <t>TEL:(055)278-6114,7114 FAX:(055)264-5551/2</t>
  </si>
  <si>
    <t>1. Shipper / Грузоотправитель</t>
    <phoneticPr fontId="9" type="noConversion"/>
  </si>
  <si>
    <r>
      <t xml:space="preserve">11. Invoice </t>
    </r>
    <r>
      <rPr>
        <b/>
        <sz val="10"/>
        <rFont val="Calibri"/>
        <family val="2"/>
      </rPr>
      <t>№</t>
    </r>
    <r>
      <rPr>
        <b/>
        <sz val="11"/>
        <rFont val="Calibri"/>
        <family val="2"/>
      </rPr>
      <t xml:space="preserve"> :  </t>
    </r>
    <phoneticPr fontId="9" type="noConversion"/>
  </si>
  <si>
    <t>PGU-DE-0219</t>
    <phoneticPr fontId="9" type="noConversion"/>
  </si>
  <si>
    <t>Doosan Enerbility Co., Ltd (DOOSAN)</t>
    <phoneticPr fontId="9" type="noConversion"/>
  </si>
  <si>
    <r>
      <t xml:space="preserve">Инвойс </t>
    </r>
    <r>
      <rPr>
        <b/>
        <sz val="9"/>
        <rFont val="Calibri"/>
        <family val="2"/>
      </rPr>
      <t>№</t>
    </r>
    <phoneticPr fontId="9" type="noConversion"/>
  </si>
  <si>
    <t xml:space="preserve">12. Date : </t>
    <phoneticPr fontId="9" type="noConversion"/>
  </si>
  <si>
    <t>Republic of Korea</t>
    <phoneticPr fontId="9" type="noConversion"/>
  </si>
  <si>
    <t xml:space="preserve">Дата </t>
    <phoneticPr fontId="9" type="noConversion"/>
  </si>
  <si>
    <t>2. Consignee / Грузополучатель</t>
    <phoneticPr fontId="9" type="noConversion"/>
  </si>
  <si>
    <t>13. Remarks / Примечания</t>
    <phoneticPr fontId="9" type="noConversion"/>
  </si>
  <si>
    <t>Turkestan Oblast, Sairam district, Karamurt rural district, quarter 171</t>
    <phoneticPr fontId="9" type="noConversion"/>
  </si>
  <si>
    <t>*Project Name / Название Проекта</t>
    <phoneticPr fontId="9" type="noConversion"/>
  </si>
  <si>
    <t>*MANUFACTURER'S NAME / НАЗВАНИЕ ПРОИЗВОДИТЕЛЯ</t>
    <phoneticPr fontId="9" type="noConversion"/>
  </si>
  <si>
    <t>Siemens-energy</t>
    <phoneticPr fontId="9" type="noConversion"/>
  </si>
  <si>
    <t>3. Notify party / Уведомляемая сторона</t>
    <phoneticPr fontId="9" type="noConversion"/>
  </si>
  <si>
    <t>*MANUFACTURE YEAR / ГОД ИЗГОТОВЛЕНИЯ</t>
    <phoneticPr fontId="9" type="noConversion"/>
  </si>
  <si>
    <t>Wise Logistics</t>
  </si>
  <si>
    <t xml:space="preserve">ATTAN: MS. Aliya </t>
  </si>
  <si>
    <t>*COUNTRY OF ORIGIN / СТРАНА ПРОИСХОЖДЕНИЯ</t>
    <phoneticPr fontId="9" type="noConversion"/>
  </si>
  <si>
    <t>(E): a.kipshakbayeva@wiselogistics.kz</t>
  </si>
  <si>
    <t>KOREA</t>
    <phoneticPr fontId="9" type="noConversion"/>
  </si>
  <si>
    <t>(T): +7 701 512 19 69</t>
  </si>
  <si>
    <t>*INCOTERMS / УСЛОВИЯ ПОСТАВКИ СОГЛАСНО ИНКОТЕРМС</t>
    <phoneticPr fontId="9" type="noConversion"/>
  </si>
  <si>
    <t>4. Port of Loading / Порт погрузки</t>
    <phoneticPr fontId="9" type="noConversion"/>
  </si>
  <si>
    <t>5. Carrier / Перевозчик</t>
    <phoneticPr fontId="9" type="noConversion"/>
  </si>
  <si>
    <t>14. Mark and Numbers of PKGS / Маркировка и количество упаковок</t>
    <phoneticPr fontId="9" type="noConversion"/>
  </si>
  <si>
    <t>Busan, Korea</t>
    <phoneticPr fontId="3" type="noConversion"/>
  </si>
  <si>
    <t>Later</t>
    <phoneticPr fontId="3" type="noConversion"/>
  </si>
  <si>
    <t>PKG No.</t>
    <phoneticPr fontId="9" type="noConversion"/>
  </si>
  <si>
    <t>:</t>
    <phoneticPr fontId="9" type="noConversion"/>
  </si>
  <si>
    <t>6. Port of Unloading / Порт разгрузки</t>
    <phoneticPr fontId="9" type="noConversion"/>
  </si>
  <si>
    <t>7. Final Destination / Конечный пункт 
назначения</t>
    <phoneticPr fontId="9" type="noConversion"/>
  </si>
  <si>
    <t>Q-ty of Package</t>
    <phoneticPr fontId="9" type="noConversion"/>
  </si>
  <si>
    <t>PKGS</t>
    <phoneticPr fontId="9" type="noConversion"/>
  </si>
  <si>
    <t>Net Weight (kg)</t>
    <phoneticPr fontId="9" type="noConversion"/>
  </si>
  <si>
    <t>KG</t>
    <phoneticPr fontId="9" type="noConversion"/>
  </si>
  <si>
    <t>Gross Weight (kg)</t>
    <phoneticPr fontId="9" type="noConversion"/>
  </si>
  <si>
    <t>Dimension (m3)</t>
    <phoneticPr fontId="9" type="noConversion"/>
  </si>
  <si>
    <r>
      <t>m</t>
    </r>
    <r>
      <rPr>
        <vertAlign val="superscript"/>
        <sz val="11"/>
        <rFont val="Calibri"/>
        <family val="2"/>
      </rPr>
      <t>3</t>
    </r>
    <phoneticPr fontId="9" type="noConversion"/>
  </si>
  <si>
    <t>8. Voyage No / Рейс №</t>
    <phoneticPr fontId="9" type="noConversion"/>
  </si>
  <si>
    <t>9. Sailing on or about / Дата или
ожидаемая дата</t>
    <phoneticPr fontId="9" type="noConversion"/>
  </si>
  <si>
    <t>10. Customs Place / Место таможенного оформления</t>
    <phoneticPr fontId="3" type="noConversion"/>
  </si>
  <si>
    <t>15. Description of Goods / Описание товара</t>
    <phoneticPr fontId="9" type="noConversion"/>
  </si>
  <si>
    <t>16. HS CODE /</t>
    <phoneticPr fontId="9" type="noConversion"/>
  </si>
  <si>
    <t>17. Quantity /</t>
    <phoneticPr fontId="9" type="noConversion"/>
  </si>
  <si>
    <t>18. Total Price (USD)</t>
    <phoneticPr fontId="9" type="noConversion"/>
  </si>
  <si>
    <t>Код ТН ВЭД</t>
    <phoneticPr fontId="9" type="noConversion"/>
  </si>
  <si>
    <t>Количество</t>
    <phoneticPr fontId="9" type="noConversion"/>
  </si>
  <si>
    <t>Общая сумма (Дол. США)</t>
    <phoneticPr fontId="9" type="noConversion"/>
  </si>
  <si>
    <t>Total (DDP Value)</t>
    <phoneticPr fontId="9" type="noConversion"/>
  </si>
  <si>
    <t>Signed by</t>
  </si>
  <si>
    <t>Doosan Enerbility Co., Ltd</t>
    <phoneticPr fontId="9" type="noConversion"/>
  </si>
  <si>
    <t>155, Jeongjail-ro, Bundang-gu, Seongnam-si, Gyeonggi-do, Korea</t>
    <phoneticPr fontId="9" type="noConversion"/>
  </si>
  <si>
    <t>Tel. +82 31 5179 2045</t>
    <phoneticPr fontId="9" type="noConversion"/>
  </si>
  <si>
    <t xml:space="preserve"> Gihun Bek / Project Director</t>
    <phoneticPr fontId="37" type="noConversion"/>
  </si>
  <si>
    <t>Fax. +82 31 5179 2197</t>
    <phoneticPr fontId="9" type="noConversion"/>
  </si>
  <si>
    <t>Doosan Enerbility Co., Ltd.</t>
    <phoneticPr fontId="9" type="noConversion"/>
  </si>
  <si>
    <t>PACKING LIST
УПАКОВОЧНЫЙ ЛИСТ</t>
    <phoneticPr fontId="9" type="noConversion"/>
  </si>
  <si>
    <r>
      <t xml:space="preserve">11. Invoice </t>
    </r>
    <r>
      <rPr>
        <b/>
        <sz val="10"/>
        <rFont val="Calibri"/>
        <family val="2"/>
      </rPr>
      <t xml:space="preserve">№ :  </t>
    </r>
    <phoneticPr fontId="9" type="noConversion"/>
  </si>
  <si>
    <t xml:space="preserve">22, DoosanVolvo-ro, Seongsan-gu, Changwon-si, Gyeongsangnam-do, </t>
    <phoneticPr fontId="9" type="noConversion"/>
  </si>
  <si>
    <t>Turkistan Region, Main Site. Without External Engineering Networks</t>
    <phoneticPr fontId="9" type="noConversion"/>
  </si>
  <si>
    <t>7. Final Destination / Конечный пункт назначения</t>
    <phoneticPr fontId="9" type="noConversion"/>
  </si>
  <si>
    <r>
      <t xml:space="preserve">8. Voyage No / Рейс </t>
    </r>
    <r>
      <rPr>
        <b/>
        <sz val="10"/>
        <rFont val="Calibri"/>
        <family val="2"/>
      </rPr>
      <t>№</t>
    </r>
    <phoneticPr fontId="9" type="noConversion"/>
  </si>
  <si>
    <t>16. Q-ty</t>
    <phoneticPr fontId="3" type="noConversion"/>
  </si>
  <si>
    <t>17. Net Weight</t>
    <phoneticPr fontId="3" type="noConversion"/>
  </si>
  <si>
    <t>18. Gross Weight</t>
    <phoneticPr fontId="3" type="noConversion"/>
  </si>
  <si>
    <t>19. Measurement</t>
    <phoneticPr fontId="3" type="noConversion"/>
  </si>
  <si>
    <t>(EA)</t>
    <phoneticPr fontId="3" type="noConversion"/>
  </si>
  <si>
    <t>(kg)</t>
    <phoneticPr fontId="3" type="noConversion"/>
  </si>
  <si>
    <t>(CBM)</t>
    <phoneticPr fontId="3" type="noConversion"/>
  </si>
  <si>
    <t>Tel. +82 31 5179 2041</t>
    <phoneticPr fontId="9" type="noConversion"/>
  </si>
  <si>
    <t>Note&gt;</t>
    <phoneticPr fontId="3" type="noConversion"/>
  </si>
  <si>
    <t>Storage Classification "A" :</t>
    <phoneticPr fontId="9" type="noConversion"/>
  </si>
  <si>
    <t>Indoor with Air-conditioning</t>
    <phoneticPr fontId="9" type="noConversion"/>
  </si>
  <si>
    <t>Storage Classification "B" :</t>
    <phoneticPr fontId="9" type="noConversion"/>
  </si>
  <si>
    <t>Indoor without Air-conditioning</t>
    <phoneticPr fontId="9" type="noConversion"/>
  </si>
  <si>
    <t>Storage Classification "C" :</t>
    <phoneticPr fontId="9" type="noConversion"/>
  </si>
  <si>
    <t>Outdoor with Waterproofing</t>
    <phoneticPr fontId="9" type="noConversion"/>
  </si>
  <si>
    <t>Storage Classification "D" :</t>
    <phoneticPr fontId="9" type="noConversion"/>
  </si>
  <si>
    <t>Outdoor without Waterproofing</t>
    <phoneticPr fontId="9" type="noConversion"/>
  </si>
  <si>
    <t>SUMMARY PACKING LIST
CВОДНЫЙ УПАКОВОЧНЫЙ ЛИСТ</t>
    <phoneticPr fontId="9" type="noConversion"/>
  </si>
  <si>
    <t>Project Name:</t>
    <phoneticPr fontId="9" type="noConversion"/>
  </si>
  <si>
    <t>Construction of a 1000 MW CCGT Power Plant in the Sairam District of the Turkistan Region</t>
    <phoneticPr fontId="3" type="noConversion"/>
  </si>
  <si>
    <t>Main Site. Without External Engineering Networks</t>
    <phoneticPr fontId="3" type="noConversion"/>
  </si>
  <si>
    <t xml:space="preserve">Invoice №: </t>
    <phoneticPr fontId="9" type="noConversion"/>
  </si>
  <si>
    <t xml:space="preserve">Name of Consignee: </t>
    <phoneticPr fontId="3" type="noConversion"/>
  </si>
  <si>
    <t xml:space="preserve">Consignee address: </t>
    <phoneticPr fontId="3" type="noConversion"/>
  </si>
  <si>
    <t>№</t>
  </si>
  <si>
    <r>
      <t xml:space="preserve">CNTR No. / Seal No.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 xml:space="preserve">контейнера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>пломбы</t>
    </r>
    <phoneticPr fontId="3" type="noConversion"/>
  </si>
  <si>
    <r>
      <t xml:space="preserve">Package No. / 
</t>
    </r>
    <r>
      <rPr>
        <sz val="12"/>
        <rFont val="Segoe UI Symbol"/>
        <family val="2"/>
      </rPr>
      <t>№</t>
    </r>
    <r>
      <rPr>
        <sz val="12"/>
        <rFont val="Calibri"/>
        <family val="2"/>
      </rPr>
      <t xml:space="preserve"> упаковки</t>
    </r>
    <phoneticPr fontId="9" type="noConversion"/>
  </si>
  <si>
    <t>Description / Описание</t>
    <phoneticPr fontId="9" type="noConversion"/>
  </si>
  <si>
    <t>Packing Style / 
Вид упаковки</t>
    <phoneticPr fontId="9" type="noConversion"/>
  </si>
  <si>
    <t>Quantity / Количество</t>
    <phoneticPr fontId="9" type="noConversion"/>
  </si>
  <si>
    <t>Shipping Dimension / Отгрузочные параметры</t>
    <phoneticPr fontId="3" type="noConversion"/>
  </si>
  <si>
    <t>Net Weight (kg) / 
Вес нетто (кг)</t>
    <phoneticPr fontId="9" type="noConversion"/>
  </si>
  <si>
    <t>Gross Weight (kg) / 
Вес брутто (кг)</t>
    <phoneticPr fontId="9" type="noConversion"/>
  </si>
  <si>
    <t xml:space="preserve">Hazardous Material 
(UN Number) </t>
    <phoneticPr fontId="9" type="noConversion"/>
  </si>
  <si>
    <t>Storage Class /
Класс хранения</t>
    <phoneticPr fontId="9" type="noConversion"/>
  </si>
  <si>
    <t>Stackable / 
Штабелируемый</t>
    <phoneticPr fontId="9" type="noConversion"/>
  </si>
  <si>
    <t>RT 
(Revenue Ton)</t>
    <phoneticPr fontId="9" type="noConversion"/>
  </si>
  <si>
    <t>Q'ty / 
Количество</t>
    <phoneticPr fontId="9" type="noConversion"/>
  </si>
  <si>
    <t>Unit / 
Ед.изм.</t>
    <phoneticPr fontId="9" type="noConversion"/>
  </si>
  <si>
    <t>L (cm) /
Д (см)</t>
    <phoneticPr fontId="3" type="noConversion"/>
  </si>
  <si>
    <t>W (cm) / 
Ш (см)</t>
    <phoneticPr fontId="9" type="noConversion"/>
  </si>
  <si>
    <t>H (cm) / 
В (см)</t>
    <phoneticPr fontId="9" type="noConversion"/>
  </si>
  <si>
    <t>CBM (m3) /
Объем (м3)</t>
    <phoneticPr fontId="9" type="noConversion"/>
  </si>
  <si>
    <t>PGU-DE-0219-DCS-FNT-001</t>
    <phoneticPr fontId="3" type="noConversion"/>
  </si>
  <si>
    <t>Wooden</t>
  </si>
  <si>
    <t>EA / ШТ.</t>
    <phoneticPr fontId="3" type="noConversion"/>
  </si>
  <si>
    <t>N/A</t>
    <phoneticPr fontId="3" type="noConversion"/>
  </si>
  <si>
    <t>B</t>
    <phoneticPr fontId="3" type="noConversion"/>
  </si>
  <si>
    <t>Y</t>
    <phoneticPr fontId="3" type="noConversion"/>
  </si>
  <si>
    <t>PGU-DE-0219-DCS-FNT-002</t>
    <phoneticPr fontId="3" type="noConversion"/>
  </si>
  <si>
    <t>PGU-DE-0219-DCS-FNT-003</t>
  </si>
  <si>
    <t>PGU-DE-0219-DCS-FNT-004</t>
  </si>
  <si>
    <t>PGU-DE-0219-DCS-FNT-005</t>
  </si>
  <si>
    <t>PGU-DE-0219-DCS-FNT-006</t>
  </si>
  <si>
    <t>PGU-DE-0219-DCS-FNT-007</t>
  </si>
  <si>
    <t>PGU-DE-0219-DCS-FNT-008</t>
  </si>
  <si>
    <t>PGU-DE-0219-DCS-FNT-009</t>
  </si>
  <si>
    <t>PGU-DE-0219-DCS-FNT-010</t>
  </si>
  <si>
    <t>PGU-DE-0219-DCS-FNT-011</t>
  </si>
  <si>
    <t>PGU-DE-0219-DCS-FNT-012</t>
  </si>
  <si>
    <t>PGU-DE-0219-DCS-FNT-013</t>
  </si>
  <si>
    <t>PGU-DE-0219-DCS-FNT-014</t>
  </si>
  <si>
    <t>CHAIR</t>
  </si>
  <si>
    <t>PGU-DE-0219-DCS-FNT-015</t>
  </si>
  <si>
    <t>PGU-DE-0219-DCS-FNT-016</t>
  </si>
  <si>
    <t>Large Screen Display</t>
  </si>
  <si>
    <t>PGU-DE-0219-DCS-FNT-017</t>
  </si>
  <si>
    <t>Monitor</t>
    <phoneticPr fontId="3" type="noConversion"/>
  </si>
  <si>
    <t>PGU-DE-0219-DCS-FNT-018</t>
    <phoneticPr fontId="3" type="noConversion"/>
  </si>
  <si>
    <t>Laser Printer</t>
  </si>
  <si>
    <t>TOTAL / ИТОГО</t>
    <phoneticPr fontId="9" type="noConversion"/>
  </si>
  <si>
    <t>PGU-DE-0219</t>
  </si>
  <si>
    <r>
      <t>Package No./ 
Номер</t>
    </r>
    <r>
      <rPr>
        <sz val="12"/>
        <rFont val="맑은 고딕"/>
        <family val="2"/>
        <charset val="129"/>
      </rPr>
      <t xml:space="preserve"> </t>
    </r>
    <r>
      <rPr>
        <sz val="12"/>
        <rFont val="Calibri"/>
        <family val="2"/>
      </rPr>
      <t>упаковки</t>
    </r>
    <phoneticPr fontId="9" type="noConversion"/>
  </si>
  <si>
    <t>HS Code / 
Код ТН ВЭД</t>
    <phoneticPr fontId="3" type="noConversion"/>
  </si>
  <si>
    <t>Drawing No. / 
№ чертежа</t>
    <phoneticPr fontId="3" type="noConversion"/>
  </si>
  <si>
    <t>Tag No. / 
№ Тег</t>
    <phoneticPr fontId="3" type="noConversion"/>
  </si>
  <si>
    <t>Unit Price (US$) / 
Цена за единицу</t>
    <phoneticPr fontId="9" type="noConversion"/>
  </si>
  <si>
    <t>Total Price (US$) / 
Общая цена</t>
    <phoneticPr fontId="9" type="noConversion"/>
  </si>
  <si>
    <t>Remark / 
Примечания</t>
    <phoneticPr fontId="9" type="noConversion"/>
  </si>
  <si>
    <t>Q'ty / 
Кол-во</t>
    <phoneticPr fontId="9" type="noConversion"/>
  </si>
  <si>
    <t>Unit / Ед.
изм.</t>
    <phoneticPr fontId="9" type="noConversion"/>
  </si>
  <si>
    <t>OPERATOR CONSOLE DESK 130W X 110D X 80H</t>
  </si>
  <si>
    <t>EA / ШТ.</t>
  </si>
  <si>
    <t>PGU-DE-0219-DCS-FNT-002</t>
  </si>
  <si>
    <t>OPERATOR CONSOLE DESK (With EPB 2-HOLE)
 130W X 110D X 87H</t>
  </si>
  <si>
    <t>E.P.B TUPE CONSOLE DESK (With EPB 2-HOLE)
 130W X 110D X 87H</t>
  </si>
  <si>
    <t>OPERATOR CONSOLE DESK (With EPB 1-HOLE)
 130W X 110D X 87H</t>
  </si>
  <si>
    <t>15˚ CORNER DESK - 2EA</t>
  </si>
  <si>
    <t>COMPUTER DESK 130W X 110D X 77H</t>
  </si>
  <si>
    <t>PRINTER DESK 80W X 80D X 77H - 2EA</t>
  </si>
  <si>
    <t>PRINTER DESK 80W X 80D X 77H - 1EA</t>
  </si>
  <si>
    <t>CONSOLE DESK BOLT BOX - 1EA</t>
  </si>
  <si>
    <t>MONITOR ARM - 18EA</t>
  </si>
  <si>
    <t>85" LED LCD (Samsung, QM85) - 5EA</t>
  </si>
  <si>
    <t>27" LCD Monitor - 30EA</t>
  </si>
  <si>
    <t>Field installation DP to HDMI Converter - 30EA</t>
  </si>
  <si>
    <t>Field installation cable (20 m HDMI) - 5EA</t>
  </si>
  <si>
    <t>Field installation DP to HDMI Converter - 5EA</t>
  </si>
  <si>
    <t>Paper for A4 Size  (2500매) - 9BOX</t>
  </si>
  <si>
    <t>Paper for A3 Size  (2500매) - 9BOX</t>
  </si>
  <si>
    <t>Digital indicator - 5EA</t>
  </si>
  <si>
    <t>Canon LBP841 Black - 25EA</t>
  </si>
  <si>
    <t>Canon LBP841 Yellow - 25EA</t>
  </si>
  <si>
    <t>Canon LBP841 Red - 25EA</t>
  </si>
  <si>
    <t>Canon LBP841 Blue - 25EA</t>
  </si>
  <si>
    <t>PGU-DE-0219-DCS-FNT-018</t>
  </si>
  <si>
    <t>Color Laser Printer (Canon LBP841Cdnz- A3/A4)</t>
  </si>
  <si>
    <t>TOTAL/ ИТОГО</t>
    <phoneticPr fontId="9" type="noConversion"/>
  </si>
  <si>
    <t>SHIPPING MARK
ГРУЗОВАЯ МАРКИРОВКА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</si>
  <si>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NAME OF THE PROJECT</t>
    </r>
    <phoneticPr fontId="5" type="noConversion"/>
  </si>
  <si>
    <t xml:space="preserve">: </t>
    <phoneticPr fontId="5" type="noConversion"/>
  </si>
  <si>
    <t xml:space="preserve">Construction of a 1000 MW CCGT Power Plant in the Sairam District of the </t>
    <phoneticPr fontId="3" type="noConversion"/>
  </si>
  <si>
    <t xml:space="preserve">    НАЗВАНИЕ ПРОЕКТА</t>
    <phoneticPr fontId="5" type="noConversion"/>
  </si>
  <si>
    <t>Turkistan Region, Main Site. Without External Engineering Networks</t>
    <phoneticPr fontId="3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</si>
  <si>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CONSIGNEE</t>
    </r>
    <phoneticPr fontId="5" type="noConversion"/>
  </si>
  <si>
    <t xml:space="preserve">    ГРУЗОПОЛУЧАТЕЛЬ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</si>
  <si>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Shipper/Exporter</t>
    </r>
    <phoneticPr fontId="5" type="noConversion"/>
  </si>
  <si>
    <t>: Doosan Enerbility Co., LTD</t>
    <phoneticPr fontId="5" type="noConversion"/>
  </si>
  <si>
    <t xml:space="preserve">     Грузоотправитель/Экспортер</t>
    <phoneticPr fontId="5" type="noConversion"/>
  </si>
  <si>
    <t xml:space="preserve">  22, Doosan Volvo-ro, Sengsan-gu, Changwon, Gyeongnam, South Korea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</si>
  <si>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Number of Invoice</t>
    </r>
    <phoneticPr fontId="5" type="noConversion"/>
  </si>
  <si>
    <t>:</t>
    <phoneticPr fontId="5" type="noConversion"/>
  </si>
  <si>
    <t xml:space="preserve">    № инвойса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</si>
  <si>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CARGO DESCRIPTION</t>
    </r>
    <phoneticPr fontId="3" type="noConversion"/>
  </si>
  <si>
    <t xml:space="preserve">    ОПИСАНИЕ ГРУЗА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</si>
  <si>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PACKAGE NO.</t>
    </r>
  </si>
  <si>
    <t>:</t>
    <phoneticPr fontId="3" type="noConversion"/>
  </si>
  <si>
    <t xml:space="preserve">    УПАКОВОЧНЫЙ НОМЕР 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</si>
  <si>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NET WEIGHT</t>
    </r>
    <phoneticPr fontId="5" type="noConversion"/>
  </si>
  <si>
    <t>Kg</t>
    <phoneticPr fontId="5" type="noConversion"/>
  </si>
  <si>
    <t xml:space="preserve">    ВЕС НЕТТО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</si>
  <si>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GROSS WEIGHT</t>
    </r>
    <phoneticPr fontId="5" type="noConversion"/>
  </si>
  <si>
    <t xml:space="preserve">    ВЕС БРУТТО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</si>
  <si>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 CBM(m3)</t>
    </r>
    <phoneticPr fontId="5" type="noConversion"/>
  </si>
  <si>
    <t>m3</t>
    <phoneticPr fontId="3" type="noConversion"/>
  </si>
  <si>
    <t xml:space="preserve">    РАЗМЕРЫ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</si>
  <si>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FINAL DESTINATION</t>
    </r>
  </si>
  <si>
    <t xml:space="preserve">:
</t>
    <phoneticPr fontId="5" type="noConversion"/>
  </si>
  <si>
    <t xml:space="preserve">Turkestan Oblast, Sairam district, Karamurt rural district, quarter 171, Republic of Kazakhstan </t>
    <phoneticPr fontId="3" type="noConversion"/>
  </si>
  <si>
    <t xml:space="preserve">    КОНЕЧНЫЙ ПУНКТ НАЗНАЧЕНИЯ</t>
  </si>
  <si>
    <t>Doosan Enerbility</t>
    <phoneticPr fontId="5" type="noConversion"/>
  </si>
  <si>
    <t>PROFORMA INVOICE
ПРОФОРМА ИНВОЙС</t>
    <phoneticPr fontId="9" type="noConversion"/>
  </si>
  <si>
    <t>Branch of JSC "Doosan Enerbility" in the Turkestan region</t>
    <phoneticPr fontId="9" type="noConversion"/>
  </si>
  <si>
    <t>321 Tauke Khan Avenue, Turkestan region, Turkestan, Kazakhstan, 161200</t>
    <phoneticPr fontId="9" type="noConversion"/>
  </si>
  <si>
    <t>BIN: 230741006561</t>
    <phoneticPr fontId="9" type="noConversion"/>
  </si>
  <si>
    <t>DDP Turkistan</t>
    <phoneticPr fontId="9" type="noConversion"/>
  </si>
  <si>
    <t>Construction of a 1000 MW CCGT Power Plant in the Sairam District of</t>
    <phoneticPr fontId="9" type="noConversion"/>
  </si>
  <si>
    <t>BOM 9.1</t>
    <phoneticPr fontId="9" type="noConversion"/>
  </si>
  <si>
    <t>Распределенная система управления</t>
  </si>
  <si>
    <t>Distributed Control System (DCS)</t>
    <phoneticPr fontId="9" type="noConversion"/>
  </si>
  <si>
    <t xml:space="preserve">Invoice № :  </t>
    <phoneticPr fontId="9" type="noConversion"/>
  </si>
  <si>
    <t>№</t>
    <phoneticPr fontId="9" type="noConversion"/>
  </si>
  <si>
    <t>№ Package</t>
    <phoneticPr fontId="9" type="noConversion"/>
  </si>
  <si>
    <t>Description of Goods Specification</t>
    <phoneticPr fontId="9" type="noConversion"/>
  </si>
  <si>
    <t>HS CODE</t>
    <phoneticPr fontId="9" type="noConversion"/>
  </si>
  <si>
    <t>Quantity</t>
    <phoneticPr fontId="9" type="noConversion"/>
  </si>
  <si>
    <t>Unit</t>
    <phoneticPr fontId="9" type="noConversion"/>
  </si>
  <si>
    <t>U/Price
(USD)</t>
    <phoneticPr fontId="3" type="noConversion"/>
  </si>
  <si>
    <t>Amount
(USD)</t>
    <phoneticPr fontId="3" type="noConversion"/>
  </si>
  <si>
    <t>Country of
Origin</t>
    <phoneticPr fontId="9" type="noConversion"/>
  </si>
  <si>
    <t>Remark</t>
    <phoneticPr fontId="9" type="noConversion"/>
  </si>
  <si>
    <t>TOTAL</t>
    <phoneticPr fontId="9" type="noConversion"/>
  </si>
  <si>
    <t>INVOICE (Break-down)</t>
    <phoneticPr fontId="9" type="noConversion"/>
  </si>
  <si>
    <t>Operation Console</t>
  </si>
  <si>
    <t>Operation Console</t>
    <phoneticPr fontId="3" type="noConversion"/>
  </si>
  <si>
    <t>Desk</t>
  </si>
  <si>
    <t>Desk</t>
    <phoneticPr fontId="3" type="noConversion"/>
  </si>
  <si>
    <t>Chair</t>
  </si>
  <si>
    <t>Chair</t>
    <phoneticPr fontId="3" type="noConversion"/>
  </si>
  <si>
    <t>PGU-DE-0219-DCS-FNT-001</t>
  </si>
  <si>
    <t>Monitor</t>
  </si>
  <si>
    <t>Korea</t>
    <phoneticPr fontId="3" type="noConversion"/>
  </si>
  <si>
    <t>1 SET</t>
    <phoneticPr fontId="9" type="noConversion"/>
  </si>
  <si>
    <t>PGU-DE-0219-DCS-FNT-001~018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</si>
</sst>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0_);[Red]\(0\)"/>
    <numFmt numFmtId="178" formatCode="0.000_);[Red]\(0.000\)"/>
    <numFmt numFmtId="179" formatCode="#,##0.00_ "/>
    <numFmt numFmtId="180" formatCode="#,##0_ "/>
    <numFmt numFmtId="181" formatCode="_(* #,##0_);_(* \(#,##0\);_(* &quot;-&quot;??_);_(@_)"/>
    <numFmt numFmtId="182" formatCode="#,##0\ &quot;EA&quot;"/>
    <numFmt numFmtId="183" formatCode="_-* #,##0.000_-;\-* #,##0.000_-;_-* &quot;-&quot;_-;_-@_-"/>
    <numFmt numFmtId="184" formatCode="#,##0.000;[Red]\-#,##0.000"/>
  </numFmts>
  <fonts count="6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9"/>
      <name val="ＭＳ Ｐゴシック"/>
      <family val="2"/>
      <charset val="128"/>
    </font>
    <font>
      <sz val="10.5"/>
      <color theme="1"/>
      <name val="Calibri"/>
      <family val="2"/>
    </font>
    <font>
      <sz val="8"/>
      <name val="돋움"/>
      <family val="3"/>
      <charset val="129"/>
    </font>
    <font>
      <sz val="11"/>
      <name val="Calibri"/>
      <family val="2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9"/>
      <name val="Arial"/>
      <family val="2"/>
    </font>
    <font>
      <sz val="10"/>
      <name val="Calibri"/>
      <family val="2"/>
    </font>
    <font>
      <sz val="11"/>
      <name val="Arial"/>
      <family val="2"/>
    </font>
    <font>
      <sz val="13"/>
      <name val="Calibri"/>
      <family val="2"/>
    </font>
    <font>
      <b/>
      <sz val="13"/>
      <color theme="0"/>
      <name val="Calibri"/>
      <family val="2"/>
    </font>
    <font>
      <sz val="12"/>
      <name val="Calibri"/>
      <family val="2"/>
    </font>
    <font>
      <sz val="11"/>
      <name val="굴림체"/>
      <family val="3"/>
      <charset val="129"/>
    </font>
    <font>
      <i/>
      <sz val="12"/>
      <name val="Calibri"/>
      <family val="2"/>
    </font>
    <font>
      <b/>
      <sz val="12"/>
      <color theme="0"/>
      <name val="Calibri"/>
      <family val="2"/>
    </font>
    <font>
      <b/>
      <sz val="9"/>
      <name val="Calibri"/>
      <family val="2"/>
    </font>
    <font>
      <b/>
      <sz val="10"/>
      <name val="Arial"/>
      <family val="2"/>
    </font>
    <font>
      <sz val="9"/>
      <color indexed="8"/>
      <name val="Calibri"/>
      <family val="2"/>
    </font>
    <font>
      <sz val="1"/>
      <color indexed="8"/>
      <name val="Courier"/>
      <family val="3"/>
    </font>
    <font>
      <b/>
      <i/>
      <sz val="9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trike/>
      <sz val="11"/>
      <name val="Calibri"/>
      <family val="2"/>
    </font>
    <font>
      <sz val="11"/>
      <color indexed="10"/>
      <name val="Calibri"/>
      <family val="2"/>
    </font>
    <font>
      <sz val="11"/>
      <color rgb="FF000000"/>
      <name val="Calibri"/>
      <family val="2"/>
    </font>
    <font>
      <sz val="11"/>
      <color rgb="FF0000CC"/>
      <name val="Calibri"/>
      <family val="2"/>
    </font>
    <font>
      <sz val="11"/>
      <color rgb="FF0000CC"/>
      <name val="Arial"/>
      <family val="2"/>
    </font>
    <font>
      <sz val="8"/>
      <name val="돋움"/>
      <family val="3"/>
    </font>
    <font>
      <b/>
      <sz val="12"/>
      <name val="Calibri"/>
      <family val="2"/>
    </font>
    <font>
      <sz val="10"/>
      <name val="Arial"/>
      <family val="2"/>
    </font>
    <font>
      <sz val="14"/>
      <name val="Calibri"/>
      <family val="2"/>
    </font>
    <font>
      <sz val="16"/>
      <name val="Calibri"/>
      <family val="2"/>
    </font>
    <font>
      <b/>
      <sz val="24"/>
      <name val="Calibri"/>
      <family val="2"/>
    </font>
    <font>
      <b/>
      <sz val="16"/>
      <name val="맑은 고딕"/>
      <family val="3"/>
      <charset val="129"/>
    </font>
    <font>
      <sz val="16"/>
      <name val="맑은 고딕"/>
      <family val="3"/>
      <charset val="129"/>
      <scheme val="minor"/>
    </font>
    <font>
      <sz val="16"/>
      <name val="맑은 고딕"/>
      <family val="2"/>
      <charset val="129"/>
      <scheme val="minor"/>
    </font>
    <font>
      <b/>
      <sz val="16"/>
      <name val="Calibri"/>
      <family val="3"/>
    </font>
    <font>
      <b/>
      <sz val="16"/>
      <name val="Segoe UI Symbol"/>
      <family val="3"/>
    </font>
    <font>
      <sz val="11"/>
      <color theme="1"/>
      <name val="Calibri"/>
      <family val="2"/>
    </font>
    <font>
      <sz val="12"/>
      <name val="Segoe UI Symbol"/>
      <family val="2"/>
    </font>
    <font>
      <sz val="12"/>
      <name val="맑은 고딕"/>
      <family val="2"/>
      <charset val="129"/>
    </font>
    <font>
      <b/>
      <i/>
      <sz val="12"/>
      <name val="Calibri"/>
      <family val="2"/>
    </font>
    <font>
      <vertAlign val="superscript"/>
      <sz val="11"/>
      <name val="Calibri"/>
      <family val="2"/>
    </font>
    <font>
      <sz val="9"/>
      <name val="맑은 고딕"/>
      <family val="3"/>
      <charset val="129"/>
      <scheme val="minor"/>
    </font>
    <font>
      <b/>
      <sz val="11"/>
      <color theme="1"/>
      <name val="Calibri"/>
      <family val="2"/>
    </font>
    <font>
      <sz val="12"/>
      <color theme="0"/>
      <name val="Calibri"/>
      <family val="2"/>
    </font>
    <font>
      <b/>
      <i/>
      <sz val="12"/>
      <color rgb="FF0000CC"/>
      <name val="Calibri"/>
      <family val="2"/>
    </font>
    <font>
      <u/>
      <sz val="11"/>
      <color theme="10"/>
      <name val="맑은 고딕"/>
      <family val="2"/>
      <charset val="129"/>
      <scheme val="minor"/>
    </font>
    <font>
      <u/>
      <sz val="11"/>
      <name val="Calibri"/>
      <family val="2"/>
    </font>
    <font>
      <b/>
      <sz val="11.5"/>
      <name val="Calibri"/>
      <family val="2"/>
    </font>
    <font>
      <b/>
      <i/>
      <sz val="11.5"/>
      <color rgb="FF0000CC"/>
      <name val="Calibri"/>
      <family val="2"/>
    </font>
    <font>
      <sz val="11.5"/>
      <name val="Calibri"/>
      <family val="2"/>
    </font>
    <font>
      <sz val="11.5"/>
      <color theme="0"/>
      <name val="Calibri"/>
      <family val="2"/>
    </font>
    <font>
      <sz val="11.5"/>
      <name val="Arial"/>
      <family val="2"/>
    </font>
    <font>
      <sz val="11"/>
      <color rgb="FF0000FF"/>
      <name val="Calibri"/>
      <family val="2"/>
    </font>
    <font>
      <b/>
      <sz val="14"/>
      <name val="Calibri"/>
      <family val="2"/>
    </font>
    <font>
      <sz val="14"/>
      <name val="Arial"/>
      <family val="2"/>
    </font>
    <font>
      <sz val="1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41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2" fillId="0" borderId="0"/>
    <xf numFmtId="4" fontId="28" fillId="0" borderId="0">
      <protection locked="0"/>
    </xf>
    <xf numFmtId="0" fontId="39" fillId="0" borderId="0"/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/>
    <xf numFmtId="0" fontId="57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99">
    <xf numFmtId="0" fontId="0" fillId="0" borderId="0" xfId="0">
      <alignment vertical="center"/>
    </xf>
    <xf numFmtId="0" fontId="8" fillId="0" borderId="0" xfId="0" applyFont="1">
      <alignment vertical="center"/>
    </xf>
    <xf numFmtId="0" fontId="0" fillId="2" borderId="0" xfId="0" applyFill="1">
      <alignment vertical="center"/>
    </xf>
    <xf numFmtId="0" fontId="11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4" fillId="0" borderId="0" xfId="13" applyFont="1">
      <alignment vertical="center"/>
    </xf>
    <xf numFmtId="0" fontId="14" fillId="0" borderId="0" xfId="13" applyFont="1" applyAlignment="1">
      <alignment vertical="center" wrapText="1"/>
    </xf>
    <xf numFmtId="0" fontId="14" fillId="0" borderId="0" xfId="13" applyFont="1" applyAlignment="1">
      <alignment horizontal="center" vertical="center"/>
    </xf>
    <xf numFmtId="0" fontId="16" fillId="0" borderId="0" xfId="13" applyFont="1">
      <alignment vertical="center"/>
    </xf>
    <xf numFmtId="0" fontId="14" fillId="0" borderId="0" xfId="13" applyFont="1" applyAlignment="1">
      <alignment horizontal="left" vertical="center"/>
    </xf>
    <xf numFmtId="0" fontId="16" fillId="0" borderId="0" xfId="13" applyFont="1" applyAlignment="1">
      <alignment vertical="center" wrapText="1"/>
    </xf>
    <xf numFmtId="0" fontId="17" fillId="0" borderId="0" xfId="13" applyFont="1" applyAlignment="1">
      <alignment vertical="center" wrapText="1"/>
    </xf>
    <xf numFmtId="0" fontId="4" fillId="0" borderId="0" xfId="13" applyFont="1" applyAlignment="1">
      <alignment vertical="center" wrapText="1"/>
    </xf>
    <xf numFmtId="0" fontId="4" fillId="0" borderId="0" xfId="13" applyFont="1">
      <alignment vertical="center"/>
    </xf>
    <xf numFmtId="0" fontId="10" fillId="0" borderId="0" xfId="13" applyFont="1" applyAlignment="1">
      <alignment horizontal="center" vertical="center"/>
    </xf>
    <xf numFmtId="176" fontId="10" fillId="0" borderId="0" xfId="14" applyNumberFormat="1" applyFont="1">
      <alignment vertical="center"/>
    </xf>
    <xf numFmtId="0" fontId="10" fillId="0" borderId="0" xfId="13" applyFont="1">
      <alignment vertical="center"/>
    </xf>
    <xf numFmtId="178" fontId="14" fillId="0" borderId="0" xfId="13" applyNumberFormat="1" applyFont="1" applyAlignment="1">
      <alignment horizontal="left" vertical="center"/>
    </xf>
    <xf numFmtId="0" fontId="18" fillId="0" borderId="0" xfId="13" applyFont="1">
      <alignment vertical="center"/>
    </xf>
    <xf numFmtId="0" fontId="20" fillId="0" borderId="0" xfId="13" applyFont="1">
      <alignment vertical="center"/>
    </xf>
    <xf numFmtId="0" fontId="19" fillId="0" borderId="0" xfId="13" applyFont="1" applyAlignment="1">
      <alignment vertical="center" wrapText="1"/>
    </xf>
    <xf numFmtId="0" fontId="19" fillId="0" borderId="0" xfId="13" applyFont="1">
      <alignment vertical="center"/>
    </xf>
    <xf numFmtId="40" fontId="21" fillId="0" borderId="1" xfId="14" applyNumberFormat="1" applyFont="1" applyFill="1" applyBorder="1" applyAlignment="1">
      <alignment horizontal="center" vertical="center"/>
    </xf>
    <xf numFmtId="176" fontId="21" fillId="2" borderId="1" xfId="14" applyNumberFormat="1" applyFont="1" applyFill="1" applyBorder="1" applyAlignment="1">
      <alignment horizontal="center" vertical="center"/>
    </xf>
    <xf numFmtId="0" fontId="24" fillId="0" borderId="0" xfId="13" applyFont="1">
      <alignment vertical="center"/>
    </xf>
    <xf numFmtId="0" fontId="21" fillId="0" borderId="0" xfId="13" applyFont="1" applyAlignment="1">
      <alignment vertical="center" wrapText="1"/>
    </xf>
    <xf numFmtId="0" fontId="25" fillId="0" borderId="0" xfId="13" applyFont="1" applyAlignment="1">
      <alignment horizontal="left" vertical="center" wrapText="1"/>
    </xf>
    <xf numFmtId="0" fontId="26" fillId="0" borderId="0" xfId="13" applyFont="1" applyAlignment="1">
      <alignment vertical="center" wrapText="1"/>
    </xf>
    <xf numFmtId="0" fontId="26" fillId="0" borderId="0" xfId="13" applyFont="1">
      <alignment vertical="center"/>
    </xf>
    <xf numFmtId="0" fontId="27" fillId="0" borderId="0" xfId="13" applyFont="1" applyAlignment="1">
      <alignment horizontal="left" vertical="center" wrapText="1"/>
    </xf>
    <xf numFmtId="38" fontId="14" fillId="0" borderId="0" xfId="14" applyNumberFormat="1" applyFont="1" applyBorder="1" applyAlignment="1">
      <alignment horizontal="center" vertical="center"/>
    </xf>
    <xf numFmtId="180" fontId="14" fillId="0" borderId="0" xfId="13" applyNumberFormat="1" applyFont="1" applyAlignment="1">
      <alignment horizontal="center" vertical="center"/>
    </xf>
    <xf numFmtId="178" fontId="14" fillId="0" borderId="0" xfId="13" applyNumberFormat="1" applyFont="1" applyAlignment="1">
      <alignment horizontal="center" vertical="center"/>
    </xf>
    <xf numFmtId="0" fontId="14" fillId="0" borderId="0" xfId="13" applyFont="1" applyAlignment="1">
      <alignment horizontal="left" vertical="center" wrapText="1"/>
    </xf>
    <xf numFmtId="181" fontId="14" fillId="0" borderId="0" xfId="16" applyNumberFormat="1" applyFont="1" applyAlignment="1">
      <alignment horizontal="center" vertical="center"/>
      <protection locked="0"/>
    </xf>
    <xf numFmtId="38" fontId="14" fillId="0" borderId="0" xfId="14" applyNumberFormat="1" applyFont="1" applyBorder="1" applyAlignment="1">
      <alignment horizontal="left" vertical="center"/>
    </xf>
    <xf numFmtId="0" fontId="16" fillId="0" borderId="0" xfId="13" applyFont="1" applyAlignment="1">
      <alignment horizontal="left" vertical="center" wrapText="1"/>
    </xf>
    <xf numFmtId="0" fontId="16" fillId="0" borderId="0" xfId="13" applyFont="1" applyAlignment="1">
      <alignment horizontal="left" vertical="center"/>
    </xf>
    <xf numFmtId="178" fontId="29" fillId="0" borderId="0" xfId="13" applyNumberFormat="1" applyFont="1" applyAlignment="1">
      <alignment horizontal="center" vertical="center"/>
    </xf>
    <xf numFmtId="0" fontId="17" fillId="0" borderId="0" xfId="13" applyFont="1">
      <alignment vertical="center"/>
    </xf>
    <xf numFmtId="0" fontId="17" fillId="0" borderId="0" xfId="13" applyFont="1" applyAlignment="1">
      <alignment horizontal="center" vertical="center"/>
    </xf>
    <xf numFmtId="176" fontId="17" fillId="0" borderId="0" xfId="14" applyNumberFormat="1" applyFont="1" applyBorder="1">
      <alignment vertical="center"/>
    </xf>
    <xf numFmtId="178" fontId="17" fillId="0" borderId="0" xfId="13" applyNumberFormat="1" applyFont="1">
      <alignment vertical="center"/>
    </xf>
    <xf numFmtId="176" fontId="17" fillId="0" borderId="0" xfId="14" applyNumberFormat="1" applyFont="1">
      <alignment vertical="center"/>
    </xf>
    <xf numFmtId="176" fontId="14" fillId="0" borderId="0" xfId="1" applyNumberFormat="1" applyFont="1">
      <alignment vertical="center"/>
    </xf>
    <xf numFmtId="176" fontId="10" fillId="0" borderId="0" xfId="1" applyNumberFormat="1" applyFont="1">
      <alignment vertical="center"/>
    </xf>
    <xf numFmtId="176" fontId="21" fillId="2" borderId="1" xfId="1" applyNumberFormat="1" applyFont="1" applyFill="1" applyBorder="1" applyAlignment="1">
      <alignment horizontal="right" vertical="center"/>
    </xf>
    <xf numFmtId="176" fontId="14" fillId="0" borderId="0" xfId="1" applyNumberFormat="1" applyFont="1" applyBorder="1" applyAlignment="1">
      <alignment horizontal="center" vertical="center"/>
    </xf>
    <xf numFmtId="176" fontId="14" fillId="0" borderId="0" xfId="1" applyNumberFormat="1" applyFont="1" applyBorder="1" applyAlignment="1">
      <alignment horizontal="left" vertical="center"/>
    </xf>
    <xf numFmtId="176" fontId="14" fillId="0" borderId="0" xfId="1" applyNumberFormat="1" applyFont="1" applyAlignment="1">
      <alignment horizontal="center" vertical="center"/>
    </xf>
    <xf numFmtId="176" fontId="17" fillId="0" borderId="0" xfId="1" applyNumberFormat="1" applyFont="1" applyBorder="1">
      <alignment vertical="center"/>
    </xf>
    <xf numFmtId="176" fontId="17" fillId="0" borderId="0" xfId="1" applyNumberFormat="1" applyFont="1">
      <alignment vertical="center"/>
    </xf>
    <xf numFmtId="0" fontId="35" fillId="0" borderId="0" xfId="13" applyFont="1">
      <alignment vertical="center"/>
    </xf>
    <xf numFmtId="0" fontId="36" fillId="0" borderId="0" xfId="13" applyFont="1">
      <alignment vertical="center"/>
    </xf>
    <xf numFmtId="176" fontId="31" fillId="0" borderId="0" xfId="14" applyNumberFormat="1" applyFont="1" applyFill="1" applyBorder="1" applyAlignment="1">
      <alignment vertical="center"/>
    </xf>
    <xf numFmtId="179" fontId="10" fillId="0" borderId="26" xfId="14" applyNumberFormat="1" applyFont="1" applyFill="1" applyBorder="1" applyAlignment="1">
      <alignment vertical="center"/>
    </xf>
    <xf numFmtId="179" fontId="10" fillId="0" borderId="0" xfId="14" applyNumberFormat="1" applyFont="1" applyFill="1" applyBorder="1" applyAlignment="1">
      <alignment vertical="center"/>
    </xf>
    <xf numFmtId="179" fontId="10" fillId="0" borderId="9" xfId="14" applyNumberFormat="1" applyFont="1" applyFill="1" applyBorder="1" applyAlignment="1">
      <alignment vertical="center"/>
    </xf>
    <xf numFmtId="176" fontId="10" fillId="0" borderId="26" xfId="14" applyNumberFormat="1" applyFont="1" applyFill="1" applyBorder="1" applyAlignment="1">
      <alignment vertical="center"/>
    </xf>
    <xf numFmtId="176" fontId="10" fillId="0" borderId="0" xfId="14" applyNumberFormat="1" applyFont="1" applyFill="1" applyBorder="1" applyAlignment="1">
      <alignment vertical="center"/>
    </xf>
    <xf numFmtId="176" fontId="10" fillId="0" borderId="9" xfId="14" applyNumberFormat="1" applyFont="1" applyFill="1" applyBorder="1" applyAlignment="1">
      <alignment vertical="center"/>
    </xf>
    <xf numFmtId="179" fontId="10" fillId="0" borderId="25" xfId="14" applyNumberFormat="1" applyFont="1" applyFill="1" applyBorder="1" applyAlignment="1">
      <alignment vertical="center"/>
    </xf>
    <xf numFmtId="178" fontId="29" fillId="0" borderId="0" xfId="13" applyNumberFormat="1" applyFont="1" applyAlignment="1">
      <alignment horizontal="left" vertical="center"/>
    </xf>
    <xf numFmtId="178" fontId="17" fillId="0" borderId="0" xfId="13" applyNumberFormat="1" applyFont="1" applyAlignment="1">
      <alignment horizontal="left" vertical="center"/>
    </xf>
    <xf numFmtId="0" fontId="23" fillId="0" borderId="0" xfId="13" applyFont="1" applyAlignment="1">
      <alignment vertical="center" wrapText="1"/>
    </xf>
    <xf numFmtId="0" fontId="23" fillId="0" borderId="0" xfId="13" applyFont="1">
      <alignment vertical="center"/>
    </xf>
    <xf numFmtId="176" fontId="15" fillId="0" borderId="0" xfId="1" applyNumberFormat="1" applyFont="1">
      <alignment vertical="center"/>
    </xf>
    <xf numFmtId="176" fontId="10" fillId="0" borderId="0" xfId="1" applyNumberFormat="1" applyFont="1" applyAlignment="1">
      <alignment horizontal="center" vertical="center"/>
    </xf>
    <xf numFmtId="176" fontId="21" fillId="0" borderId="1" xfId="1" applyNumberFormat="1" applyFont="1" applyBorder="1" applyAlignment="1">
      <alignment horizontal="center" vertical="center" wrapText="1"/>
    </xf>
    <xf numFmtId="176" fontId="14" fillId="0" borderId="0" xfId="1" applyNumberFormat="1" applyFont="1" applyAlignment="1">
      <alignment horizontal="left" vertical="center"/>
    </xf>
    <xf numFmtId="176" fontId="29" fillId="0" borderId="0" xfId="1" applyNumberFormat="1" applyFont="1" applyAlignment="1">
      <alignment horizontal="center" vertical="center"/>
    </xf>
    <xf numFmtId="0" fontId="41" fillId="2" borderId="6" xfId="0" applyFont="1" applyFill="1" applyBorder="1">
      <alignment vertical="center"/>
    </xf>
    <xf numFmtId="0" fontId="41" fillId="2" borderId="5" xfId="0" applyFont="1" applyFill="1" applyBorder="1">
      <alignment vertical="center"/>
    </xf>
    <xf numFmtId="0" fontId="40" fillId="2" borderId="5" xfId="0" applyFont="1" applyFill="1" applyBorder="1">
      <alignment vertical="center"/>
    </xf>
    <xf numFmtId="0" fontId="40" fillId="2" borderId="7" xfId="0" applyFont="1" applyFill="1" applyBorder="1">
      <alignment vertical="center"/>
    </xf>
    <xf numFmtId="0" fontId="41" fillId="2" borderId="0" xfId="0" applyFont="1" applyFill="1">
      <alignment vertical="center"/>
    </xf>
    <xf numFmtId="0" fontId="40" fillId="2" borderId="0" xfId="0" applyFont="1" applyFill="1">
      <alignment vertical="center"/>
    </xf>
    <xf numFmtId="0" fontId="13" fillId="2" borderId="8" xfId="0" applyFont="1" applyFill="1" applyBorder="1">
      <alignment vertical="center"/>
    </xf>
    <xf numFmtId="0" fontId="41" fillId="2" borderId="9" xfId="0" applyFont="1" applyFill="1" applyBorder="1">
      <alignment vertical="center"/>
    </xf>
    <xf numFmtId="0" fontId="13" fillId="0" borderId="8" xfId="0" applyFont="1" applyBorder="1">
      <alignment vertical="center"/>
    </xf>
    <xf numFmtId="0" fontId="41" fillId="0" borderId="9" xfId="0" applyFont="1" applyBorder="1">
      <alignment vertical="center"/>
    </xf>
    <xf numFmtId="0" fontId="46" fillId="2" borderId="8" xfId="0" applyFont="1" applyFill="1" applyBorder="1">
      <alignment vertical="center"/>
    </xf>
    <xf numFmtId="0" fontId="41" fillId="2" borderId="12" xfId="0" applyFont="1" applyFill="1" applyBorder="1">
      <alignment vertical="center"/>
    </xf>
    <xf numFmtId="0" fontId="41" fillId="2" borderId="4" xfId="0" applyFont="1" applyFill="1" applyBorder="1">
      <alignment vertical="center"/>
    </xf>
    <xf numFmtId="0" fontId="40" fillId="2" borderId="4" xfId="0" applyFont="1" applyFill="1" applyBorder="1">
      <alignment vertical="center"/>
    </xf>
    <xf numFmtId="0" fontId="40" fillId="2" borderId="18" xfId="0" applyFont="1" applyFill="1" applyBorder="1">
      <alignment vertical="center"/>
    </xf>
    <xf numFmtId="177" fontId="31" fillId="0" borderId="25" xfId="13" applyNumberFormat="1" applyFont="1" applyBorder="1">
      <alignment vertical="center"/>
    </xf>
    <xf numFmtId="0" fontId="46" fillId="2" borderId="8" xfId="0" applyFont="1" applyFill="1" applyBorder="1" applyAlignment="1">
      <alignment horizontal="left" vertical="center"/>
    </xf>
    <xf numFmtId="0" fontId="13" fillId="0" borderId="0" xfId="13" applyFont="1" applyAlignment="1">
      <alignment horizontal="center" vertical="center"/>
    </xf>
    <xf numFmtId="176" fontId="31" fillId="0" borderId="0" xfId="1" applyNumberFormat="1" applyFont="1" applyFill="1" applyBorder="1" applyAlignment="1">
      <alignment vertical="center"/>
    </xf>
    <xf numFmtId="0" fontId="18" fillId="0" borderId="2" xfId="13" applyFont="1" applyBorder="1">
      <alignment vertical="center"/>
    </xf>
    <xf numFmtId="0" fontId="31" fillId="0" borderId="3" xfId="13" applyFont="1" applyBorder="1" applyAlignment="1">
      <alignment vertical="top"/>
    </xf>
    <xf numFmtId="0" fontId="31" fillId="0" borderId="11" xfId="13" applyFont="1" applyBorder="1" applyAlignment="1">
      <alignment vertical="top"/>
    </xf>
    <xf numFmtId="0" fontId="13" fillId="2" borderId="9" xfId="0" applyFont="1" applyFill="1" applyBorder="1">
      <alignment vertical="center"/>
    </xf>
    <xf numFmtId="0" fontId="38" fillId="4" borderId="15" xfId="13" applyFont="1" applyFill="1" applyBorder="1" applyAlignment="1">
      <alignment horizontal="center" vertical="center"/>
    </xf>
    <xf numFmtId="40" fontId="38" fillId="4" borderId="1" xfId="14" applyNumberFormat="1" applyFont="1" applyFill="1" applyBorder="1" applyAlignment="1">
      <alignment horizontal="center" vertical="center"/>
    </xf>
    <xf numFmtId="0" fontId="38" fillId="4" borderId="1" xfId="13" applyFont="1" applyFill="1" applyBorder="1" applyAlignment="1">
      <alignment horizontal="center" vertical="center"/>
    </xf>
    <xf numFmtId="176" fontId="38" fillId="4" borderId="1" xfId="14" applyNumberFormat="1" applyFont="1" applyFill="1" applyBorder="1" applyAlignment="1">
      <alignment horizontal="center" vertical="center"/>
    </xf>
    <xf numFmtId="176" fontId="21" fillId="2" borderId="16" xfId="14" applyNumberFormat="1" applyFont="1" applyFill="1" applyBorder="1" applyAlignment="1">
      <alignment horizontal="center" vertical="center"/>
    </xf>
    <xf numFmtId="176" fontId="38" fillId="4" borderId="29" xfId="1" applyNumberFormat="1" applyFont="1" applyFill="1" applyBorder="1" applyAlignment="1">
      <alignment horizontal="right" vertical="center"/>
    </xf>
    <xf numFmtId="0" fontId="53" fillId="0" borderId="0" xfId="13" applyFont="1">
      <alignment vertical="center"/>
    </xf>
    <xf numFmtId="0" fontId="55" fillId="0" borderId="0" xfId="13" applyFont="1" applyAlignment="1">
      <alignment vertical="center" wrapText="1"/>
    </xf>
    <xf numFmtId="0" fontId="55" fillId="0" borderId="0" xfId="13" applyFont="1">
      <alignment vertical="center"/>
    </xf>
    <xf numFmtId="0" fontId="38" fillId="2" borderId="1" xfId="15" applyFont="1" applyFill="1" applyBorder="1" applyAlignment="1">
      <alignment horizontal="center" vertical="center"/>
    </xf>
    <xf numFmtId="0" fontId="38" fillId="0" borderId="0" xfId="13" applyFont="1">
      <alignment vertical="center"/>
    </xf>
    <xf numFmtId="0" fontId="38" fillId="0" borderId="0" xfId="13" applyFont="1" applyAlignment="1">
      <alignment horizontal="center" vertical="center"/>
    </xf>
    <xf numFmtId="0" fontId="56" fillId="0" borderId="0" xfId="13" applyFont="1">
      <alignment vertical="center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>
      <alignment vertical="center"/>
    </xf>
    <xf numFmtId="0" fontId="45" fillId="2" borderId="0" xfId="0" applyFont="1" applyFill="1">
      <alignment vertical="center"/>
    </xf>
    <xf numFmtId="0" fontId="41" fillId="0" borderId="0" xfId="0" applyFont="1">
      <alignment vertical="center"/>
    </xf>
    <xf numFmtId="0" fontId="13" fillId="0" borderId="0" xfId="0" applyFont="1">
      <alignment vertical="center"/>
    </xf>
    <xf numFmtId="40" fontId="13" fillId="0" borderId="0" xfId="0" applyNumberFormat="1" applyFont="1">
      <alignment vertical="center"/>
    </xf>
    <xf numFmtId="176" fontId="13" fillId="2" borderId="0" xfId="1" applyNumberFormat="1" applyFont="1" applyFill="1" applyBorder="1">
      <alignment vertical="center"/>
    </xf>
    <xf numFmtId="183" fontId="13" fillId="2" borderId="0" xfId="11" applyNumberFormat="1" applyFont="1" applyFill="1" applyBorder="1" applyAlignment="1">
      <alignment horizontal="right" vertical="center"/>
    </xf>
    <xf numFmtId="176" fontId="13" fillId="2" borderId="0" xfId="11" applyNumberFormat="1" applyFont="1" applyFill="1" applyBorder="1" applyAlignment="1">
      <alignment horizontal="center" vertical="center"/>
    </xf>
    <xf numFmtId="0" fontId="0" fillId="2" borderId="5" xfId="0" applyFill="1" applyBorder="1">
      <alignment vertical="center"/>
    </xf>
    <xf numFmtId="0" fontId="11" fillId="2" borderId="35" xfId="0" applyFont="1" applyFill="1" applyBorder="1">
      <alignment vertical="center"/>
    </xf>
    <xf numFmtId="0" fontId="48" fillId="0" borderId="0" xfId="0" applyFont="1">
      <alignment vertical="center"/>
    </xf>
    <xf numFmtId="0" fontId="10" fillId="0" borderId="8" xfId="13" applyFont="1" applyBorder="1" applyAlignment="1">
      <alignment vertical="top"/>
    </xf>
    <xf numFmtId="0" fontId="18" fillId="0" borderId="0" xfId="13" applyFont="1" applyAlignment="1">
      <alignment vertical="top"/>
    </xf>
    <xf numFmtId="0" fontId="31" fillId="0" borderId="8" xfId="13" applyFont="1" applyBorder="1" applyAlignment="1">
      <alignment vertical="top"/>
    </xf>
    <xf numFmtId="0" fontId="10" fillId="0" borderId="25" xfId="13" applyFont="1" applyBorder="1" applyAlignment="1">
      <alignment vertical="top"/>
    </xf>
    <xf numFmtId="0" fontId="10" fillId="0" borderId="25" xfId="13" applyFont="1" applyBorder="1">
      <alignment vertical="center"/>
    </xf>
    <xf numFmtId="0" fontId="10" fillId="0" borderId="10" xfId="13" applyFont="1" applyBorder="1">
      <alignment vertical="center"/>
    </xf>
    <xf numFmtId="0" fontId="8" fillId="0" borderId="3" xfId="0" applyFont="1" applyBorder="1">
      <alignment vertical="center"/>
    </xf>
    <xf numFmtId="0" fontId="10" fillId="0" borderId="3" xfId="13" applyFont="1" applyBorder="1">
      <alignment vertical="center"/>
    </xf>
    <xf numFmtId="0" fontId="10" fillId="0" borderId="22" xfId="13" applyFont="1" applyBorder="1">
      <alignment vertical="center"/>
    </xf>
    <xf numFmtId="0" fontId="31" fillId="0" borderId="3" xfId="13" applyFont="1" applyBorder="1" applyAlignment="1">
      <alignment vertical="top" wrapText="1"/>
    </xf>
    <xf numFmtId="0" fontId="31" fillId="0" borderId="0" xfId="13" applyFont="1" applyAlignment="1">
      <alignment horizontal="left" vertical="center"/>
    </xf>
    <xf numFmtId="0" fontId="31" fillId="0" borderId="0" xfId="13" applyFont="1">
      <alignment vertical="center"/>
    </xf>
    <xf numFmtId="0" fontId="18" fillId="0" borderId="9" xfId="13" applyFont="1" applyBorder="1" applyAlignment="1">
      <alignment vertical="top"/>
    </xf>
    <xf numFmtId="0" fontId="21" fillId="2" borderId="15" xfId="13" applyFont="1" applyFill="1" applyBorder="1" applyAlignment="1">
      <alignment horizontal="center" vertical="center"/>
    </xf>
    <xf numFmtId="0" fontId="21" fillId="2" borderId="1" xfId="15" applyFont="1" applyFill="1" applyBorder="1" applyAlignment="1">
      <alignment horizontal="center" vertical="center"/>
    </xf>
    <xf numFmtId="0" fontId="21" fillId="2" borderId="1" xfId="13" applyFont="1" applyFill="1" applyBorder="1" applyAlignment="1">
      <alignment horizontal="center" vertical="center"/>
    </xf>
    <xf numFmtId="0" fontId="14" fillId="0" borderId="6" xfId="13" applyFont="1" applyBorder="1">
      <alignment vertical="center"/>
    </xf>
    <xf numFmtId="0" fontId="14" fillId="0" borderId="5" xfId="13" applyFont="1" applyBorder="1">
      <alignment vertical="center"/>
    </xf>
    <xf numFmtId="0" fontId="14" fillId="0" borderId="7" xfId="13" applyFont="1" applyBorder="1">
      <alignment vertical="center"/>
    </xf>
    <xf numFmtId="0" fontId="14" fillId="0" borderId="8" xfId="13" applyFont="1" applyBorder="1">
      <alignment vertical="center"/>
    </xf>
    <xf numFmtId="0" fontId="14" fillId="0" borderId="9" xfId="13" applyFont="1" applyBorder="1">
      <alignment vertical="center"/>
    </xf>
    <xf numFmtId="0" fontId="30" fillId="0" borderId="12" xfId="13" applyFont="1" applyBorder="1">
      <alignment vertical="center"/>
    </xf>
    <xf numFmtId="0" fontId="14" fillId="0" borderId="4" xfId="13" applyFont="1" applyBorder="1">
      <alignment vertical="center"/>
    </xf>
    <xf numFmtId="0" fontId="14" fillId="0" borderId="18" xfId="13" applyFont="1" applyBorder="1">
      <alignment vertical="center"/>
    </xf>
    <xf numFmtId="0" fontId="31" fillId="0" borderId="6" xfId="13" applyFont="1" applyBorder="1">
      <alignment vertical="center"/>
    </xf>
    <xf numFmtId="0" fontId="10" fillId="0" borderId="5" xfId="13" applyFont="1" applyBorder="1">
      <alignment vertical="center"/>
    </xf>
    <xf numFmtId="0" fontId="10" fillId="0" borderId="30" xfId="13" applyFont="1" applyBorder="1">
      <alignment vertical="center"/>
    </xf>
    <xf numFmtId="0" fontId="31" fillId="0" borderId="5" xfId="13" applyFont="1" applyBorder="1">
      <alignment vertical="center"/>
    </xf>
    <xf numFmtId="0" fontId="10" fillId="0" borderId="8" xfId="13" applyFont="1" applyBorder="1">
      <alignment vertical="center"/>
    </xf>
    <xf numFmtId="0" fontId="10" fillId="0" borderId="9" xfId="13" applyFont="1" applyBorder="1">
      <alignment vertical="center"/>
    </xf>
    <xf numFmtId="0" fontId="31" fillId="0" borderId="8" xfId="13" applyFont="1" applyBorder="1">
      <alignment vertical="center"/>
    </xf>
    <xf numFmtId="0" fontId="32" fillId="0" borderId="26" xfId="13" applyFont="1" applyBorder="1" applyAlignment="1"/>
    <xf numFmtId="0" fontId="32" fillId="0" borderId="26" xfId="13" applyFont="1" applyBorder="1">
      <alignment vertical="center"/>
    </xf>
    <xf numFmtId="0" fontId="31" fillId="0" borderId="19" xfId="13" applyFont="1" applyBorder="1">
      <alignment vertical="center"/>
    </xf>
    <xf numFmtId="0" fontId="10" fillId="0" borderId="20" xfId="13" applyFont="1" applyBorder="1">
      <alignment vertical="center"/>
    </xf>
    <xf numFmtId="0" fontId="10" fillId="0" borderId="23" xfId="13" applyFont="1" applyBorder="1">
      <alignment vertical="center"/>
    </xf>
    <xf numFmtId="0" fontId="31" fillId="0" borderId="3" xfId="13" applyFont="1" applyBorder="1">
      <alignment vertical="center"/>
    </xf>
    <xf numFmtId="0" fontId="31" fillId="0" borderId="2" xfId="13" applyFont="1" applyBorder="1">
      <alignment vertical="center"/>
    </xf>
    <xf numFmtId="0" fontId="31" fillId="0" borderId="25" xfId="13" applyFont="1" applyBorder="1">
      <alignment vertical="center"/>
    </xf>
    <xf numFmtId="0" fontId="10" fillId="0" borderId="17" xfId="13" applyFont="1" applyBorder="1">
      <alignment vertical="center"/>
    </xf>
    <xf numFmtId="0" fontId="10" fillId="0" borderId="13" xfId="13" applyFont="1" applyBorder="1">
      <alignment vertical="center"/>
    </xf>
    <xf numFmtId="0" fontId="14" fillId="0" borderId="3" xfId="13" applyFont="1" applyBorder="1">
      <alignment vertical="center"/>
    </xf>
    <xf numFmtId="0" fontId="14" fillId="0" borderId="12" xfId="13" applyFont="1" applyBorder="1">
      <alignment vertical="center"/>
    </xf>
    <xf numFmtId="0" fontId="31" fillId="0" borderId="12" xfId="13" applyFont="1" applyBorder="1" applyAlignment="1">
      <alignment horizontal="centerContinuous" vertical="center"/>
    </xf>
    <xf numFmtId="0" fontId="14" fillId="0" borderId="4" xfId="13" applyFont="1" applyBorder="1" applyAlignment="1">
      <alignment horizontal="centerContinuous" vertical="center"/>
    </xf>
    <xf numFmtId="0" fontId="14" fillId="0" borderId="18" xfId="13" applyFont="1" applyBorder="1" applyAlignment="1">
      <alignment horizontal="centerContinuous" vertical="center"/>
    </xf>
    <xf numFmtId="0" fontId="31" fillId="0" borderId="22" xfId="13" applyFont="1" applyBorder="1">
      <alignment vertical="center"/>
    </xf>
    <xf numFmtId="0" fontId="31" fillId="0" borderId="13" xfId="13" applyFont="1" applyBorder="1">
      <alignment vertical="center"/>
    </xf>
    <xf numFmtId="0" fontId="10" fillId="0" borderId="7" xfId="13" applyFont="1" applyBorder="1">
      <alignment vertical="center"/>
    </xf>
    <xf numFmtId="0" fontId="10" fillId="0" borderId="11" xfId="13" applyFont="1" applyBorder="1">
      <alignment vertical="center"/>
    </xf>
    <xf numFmtId="0" fontId="31" fillId="0" borderId="20" xfId="13" applyFont="1" applyBorder="1">
      <alignment vertical="center"/>
    </xf>
    <xf numFmtId="0" fontId="31" fillId="0" borderId="4" xfId="13" applyFont="1" applyBorder="1">
      <alignment vertical="center"/>
    </xf>
    <xf numFmtId="0" fontId="31" fillId="0" borderId="26" xfId="13" applyFont="1" applyBorder="1" applyAlignment="1">
      <alignment vertical="top"/>
    </xf>
    <xf numFmtId="0" fontId="31" fillId="0" borderId="9" xfId="13" applyFont="1" applyBorder="1" applyAlignment="1">
      <alignment vertical="top"/>
    </xf>
    <xf numFmtId="0" fontId="18" fillId="0" borderId="3" xfId="13" applyFont="1" applyBorder="1">
      <alignment vertical="center"/>
    </xf>
    <xf numFmtId="0" fontId="31" fillId="0" borderId="3" xfId="13" applyFont="1" applyBorder="1" applyAlignment="1">
      <alignment vertical="center" wrapText="1"/>
    </xf>
    <xf numFmtId="0" fontId="31" fillId="0" borderId="11" xfId="13" applyFont="1" applyBorder="1" applyAlignment="1">
      <alignment vertical="center" wrapText="1"/>
    </xf>
    <xf numFmtId="40" fontId="10" fillId="0" borderId="8" xfId="13" applyNumberFormat="1" applyFont="1" applyBorder="1">
      <alignment vertical="center"/>
    </xf>
    <xf numFmtId="0" fontId="18" fillId="0" borderId="8" xfId="13" applyFont="1" applyBorder="1">
      <alignment vertical="center"/>
    </xf>
    <xf numFmtId="0" fontId="32" fillId="0" borderId="0" xfId="13" applyFont="1">
      <alignment vertical="center"/>
    </xf>
    <xf numFmtId="0" fontId="34" fillId="0" borderId="0" xfId="13" applyFont="1" applyAlignment="1">
      <alignment horizontal="left" vertical="center"/>
    </xf>
    <xf numFmtId="0" fontId="33" fillId="0" borderId="0" xfId="13" applyFont="1">
      <alignment vertical="center"/>
    </xf>
    <xf numFmtId="0" fontId="31" fillId="0" borderId="11" xfId="13" applyFont="1" applyBorder="1" applyAlignment="1">
      <alignment vertical="top" wrapText="1"/>
    </xf>
    <xf numFmtId="0" fontId="14" fillId="0" borderId="0" xfId="13" applyFont="1" applyAlignment="1">
      <alignment horizontal="centerContinuous" vertical="center"/>
    </xf>
    <xf numFmtId="0" fontId="31" fillId="0" borderId="9" xfId="13" applyFont="1" applyBorder="1" applyAlignment="1">
      <alignment vertical="center" wrapText="1"/>
    </xf>
    <xf numFmtId="0" fontId="10" fillId="0" borderId="0" xfId="21" applyFont="1" applyBorder="1">
      <alignment vertical="center"/>
    </xf>
    <xf numFmtId="0" fontId="58" fillId="0" borderId="0" xfId="21" applyFont="1" applyBorder="1">
      <alignment vertical="center"/>
    </xf>
    <xf numFmtId="0" fontId="38" fillId="0" borderId="6" xfId="13" applyFont="1" applyBorder="1">
      <alignment vertical="center"/>
    </xf>
    <xf numFmtId="0" fontId="38" fillId="0" borderId="5" xfId="13" applyFont="1" applyBorder="1">
      <alignment vertical="center"/>
    </xf>
    <xf numFmtId="40" fontId="38" fillId="0" borderId="29" xfId="14" applyNumberFormat="1" applyFont="1" applyFill="1" applyBorder="1" applyAlignment="1">
      <alignment horizontal="right" vertical="center"/>
    </xf>
    <xf numFmtId="178" fontId="38" fillId="0" borderId="29" xfId="14" applyNumberFormat="1" applyFont="1" applyBorder="1" applyAlignment="1">
      <alignment horizontal="right" vertical="center"/>
    </xf>
    <xf numFmtId="178" fontId="38" fillId="0" borderId="32" xfId="14" applyNumberFormat="1" applyFont="1" applyBorder="1" applyAlignment="1">
      <alignment horizontal="left" vertical="center"/>
    </xf>
    <xf numFmtId="0" fontId="62" fillId="0" borderId="0" xfId="13" applyFont="1" applyAlignment="1">
      <alignment horizontal="right" vertical="center" wrapText="1"/>
    </xf>
    <xf numFmtId="0" fontId="62" fillId="0" borderId="0" xfId="0" applyFont="1" applyAlignment="1">
      <alignment horizontal="left" vertical="center"/>
    </xf>
    <xf numFmtId="0" fontId="63" fillId="0" borderId="0" xfId="13" applyFont="1" applyAlignment="1">
      <alignment vertical="center" wrapText="1"/>
    </xf>
    <xf numFmtId="0" fontId="63" fillId="0" borderId="0" xfId="13" applyFont="1">
      <alignment vertical="center"/>
    </xf>
    <xf numFmtId="0" fontId="62" fillId="0" borderId="0" xfId="13" applyFont="1" applyAlignment="1">
      <alignment vertical="center" wrapText="1"/>
    </xf>
    <xf numFmtId="178" fontId="38" fillId="0" borderId="29" xfId="14" applyNumberFormat="1" applyFont="1" applyBorder="1" applyAlignment="1">
      <alignment horizontal="left" vertical="center"/>
    </xf>
    <xf numFmtId="0" fontId="56" fillId="0" borderId="7" xfId="13" applyFont="1" applyBorder="1">
      <alignment vertical="center"/>
    </xf>
    <xf numFmtId="0" fontId="21" fillId="0" borderId="8" xfId="13" applyFont="1" applyBorder="1" applyAlignment="1">
      <alignment vertical="center" wrapText="1"/>
    </xf>
    <xf numFmtId="0" fontId="61" fillId="0" borderId="12" xfId="13" applyFont="1" applyBorder="1" applyAlignment="1">
      <alignment vertical="center" wrapText="1"/>
    </xf>
    <xf numFmtId="0" fontId="13" fillId="5" borderId="8" xfId="0" applyFont="1" applyFill="1" applyBorder="1">
      <alignment vertical="center"/>
    </xf>
    <xf numFmtId="0" fontId="41" fillId="5" borderId="0" xfId="0" applyFont="1" applyFill="1">
      <alignment vertical="center"/>
    </xf>
    <xf numFmtId="0" fontId="13" fillId="5" borderId="0" xfId="0" applyFont="1" applyFill="1">
      <alignment vertical="center"/>
    </xf>
    <xf numFmtId="0" fontId="41" fillId="5" borderId="9" xfId="0" applyFont="1" applyFill="1" applyBorder="1">
      <alignment vertical="center"/>
    </xf>
    <xf numFmtId="0" fontId="11" fillId="5" borderId="0" xfId="0" applyFont="1" applyFill="1">
      <alignment vertical="center"/>
    </xf>
    <xf numFmtId="0" fontId="44" fillId="5" borderId="0" xfId="0" applyFont="1" applyFill="1">
      <alignment vertical="center"/>
    </xf>
    <xf numFmtId="0" fontId="12" fillId="5" borderId="0" xfId="0" applyFont="1" applyFill="1">
      <alignment vertical="center"/>
    </xf>
    <xf numFmtId="0" fontId="13" fillId="5" borderId="0" xfId="0" applyFont="1" applyFill="1" applyAlignment="1">
      <alignment vertical="center" wrapText="1"/>
    </xf>
    <xf numFmtId="0" fontId="31" fillId="0" borderId="11" xfId="13" applyFont="1" applyBorder="1" applyAlignment="1">
      <alignment horizontal="center" vertical="center"/>
    </xf>
    <xf numFmtId="0" fontId="31" fillId="0" borderId="21" xfId="13" applyFont="1" applyBorder="1" applyAlignment="1">
      <alignment horizontal="center" vertical="center"/>
    </xf>
    <xf numFmtId="0" fontId="10" fillId="0" borderId="0" xfId="13" applyFont="1" applyAlignment="1">
      <alignment vertical="top"/>
    </xf>
    <xf numFmtId="0" fontId="31" fillId="0" borderId="0" xfId="13" applyFont="1" applyAlignment="1">
      <alignment vertical="top"/>
    </xf>
    <xf numFmtId="0" fontId="54" fillId="0" borderId="0" xfId="0" applyFont="1">
      <alignment vertical="center"/>
    </xf>
    <xf numFmtId="177" fontId="31" fillId="0" borderId="0" xfId="13" applyNumberFormat="1" applyFont="1">
      <alignment vertical="center"/>
    </xf>
    <xf numFmtId="15" fontId="10" fillId="0" borderId="0" xfId="13" applyNumberFormat="1" applyFont="1">
      <alignment vertical="center"/>
    </xf>
    <xf numFmtId="0" fontId="38" fillId="4" borderId="29" xfId="13" applyFont="1" applyFill="1" applyBorder="1" applyAlignment="1">
      <alignment horizontal="center" vertical="center"/>
    </xf>
    <xf numFmtId="40" fontId="21" fillId="0" borderId="1" xfId="14" applyNumberFormat="1" applyFont="1" applyFill="1" applyBorder="1" applyAlignment="1">
      <alignment horizontal="left" vertical="center"/>
    </xf>
    <xf numFmtId="0" fontId="38" fillId="0" borderId="12" xfId="13" applyFont="1" applyBorder="1">
      <alignment vertical="center"/>
    </xf>
    <xf numFmtId="0" fontId="59" fillId="0" borderId="4" xfId="13" applyFont="1" applyBorder="1">
      <alignment vertical="center"/>
    </xf>
    <xf numFmtId="0" fontId="60" fillId="0" borderId="18" xfId="13" applyFont="1" applyBorder="1">
      <alignment vertical="center"/>
    </xf>
    <xf numFmtId="0" fontId="21" fillId="0" borderId="1" xfId="13" applyFont="1" applyBorder="1" applyAlignment="1">
      <alignment horizontal="center" vertical="center" wrapText="1"/>
    </xf>
    <xf numFmtId="176" fontId="38" fillId="4" borderId="1" xfId="11" applyNumberFormat="1" applyFont="1" applyFill="1" applyBorder="1" applyAlignment="1">
      <alignment horizontal="center" vertical="center"/>
    </xf>
    <xf numFmtId="176" fontId="14" fillId="0" borderId="0" xfId="1" applyNumberFormat="1" applyFont="1" applyFill="1">
      <alignment vertical="center"/>
    </xf>
    <xf numFmtId="176" fontId="10" fillId="0" borderId="0" xfId="1" applyNumberFormat="1" applyFont="1" applyFill="1">
      <alignment vertical="center"/>
    </xf>
    <xf numFmtId="176" fontId="14" fillId="0" borderId="0" xfId="1" applyNumberFormat="1" applyFont="1" applyFill="1" applyBorder="1" applyAlignment="1">
      <alignment horizontal="center" vertical="center"/>
    </xf>
    <xf numFmtId="176" fontId="14" fillId="0" borderId="0" xfId="1" applyNumberFormat="1" applyFont="1" applyFill="1" applyBorder="1" applyAlignment="1">
      <alignment horizontal="left" vertical="center"/>
    </xf>
    <xf numFmtId="176" fontId="14" fillId="0" borderId="0" xfId="1" applyNumberFormat="1" applyFont="1" applyFill="1" applyAlignment="1">
      <alignment horizontal="center" vertical="center"/>
    </xf>
    <xf numFmtId="176" fontId="17" fillId="0" borderId="0" xfId="1" applyNumberFormat="1" applyFont="1" applyFill="1" applyBorder="1">
      <alignment vertical="center"/>
    </xf>
    <xf numFmtId="176" fontId="17" fillId="0" borderId="0" xfId="1" applyNumberFormat="1" applyFont="1" applyFill="1">
      <alignment vertical="center"/>
    </xf>
    <xf numFmtId="177" fontId="10" fillId="0" borderId="0" xfId="1" applyNumberFormat="1" applyFont="1" applyBorder="1" applyAlignment="1">
      <alignment vertical="center"/>
    </xf>
    <xf numFmtId="177" fontId="13" fillId="0" borderId="0" xfId="13" applyNumberFormat="1" applyFont="1" applyAlignment="1">
      <alignment horizontal="center" vertical="center"/>
    </xf>
    <xf numFmtId="177" fontId="21" fillId="0" borderId="1" xfId="14" applyNumberFormat="1" applyFont="1" applyFill="1" applyBorder="1" applyAlignment="1">
      <alignment horizontal="center" vertical="center" wrapText="1"/>
    </xf>
    <xf numFmtId="177" fontId="21" fillId="2" borderId="1" xfId="14" applyNumberFormat="1" applyFont="1" applyFill="1" applyBorder="1" applyAlignment="1">
      <alignment horizontal="center" vertical="center"/>
    </xf>
    <xf numFmtId="177" fontId="14" fillId="0" borderId="0" xfId="14" applyNumberFormat="1" applyFont="1" applyBorder="1" applyAlignment="1">
      <alignment horizontal="center" vertical="center"/>
    </xf>
    <xf numFmtId="177" fontId="14" fillId="0" borderId="0" xfId="14" applyNumberFormat="1" applyFont="1" applyFill="1" applyBorder="1" applyAlignment="1">
      <alignment horizontal="center" vertical="center"/>
    </xf>
    <xf numFmtId="177" fontId="14" fillId="0" borderId="0" xfId="14" applyNumberFormat="1" applyFont="1" applyAlignment="1">
      <alignment horizontal="center" vertical="center"/>
    </xf>
    <xf numFmtId="177" fontId="10" fillId="0" borderId="0" xfId="14" applyNumberFormat="1" applyFont="1" applyAlignment="1">
      <alignment horizontal="center" vertical="center"/>
    </xf>
    <xf numFmtId="177" fontId="38" fillId="4" borderId="29" xfId="1" applyNumberFormat="1" applyFont="1" applyFill="1" applyBorder="1" applyAlignment="1">
      <alignment horizontal="center" vertical="center"/>
    </xf>
    <xf numFmtId="177" fontId="17" fillId="0" borderId="0" xfId="14" applyNumberFormat="1" applyFont="1" applyBorder="1" applyAlignment="1">
      <alignment horizontal="center" vertical="center"/>
    </xf>
    <xf numFmtId="177" fontId="17" fillId="0" borderId="0" xfId="14" applyNumberFormat="1" applyFont="1" applyAlignment="1">
      <alignment horizontal="center" vertical="center"/>
    </xf>
    <xf numFmtId="0" fontId="64" fillId="0" borderId="0" xfId="13" quotePrefix="1" applyFont="1">
      <alignment vertical="center"/>
    </xf>
    <xf numFmtId="0" fontId="64" fillId="0" borderId="0" xfId="13" applyFont="1">
      <alignment vertical="center"/>
    </xf>
    <xf numFmtId="176" fontId="31" fillId="0" borderId="14" xfId="1" applyNumberFormat="1" applyFont="1" applyFill="1" applyBorder="1" applyAlignment="1">
      <alignment vertical="center"/>
    </xf>
    <xf numFmtId="176" fontId="17" fillId="0" borderId="0" xfId="11" applyNumberFormat="1" applyFont="1" applyFill="1">
      <alignment vertical="center"/>
    </xf>
    <xf numFmtId="176" fontId="17" fillId="0" borderId="0" xfId="11" applyNumberFormat="1" applyFont="1" applyFill="1" applyBorder="1">
      <alignment vertical="center"/>
    </xf>
    <xf numFmtId="176" fontId="14" fillId="0" borderId="0" xfId="11" applyNumberFormat="1" applyFont="1" applyFill="1" applyAlignment="1">
      <alignment horizontal="center" vertical="center"/>
    </xf>
    <xf numFmtId="176" fontId="14" fillId="0" borderId="0" xfId="11" applyNumberFormat="1" applyFont="1" applyFill="1" applyBorder="1" applyAlignment="1">
      <alignment horizontal="center" vertical="center"/>
    </xf>
    <xf numFmtId="176" fontId="14" fillId="0" borderId="0" xfId="11" applyNumberFormat="1" applyFont="1" applyFill="1" applyBorder="1" applyAlignment="1">
      <alignment horizontal="left" vertical="center"/>
    </xf>
    <xf numFmtId="176" fontId="21" fillId="0" borderId="1" xfId="14" applyNumberFormat="1" applyFont="1" applyFill="1" applyBorder="1" applyAlignment="1">
      <alignment horizontal="center" vertical="center"/>
    </xf>
    <xf numFmtId="176" fontId="10" fillId="0" borderId="0" xfId="11" applyNumberFormat="1" applyFont="1" applyFill="1">
      <alignment vertical="center"/>
    </xf>
    <xf numFmtId="176" fontId="14" fillId="0" borderId="0" xfId="11" applyNumberFormat="1" applyFont="1" applyFill="1">
      <alignment vertical="center"/>
    </xf>
    <xf numFmtId="0" fontId="21" fillId="4" borderId="15" xfId="13" applyFont="1" applyFill="1" applyBorder="1" applyAlignment="1">
      <alignment horizontal="center" vertical="center"/>
    </xf>
    <xf numFmtId="0" fontId="21" fillId="4" borderId="1" xfId="13" applyFont="1" applyFill="1" applyBorder="1" applyAlignment="1">
      <alignment horizontal="center" vertical="center"/>
    </xf>
    <xf numFmtId="40" fontId="21" fillId="4" borderId="1" xfId="14" applyNumberFormat="1" applyFont="1" applyFill="1" applyBorder="1" applyAlignment="1">
      <alignment horizontal="left" vertical="center"/>
    </xf>
    <xf numFmtId="0" fontId="38" fillId="0" borderId="8" xfId="13" applyFont="1" applyBorder="1">
      <alignment vertical="center"/>
    </xf>
    <xf numFmtId="0" fontId="59" fillId="0" borderId="0" xfId="13" applyFont="1">
      <alignment vertical="center"/>
    </xf>
    <xf numFmtId="177" fontId="21" fillId="4" borderId="1" xfId="14" applyNumberFormat="1" applyFont="1" applyFill="1" applyBorder="1" applyAlignment="1">
      <alignment horizontal="center" vertical="center" wrapText="1"/>
    </xf>
    <xf numFmtId="0" fontId="21" fillId="4" borderId="1" xfId="13" applyFont="1" applyFill="1" applyBorder="1" applyAlignment="1">
      <alignment horizontal="center" vertical="center" wrapText="1"/>
    </xf>
    <xf numFmtId="176" fontId="21" fillId="4" borderId="1" xfId="1" applyNumberFormat="1" applyFont="1" applyFill="1" applyBorder="1" applyAlignment="1">
      <alignment horizontal="center" vertical="center" wrapText="1"/>
    </xf>
    <xf numFmtId="0" fontId="60" fillId="0" borderId="9" xfId="13" applyFont="1" applyBorder="1">
      <alignment vertical="center"/>
    </xf>
    <xf numFmtId="176" fontId="21" fillId="0" borderId="1" xfId="11" applyNumberFormat="1" applyFont="1" applyFill="1" applyBorder="1" applyAlignment="1">
      <alignment vertical="center"/>
    </xf>
    <xf numFmtId="0" fontId="23" fillId="0" borderId="1" xfId="13" applyFont="1" applyBorder="1">
      <alignment vertical="center"/>
    </xf>
    <xf numFmtId="176" fontId="21" fillId="2" borderId="1" xfId="14" applyNumberFormat="1" applyFont="1" applyFill="1" applyBorder="1" applyAlignment="1">
      <alignment vertical="center"/>
    </xf>
    <xf numFmtId="0" fontId="38" fillId="4" borderId="1" xfId="15" applyFont="1" applyFill="1" applyBorder="1" applyAlignment="1">
      <alignment vertical="center" wrapText="1"/>
    </xf>
    <xf numFmtId="177" fontId="21" fillId="4" borderId="1" xfId="14" applyNumberFormat="1" applyFont="1" applyFill="1" applyBorder="1" applyAlignment="1">
      <alignment horizontal="center" vertical="center"/>
    </xf>
    <xf numFmtId="176" fontId="21" fillId="4" borderId="1" xfId="14" applyNumberFormat="1" applyFont="1" applyFill="1" applyBorder="1" applyAlignment="1">
      <alignment horizontal="center" vertical="center"/>
    </xf>
    <xf numFmtId="40" fontId="21" fillId="4" borderId="1" xfId="14" applyNumberFormat="1" applyFont="1" applyFill="1" applyBorder="1" applyAlignment="1">
      <alignment horizontal="center" vertical="center"/>
    </xf>
    <xf numFmtId="0" fontId="38" fillId="4" borderId="1" xfId="15" applyFont="1" applyFill="1" applyBorder="1" applyAlignment="1">
      <alignment vertical="center"/>
    </xf>
    <xf numFmtId="176" fontId="38" fillId="4" borderId="1" xfId="11" applyNumberFormat="1" applyFont="1" applyFill="1" applyBorder="1" applyAlignment="1">
      <alignment horizontal="right" vertical="center"/>
    </xf>
    <xf numFmtId="176" fontId="21" fillId="0" borderId="1" xfId="14" applyNumberFormat="1" applyFont="1" applyFill="1" applyBorder="1" applyAlignment="1">
      <alignment vertical="center"/>
    </xf>
    <xf numFmtId="40" fontId="21" fillId="0" borderId="1" xfId="14" applyNumberFormat="1" applyFont="1" applyFill="1" applyBorder="1" applyAlignment="1">
      <alignment vertical="center"/>
    </xf>
    <xf numFmtId="0" fontId="25" fillId="0" borderId="0" xfId="13" applyFont="1">
      <alignment vertical="center"/>
    </xf>
    <xf numFmtId="176" fontId="38" fillId="4" borderId="1" xfId="1" applyNumberFormat="1" applyFont="1" applyFill="1" applyBorder="1" applyAlignment="1">
      <alignment horizontal="center" vertical="center"/>
    </xf>
    <xf numFmtId="176" fontId="21" fillId="4" borderId="1" xfId="11" applyNumberFormat="1" applyFont="1" applyFill="1" applyBorder="1" applyAlignment="1">
      <alignment vertical="center"/>
    </xf>
    <xf numFmtId="176" fontId="38" fillId="4" borderId="1" xfId="11" applyNumberFormat="1" applyFont="1" applyFill="1" applyBorder="1" applyAlignment="1">
      <alignment vertical="center"/>
    </xf>
    <xf numFmtId="176" fontId="13" fillId="0" borderId="0" xfId="1" applyNumberFormat="1" applyFont="1" applyAlignment="1">
      <alignment horizontal="center" vertical="center"/>
    </xf>
    <xf numFmtId="176" fontId="21" fillId="2" borderId="1" xfId="1" applyNumberFormat="1" applyFont="1" applyFill="1" applyBorder="1" applyAlignment="1">
      <alignment vertical="center"/>
    </xf>
    <xf numFmtId="176" fontId="38" fillId="4" borderId="1" xfId="1" applyNumberFormat="1" applyFont="1" applyFill="1" applyBorder="1" applyAlignment="1">
      <alignment vertical="center"/>
    </xf>
    <xf numFmtId="176" fontId="21" fillId="0" borderId="1" xfId="1" applyNumberFormat="1" applyFont="1" applyFill="1" applyBorder="1" applyAlignment="1">
      <alignment vertical="center"/>
    </xf>
    <xf numFmtId="176" fontId="38" fillId="4" borderId="1" xfId="1" applyNumberFormat="1" applyFont="1" applyFill="1" applyBorder="1" applyAlignment="1">
      <alignment horizontal="right" vertical="center"/>
    </xf>
    <xf numFmtId="176" fontId="21" fillId="4" borderId="1" xfId="11" applyNumberFormat="1" applyFont="1" applyFill="1" applyBorder="1" applyAlignment="1">
      <alignment horizontal="right" vertical="center"/>
    </xf>
    <xf numFmtId="0" fontId="21" fillId="4" borderId="1" xfId="13" applyFont="1" applyFill="1" applyBorder="1">
      <alignment vertical="center"/>
    </xf>
    <xf numFmtId="176" fontId="21" fillId="4" borderId="1" xfId="14" applyNumberFormat="1" applyFont="1" applyFill="1" applyBorder="1" applyAlignment="1">
      <alignment vertical="center"/>
    </xf>
    <xf numFmtId="40" fontId="21" fillId="4" borderId="1" xfId="14" applyNumberFormat="1" applyFont="1" applyFill="1" applyBorder="1" applyAlignment="1">
      <alignment vertical="center"/>
    </xf>
    <xf numFmtId="176" fontId="23" fillId="0" borderId="1" xfId="1" applyNumberFormat="1" applyFont="1" applyBorder="1">
      <alignment vertical="center"/>
    </xf>
    <xf numFmtId="0" fontId="4" fillId="0" borderId="1" xfId="13" applyFont="1" applyBorder="1">
      <alignment vertical="center"/>
    </xf>
    <xf numFmtId="0" fontId="51" fillId="4" borderId="1" xfId="13" applyFont="1" applyFill="1" applyBorder="1">
      <alignment vertical="center"/>
    </xf>
    <xf numFmtId="177" fontId="38" fillId="4" borderId="1" xfId="14" applyNumberFormat="1" applyFont="1" applyFill="1" applyBorder="1" applyAlignment="1">
      <alignment horizontal="center" vertical="center"/>
    </xf>
    <xf numFmtId="176" fontId="38" fillId="0" borderId="1" xfId="1" applyNumberFormat="1" applyFont="1" applyFill="1" applyBorder="1" applyAlignment="1">
      <alignment vertical="center"/>
    </xf>
    <xf numFmtId="176" fontId="38" fillId="4" borderId="1" xfId="14" applyNumberFormat="1" applyFont="1" applyFill="1" applyBorder="1" applyAlignment="1">
      <alignment vertical="center"/>
    </xf>
    <xf numFmtId="40" fontId="38" fillId="4" borderId="1" xfId="14" applyNumberFormat="1" applyFont="1" applyFill="1" applyBorder="1" applyAlignment="1">
      <alignment vertical="center"/>
    </xf>
    <xf numFmtId="176" fontId="21" fillId="0" borderId="1" xfId="1" applyNumberFormat="1" applyFont="1" applyFill="1" applyBorder="1" applyAlignment="1">
      <alignment horizontal="center" vertical="center"/>
    </xf>
    <xf numFmtId="0" fontId="21" fillId="4" borderId="1" xfId="15" applyFont="1" applyFill="1" applyBorder="1" applyAlignment="1">
      <alignment vertical="center"/>
    </xf>
    <xf numFmtId="0" fontId="0" fillId="0" borderId="1" xfId="0" applyBorder="1">
      <alignment vertical="center"/>
    </xf>
    <xf numFmtId="176" fontId="16" fillId="0" borderId="0" xfId="1" applyNumberFormat="1" applyFont="1">
      <alignment vertical="center"/>
    </xf>
    <xf numFmtId="176" fontId="21" fillId="2" borderId="1" xfId="1" applyNumberFormat="1" applyFont="1" applyFill="1" applyBorder="1" applyAlignment="1">
      <alignment horizontal="center" vertical="center"/>
    </xf>
    <xf numFmtId="176" fontId="14" fillId="0" borderId="0" xfId="1" applyNumberFormat="1" applyFont="1" applyAlignment="1" applyProtection="1">
      <alignment horizontal="center" vertical="center"/>
      <protection locked="0"/>
    </xf>
    <xf numFmtId="176" fontId="17" fillId="0" borderId="0" xfId="1" applyNumberFormat="1" applyFont="1" applyAlignment="1">
      <alignment horizontal="center" vertical="center"/>
    </xf>
    <xf numFmtId="177" fontId="38" fillId="0" borderId="0" xfId="13" applyNumberFormat="1" applyFont="1" applyAlignment="1">
      <alignment horizontal="center" vertical="center"/>
    </xf>
    <xf numFmtId="177" fontId="38" fillId="4" borderId="1" xfId="13" applyNumberFormat="1" applyFont="1" applyFill="1" applyBorder="1" applyAlignment="1">
      <alignment horizontal="center" vertical="center"/>
    </xf>
    <xf numFmtId="177" fontId="21" fillId="2" borderId="1" xfId="13" applyNumberFormat="1" applyFont="1" applyFill="1" applyBorder="1" applyAlignment="1">
      <alignment horizontal="center" vertical="center"/>
    </xf>
    <xf numFmtId="177" fontId="21" fillId="4" borderId="1" xfId="13" applyNumberFormat="1" applyFont="1" applyFill="1" applyBorder="1" applyAlignment="1">
      <alignment horizontal="center" vertical="center"/>
    </xf>
    <xf numFmtId="177" fontId="14" fillId="0" borderId="0" xfId="13" applyNumberFormat="1" applyFont="1" applyAlignment="1">
      <alignment horizontal="center" vertical="center" wrapText="1"/>
    </xf>
    <xf numFmtId="177" fontId="21" fillId="0" borderId="0" xfId="13" applyNumberFormat="1" applyFont="1" applyAlignment="1">
      <alignment horizontal="center" vertical="center" wrapText="1"/>
    </xf>
    <xf numFmtId="177" fontId="21" fillId="0" borderId="8" xfId="13" applyNumberFormat="1" applyFont="1" applyBorder="1" applyAlignment="1">
      <alignment horizontal="center" vertical="center" wrapText="1"/>
    </xf>
    <xf numFmtId="177" fontId="61" fillId="0" borderId="8" xfId="13" applyNumberFormat="1" applyFont="1" applyBorder="1" applyAlignment="1">
      <alignment horizontal="center" vertical="center" wrapText="1"/>
    </xf>
    <xf numFmtId="177" fontId="21" fillId="2" borderId="1" xfId="13" applyNumberFormat="1" applyFont="1" applyFill="1" applyBorder="1" applyAlignment="1">
      <alignment horizontal="center" vertical="center" wrapText="1"/>
    </xf>
    <xf numFmtId="177" fontId="27" fillId="0" borderId="0" xfId="13" applyNumberFormat="1" applyFont="1" applyAlignment="1">
      <alignment horizontal="center" vertical="center" wrapText="1"/>
    </xf>
    <xf numFmtId="177" fontId="16" fillId="0" borderId="0" xfId="13" applyNumberFormat="1" applyFont="1" applyAlignment="1">
      <alignment horizontal="center" vertical="center"/>
    </xf>
    <xf numFmtId="177" fontId="14" fillId="0" borderId="0" xfId="13" applyNumberFormat="1" applyFont="1" applyAlignment="1">
      <alignment horizontal="center" vertical="center"/>
    </xf>
    <xf numFmtId="177" fontId="25" fillId="0" borderId="0" xfId="13" applyNumberFormat="1" applyFont="1" applyAlignment="1">
      <alignment horizontal="center" vertical="center"/>
    </xf>
    <xf numFmtId="177" fontId="17" fillId="0" borderId="0" xfId="13" applyNumberFormat="1" applyFont="1" applyAlignment="1">
      <alignment horizontal="center" vertical="center" wrapText="1"/>
    </xf>
    <xf numFmtId="0" fontId="21" fillId="2" borderId="1" xfId="15" applyFont="1" applyFill="1" applyBorder="1" applyAlignment="1">
      <alignment horizontal="center" vertical="center" wrapText="1"/>
    </xf>
    <xf numFmtId="0" fontId="21" fillId="4" borderId="1" xfId="15" applyFont="1" applyFill="1" applyBorder="1" applyAlignment="1">
      <alignment horizontal="center" vertical="center"/>
    </xf>
    <xf numFmtId="177" fontId="38" fillId="4" borderId="1" xfId="14" applyNumberFormat="1" applyFont="1" applyFill="1" applyBorder="1" applyAlignment="1">
      <alignment horizontal="left" vertical="center"/>
    </xf>
    <xf numFmtId="0" fontId="38" fillId="0" borderId="0" xfId="13" applyFont="1" applyAlignment="1">
      <alignment vertical="center" wrapText="1"/>
    </xf>
    <xf numFmtId="0" fontId="51" fillId="0" borderId="0" xfId="13" applyFont="1" applyAlignment="1">
      <alignment vertical="center" wrapText="1"/>
    </xf>
    <xf numFmtId="0" fontId="51" fillId="0" borderId="0" xfId="13" applyFont="1">
      <alignment vertical="center"/>
    </xf>
    <xf numFmtId="176" fontId="21" fillId="2" borderId="16" xfId="14" applyNumberFormat="1" applyFont="1" applyFill="1" applyBorder="1" applyAlignment="1">
      <alignment vertical="center"/>
    </xf>
    <xf numFmtId="176" fontId="38" fillId="4" borderId="16" xfId="14" applyNumberFormat="1" applyFont="1" applyFill="1" applyBorder="1" applyAlignment="1">
      <alignment horizontal="center" vertical="center"/>
    </xf>
    <xf numFmtId="176" fontId="38" fillId="4" borderId="16" xfId="14" applyNumberFormat="1" applyFont="1" applyFill="1" applyBorder="1" applyAlignment="1">
      <alignment vertical="center"/>
    </xf>
    <xf numFmtId="176" fontId="21" fillId="4" borderId="16" xfId="14" applyNumberFormat="1" applyFont="1" applyFill="1" applyBorder="1" applyAlignment="1">
      <alignment vertical="center"/>
    </xf>
    <xf numFmtId="176" fontId="21" fillId="4" borderId="16" xfId="14" applyNumberFormat="1" applyFont="1" applyFill="1" applyBorder="1" applyAlignment="1">
      <alignment horizontal="center" vertical="center"/>
    </xf>
    <xf numFmtId="177" fontId="21" fillId="0" borderId="29" xfId="14" applyNumberFormat="1" applyFont="1" applyBorder="1" applyAlignment="1">
      <alignment horizontal="center" vertical="center"/>
    </xf>
    <xf numFmtId="0" fontId="21" fillId="0" borderId="29" xfId="13" applyFont="1" applyBorder="1" applyAlignment="1">
      <alignment horizontal="center" vertical="center"/>
    </xf>
    <xf numFmtId="176" fontId="21" fillId="0" borderId="29" xfId="1" applyNumberFormat="1" applyFont="1" applyBorder="1" applyAlignment="1">
      <alignment horizontal="right" vertical="center"/>
    </xf>
    <xf numFmtId="176" fontId="65" fillId="0" borderId="29" xfId="1" applyNumberFormat="1" applyFont="1" applyFill="1" applyBorder="1" applyAlignment="1">
      <alignment horizontal="right" vertical="center"/>
    </xf>
    <xf numFmtId="176" fontId="21" fillId="0" borderId="29" xfId="14" applyNumberFormat="1" applyFont="1" applyBorder="1" applyAlignment="1">
      <alignment horizontal="center" vertical="center"/>
    </xf>
    <xf numFmtId="40" fontId="21" fillId="0" borderId="29" xfId="14" applyNumberFormat="1" applyFont="1" applyFill="1" applyBorder="1" applyAlignment="1">
      <alignment horizontal="right" vertical="center"/>
    </xf>
    <xf numFmtId="178" fontId="21" fillId="0" borderId="29" xfId="14" applyNumberFormat="1" applyFont="1" applyBorder="1" applyAlignment="1">
      <alignment horizontal="right" vertical="center"/>
    </xf>
    <xf numFmtId="178" fontId="21" fillId="0" borderId="32" xfId="14" applyNumberFormat="1" applyFont="1" applyBorder="1" applyAlignment="1">
      <alignment horizontal="left" vertical="center"/>
    </xf>
    <xf numFmtId="0" fontId="31" fillId="0" borderId="9" xfId="13" applyFont="1" applyBorder="1">
      <alignment vertical="center"/>
    </xf>
    <xf numFmtId="0" fontId="31" fillId="0" borderId="0" xfId="13" applyFont="1" applyAlignment="1">
      <alignment vertical="center" wrapText="1"/>
    </xf>
    <xf numFmtId="43" fontId="10" fillId="0" borderId="0" xfId="13" applyNumberFormat="1" applyFont="1">
      <alignment vertical="center"/>
    </xf>
    <xf numFmtId="41" fontId="14" fillId="0" borderId="0" xfId="1" applyFont="1">
      <alignment vertical="center"/>
    </xf>
    <xf numFmtId="0" fontId="65" fillId="0" borderId="0" xfId="13" applyFont="1">
      <alignment vertical="center"/>
    </xf>
    <xf numFmtId="0" fontId="30" fillId="0" borderId="0" xfId="13" applyFont="1">
      <alignment vertical="center"/>
    </xf>
    <xf numFmtId="41" fontId="30" fillId="0" borderId="0" xfId="1" applyFont="1">
      <alignment vertical="center"/>
    </xf>
    <xf numFmtId="0" fontId="30" fillId="0" borderId="0" xfId="13" applyFont="1" applyAlignment="1">
      <alignment horizontal="right" vertical="center"/>
    </xf>
    <xf numFmtId="0" fontId="17" fillId="0" borderId="0" xfId="13" applyFont="1" applyAlignment="1">
      <alignment horizontal="right" vertical="center"/>
    </xf>
    <xf numFmtId="0" fontId="40" fillId="0" borderId="27" xfId="13" applyFont="1" applyBorder="1" applyAlignment="1">
      <alignment horizontal="center" vertical="center"/>
    </xf>
    <xf numFmtId="0" fontId="40" fillId="0" borderId="28" xfId="13" applyFont="1" applyBorder="1" applyAlignment="1">
      <alignment horizontal="center" vertical="center" wrapText="1"/>
    </xf>
    <xf numFmtId="41" fontId="40" fillId="0" borderId="28" xfId="1" applyFont="1" applyBorder="1" applyAlignment="1">
      <alignment horizontal="center" vertical="center" wrapText="1"/>
    </xf>
    <xf numFmtId="9" fontId="40" fillId="0" borderId="28" xfId="13" applyNumberFormat="1" applyFont="1" applyBorder="1" applyAlignment="1">
      <alignment horizontal="center" vertical="center" wrapText="1"/>
    </xf>
    <xf numFmtId="0" fontId="40" fillId="0" borderId="31" xfId="13" applyFont="1" applyBorder="1" applyAlignment="1">
      <alignment horizontal="center" vertical="center" wrapText="1"/>
    </xf>
    <xf numFmtId="0" fontId="66" fillId="0" borderId="0" xfId="13" applyFont="1">
      <alignment vertical="center"/>
    </xf>
    <xf numFmtId="0" fontId="4" fillId="0" borderId="36" xfId="13" applyFont="1" applyBorder="1">
      <alignment vertical="center"/>
    </xf>
    <xf numFmtId="0" fontId="4" fillId="0" borderId="29" xfId="13" applyFont="1" applyBorder="1">
      <alignment vertical="center"/>
    </xf>
    <xf numFmtId="176" fontId="65" fillId="0" borderId="29" xfId="13" applyNumberFormat="1" applyFont="1" applyBorder="1" applyAlignment="1">
      <alignment horizontal="center" vertical="center"/>
    </xf>
    <xf numFmtId="176" fontId="65" fillId="0" borderId="29" xfId="14" applyNumberFormat="1" applyFont="1" applyFill="1" applyBorder="1" applyAlignment="1">
      <alignment horizontal="center" vertical="center"/>
    </xf>
    <xf numFmtId="40" fontId="40" fillId="0" borderId="29" xfId="14" applyNumberFormat="1" applyFont="1" applyBorder="1">
      <alignment vertical="center"/>
    </xf>
    <xf numFmtId="38" fontId="40" fillId="0" borderId="32" xfId="14" applyNumberFormat="1" applyFont="1" applyBorder="1" applyAlignment="1">
      <alignment horizontal="center" vertical="center"/>
    </xf>
    <xf numFmtId="41" fontId="17" fillId="0" borderId="0" xfId="1" applyFont="1">
      <alignment vertical="center"/>
    </xf>
    <xf numFmtId="40" fontId="10" fillId="0" borderId="0" xfId="14" applyNumberFormat="1" applyFont="1" applyBorder="1">
      <alignment vertical="center"/>
    </xf>
    <xf numFmtId="40" fontId="10" fillId="0" borderId="0" xfId="14" applyNumberFormat="1" applyFont="1">
      <alignment vertical="center"/>
    </xf>
    <xf numFmtId="0" fontId="19" fillId="0" borderId="15" xfId="13" applyFont="1" applyBorder="1" applyAlignment="1">
      <alignment horizontal="center" vertical="center"/>
    </xf>
    <xf numFmtId="40" fontId="19" fillId="0" borderId="1" xfId="13" applyNumberFormat="1" applyFont="1" applyBorder="1" applyAlignment="1">
      <alignment horizontal="center" vertical="center" wrapText="1"/>
    </xf>
    <xf numFmtId="41" fontId="19" fillId="0" borderId="1" xfId="13" quotePrefix="1" applyNumberFormat="1" applyFont="1" applyBorder="1" applyAlignment="1">
      <alignment horizontal="center" vertical="center" wrapText="1"/>
    </xf>
    <xf numFmtId="177" fontId="19" fillId="0" borderId="1" xfId="1" applyNumberFormat="1" applyFont="1" applyFill="1" applyBorder="1" applyAlignment="1">
      <alignment horizontal="center" vertical="center" wrapText="1"/>
    </xf>
    <xf numFmtId="0" fontId="19" fillId="0" borderId="1" xfId="13" applyFont="1" applyBorder="1" applyAlignment="1">
      <alignment horizontal="center" vertical="center" wrapText="1"/>
    </xf>
    <xf numFmtId="176" fontId="19" fillId="0" borderId="1" xfId="14" applyNumberFormat="1" applyFont="1" applyFill="1" applyBorder="1" applyAlignment="1">
      <alignment horizontal="center" vertical="center" wrapText="1"/>
    </xf>
    <xf numFmtId="40" fontId="19" fillId="0" borderId="1" xfId="14" applyNumberFormat="1" applyFont="1" applyBorder="1" applyAlignment="1">
      <alignment horizontal="center" vertical="center"/>
    </xf>
    <xf numFmtId="184" fontId="19" fillId="0" borderId="16" xfId="14" applyNumberFormat="1" applyFont="1" applyBorder="1" applyAlignment="1">
      <alignment horizontal="center" vertical="center"/>
    </xf>
    <xf numFmtId="0" fontId="67" fillId="0" borderId="0" xfId="13" applyFont="1">
      <alignment vertical="center"/>
    </xf>
    <xf numFmtId="0" fontId="19" fillId="0" borderId="1" xfId="13" applyFont="1" applyBorder="1" applyAlignment="1">
      <alignment horizontal="center" vertical="center"/>
    </xf>
    <xf numFmtId="0" fontId="19" fillId="0" borderId="37" xfId="13" applyFont="1" applyBorder="1" applyAlignment="1">
      <alignment horizontal="center" vertical="center"/>
    </xf>
    <xf numFmtId="0" fontId="19" fillId="0" borderId="38" xfId="13" applyFont="1" applyBorder="1" applyAlignment="1">
      <alignment horizontal="center" vertical="center"/>
    </xf>
    <xf numFmtId="40" fontId="19" fillId="0" borderId="38" xfId="13" applyNumberFormat="1" applyFont="1" applyBorder="1" applyAlignment="1">
      <alignment horizontal="center" vertical="center" wrapText="1"/>
    </xf>
    <xf numFmtId="41" fontId="19" fillId="0" borderId="38" xfId="13" quotePrefix="1" applyNumberFormat="1" applyFont="1" applyBorder="1" applyAlignment="1">
      <alignment horizontal="center" vertical="center" wrapText="1"/>
    </xf>
    <xf numFmtId="176" fontId="19" fillId="0" borderId="38" xfId="14" applyNumberFormat="1" applyFont="1" applyFill="1" applyBorder="1" applyAlignment="1">
      <alignment horizontal="center" vertical="center" wrapText="1"/>
    </xf>
    <xf numFmtId="184" fontId="19" fillId="0" borderId="39" xfId="14" applyNumberFormat="1" applyFont="1" applyBorder="1" applyAlignment="1">
      <alignment horizontal="center" vertical="center"/>
    </xf>
    <xf numFmtId="176" fontId="10" fillId="0" borderId="9" xfId="1" applyNumberFormat="1" applyFont="1" applyFill="1" applyBorder="1" applyAlignment="1">
      <alignment vertical="center"/>
    </xf>
    <xf numFmtId="15" fontId="10" fillId="0" borderId="0" xfId="13" applyNumberFormat="1" applyFont="1" applyAlignment="1">
      <alignment horizontal="left" vertical="center"/>
    </xf>
    <xf numFmtId="0" fontId="31" fillId="0" borderId="24" xfId="13" applyFont="1" applyBorder="1" applyAlignment="1">
      <alignment horizontal="left" vertical="center" wrapText="1"/>
    </xf>
    <xf numFmtId="0" fontId="31" fillId="0" borderId="20" xfId="13" applyFont="1" applyBorder="1" applyAlignment="1">
      <alignment horizontal="left" vertical="center" wrapText="1"/>
    </xf>
    <xf numFmtId="0" fontId="31" fillId="0" borderId="23" xfId="13" applyFont="1" applyBorder="1" applyAlignment="1">
      <alignment horizontal="left" vertical="center" wrapText="1"/>
    </xf>
    <xf numFmtId="0" fontId="31" fillId="0" borderId="0" xfId="13" applyFont="1" applyAlignment="1">
      <alignment horizontal="left" vertical="center" wrapText="1"/>
    </xf>
    <xf numFmtId="0" fontId="31" fillId="0" borderId="25" xfId="13" applyFont="1" applyBorder="1" applyAlignment="1">
      <alignment horizontal="left" vertical="center" wrapText="1"/>
    </xf>
    <xf numFmtId="0" fontId="31" fillId="0" borderId="26" xfId="13" applyFont="1" applyBorder="1" applyAlignment="1">
      <alignment horizontal="left" vertical="center" wrapText="1"/>
    </xf>
    <xf numFmtId="0" fontId="31" fillId="3" borderId="0" xfId="13" applyFont="1" applyFill="1" applyAlignment="1">
      <alignment horizontal="center" vertical="center"/>
    </xf>
    <xf numFmtId="0" fontId="31" fillId="3" borderId="9" xfId="13" applyFont="1" applyFill="1" applyBorder="1" applyAlignment="1">
      <alignment horizontal="center" vertical="center"/>
    </xf>
    <xf numFmtId="176" fontId="10" fillId="0" borderId="0" xfId="1" applyNumberFormat="1" applyFont="1" applyBorder="1" applyAlignment="1">
      <alignment horizontal="center" vertical="center"/>
    </xf>
    <xf numFmtId="15" fontId="10" fillId="0" borderId="26" xfId="13" applyNumberFormat="1" applyFont="1" applyBorder="1" applyAlignment="1">
      <alignment horizontal="center" vertical="center" wrapText="1"/>
    </xf>
    <xf numFmtId="15" fontId="10" fillId="0" borderId="0" xfId="13" applyNumberFormat="1" applyFont="1" applyAlignment="1">
      <alignment horizontal="center" vertical="center" wrapText="1"/>
    </xf>
    <xf numFmtId="15" fontId="10" fillId="0" borderId="25" xfId="13" applyNumberFormat="1" applyFont="1" applyBorder="1" applyAlignment="1">
      <alignment horizontal="center" vertical="center" wrapText="1"/>
    </xf>
    <xf numFmtId="15" fontId="10" fillId="0" borderId="2" xfId="13" applyNumberFormat="1" applyFont="1" applyBorder="1" applyAlignment="1">
      <alignment horizontal="center" vertical="center" wrapText="1"/>
    </xf>
    <xf numFmtId="15" fontId="10" fillId="0" borderId="3" xfId="13" applyNumberFormat="1" applyFont="1" applyBorder="1" applyAlignment="1">
      <alignment horizontal="center" vertical="center" wrapText="1"/>
    </xf>
    <xf numFmtId="15" fontId="10" fillId="0" borderId="22" xfId="13" applyNumberFormat="1" applyFont="1" applyBorder="1" applyAlignment="1">
      <alignment horizontal="center" vertical="center" wrapText="1"/>
    </xf>
    <xf numFmtId="0" fontId="31" fillId="0" borderId="21" xfId="13" applyFont="1" applyBorder="1" applyAlignment="1">
      <alignment horizontal="left" vertical="center" wrapText="1"/>
    </xf>
    <xf numFmtId="0" fontId="13" fillId="0" borderId="8" xfId="13" applyFont="1" applyBorder="1" applyAlignment="1">
      <alignment horizontal="center" vertical="center" wrapText="1"/>
    </xf>
    <xf numFmtId="0" fontId="13" fillId="0" borderId="0" xfId="13" applyFont="1" applyAlignment="1">
      <alignment horizontal="center" vertical="center"/>
    </xf>
    <xf numFmtId="0" fontId="13" fillId="0" borderId="9" xfId="13" applyFont="1" applyBorder="1" applyAlignment="1">
      <alignment horizontal="center" vertical="center"/>
    </xf>
    <xf numFmtId="0" fontId="31" fillId="3" borderId="5" xfId="13" applyFont="1" applyFill="1" applyBorder="1" applyAlignment="1">
      <alignment horizontal="center" vertical="center"/>
    </xf>
    <xf numFmtId="14" fontId="31" fillId="3" borderId="20" xfId="13" applyNumberFormat="1" applyFont="1" applyFill="1" applyBorder="1" applyAlignment="1">
      <alignment horizontal="center" vertical="center"/>
    </xf>
    <xf numFmtId="0" fontId="31" fillId="3" borderId="0" xfId="13" applyFont="1" applyFill="1" applyAlignment="1">
      <alignment horizontal="left" vertical="center" wrapText="1"/>
    </xf>
    <xf numFmtId="0" fontId="31" fillId="3" borderId="9" xfId="13" applyFont="1" applyFill="1" applyBorder="1" applyAlignment="1">
      <alignment horizontal="left" vertical="center" wrapText="1"/>
    </xf>
    <xf numFmtId="0" fontId="31" fillId="3" borderId="0" xfId="13" applyFont="1" applyFill="1" applyAlignment="1">
      <alignment horizontal="left" vertical="center"/>
    </xf>
    <xf numFmtId="0" fontId="31" fillId="3" borderId="9" xfId="13" applyFont="1" applyFill="1" applyBorder="1" applyAlignment="1">
      <alignment horizontal="left" vertical="center"/>
    </xf>
    <xf numFmtId="0" fontId="30" fillId="0" borderId="20" xfId="13" applyFont="1" applyBorder="1" applyAlignment="1">
      <alignment horizontal="center" vertical="center"/>
    </xf>
    <xf numFmtId="0" fontId="30" fillId="0" borderId="21" xfId="13" applyFont="1" applyBorder="1" applyAlignment="1">
      <alignment horizontal="center" vertical="center"/>
    </xf>
    <xf numFmtId="0" fontId="31" fillId="0" borderId="13" xfId="13" applyFont="1" applyBorder="1" applyAlignment="1">
      <alignment horizontal="center" vertical="center"/>
    </xf>
    <xf numFmtId="176" fontId="31" fillId="0" borderId="13" xfId="13" applyNumberFormat="1" applyFont="1" applyBorder="1" applyAlignment="1">
      <alignment horizontal="center" vertical="center"/>
    </xf>
    <xf numFmtId="176" fontId="31" fillId="0" borderId="14" xfId="13" applyNumberFormat="1" applyFont="1" applyBorder="1" applyAlignment="1">
      <alignment horizontal="center" vertical="center"/>
    </xf>
    <xf numFmtId="0" fontId="31" fillId="0" borderId="2" xfId="13" applyFont="1" applyBorder="1" applyAlignment="1">
      <alignment horizontal="center" vertical="center"/>
    </xf>
    <xf numFmtId="0" fontId="31" fillId="0" borderId="3" xfId="13" applyFont="1" applyBorder="1" applyAlignment="1">
      <alignment horizontal="center" vertical="center"/>
    </xf>
    <xf numFmtId="0" fontId="31" fillId="0" borderId="22" xfId="13" applyFont="1" applyBorder="1" applyAlignment="1">
      <alignment horizontal="center" vertical="center"/>
    </xf>
    <xf numFmtId="0" fontId="31" fillId="0" borderId="11" xfId="13" applyFont="1" applyBorder="1" applyAlignment="1">
      <alignment horizontal="center" vertical="center"/>
    </xf>
    <xf numFmtId="41" fontId="10" fillId="0" borderId="24" xfId="14" quotePrefix="1" applyFont="1" applyFill="1" applyBorder="1" applyAlignment="1">
      <alignment horizontal="center" vertical="center"/>
    </xf>
    <xf numFmtId="41" fontId="10" fillId="0" borderId="20" xfId="14" quotePrefix="1" applyFont="1" applyFill="1" applyBorder="1" applyAlignment="1">
      <alignment horizontal="center" vertical="center"/>
    </xf>
    <xf numFmtId="41" fontId="10" fillId="0" borderId="23" xfId="14" quotePrefix="1" applyFont="1" applyFill="1" applyBorder="1" applyAlignment="1">
      <alignment horizontal="center" vertical="center"/>
    </xf>
    <xf numFmtId="182" fontId="10" fillId="0" borderId="24" xfId="14" applyNumberFormat="1" applyFont="1" applyFill="1" applyBorder="1" applyAlignment="1">
      <alignment horizontal="center" vertical="center"/>
    </xf>
    <xf numFmtId="182" fontId="10" fillId="0" borderId="20" xfId="14" applyNumberFormat="1" applyFont="1" applyFill="1" applyBorder="1" applyAlignment="1">
      <alignment horizontal="center" vertical="center"/>
    </xf>
    <xf numFmtId="182" fontId="10" fillId="0" borderId="23" xfId="14" applyNumberFormat="1" applyFont="1" applyFill="1" applyBorder="1" applyAlignment="1">
      <alignment horizontal="center" vertical="center"/>
    </xf>
    <xf numFmtId="41" fontId="10" fillId="0" borderId="26" xfId="14" quotePrefix="1" applyFont="1" applyFill="1" applyBorder="1" applyAlignment="1">
      <alignment horizontal="center" vertical="center"/>
    </xf>
    <xf numFmtId="41" fontId="10" fillId="0" borderId="0" xfId="14" quotePrefix="1" applyFont="1" applyFill="1" applyBorder="1" applyAlignment="1">
      <alignment horizontal="center" vertical="center"/>
    </xf>
    <xf numFmtId="41" fontId="10" fillId="0" borderId="25" xfId="14" quotePrefix="1" applyFont="1" applyFill="1" applyBorder="1" applyAlignment="1">
      <alignment horizontal="center" vertical="center"/>
    </xf>
    <xf numFmtId="182" fontId="10" fillId="0" borderId="26" xfId="14" applyNumberFormat="1" applyFont="1" applyFill="1" applyBorder="1" applyAlignment="1">
      <alignment horizontal="center" vertical="center"/>
    </xf>
    <xf numFmtId="182" fontId="10" fillId="0" borderId="0" xfId="14" applyNumberFormat="1" applyFont="1" applyFill="1" applyBorder="1" applyAlignment="1">
      <alignment horizontal="center" vertical="center"/>
    </xf>
    <xf numFmtId="182" fontId="10" fillId="0" borderId="25" xfId="14" applyNumberFormat="1" applyFont="1" applyFill="1" applyBorder="1" applyAlignment="1">
      <alignment horizontal="center" vertical="center"/>
    </xf>
    <xf numFmtId="0" fontId="31" fillId="0" borderId="17" xfId="13" applyFont="1" applyBorder="1" applyAlignment="1">
      <alignment horizontal="center" vertical="center"/>
    </xf>
    <xf numFmtId="0" fontId="31" fillId="0" borderId="14" xfId="13" applyFont="1" applyBorder="1" applyAlignment="1">
      <alignment horizontal="center" vertical="center"/>
    </xf>
    <xf numFmtId="0" fontId="31" fillId="0" borderId="19" xfId="13" applyFont="1" applyBorder="1" applyAlignment="1">
      <alignment horizontal="left" vertical="top"/>
    </xf>
    <xf numFmtId="0" fontId="31" fillId="0" borderId="20" xfId="13" applyFont="1" applyBorder="1" applyAlignment="1">
      <alignment horizontal="left" vertical="top"/>
    </xf>
    <xf numFmtId="0" fontId="31" fillId="0" borderId="23" xfId="13" applyFont="1" applyBorder="1" applyAlignment="1">
      <alignment horizontal="left" vertical="top"/>
    </xf>
    <xf numFmtId="0" fontId="31" fillId="0" borderId="10" xfId="13" applyFont="1" applyBorder="1" applyAlignment="1">
      <alignment horizontal="left" vertical="top"/>
    </xf>
    <xf numFmtId="0" fontId="31" fillId="0" borderId="3" xfId="13" applyFont="1" applyBorder="1" applyAlignment="1">
      <alignment horizontal="left" vertical="top"/>
    </xf>
    <xf numFmtId="0" fontId="31" fillId="0" borderId="22" xfId="13" applyFont="1" applyBorder="1" applyAlignment="1">
      <alignment horizontal="left" vertical="top"/>
    </xf>
    <xf numFmtId="0" fontId="31" fillId="0" borderId="24" xfId="13" applyFont="1" applyBorder="1" applyAlignment="1">
      <alignment horizontal="center" vertical="center"/>
    </xf>
    <xf numFmtId="0" fontId="31" fillId="0" borderId="20" xfId="13" applyFont="1" applyBorder="1" applyAlignment="1">
      <alignment horizontal="center" vertical="center"/>
    </xf>
    <xf numFmtId="0" fontId="31" fillId="0" borderId="21" xfId="13" applyFont="1" applyBorder="1" applyAlignment="1">
      <alignment horizontal="center" vertical="center"/>
    </xf>
    <xf numFmtId="0" fontId="31" fillId="0" borderId="23" xfId="13" applyFont="1" applyBorder="1" applyAlignment="1">
      <alignment horizontal="center" vertical="center"/>
    </xf>
    <xf numFmtId="0" fontId="13" fillId="0" borderId="0" xfId="13" applyFont="1" applyAlignment="1">
      <alignment horizontal="center" vertical="center" wrapText="1"/>
    </xf>
    <xf numFmtId="0" fontId="65" fillId="3" borderId="29" xfId="13" applyFont="1" applyFill="1" applyBorder="1" applyAlignment="1">
      <alignment horizontal="center" vertical="center"/>
    </xf>
    <xf numFmtId="176" fontId="10" fillId="0" borderId="0" xfId="1" applyNumberFormat="1" applyFont="1" applyBorder="1" applyAlignment="1">
      <alignment vertical="center"/>
    </xf>
    <xf numFmtId="0" fontId="31" fillId="0" borderId="0" xfId="13" applyFont="1" applyAlignment="1">
      <alignment horizontal="left" vertical="top" wrapText="1"/>
    </xf>
    <xf numFmtId="0" fontId="31" fillId="0" borderId="9" xfId="13" applyFont="1" applyBorder="1" applyAlignment="1">
      <alignment horizontal="left" vertical="top" wrapText="1"/>
    </xf>
    <xf numFmtId="0" fontId="31" fillId="0" borderId="34" xfId="13" applyFont="1" applyBorder="1" applyAlignment="1">
      <alignment horizontal="center" vertical="center"/>
    </xf>
    <xf numFmtId="176" fontId="10" fillId="0" borderId="26" xfId="1" applyNumberFormat="1" applyFont="1" applyFill="1" applyBorder="1" applyAlignment="1">
      <alignment horizontal="center" vertical="center"/>
    </xf>
    <xf numFmtId="176" fontId="10" fillId="0" borderId="0" xfId="1" applyNumberFormat="1" applyFont="1" applyFill="1" applyBorder="1" applyAlignment="1">
      <alignment horizontal="center" vertical="center"/>
    </xf>
    <xf numFmtId="176" fontId="10" fillId="0" borderId="25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10" fillId="0" borderId="26" xfId="14" applyNumberFormat="1" applyFont="1" applyFill="1" applyBorder="1" applyAlignment="1">
      <alignment horizontal="center" vertical="center"/>
    </xf>
    <xf numFmtId="177" fontId="10" fillId="0" borderId="0" xfId="14" applyNumberFormat="1" applyFont="1" applyFill="1" applyBorder="1" applyAlignment="1">
      <alignment horizontal="center" vertical="center"/>
    </xf>
    <xf numFmtId="177" fontId="10" fillId="0" borderId="25" xfId="14" applyNumberFormat="1" applyFont="1" applyFill="1" applyBorder="1" applyAlignment="1">
      <alignment horizontal="center" vertical="center"/>
    </xf>
    <xf numFmtId="176" fontId="10" fillId="0" borderId="24" xfId="1" applyNumberFormat="1" applyFont="1" applyFill="1" applyBorder="1" applyAlignment="1">
      <alignment horizontal="center" vertical="center"/>
    </xf>
    <xf numFmtId="176" fontId="10" fillId="0" borderId="20" xfId="1" applyNumberFormat="1" applyFont="1" applyFill="1" applyBorder="1" applyAlignment="1">
      <alignment horizontal="center" vertical="center"/>
    </xf>
    <xf numFmtId="176" fontId="10" fillId="0" borderId="23" xfId="1" applyNumberFormat="1" applyFont="1" applyFill="1" applyBorder="1" applyAlignment="1">
      <alignment horizontal="center" vertical="center"/>
    </xf>
    <xf numFmtId="176" fontId="31" fillId="0" borderId="33" xfId="1" applyNumberFormat="1" applyFont="1" applyBorder="1" applyAlignment="1">
      <alignment horizontal="center" vertical="center"/>
    </xf>
    <xf numFmtId="176" fontId="31" fillId="0" borderId="13" xfId="1" applyNumberFormat="1" applyFont="1" applyBorder="1" applyAlignment="1">
      <alignment horizontal="center" vertical="center"/>
    </xf>
    <xf numFmtId="176" fontId="31" fillId="0" borderId="34" xfId="1" applyNumberFormat="1" applyFont="1" applyBorder="1" applyAlignment="1">
      <alignment horizontal="center" vertical="center"/>
    </xf>
    <xf numFmtId="176" fontId="31" fillId="0" borderId="33" xfId="1" applyNumberFormat="1" applyFont="1" applyFill="1" applyBorder="1" applyAlignment="1">
      <alignment horizontal="center" vertical="center"/>
    </xf>
    <xf numFmtId="176" fontId="31" fillId="0" borderId="13" xfId="1" applyNumberFormat="1" applyFont="1" applyFill="1" applyBorder="1" applyAlignment="1">
      <alignment horizontal="center" vertical="center"/>
    </xf>
    <xf numFmtId="176" fontId="31" fillId="0" borderId="34" xfId="1" applyNumberFormat="1" applyFont="1" applyFill="1" applyBorder="1" applyAlignment="1">
      <alignment horizontal="center" vertical="center"/>
    </xf>
    <xf numFmtId="177" fontId="31" fillId="0" borderId="33" xfId="13" applyNumberFormat="1" applyFont="1" applyBorder="1" applyAlignment="1">
      <alignment horizontal="center" vertical="center"/>
    </xf>
    <xf numFmtId="177" fontId="31" fillId="0" borderId="13" xfId="13" applyNumberFormat="1" applyFont="1" applyBorder="1" applyAlignment="1">
      <alignment horizontal="center" vertical="center"/>
    </xf>
    <xf numFmtId="177" fontId="31" fillId="0" borderId="34" xfId="13" applyNumberFormat="1" applyFont="1" applyBorder="1" applyAlignment="1">
      <alignment horizontal="center" vertical="center"/>
    </xf>
    <xf numFmtId="0" fontId="21" fillId="4" borderId="27" xfId="13" applyFont="1" applyFill="1" applyBorder="1" applyAlignment="1">
      <alignment horizontal="center" vertical="center"/>
    </xf>
    <xf numFmtId="0" fontId="21" fillId="4" borderId="15" xfId="13" applyFont="1" applyFill="1" applyBorder="1" applyAlignment="1">
      <alignment horizontal="center" vertical="center"/>
    </xf>
    <xf numFmtId="0" fontId="21" fillId="4" borderId="28" xfId="13" applyFont="1" applyFill="1" applyBorder="1" applyAlignment="1">
      <alignment horizontal="center" vertical="center" wrapText="1"/>
    </xf>
    <xf numFmtId="0" fontId="21" fillId="4" borderId="1" xfId="13" applyFont="1" applyFill="1" applyBorder="1" applyAlignment="1">
      <alignment horizontal="center" vertical="center" wrapText="1"/>
    </xf>
    <xf numFmtId="41" fontId="21" fillId="4" borderId="28" xfId="14" applyFont="1" applyFill="1" applyBorder="1" applyAlignment="1">
      <alignment horizontal="center" vertical="center" wrapText="1"/>
    </xf>
    <xf numFmtId="176" fontId="21" fillId="4" borderId="28" xfId="1" applyNumberFormat="1" applyFont="1" applyFill="1" applyBorder="1" applyAlignment="1">
      <alignment horizontal="center" vertical="center" wrapText="1"/>
    </xf>
    <xf numFmtId="176" fontId="21" fillId="4" borderId="28" xfId="14" applyNumberFormat="1" applyFont="1" applyFill="1" applyBorder="1" applyAlignment="1">
      <alignment horizontal="center" vertical="center" wrapText="1"/>
    </xf>
    <xf numFmtId="176" fontId="21" fillId="4" borderId="1" xfId="14" applyNumberFormat="1" applyFont="1" applyFill="1" applyBorder="1" applyAlignment="1">
      <alignment horizontal="center" vertical="center" wrapText="1"/>
    </xf>
    <xf numFmtId="176" fontId="21" fillId="4" borderId="1" xfId="1" applyNumberFormat="1" applyFont="1" applyFill="1" applyBorder="1" applyAlignment="1">
      <alignment horizontal="center" vertical="center" wrapText="1"/>
    </xf>
    <xf numFmtId="178" fontId="21" fillId="4" borderId="31" xfId="13" applyNumberFormat="1" applyFont="1" applyFill="1" applyBorder="1" applyAlignment="1">
      <alignment horizontal="center" vertical="center" wrapText="1"/>
    </xf>
    <xf numFmtId="178" fontId="21" fillId="4" borderId="16" xfId="13" applyNumberFormat="1" applyFont="1" applyFill="1" applyBorder="1" applyAlignment="1">
      <alignment horizontal="center" vertical="center" wrapText="1"/>
    </xf>
    <xf numFmtId="178" fontId="21" fillId="4" borderId="28" xfId="13" applyNumberFormat="1" applyFont="1" applyFill="1" applyBorder="1" applyAlignment="1">
      <alignment horizontal="center" vertical="center" wrapText="1"/>
    </xf>
    <xf numFmtId="178" fontId="21" fillId="4" borderId="1" xfId="13" applyNumberFormat="1" applyFont="1" applyFill="1" applyBorder="1" applyAlignment="1">
      <alignment horizontal="center" vertical="center" wrapText="1"/>
    </xf>
    <xf numFmtId="0" fontId="38" fillId="4" borderId="36" xfId="13" applyFont="1" applyFill="1" applyBorder="1" applyAlignment="1">
      <alignment horizontal="center" vertical="center"/>
    </xf>
    <xf numFmtId="0" fontId="38" fillId="4" borderId="29" xfId="13" applyFont="1" applyFill="1" applyBorder="1" applyAlignment="1">
      <alignment horizontal="center" vertical="center"/>
    </xf>
    <xf numFmtId="0" fontId="25" fillId="0" borderId="0" xfId="13" applyFont="1" applyAlignment="1">
      <alignment horizontal="center" vertical="center"/>
    </xf>
    <xf numFmtId="0" fontId="21" fillId="0" borderId="36" xfId="13" applyFont="1" applyBorder="1" applyAlignment="1">
      <alignment horizontal="center" vertical="center"/>
    </xf>
    <xf numFmtId="0" fontId="21" fillId="0" borderId="29" xfId="13" applyFont="1" applyBorder="1" applyAlignment="1">
      <alignment horizontal="center" vertical="center"/>
    </xf>
    <xf numFmtId="0" fontId="21" fillId="0" borderId="27" xfId="13" applyFont="1" applyBorder="1" applyAlignment="1">
      <alignment horizontal="center" vertical="center"/>
    </xf>
    <xf numFmtId="0" fontId="21" fillId="0" borderId="15" xfId="13" applyFont="1" applyBorder="1" applyAlignment="1">
      <alignment horizontal="center" vertical="center"/>
    </xf>
    <xf numFmtId="0" fontId="21" fillId="0" borderId="28" xfId="13" applyFont="1" applyBorder="1" applyAlignment="1">
      <alignment horizontal="center" vertical="center" wrapText="1"/>
    </xf>
    <xf numFmtId="0" fontId="21" fillId="0" borderId="1" xfId="13" applyFont="1" applyBorder="1" applyAlignment="1">
      <alignment horizontal="center" vertical="center" wrapText="1"/>
    </xf>
    <xf numFmtId="176" fontId="21" fillId="0" borderId="28" xfId="11" applyNumberFormat="1" applyFont="1" applyFill="1" applyBorder="1" applyAlignment="1">
      <alignment horizontal="center" vertical="center" wrapText="1"/>
    </xf>
    <xf numFmtId="176" fontId="21" fillId="0" borderId="1" xfId="11" applyNumberFormat="1" applyFont="1" applyFill="1" applyBorder="1" applyAlignment="1">
      <alignment horizontal="center" vertical="center" wrapText="1"/>
    </xf>
    <xf numFmtId="176" fontId="21" fillId="0" borderId="28" xfId="14" applyNumberFormat="1" applyFont="1" applyFill="1" applyBorder="1" applyAlignment="1">
      <alignment horizontal="center" vertical="center" wrapText="1"/>
    </xf>
    <xf numFmtId="176" fontId="21" fillId="0" borderId="1" xfId="14" applyNumberFormat="1" applyFont="1" applyFill="1" applyBorder="1" applyAlignment="1">
      <alignment horizontal="center" vertical="center" wrapText="1"/>
    </xf>
    <xf numFmtId="178" fontId="21" fillId="0" borderId="28" xfId="13" applyNumberFormat="1" applyFont="1" applyBorder="1" applyAlignment="1">
      <alignment horizontal="center" vertical="center" wrapText="1"/>
    </xf>
    <xf numFmtId="178" fontId="21" fillId="0" borderId="1" xfId="13" applyNumberFormat="1" applyFont="1" applyBorder="1" applyAlignment="1">
      <alignment horizontal="center" vertical="center" wrapText="1"/>
    </xf>
    <xf numFmtId="178" fontId="21" fillId="0" borderId="31" xfId="13" applyNumberFormat="1" applyFont="1" applyBorder="1" applyAlignment="1">
      <alignment horizontal="center" vertical="center" wrapText="1"/>
    </xf>
    <xf numFmtId="178" fontId="21" fillId="0" borderId="16" xfId="13" applyNumberFormat="1" applyFont="1" applyBorder="1" applyAlignment="1">
      <alignment horizontal="center" vertical="center" wrapText="1"/>
    </xf>
    <xf numFmtId="41" fontId="21" fillId="0" borderId="28" xfId="14" applyFont="1" applyFill="1" applyBorder="1" applyAlignment="1">
      <alignment horizontal="center" vertical="center" wrapText="1"/>
    </xf>
    <xf numFmtId="176" fontId="21" fillId="0" borderId="28" xfId="1" applyNumberFormat="1" applyFont="1" applyBorder="1" applyAlignment="1">
      <alignment horizontal="center" vertical="center" wrapText="1"/>
    </xf>
    <xf numFmtId="176" fontId="21" fillId="0" borderId="28" xfId="1" applyNumberFormat="1" applyFont="1" applyFill="1" applyBorder="1" applyAlignment="1">
      <alignment horizontal="center" vertical="center" wrapText="1"/>
    </xf>
    <xf numFmtId="176" fontId="21" fillId="0" borderId="1" xfId="1" applyNumberFormat="1" applyFont="1" applyFill="1" applyBorder="1" applyAlignment="1">
      <alignment horizontal="center" vertical="center" wrapText="1"/>
    </xf>
    <xf numFmtId="0" fontId="42" fillId="2" borderId="17" xfId="0" applyFont="1" applyFill="1" applyBorder="1" applyAlignment="1">
      <alignment horizontal="center" vertical="center" wrapText="1"/>
    </xf>
    <xf numFmtId="0" fontId="42" fillId="2" borderId="13" xfId="0" applyFont="1" applyFill="1" applyBorder="1" applyAlignment="1">
      <alignment horizontal="center" vertical="center" wrapText="1"/>
    </xf>
    <xf numFmtId="0" fontId="42" fillId="2" borderId="14" xfId="0" applyFont="1" applyFill="1" applyBorder="1" applyAlignment="1">
      <alignment horizontal="center" vertical="center" wrapText="1"/>
    </xf>
    <xf numFmtId="0" fontId="42" fillId="2" borderId="5" xfId="0" applyFont="1" applyFill="1" applyBorder="1" applyAlignment="1">
      <alignment horizontal="center" vertical="center" wrapText="1"/>
    </xf>
    <xf numFmtId="0" fontId="42" fillId="2" borderId="5" xfId="0" applyFont="1" applyFill="1" applyBorder="1" applyAlignment="1">
      <alignment horizontal="center" vertical="center"/>
    </xf>
    <xf numFmtId="0" fontId="42" fillId="2" borderId="4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left" vertical="center" wrapText="1"/>
    </xf>
    <xf numFmtId="0" fontId="13" fillId="5" borderId="4" xfId="0" applyFont="1" applyFill="1" applyBorder="1" applyAlignment="1">
      <alignment horizontal="left" vertical="center" wrapText="1"/>
    </xf>
    <xf numFmtId="0" fontId="13" fillId="5" borderId="9" xfId="0" applyFont="1" applyFill="1" applyBorder="1" applyAlignment="1">
      <alignment horizontal="left" vertical="center" wrapText="1"/>
    </xf>
  </cellXfs>
  <cellStyles count="30">
    <cellStyle name="Comma" xfId="16" xr:uid="{48FE13E0-BB85-44EE-BFC9-2E50576CDEA3}"/>
    <cellStyle name="Comma [0]" xfId="11" xr:uid="{DF041988-E041-453A-A8AE-3C157737AB24}"/>
    <cellStyle name="Comma [0] 2" xfId="22" xr:uid="{D178E479-D40F-4620-914E-BC4BB3C4B840}"/>
    <cellStyle name="Normal 2" xfId="9" xr:uid="{00000000-0005-0000-0000-000001000000}"/>
    <cellStyle name="Standaard_Packing List(Sample for Hadjret HRSG)" xfId="4" xr:uid="{00000000-0005-0000-0000-000003000000}"/>
    <cellStyle name="쉼표 [0]" xfId="1" builtinId="6"/>
    <cellStyle name="쉼표 [0] 2" xfId="5" xr:uid="{00000000-0005-0000-0000-000004000000}"/>
    <cellStyle name="쉼표 [0] 2 2" xfId="12" xr:uid="{0E42C55F-1058-45EC-815D-B457C183F6BB}"/>
    <cellStyle name="쉼표 [0] 2 2 2" xfId="26" xr:uid="{85DDA3EC-264B-457B-BD96-4E9328BEDEAF}"/>
    <cellStyle name="쉼표 [0] 2 3" xfId="23" xr:uid="{3EA4F832-D2DA-492A-A7DB-ACBF76260DB0}"/>
    <cellStyle name="쉼표 [0] 3" xfId="14" xr:uid="{3C09C07A-4643-4949-9916-7078E6C34789}"/>
    <cellStyle name="쉼표 [0] 3 2" xfId="27" xr:uid="{EDC8AE31-E8AD-4739-AE8A-62EFE7B7FBD3}"/>
    <cellStyle name="쉼표 [0] 4" xfId="18" xr:uid="{4152EF58-1602-4F99-881C-10298C8EB8A9}"/>
    <cellStyle name="쉼표 [0] 4 2" xfId="8" xr:uid="{00000000-0005-0000-0000-000005000000}"/>
    <cellStyle name="쉼표 [0] 4 2 2" xfId="25" xr:uid="{8265607A-AFE4-4F12-9E0A-41DAEFB6412B}"/>
    <cellStyle name="쉼표 [0] 4 3" xfId="28" xr:uid="{B32CEEBC-D1A6-4658-A58B-B65EF7439747}"/>
    <cellStyle name="쉼표 [0] 5" xfId="29" xr:uid="{5190E6DF-24AE-4E76-98E2-09D4C9EEAA0F}"/>
    <cellStyle name="쉼표 2" xfId="7" xr:uid="{00000000-0005-0000-0000-000006000000}"/>
    <cellStyle name="쉼표 2 2" xfId="24" xr:uid="{A5EC79DB-3F37-49D7-B2FD-1741989777C0}"/>
    <cellStyle name="표준" xfId="0" builtinId="0"/>
    <cellStyle name="표준 2" xfId="2" xr:uid="{00000000-0005-0000-0000-000007000000}"/>
    <cellStyle name="표준 2 2" xfId="6" xr:uid="{00000000-0005-0000-0000-000008000000}"/>
    <cellStyle name="표준 2 3" xfId="3" xr:uid="{00000000-0005-0000-0000-000009000000}"/>
    <cellStyle name="표준 2 4" xfId="19" xr:uid="{C75AE464-5571-4553-8FCE-2C5CC6A417B1}"/>
    <cellStyle name="표준 3" xfId="13" xr:uid="{6854AB22-7CAE-4A6C-A66B-7A905DB545A4}"/>
    <cellStyle name="표준 4" xfId="17" xr:uid="{234C1612-CB5E-4938-B502-427D5E60166D}"/>
    <cellStyle name="표준 4 2" xfId="20" xr:uid="{4CED8403-DA1C-46D4-A129-BDCDE0B257FD}"/>
    <cellStyle name="표준_080407 3항차 final packing List(r3)통합" xfId="15" xr:uid="{76496DC4-684C-4D0E-9683-BB9BBEC43D78}"/>
    <cellStyle name="標準_SpecSheet1" xfId="10" xr:uid="{00000000-0005-0000-0000-00000B000000}"/>
    <cellStyle name="하이퍼링크" xfId="21" builtinId="8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132296</xdr:colOff>
      <xdr:row>2</xdr:row>
      <xdr:rowOff>57877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25400</xdr:colOff>
      <xdr:row>50</xdr:row>
      <xdr:rowOff>12700</xdr:rowOff>
    </xdr:from>
    <xdr:to>
      <xdr:col>28</xdr:col>
      <xdr:colOff>286370</xdr:colOff>
      <xdr:row>54</xdr:row>
      <xdr:rowOff>58158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043964A-DDD4-4096-A7FD-0C7B1781C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69000" y="10337800"/>
          <a:ext cx="1913965" cy="733707"/>
        </a:xfrm>
        <a:prstGeom prst="rect">
          <a:avLst/>
        </a:prstGeom>
      </xdr:spPr>
    </xdr:pic>
    <xdr:clientData/>
  </xdr:twoCellAnchor>
  <xdr:twoCellAnchor editAs="oneCell">
    <xdr:from>
      <xdr:col>28</xdr:col>
      <xdr:colOff>349250</xdr:colOff>
      <xdr:row>47</xdr:row>
      <xdr:rowOff>120650</xdr:rowOff>
    </xdr:from>
    <xdr:to>
      <xdr:col>28</xdr:col>
      <xdr:colOff>1429023</xdr:colOff>
      <xdr:row>54</xdr:row>
      <xdr:rowOff>133451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A959A1C-E119-4146-9539-9BD521810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1150" y="9988550"/>
          <a:ext cx="1085850" cy="11382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F1D8735-FE3B-42ED-8535-39A4E4037998}"/>
            </a:ext>
          </a:extLst>
        </xdr:cNvPr>
        <xdr:cNvSpPr txBox="1">
          <a:spLocks noChangeArrowheads="1"/>
        </xdr:cNvSpPr>
      </xdr:nvSpPr>
      <xdr:spPr bwMode="auto">
        <a:xfrm>
          <a:off x="6377124" y="0"/>
          <a:ext cx="7085437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73A9A6D4-937E-4EDB-845A-0F7F25283B4F}"/>
            </a:ext>
          </a:extLst>
        </xdr:cNvPr>
        <xdr:cNvSpPr txBox="1">
          <a:spLocks noChangeArrowheads="1"/>
        </xdr:cNvSpPr>
      </xdr:nvSpPr>
      <xdr:spPr bwMode="auto">
        <a:xfrm>
          <a:off x="6377124" y="0"/>
          <a:ext cx="7085437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551481</xdr:colOff>
      <xdr:row>2</xdr:row>
      <xdr:rowOff>94707</xdr:rowOff>
    </xdr:to>
    <xdr:pic>
      <xdr:nvPicPr>
        <xdr:cNvPr id="4" name="그림 4">
          <a:extLst>
            <a:ext uri="{FF2B5EF4-FFF2-40B4-BE49-F238E27FC236}">
              <a16:creationId xmlns:a16="http://schemas.microsoft.com/office/drawing/2014/main" id="{4F0D0106-B992-455B-AF4A-0B66237A1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52"/>
          <a:ext cx="1483299" cy="4351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132842</xdr:colOff>
      <xdr:row>2</xdr:row>
      <xdr:rowOff>56245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219891</xdr:colOff>
      <xdr:row>50</xdr:row>
      <xdr:rowOff>91610</xdr:rowOff>
    </xdr:from>
    <xdr:to>
      <xdr:col>27</xdr:col>
      <xdr:colOff>285830</xdr:colOff>
      <xdr:row>55</xdr:row>
      <xdr:rowOff>8025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216EC03-E54E-4675-A689-6DDD581ED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78966" y="9799105"/>
          <a:ext cx="1941994" cy="750621"/>
        </a:xfrm>
        <a:prstGeom prst="rect">
          <a:avLst/>
        </a:prstGeom>
      </xdr:spPr>
    </xdr:pic>
    <xdr:clientData/>
  </xdr:twoCellAnchor>
  <xdr:twoCellAnchor editAs="oneCell">
    <xdr:from>
      <xdr:col>27</xdr:col>
      <xdr:colOff>211620</xdr:colOff>
      <xdr:row>48</xdr:row>
      <xdr:rowOff>88024</xdr:rowOff>
    </xdr:from>
    <xdr:to>
      <xdr:col>28</xdr:col>
      <xdr:colOff>960766</xdr:colOff>
      <xdr:row>55</xdr:row>
      <xdr:rowOff>84184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81A518-C2EC-4E6C-9669-BD5603C5C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53284" y="9488158"/>
          <a:ext cx="1090293" cy="1135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70</xdr:row>
      <xdr:rowOff>0</xdr:rowOff>
    </xdr:from>
    <xdr:to>
      <xdr:col>11</xdr:col>
      <xdr:colOff>24779</xdr:colOff>
      <xdr:row>70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4DFC49A0-C097-4C84-9165-B7F9609ED7C7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70</xdr:row>
      <xdr:rowOff>0</xdr:rowOff>
    </xdr:from>
    <xdr:to>
      <xdr:col>11</xdr:col>
      <xdr:colOff>24779</xdr:colOff>
      <xdr:row>70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121D8B76-0F16-4707-9F42-A1F32AA596CA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70</xdr:row>
      <xdr:rowOff>0</xdr:rowOff>
    </xdr:from>
    <xdr:to>
      <xdr:col>11</xdr:col>
      <xdr:colOff>24779</xdr:colOff>
      <xdr:row>70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19A9522-0C22-462C-BD71-B0C4E8376C6B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56476</xdr:colOff>
      <xdr:row>2</xdr:row>
      <xdr:rowOff>59144</xdr:rowOff>
    </xdr:to>
    <xdr:pic>
      <xdr:nvPicPr>
        <xdr:cNvPr id="6" name="그림 6">
          <a:extLst>
            <a:ext uri="{FF2B5EF4-FFF2-40B4-BE49-F238E27FC236}">
              <a16:creationId xmlns:a16="http://schemas.microsoft.com/office/drawing/2014/main" id="{F49A6F56-CD07-4288-BE55-C348C053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37905" cy="416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67733</xdr:colOff>
      <xdr:row>5</xdr:row>
      <xdr:rowOff>245224</xdr:rowOff>
    </xdr:from>
    <xdr:to>
      <xdr:col>23</xdr:col>
      <xdr:colOff>398975</xdr:colOff>
      <xdr:row>9</xdr:row>
      <xdr:rowOff>178776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14A15B5-C74B-985B-8A98-89A32B929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15011" y="1127168"/>
          <a:ext cx="5802020" cy="12608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173</xdr:row>
      <xdr:rowOff>0</xdr:rowOff>
    </xdr:from>
    <xdr:to>
      <xdr:col>11</xdr:col>
      <xdr:colOff>24779</xdr:colOff>
      <xdr:row>173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FA5D4E5A-53A4-4E08-8CDA-ACE91F0E87A8}"/>
            </a:ext>
          </a:extLst>
        </xdr:cNvPr>
        <xdr:cNvSpPr txBox="1">
          <a:spLocks noChangeArrowheads="1"/>
        </xdr:cNvSpPr>
      </xdr:nvSpPr>
      <xdr:spPr bwMode="auto">
        <a:xfrm>
          <a:off x="3048000" y="35115500"/>
          <a:ext cx="535696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11</xdr:col>
      <xdr:colOff>24779</xdr:colOff>
      <xdr:row>173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50900A9-A47D-4C97-8BF8-C208548569FB}"/>
            </a:ext>
          </a:extLst>
        </xdr:cNvPr>
        <xdr:cNvSpPr txBox="1">
          <a:spLocks noChangeArrowheads="1"/>
        </xdr:cNvSpPr>
      </xdr:nvSpPr>
      <xdr:spPr bwMode="auto">
        <a:xfrm>
          <a:off x="3048000" y="35115500"/>
          <a:ext cx="535696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11</xdr:col>
      <xdr:colOff>24779</xdr:colOff>
      <xdr:row>173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C0683CCF-B846-48BC-94B0-EA89371BC15B}"/>
            </a:ext>
          </a:extLst>
        </xdr:cNvPr>
        <xdr:cNvSpPr txBox="1">
          <a:spLocks noChangeArrowheads="1"/>
        </xdr:cNvSpPr>
      </xdr:nvSpPr>
      <xdr:spPr bwMode="auto">
        <a:xfrm>
          <a:off x="3048000" y="35115500"/>
          <a:ext cx="535696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oneCellAnchor>
    <xdr:from>
      <xdr:col>0</xdr:col>
      <xdr:colOff>0</xdr:colOff>
      <xdr:row>0</xdr:row>
      <xdr:rowOff>1</xdr:rowOff>
    </xdr:from>
    <xdr:ext cx="1441931" cy="405507"/>
    <xdr:pic>
      <xdr:nvPicPr>
        <xdr:cNvPr id="5" name="그림 6">
          <a:extLst>
            <a:ext uri="{FF2B5EF4-FFF2-40B4-BE49-F238E27FC236}">
              <a16:creationId xmlns:a16="http://schemas.microsoft.com/office/drawing/2014/main" id="{9C522069-5F17-410F-A355-682AFE6E3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41931" cy="4055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67733</xdr:colOff>
      <xdr:row>5</xdr:row>
      <xdr:rowOff>245224</xdr:rowOff>
    </xdr:from>
    <xdr:ext cx="5794055" cy="1242251"/>
    <xdr:pic>
      <xdr:nvPicPr>
        <xdr:cNvPr id="6" name="그림 5">
          <a:extLst>
            <a:ext uri="{FF2B5EF4-FFF2-40B4-BE49-F238E27FC236}">
              <a16:creationId xmlns:a16="http://schemas.microsoft.com/office/drawing/2014/main" id="{B33165B4-FA0D-4E2F-9CDE-A6576647A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19919" y="1333795"/>
          <a:ext cx="5794055" cy="12422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.kipshakbayeva@wiselogistics.kz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B162-F88D-482F-B221-0537376F6871}">
  <sheetPr>
    <tabColor rgb="FF00B0F0"/>
  </sheetPr>
  <dimension ref="A1:AV59"/>
  <sheetViews>
    <sheetView showGridLines="0" view="pageBreakPreview" zoomScale="85" zoomScaleNormal="100" zoomScaleSheetLayoutView="85" workbookViewId="0">
      <selection activeCell="AR34" sqref="AR34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0" width="3" style="5" customWidth="1"/>
    <col min="11" max="11" width="2.8984375" style="5" customWidth="1"/>
    <col min="12" max="16" width="3" style="5" customWidth="1"/>
    <col min="17" max="17" width="7.19921875" style="5" customWidth="1"/>
    <col min="18" max="18" width="3.3984375" style="5" customWidth="1"/>
    <col min="19" max="20" width="3.59765625" style="5" customWidth="1"/>
    <col min="21" max="22" width="3.3984375" style="5" customWidth="1"/>
    <col min="23" max="25" width="3.8984375" style="5" customWidth="1"/>
    <col min="26" max="28" width="3.3984375" style="5" customWidth="1"/>
    <col min="29" max="29" width="21.09765625" style="5" customWidth="1"/>
    <col min="30" max="30" width="11.8984375" style="8" bestFit="1" customWidth="1"/>
    <col min="31" max="31" width="10.8984375" style="8" bestFit="1" customWidth="1"/>
    <col min="32" max="32" width="12.69921875" style="8" customWidth="1"/>
    <col min="33" max="16384" width="3" style="8"/>
  </cols>
  <sheetData>
    <row r="1" spans="1:30">
      <c r="A1" s="135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 t="s">
        <v>0</v>
      </c>
      <c r="X1" s="136"/>
      <c r="Y1" s="136"/>
      <c r="Z1" s="136"/>
      <c r="AA1" s="136"/>
      <c r="AB1" s="136"/>
      <c r="AC1" s="137"/>
    </row>
    <row r="2" spans="1:30">
      <c r="A2" s="138"/>
      <c r="W2" s="5" t="s">
        <v>1</v>
      </c>
      <c r="AC2" s="139"/>
    </row>
    <row r="3" spans="1:30">
      <c r="A3" s="138"/>
      <c r="W3" s="5" t="s">
        <v>2</v>
      </c>
      <c r="AC3" s="139"/>
    </row>
    <row r="4" spans="1:30">
      <c r="A4" s="138"/>
      <c r="W4" s="5" t="s">
        <v>3</v>
      </c>
      <c r="AC4" s="139"/>
    </row>
    <row r="5" spans="1:30">
      <c r="A5" s="138"/>
      <c r="W5" s="5" t="s">
        <v>4</v>
      </c>
      <c r="AC5" s="139"/>
    </row>
    <row r="6" spans="1:30" ht="39.9" customHeight="1">
      <c r="A6" s="389" t="s">
        <v>209</v>
      </c>
      <c r="B6" s="390"/>
      <c r="C6" s="390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390"/>
      <c r="O6" s="390"/>
      <c r="P6" s="390"/>
      <c r="Q6" s="390"/>
      <c r="R6" s="390"/>
      <c r="S6" s="390"/>
      <c r="T6" s="390"/>
      <c r="U6" s="390"/>
      <c r="V6" s="390"/>
      <c r="W6" s="390"/>
      <c r="X6" s="390"/>
      <c r="Y6" s="390"/>
      <c r="Z6" s="390"/>
      <c r="AA6" s="390"/>
      <c r="AB6" s="390"/>
      <c r="AC6" s="391"/>
    </row>
    <row r="7" spans="1:30" ht="14.4" thickBot="1">
      <c r="A7" s="140"/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2"/>
      <c r="AD7" s="100"/>
    </row>
    <row r="8" spans="1:30" s="18" customFormat="1" ht="13.5" customHeight="1">
      <c r="A8" s="143" t="s">
        <v>5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5"/>
      <c r="R8" s="146" t="s">
        <v>6</v>
      </c>
      <c r="S8" s="144"/>
      <c r="T8" s="144"/>
      <c r="U8" s="146"/>
      <c r="V8" s="392" t="s">
        <v>7</v>
      </c>
      <c r="W8" s="392"/>
      <c r="X8" s="392"/>
      <c r="Y8" s="392"/>
      <c r="Z8" s="392"/>
      <c r="AA8" s="144"/>
      <c r="AB8" s="144"/>
      <c r="AC8" s="167"/>
      <c r="AD8" s="100"/>
    </row>
    <row r="9" spans="1:30" s="18" customFormat="1" ht="14.4">
      <c r="A9" s="147"/>
      <c r="B9" s="130" t="s">
        <v>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57"/>
      <c r="R9" s="156" t="s">
        <v>9</v>
      </c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68"/>
    </row>
    <row r="10" spans="1:30" s="18" customFormat="1" ht="14.4">
      <c r="A10" s="147"/>
      <c r="B10" s="16" t="s">
        <v>64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23"/>
      <c r="R10" s="130" t="s">
        <v>10</v>
      </c>
      <c r="S10" s="16"/>
      <c r="T10" s="16"/>
      <c r="U10" s="16"/>
      <c r="V10" s="393">
        <v>45693</v>
      </c>
      <c r="W10" s="393"/>
      <c r="X10" s="393"/>
      <c r="Y10" s="393"/>
      <c r="Z10" s="393"/>
      <c r="AA10" s="16"/>
      <c r="AB10" s="16"/>
      <c r="AC10" s="148"/>
    </row>
    <row r="11" spans="1:30" s="18" customFormat="1" ht="14.4">
      <c r="A11" s="124"/>
      <c r="B11" s="126" t="s">
        <v>11</v>
      </c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7"/>
      <c r="R11" s="156" t="s">
        <v>12</v>
      </c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68"/>
    </row>
    <row r="12" spans="1:30" s="18" customFormat="1" ht="15.6" customHeight="1">
      <c r="A12" s="149" t="s">
        <v>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23"/>
      <c r="R12" s="130" t="s">
        <v>14</v>
      </c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48"/>
    </row>
    <row r="13" spans="1:30" s="18" customFormat="1" ht="15.6" customHeight="1">
      <c r="A13" s="147"/>
      <c r="B13" s="130" t="s">
        <v>210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23"/>
      <c r="R13" s="16"/>
      <c r="S13" s="332"/>
      <c r="T13" s="332"/>
      <c r="U13" s="332"/>
      <c r="V13" s="332"/>
      <c r="W13" s="332"/>
      <c r="X13" s="332"/>
      <c r="Y13" s="332"/>
      <c r="Z13" s="332"/>
      <c r="AA13" s="332"/>
      <c r="AB13" s="332"/>
      <c r="AC13" s="183"/>
    </row>
    <row r="14" spans="1:30" s="18" customFormat="1" ht="15.6" customHeight="1">
      <c r="A14" s="149"/>
      <c r="B14" s="16" t="s">
        <v>211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23"/>
      <c r="R14" s="130"/>
      <c r="S14" s="129" t="s">
        <v>16</v>
      </c>
      <c r="T14" s="16"/>
      <c r="U14" s="16"/>
      <c r="V14" s="16"/>
      <c r="W14" s="16"/>
      <c r="X14" s="16"/>
      <c r="Y14" s="16"/>
      <c r="Z14" s="16"/>
      <c r="AA14" s="16"/>
      <c r="AB14" s="16"/>
      <c r="AC14" s="148"/>
    </row>
    <row r="15" spans="1:30" s="18" customFormat="1" ht="15.6" customHeight="1">
      <c r="A15" s="147"/>
      <c r="B15" s="16" t="s">
        <v>212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23"/>
      <c r="R15" s="130"/>
      <c r="S15" s="394" t="s">
        <v>214</v>
      </c>
      <c r="T15" s="394"/>
      <c r="U15" s="394"/>
      <c r="V15" s="394"/>
      <c r="W15" s="394"/>
      <c r="X15" s="394"/>
      <c r="Y15" s="394"/>
      <c r="Z15" s="394"/>
      <c r="AA15" s="394"/>
      <c r="AB15" s="394"/>
      <c r="AC15" s="395"/>
    </row>
    <row r="16" spans="1:30" s="18" customFormat="1" ht="15.6" customHeight="1">
      <c r="A16" s="147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23"/>
      <c r="R16" s="130"/>
      <c r="S16" s="396" t="s">
        <v>65</v>
      </c>
      <c r="T16" s="396"/>
      <c r="U16" s="396"/>
      <c r="V16" s="396"/>
      <c r="W16" s="396"/>
      <c r="X16" s="396"/>
      <c r="Y16" s="396"/>
      <c r="Z16" s="396"/>
      <c r="AA16" s="396"/>
      <c r="AB16" s="396"/>
      <c r="AC16" s="397"/>
    </row>
    <row r="17" spans="1:48" s="18" customFormat="1" ht="15.6" customHeight="1">
      <c r="A17" s="147"/>
      <c r="B17" s="118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23"/>
      <c r="R17" s="130"/>
      <c r="S17" s="129" t="s">
        <v>17</v>
      </c>
      <c r="T17" s="16"/>
      <c r="U17" s="16"/>
      <c r="V17" s="16"/>
      <c r="W17" s="16"/>
      <c r="X17" s="16"/>
      <c r="Y17" s="16"/>
      <c r="Z17" s="16"/>
      <c r="AA17" s="16"/>
      <c r="AB17" s="16"/>
      <c r="AC17" s="148"/>
    </row>
    <row r="18" spans="1:48" s="18" customFormat="1" ht="15.6" customHeight="1">
      <c r="A18" s="124"/>
      <c r="B18" s="125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7"/>
      <c r="R18" s="130"/>
      <c r="S18" s="379" t="s">
        <v>18</v>
      </c>
      <c r="T18" s="379"/>
      <c r="U18" s="379"/>
      <c r="V18" s="379"/>
      <c r="W18" s="379"/>
      <c r="X18" s="379"/>
      <c r="Y18" s="379"/>
      <c r="Z18" s="379"/>
      <c r="AA18" s="379"/>
      <c r="AB18" s="379"/>
      <c r="AC18" s="380"/>
    </row>
    <row r="19" spans="1:48" s="18" customFormat="1" ht="14.4">
      <c r="A19" s="149" t="s">
        <v>19</v>
      </c>
      <c r="B19" s="1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23"/>
      <c r="R19" s="130"/>
      <c r="S19" s="129" t="s">
        <v>20</v>
      </c>
      <c r="T19" s="16"/>
      <c r="U19" s="16"/>
      <c r="V19" s="16"/>
      <c r="W19" s="54"/>
      <c r="X19" s="54"/>
      <c r="Y19" s="54"/>
      <c r="Z19" s="130"/>
      <c r="AA19" s="130"/>
      <c r="AB19" s="130"/>
      <c r="AC19" s="148"/>
    </row>
    <row r="20" spans="1:48" s="18" customFormat="1" ht="14.4">
      <c r="A20" s="147"/>
      <c r="B20" s="130" t="s">
        <v>21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23"/>
      <c r="R20" s="130"/>
      <c r="S20" s="379">
        <v>2024</v>
      </c>
      <c r="T20" s="379"/>
      <c r="U20" s="379"/>
      <c r="V20" s="379"/>
      <c r="W20" s="379"/>
      <c r="X20" s="379"/>
      <c r="Y20" s="379"/>
      <c r="Z20" s="379"/>
      <c r="AA20" s="379"/>
      <c r="AB20" s="379"/>
      <c r="AC20" s="380"/>
    </row>
    <row r="21" spans="1:48" s="18" customFormat="1" ht="14.4">
      <c r="A21" s="147"/>
      <c r="B21" s="184" t="s">
        <v>22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23"/>
      <c r="R21" s="16"/>
      <c r="S21" s="129" t="s">
        <v>23</v>
      </c>
      <c r="T21" s="129"/>
      <c r="U21" s="129"/>
      <c r="V21" s="129"/>
      <c r="W21" s="89"/>
      <c r="X21" s="89"/>
      <c r="Y21" s="89"/>
      <c r="Z21" s="130"/>
      <c r="AA21" s="16"/>
      <c r="AB21" s="16"/>
      <c r="AC21" s="148"/>
      <c r="AV21" s="1"/>
    </row>
    <row r="22" spans="1:48" s="18" customFormat="1" ht="14.4">
      <c r="A22" s="177"/>
      <c r="B22" s="185" t="s">
        <v>24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23"/>
      <c r="R22" s="150"/>
      <c r="S22" s="379" t="s">
        <v>25</v>
      </c>
      <c r="T22" s="379"/>
      <c r="U22" s="379"/>
      <c r="V22" s="379"/>
      <c r="W22" s="379"/>
      <c r="X22" s="379"/>
      <c r="Y22" s="379"/>
      <c r="Z22" s="379"/>
      <c r="AA22" s="379"/>
      <c r="AB22" s="379"/>
      <c r="AC22" s="380"/>
    </row>
    <row r="23" spans="1:48" s="18" customFormat="1" ht="14.4">
      <c r="A23" s="147"/>
      <c r="B23" s="118" t="s">
        <v>26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23"/>
      <c r="R23" s="151"/>
      <c r="S23" s="129" t="s">
        <v>27</v>
      </c>
      <c r="T23" s="179"/>
      <c r="U23" s="16"/>
      <c r="V23" s="16"/>
      <c r="AA23" s="16"/>
      <c r="AB23" s="16"/>
      <c r="AC23" s="148"/>
    </row>
    <row r="24" spans="1:48" s="18" customFormat="1" ht="14.4">
      <c r="A24" s="147"/>
      <c r="B24" s="1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23"/>
      <c r="R24" s="178"/>
      <c r="S24" s="379" t="s">
        <v>213</v>
      </c>
      <c r="T24" s="379"/>
      <c r="U24" s="379"/>
      <c r="V24" s="379"/>
      <c r="W24" s="379"/>
      <c r="X24" s="379"/>
      <c r="Y24" s="379"/>
      <c r="Z24" s="379"/>
      <c r="AA24" s="379"/>
      <c r="AB24" s="379"/>
      <c r="AC24" s="380"/>
    </row>
    <row r="25" spans="1:48" s="18" customFormat="1" ht="15" customHeight="1">
      <c r="A25" s="147"/>
      <c r="B25" s="180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23"/>
      <c r="R25" s="173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5"/>
    </row>
    <row r="26" spans="1:48" s="18" customFormat="1" ht="15" customHeight="1">
      <c r="A26" s="152" t="s">
        <v>28</v>
      </c>
      <c r="B26" s="153"/>
      <c r="C26" s="153"/>
      <c r="D26" s="153"/>
      <c r="E26" s="153"/>
      <c r="F26" s="153"/>
      <c r="G26" s="153"/>
      <c r="H26" s="154"/>
      <c r="I26" s="373" t="s">
        <v>29</v>
      </c>
      <c r="J26" s="374"/>
      <c r="K26" s="374"/>
      <c r="L26" s="374"/>
      <c r="M26" s="374"/>
      <c r="N26" s="374"/>
      <c r="O26" s="374"/>
      <c r="P26" s="374"/>
      <c r="Q26" s="375"/>
      <c r="R26" s="374" t="s">
        <v>30</v>
      </c>
      <c r="S26" s="374"/>
      <c r="T26" s="374"/>
      <c r="U26" s="374"/>
      <c r="V26" s="374"/>
      <c r="W26" s="374"/>
      <c r="X26" s="374"/>
      <c r="Y26" s="374"/>
      <c r="Z26" s="374"/>
      <c r="AA26" s="374"/>
      <c r="AB26" s="374"/>
      <c r="AC26" s="388"/>
    </row>
    <row r="27" spans="1:48" s="18" customFormat="1" ht="14.4">
      <c r="A27" s="147"/>
      <c r="B27" s="16" t="s">
        <v>31</v>
      </c>
      <c r="C27" s="16"/>
      <c r="D27" s="16"/>
      <c r="E27" s="16"/>
      <c r="F27" s="16"/>
      <c r="G27" s="16"/>
      <c r="H27" s="123"/>
      <c r="I27" s="16"/>
      <c r="J27" s="16" t="s">
        <v>32</v>
      </c>
      <c r="K27" s="16"/>
      <c r="L27" s="16"/>
      <c r="M27" s="16"/>
      <c r="N27" s="16"/>
      <c r="O27" s="16"/>
      <c r="P27" s="16"/>
      <c r="Q27" s="123"/>
      <c r="R27" s="16"/>
      <c r="AA27" s="16"/>
      <c r="AB27" s="16"/>
      <c r="AC27" s="148"/>
    </row>
    <row r="28" spans="1:48" s="18" customFormat="1" ht="14.4">
      <c r="A28" s="124"/>
      <c r="B28" s="155"/>
      <c r="C28" s="126"/>
      <c r="D28" s="126"/>
      <c r="E28" s="126"/>
      <c r="F28" s="126"/>
      <c r="G28" s="126"/>
      <c r="H28" s="127"/>
      <c r="I28" s="126"/>
      <c r="J28" s="155"/>
      <c r="K28" s="126"/>
      <c r="L28" s="126"/>
      <c r="M28" s="126"/>
      <c r="N28" s="126"/>
      <c r="O28" s="126"/>
      <c r="P28" s="126"/>
      <c r="Q28" s="127"/>
      <c r="R28" s="16"/>
      <c r="S28" s="129" t="s">
        <v>33</v>
      </c>
      <c r="U28" s="16"/>
      <c r="V28" s="16"/>
      <c r="X28" s="16" t="s">
        <v>34</v>
      </c>
      <c r="Y28" s="16" t="s">
        <v>241</v>
      </c>
      <c r="AA28" s="16"/>
      <c r="AB28" s="16"/>
      <c r="AC28" s="148"/>
    </row>
    <row r="29" spans="1:48" s="18" customFormat="1" ht="14.4">
      <c r="A29" s="149" t="s">
        <v>35</v>
      </c>
      <c r="B29" s="16"/>
      <c r="C29" s="16"/>
      <c r="D29" s="16"/>
      <c r="E29" s="16"/>
      <c r="F29" s="16"/>
      <c r="G29" s="16"/>
      <c r="H29" s="123"/>
      <c r="I29" s="373" t="s">
        <v>36</v>
      </c>
      <c r="J29" s="374"/>
      <c r="K29" s="374"/>
      <c r="L29" s="374"/>
      <c r="M29" s="374"/>
      <c r="N29" s="374"/>
      <c r="O29" s="374"/>
      <c r="P29" s="374"/>
      <c r="Q29" s="375"/>
      <c r="R29" s="16"/>
      <c r="S29" s="129" t="s">
        <v>37</v>
      </c>
      <c r="T29" s="16"/>
      <c r="X29" s="16" t="s">
        <v>34</v>
      </c>
      <c r="AA29" s="16">
        <v>18</v>
      </c>
      <c r="AB29" s="16" t="s">
        <v>38</v>
      </c>
      <c r="AC29" s="148"/>
    </row>
    <row r="30" spans="1:48" s="18" customFormat="1" ht="14.4">
      <c r="A30" s="149"/>
      <c r="B30" s="16"/>
      <c r="C30" s="16"/>
      <c r="D30" s="16"/>
      <c r="E30" s="16"/>
      <c r="F30" s="16"/>
      <c r="G30" s="16"/>
      <c r="H30" s="123"/>
      <c r="I30" s="378"/>
      <c r="J30" s="376"/>
      <c r="K30" s="376"/>
      <c r="L30" s="376"/>
      <c r="M30" s="376"/>
      <c r="N30" s="376"/>
      <c r="O30" s="376"/>
      <c r="P30" s="376"/>
      <c r="Q30" s="377"/>
      <c r="R30" s="16"/>
      <c r="S30" s="129" t="s">
        <v>39</v>
      </c>
      <c r="X30" s="16" t="s">
        <v>34</v>
      </c>
      <c r="Y30" s="381">
        <f>'Summary PL'!L32</f>
        <v>5951</v>
      </c>
      <c r="Z30" s="381"/>
      <c r="AA30" s="381"/>
      <c r="AB30" s="16" t="s">
        <v>40</v>
      </c>
      <c r="AC30" s="148"/>
    </row>
    <row r="31" spans="1:48" s="18" customFormat="1" ht="17.7" customHeight="1">
      <c r="A31" s="147"/>
      <c r="B31" s="16" t="s">
        <v>32</v>
      </c>
      <c r="C31" s="16"/>
      <c r="D31" s="16"/>
      <c r="E31" s="16"/>
      <c r="F31" s="16"/>
      <c r="G31" s="16"/>
      <c r="H31" s="123"/>
      <c r="I31" s="382"/>
      <c r="J31" s="383"/>
      <c r="K31" s="383"/>
      <c r="L31" s="383"/>
      <c r="M31" s="383"/>
      <c r="N31" s="383"/>
      <c r="O31" s="383"/>
      <c r="P31" s="383"/>
      <c r="Q31" s="384"/>
      <c r="R31" s="16"/>
      <c r="S31" s="129" t="s">
        <v>41</v>
      </c>
      <c r="X31" s="16" t="s">
        <v>34</v>
      </c>
      <c r="Y31" s="381">
        <f>'Summary PL'!M32</f>
        <v>10451</v>
      </c>
      <c r="Z31" s="381"/>
      <c r="AA31" s="381"/>
      <c r="AB31" s="16" t="s">
        <v>40</v>
      </c>
      <c r="AC31" s="148"/>
    </row>
    <row r="32" spans="1:48" s="18" customFormat="1" ht="16.2">
      <c r="A32" s="124"/>
      <c r="B32" s="126"/>
      <c r="C32" s="126"/>
      <c r="D32" s="126"/>
      <c r="E32" s="126"/>
      <c r="F32" s="126"/>
      <c r="G32" s="126"/>
      <c r="H32" s="127"/>
      <c r="I32" s="385"/>
      <c r="J32" s="386"/>
      <c r="K32" s="386"/>
      <c r="L32" s="386"/>
      <c r="M32" s="386"/>
      <c r="N32" s="386"/>
      <c r="O32" s="386"/>
      <c r="P32" s="386"/>
      <c r="Q32" s="387"/>
      <c r="R32" s="16"/>
      <c r="S32" s="129" t="s">
        <v>42</v>
      </c>
      <c r="U32" s="16"/>
      <c r="V32" s="16"/>
      <c r="W32" s="16"/>
      <c r="X32" s="16" t="s">
        <v>34</v>
      </c>
      <c r="Y32" s="381">
        <f>'Summary PL'!K32</f>
        <v>148.91699999999997</v>
      </c>
      <c r="Z32" s="381"/>
      <c r="AA32" s="381"/>
      <c r="AB32" s="16" t="s">
        <v>43</v>
      </c>
      <c r="AC32" s="148"/>
    </row>
    <row r="33" spans="1:32" s="16" customFormat="1" ht="16.5" customHeight="1">
      <c r="A33" s="152" t="s">
        <v>44</v>
      </c>
      <c r="B33" s="153"/>
      <c r="C33" s="153"/>
      <c r="D33" s="153"/>
      <c r="E33" s="153"/>
      <c r="F33" s="153"/>
      <c r="G33" s="153"/>
      <c r="H33" s="154"/>
      <c r="I33" s="373" t="s">
        <v>45</v>
      </c>
      <c r="J33" s="374"/>
      <c r="K33" s="374"/>
      <c r="L33" s="374"/>
      <c r="M33" s="374"/>
      <c r="N33" s="374"/>
      <c r="O33" s="374"/>
      <c r="P33" s="374"/>
      <c r="Q33" s="375"/>
      <c r="AC33" s="148"/>
    </row>
    <row r="34" spans="1:32" s="18" customFormat="1" ht="14.4">
      <c r="A34" s="149"/>
      <c r="B34" s="16"/>
      <c r="C34" s="16"/>
      <c r="D34" s="16"/>
      <c r="E34" s="16"/>
      <c r="F34" s="16"/>
      <c r="G34" s="16"/>
      <c r="H34" s="123"/>
      <c r="I34" s="376"/>
      <c r="J34" s="376"/>
      <c r="K34" s="376"/>
      <c r="L34" s="376"/>
      <c r="M34" s="376"/>
      <c r="N34" s="376"/>
      <c r="O34" s="376"/>
      <c r="P34" s="376"/>
      <c r="Q34" s="377"/>
      <c r="R34" s="16"/>
      <c r="S34" s="130"/>
      <c r="T34" s="16"/>
      <c r="U34" s="16"/>
      <c r="V34" s="16"/>
      <c r="W34" s="16"/>
      <c r="X34" s="16"/>
      <c r="Y34" s="16"/>
      <c r="Z34" s="16"/>
      <c r="AA34" s="16"/>
      <c r="AB34" s="16"/>
      <c r="AC34" s="148"/>
    </row>
    <row r="35" spans="1:32" s="18" customFormat="1" ht="14.4" customHeight="1">
      <c r="A35" s="147"/>
      <c r="B35" s="16" t="s">
        <v>32</v>
      </c>
      <c r="C35" s="16"/>
      <c r="D35" s="16"/>
      <c r="E35" s="16"/>
      <c r="F35" s="16"/>
      <c r="G35" s="16"/>
      <c r="H35" s="123"/>
      <c r="I35" s="16"/>
      <c r="J35" s="372" t="s">
        <v>32</v>
      </c>
      <c r="K35" s="372"/>
      <c r="L35" s="372"/>
      <c r="M35" s="372"/>
      <c r="N35" s="372"/>
      <c r="O35" s="372"/>
      <c r="P35" s="372"/>
      <c r="Q35" s="123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48"/>
    </row>
    <row r="36" spans="1:32" s="18" customFormat="1" ht="14.4">
      <c r="A36" s="124"/>
      <c r="B36" s="126"/>
      <c r="C36" s="126"/>
      <c r="D36" s="126"/>
      <c r="E36" s="126"/>
      <c r="F36" s="126"/>
      <c r="G36" s="126"/>
      <c r="H36" s="127"/>
      <c r="I36" s="126"/>
      <c r="J36" s="126"/>
      <c r="K36" s="126"/>
      <c r="L36" s="126"/>
      <c r="M36" s="126"/>
      <c r="N36" s="126"/>
      <c r="O36" s="126"/>
      <c r="P36" s="126"/>
      <c r="Q36" s="127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48"/>
    </row>
    <row r="37" spans="1:32" s="18" customFormat="1" ht="14.4">
      <c r="A37" s="152" t="s">
        <v>46</v>
      </c>
      <c r="B37" s="153"/>
      <c r="C37" s="153"/>
      <c r="D37" s="153"/>
      <c r="E37" s="153"/>
      <c r="F37" s="153"/>
      <c r="G37" s="153"/>
      <c r="H37" s="153"/>
      <c r="I37" s="169"/>
      <c r="J37" s="153"/>
      <c r="K37" s="153"/>
      <c r="L37" s="153"/>
      <c r="M37" s="153"/>
      <c r="N37" s="153"/>
      <c r="O37" s="153"/>
      <c r="P37" s="153"/>
      <c r="Q37" s="154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48"/>
    </row>
    <row r="38" spans="1:32" s="18" customFormat="1" ht="14.4">
      <c r="A38" s="147"/>
      <c r="B38" s="16"/>
      <c r="C38" s="16"/>
      <c r="D38" s="16"/>
      <c r="E38" s="16"/>
      <c r="F38" s="16"/>
      <c r="G38" s="16"/>
      <c r="H38" s="16"/>
      <c r="I38" s="16"/>
      <c r="J38" s="214"/>
      <c r="K38" s="214"/>
      <c r="L38" s="214"/>
      <c r="M38" s="214"/>
      <c r="N38" s="214"/>
      <c r="O38" s="214"/>
      <c r="P38" s="214"/>
      <c r="Q38" s="123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48"/>
    </row>
    <row r="39" spans="1:32" s="18" customFormat="1" ht="14.4">
      <c r="A39" s="124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7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48"/>
    </row>
    <row r="40" spans="1:32" s="18" customFormat="1" ht="16.5" customHeight="1">
      <c r="A40" s="421" t="s">
        <v>47</v>
      </c>
      <c r="B40" s="422"/>
      <c r="C40" s="422"/>
      <c r="D40" s="422"/>
      <c r="E40" s="422"/>
      <c r="F40" s="422"/>
      <c r="G40" s="422"/>
      <c r="H40" s="422"/>
      <c r="I40" s="422"/>
      <c r="J40" s="422"/>
      <c r="K40" s="422"/>
      <c r="L40" s="422"/>
      <c r="M40" s="422"/>
      <c r="N40" s="422"/>
      <c r="O40" s="422"/>
      <c r="P40" s="422"/>
      <c r="Q40" s="423"/>
      <c r="R40" s="427" t="s">
        <v>48</v>
      </c>
      <c r="S40" s="428"/>
      <c r="T40" s="428"/>
      <c r="U40" s="428"/>
      <c r="V40" s="430"/>
      <c r="W40" s="427" t="s">
        <v>49</v>
      </c>
      <c r="X40" s="428"/>
      <c r="Y40" s="428"/>
      <c r="Z40" s="430"/>
      <c r="AA40" s="427" t="s">
        <v>50</v>
      </c>
      <c r="AB40" s="428"/>
      <c r="AC40" s="429"/>
    </row>
    <row r="41" spans="1:32" s="18" customFormat="1" ht="16.5" customHeight="1">
      <c r="A41" s="424"/>
      <c r="B41" s="425"/>
      <c r="C41" s="425"/>
      <c r="D41" s="425"/>
      <c r="E41" s="425"/>
      <c r="F41" s="425"/>
      <c r="G41" s="425"/>
      <c r="H41" s="425"/>
      <c r="I41" s="425"/>
      <c r="J41" s="425"/>
      <c r="K41" s="425"/>
      <c r="L41" s="425"/>
      <c r="M41" s="425"/>
      <c r="N41" s="425"/>
      <c r="O41" s="425"/>
      <c r="P41" s="425"/>
      <c r="Q41" s="426"/>
      <c r="R41" s="403" t="s">
        <v>51</v>
      </c>
      <c r="S41" s="404"/>
      <c r="T41" s="404"/>
      <c r="U41" s="404"/>
      <c r="V41" s="405"/>
      <c r="W41" s="403" t="s">
        <v>52</v>
      </c>
      <c r="X41" s="404"/>
      <c r="Y41" s="404"/>
      <c r="Z41" s="405"/>
      <c r="AA41" s="403" t="s">
        <v>53</v>
      </c>
      <c r="AB41" s="404"/>
      <c r="AC41" s="406"/>
    </row>
    <row r="42" spans="1:32" s="16" customFormat="1" ht="18" customHeight="1">
      <c r="A42" s="147"/>
      <c r="B42" s="16" t="s">
        <v>217</v>
      </c>
      <c r="I42" s="153"/>
      <c r="J42" s="153"/>
      <c r="K42" s="153"/>
      <c r="L42" s="153"/>
      <c r="M42" s="153"/>
      <c r="N42" s="153"/>
      <c r="O42" s="153"/>
      <c r="P42" s="153"/>
      <c r="Q42" s="123"/>
      <c r="R42" s="407"/>
      <c r="S42" s="408"/>
      <c r="T42" s="408"/>
      <c r="U42" s="408"/>
      <c r="V42" s="409"/>
      <c r="W42" s="410" t="s">
        <v>240</v>
      </c>
      <c r="X42" s="411"/>
      <c r="Y42" s="411"/>
      <c r="Z42" s="412"/>
      <c r="AA42" s="58"/>
      <c r="AB42" s="59"/>
      <c r="AC42" s="60">
        <f>CI_BD!H27</f>
        <v>588918.99000000011</v>
      </c>
      <c r="AD42" s="240" t="s">
        <v>215</v>
      </c>
    </row>
    <row r="43" spans="1:32" s="16" customFormat="1" ht="18" customHeight="1">
      <c r="A43" s="176"/>
      <c r="Q43" s="123"/>
      <c r="R43" s="413"/>
      <c r="S43" s="414"/>
      <c r="T43" s="414"/>
      <c r="U43" s="414"/>
      <c r="V43" s="415"/>
      <c r="W43" s="416"/>
      <c r="X43" s="417"/>
      <c r="Y43" s="417"/>
      <c r="Z43" s="418"/>
      <c r="AA43" s="58"/>
      <c r="AB43" s="59"/>
      <c r="AC43" s="60"/>
      <c r="AD43" s="241" t="s">
        <v>216</v>
      </c>
    </row>
    <row r="44" spans="1:32" s="16" customFormat="1" ht="18" customHeight="1" thickBot="1">
      <c r="A44" s="149"/>
      <c r="B44" s="130"/>
      <c r="C44" s="130"/>
      <c r="D44" s="130"/>
      <c r="E44" s="130"/>
      <c r="F44" s="130"/>
      <c r="G44" s="130"/>
      <c r="H44" s="130"/>
      <c r="I44" s="170"/>
      <c r="J44" s="170"/>
      <c r="K44" s="170"/>
      <c r="L44" s="170"/>
      <c r="M44" s="170"/>
      <c r="N44" s="170"/>
      <c r="O44" s="170"/>
      <c r="P44" s="170"/>
      <c r="Q44" s="165"/>
      <c r="R44" s="130"/>
      <c r="S44" s="130"/>
      <c r="T44" s="130"/>
      <c r="U44" s="130"/>
      <c r="V44" s="165"/>
      <c r="W44" s="130"/>
      <c r="X44" s="56"/>
      <c r="Y44" s="56"/>
      <c r="Z44" s="56"/>
      <c r="AA44" s="55"/>
      <c r="AB44" s="56"/>
      <c r="AC44" s="57"/>
    </row>
    <row r="45" spans="1:32" s="16" customFormat="1" ht="18" customHeight="1" thickBot="1">
      <c r="A45" s="158"/>
      <c r="B45" s="166"/>
      <c r="C45" s="159"/>
      <c r="D45" s="159"/>
      <c r="E45" s="159"/>
      <c r="F45" s="159"/>
      <c r="G45" s="159"/>
      <c r="H45" s="159"/>
      <c r="I45" s="400" t="s">
        <v>54</v>
      </c>
      <c r="J45" s="400"/>
      <c r="K45" s="400"/>
      <c r="L45" s="400"/>
      <c r="M45" s="400"/>
      <c r="N45" s="400"/>
      <c r="O45" s="400"/>
      <c r="P45" s="400"/>
      <c r="Q45" s="400"/>
      <c r="R45" s="419"/>
      <c r="S45" s="400"/>
      <c r="T45" s="400"/>
      <c r="U45" s="400"/>
      <c r="V45" s="400"/>
      <c r="W45" s="400"/>
      <c r="X45" s="400"/>
      <c r="Y45" s="400"/>
      <c r="Z45" s="420"/>
      <c r="AA45" s="401">
        <f>AC42</f>
        <v>588918.99000000011</v>
      </c>
      <c r="AB45" s="401"/>
      <c r="AC45" s="402"/>
      <c r="AD45" s="45"/>
      <c r="AE45" s="45"/>
      <c r="AF45" s="333"/>
    </row>
    <row r="46" spans="1:32">
      <c r="A46" s="135"/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7"/>
    </row>
    <row r="47" spans="1:32">
      <c r="A47" s="138"/>
      <c r="AC47" s="139"/>
    </row>
    <row r="48" spans="1:32">
      <c r="A48" s="138"/>
      <c r="AC48" s="139"/>
    </row>
    <row r="49" spans="1:29">
      <c r="A49" s="138"/>
      <c r="AC49" s="139"/>
    </row>
    <row r="50" spans="1:29">
      <c r="A50" s="138"/>
      <c r="AC50" s="139"/>
    </row>
    <row r="51" spans="1:29">
      <c r="A51" s="138"/>
      <c r="AC51" s="139"/>
    </row>
    <row r="52" spans="1:29">
      <c r="A52" s="138"/>
      <c r="AC52" s="139"/>
    </row>
    <row r="53" spans="1:29" ht="14.4">
      <c r="A53" s="147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S53" s="16" t="s">
        <v>55</v>
      </c>
      <c r="AC53" s="139"/>
    </row>
    <row r="54" spans="1:29" ht="14.4">
      <c r="A54" s="147" t="s">
        <v>56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AC54" s="139"/>
    </row>
    <row r="55" spans="1:29" ht="14.4">
      <c r="A55" s="147" t="s">
        <v>57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W55" s="160"/>
      <c r="X55" s="160"/>
      <c r="AC55" s="139"/>
    </row>
    <row r="56" spans="1:29" ht="14.4">
      <c r="A56" s="147" t="s">
        <v>58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V56" s="398" t="s">
        <v>59</v>
      </c>
      <c r="W56" s="398"/>
      <c r="X56" s="398"/>
      <c r="Y56" s="398"/>
      <c r="Z56" s="398"/>
      <c r="AA56" s="398"/>
      <c r="AB56" s="398"/>
      <c r="AC56" s="399"/>
    </row>
    <row r="57" spans="1:29" ht="14.4">
      <c r="A57" s="147" t="s">
        <v>60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S57" s="129"/>
      <c r="U57" s="182"/>
      <c r="V57" s="182"/>
      <c r="W57" s="182"/>
      <c r="X57" s="182"/>
      <c r="Y57" s="182"/>
      <c r="Z57" s="182"/>
      <c r="AA57" s="182"/>
      <c r="AB57" s="182"/>
      <c r="AC57" s="139"/>
    </row>
    <row r="58" spans="1:29" ht="12.6" thickBot="1">
      <c r="A58" s="16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2"/>
    </row>
    <row r="59" spans="1:29" ht="15" thickBot="1">
      <c r="A59" s="162" t="s">
        <v>61</v>
      </c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4"/>
    </row>
  </sheetData>
  <mergeCells count="33">
    <mergeCell ref="V56:AC56"/>
    <mergeCell ref="I45:Q45"/>
    <mergeCell ref="AA45:AC45"/>
    <mergeCell ref="R41:V41"/>
    <mergeCell ref="W41:Z41"/>
    <mergeCell ref="AA41:AC41"/>
    <mergeCell ref="R42:V42"/>
    <mergeCell ref="W42:Z42"/>
    <mergeCell ref="R43:V43"/>
    <mergeCell ref="W43:Z43"/>
    <mergeCell ref="R45:Z45"/>
    <mergeCell ref="A40:Q41"/>
    <mergeCell ref="AA40:AC40"/>
    <mergeCell ref="R40:V40"/>
    <mergeCell ref="W40:Z40"/>
    <mergeCell ref="A6:AC6"/>
    <mergeCell ref="V8:Z8"/>
    <mergeCell ref="V10:Z10"/>
    <mergeCell ref="S15:AC15"/>
    <mergeCell ref="S16:AC16"/>
    <mergeCell ref="J35:P35"/>
    <mergeCell ref="I33:Q34"/>
    <mergeCell ref="I29:Q30"/>
    <mergeCell ref="I26:Q26"/>
    <mergeCell ref="S18:AC18"/>
    <mergeCell ref="S20:AC20"/>
    <mergeCell ref="Y30:AA30"/>
    <mergeCell ref="I31:Q32"/>
    <mergeCell ref="Y31:AA31"/>
    <mergeCell ref="Y32:AA32"/>
    <mergeCell ref="S22:AC22"/>
    <mergeCell ref="S24:AC24"/>
    <mergeCell ref="R26:AC26"/>
  </mergeCells>
  <phoneticPr fontId="9" type="noConversion"/>
  <hyperlinks>
    <hyperlink ref="B22" r:id="rId1" xr:uid="{ED1A2E9E-E31C-4DCD-8372-5559B7AE01BE}"/>
  </hyperlinks>
  <pageMargins left="0.39370078740157483" right="0.39370078740157483" top="0.59055118110236227" bottom="0.39370078740157483" header="0.31496062992125984" footer="0.23622047244094491"/>
  <pageSetup paperSize="9" scale="72" orientation="portrait" horizontalDpi="1200" verticalDpi="12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E0BE-71FC-45B4-98CE-9B6B72950F22}">
  <sheetPr>
    <tabColor rgb="FF00B0F0"/>
  </sheetPr>
  <dimension ref="A1:J29"/>
  <sheetViews>
    <sheetView showGridLines="0" zoomScale="70" zoomScaleNormal="70" zoomScaleSheetLayoutView="70" workbookViewId="0">
      <selection activeCell="H38" sqref="H38"/>
    </sheetView>
  </sheetViews>
  <sheetFormatPr defaultColWidth="10" defaultRowHeight="14.4"/>
  <cols>
    <col min="1" max="1" width="12.19921875" style="13" customWidth="1"/>
    <col min="2" max="2" width="33.5" style="39" customWidth="1"/>
    <col min="3" max="3" width="48.69921875" style="39" bestFit="1" customWidth="1"/>
    <col min="4" max="4" width="18.69921875" style="39" customWidth="1"/>
    <col min="5" max="5" width="14.19921875" style="352" customWidth="1"/>
    <col min="6" max="6" width="10.3984375" style="39" customWidth="1"/>
    <col min="7" max="8" width="16.19921875" style="39" customWidth="1"/>
    <col min="9" max="9" width="17.5" style="354" customWidth="1"/>
    <col min="10" max="10" width="20.09765625" style="16" customWidth="1"/>
    <col min="11" max="16384" width="10" style="13"/>
  </cols>
  <sheetData>
    <row r="1" spans="1:10" s="8" customFormat="1">
      <c r="B1" s="5"/>
      <c r="C1" s="5"/>
      <c r="D1" s="5"/>
      <c r="E1" s="334"/>
      <c r="F1" s="5"/>
      <c r="G1" s="5"/>
      <c r="H1" s="5"/>
      <c r="I1" s="5" t="s">
        <v>0</v>
      </c>
      <c r="J1" s="16"/>
    </row>
    <row r="2" spans="1:10" s="8" customFormat="1">
      <c r="B2" s="5"/>
      <c r="C2" s="5"/>
      <c r="D2" s="5"/>
      <c r="E2" s="334"/>
      <c r="F2" s="5"/>
      <c r="G2" s="5"/>
      <c r="H2" s="5"/>
      <c r="I2" s="5" t="s">
        <v>1</v>
      </c>
      <c r="J2" s="16"/>
    </row>
    <row r="3" spans="1:10" s="8" customFormat="1">
      <c r="B3" s="5"/>
      <c r="C3" s="5"/>
      <c r="D3" s="5"/>
      <c r="E3" s="334"/>
      <c r="F3" s="5"/>
      <c r="G3" s="5"/>
      <c r="H3" s="5"/>
      <c r="I3" s="5" t="s">
        <v>2</v>
      </c>
      <c r="J3" s="16"/>
    </row>
    <row r="4" spans="1:10" s="8" customFormat="1">
      <c r="B4" s="5"/>
      <c r="C4" s="5"/>
      <c r="D4" s="5"/>
      <c r="E4" s="334"/>
      <c r="F4" s="5"/>
      <c r="G4" s="5"/>
      <c r="H4" s="5"/>
      <c r="I4" s="5" t="s">
        <v>3</v>
      </c>
      <c r="J4" s="16"/>
    </row>
    <row r="5" spans="1:10" s="8" customFormat="1">
      <c r="B5" s="5"/>
      <c r="C5" s="5"/>
      <c r="D5" s="5"/>
      <c r="E5" s="334"/>
      <c r="F5" s="5"/>
      <c r="G5" s="5"/>
      <c r="H5" s="5"/>
      <c r="I5" s="5" t="s">
        <v>4</v>
      </c>
      <c r="J5" s="16"/>
    </row>
    <row r="6" spans="1:10" ht="49.2" customHeight="1">
      <c r="A6" s="431" t="s">
        <v>230</v>
      </c>
      <c r="B6" s="390"/>
      <c r="C6" s="390"/>
      <c r="D6" s="390"/>
      <c r="E6" s="390"/>
      <c r="F6" s="390"/>
      <c r="G6" s="390"/>
      <c r="H6" s="390"/>
      <c r="I6" s="390"/>
      <c r="J6" s="390"/>
    </row>
    <row r="7" spans="1:10" ht="33" customHeight="1" thickBot="1">
      <c r="A7" s="335" t="s">
        <v>218</v>
      </c>
      <c r="B7" s="335"/>
      <c r="C7" s="335"/>
      <c r="D7" s="336"/>
      <c r="E7" s="337"/>
      <c r="F7" s="336"/>
      <c r="G7" s="336"/>
      <c r="H7" s="336"/>
      <c r="I7" s="338"/>
      <c r="J7" s="339"/>
    </row>
    <row r="8" spans="1:10" s="345" customFormat="1" ht="39.75" customHeight="1">
      <c r="A8" s="340" t="s">
        <v>219</v>
      </c>
      <c r="B8" s="341" t="s">
        <v>220</v>
      </c>
      <c r="C8" s="341" t="s">
        <v>221</v>
      </c>
      <c r="D8" s="341" t="s">
        <v>222</v>
      </c>
      <c r="E8" s="342" t="s">
        <v>223</v>
      </c>
      <c r="F8" s="341" t="s">
        <v>224</v>
      </c>
      <c r="G8" s="343" t="s">
        <v>225</v>
      </c>
      <c r="H8" s="343" t="s">
        <v>226</v>
      </c>
      <c r="I8" s="341" t="s">
        <v>227</v>
      </c>
      <c r="J8" s="344" t="s">
        <v>228</v>
      </c>
    </row>
    <row r="9" spans="1:10" s="363" customFormat="1" ht="30" customHeight="1">
      <c r="A9" s="355">
        <v>1</v>
      </c>
      <c r="B9" s="364" t="s">
        <v>237</v>
      </c>
      <c r="C9" s="356" t="s">
        <v>231</v>
      </c>
      <c r="D9" s="357"/>
      <c r="E9" s="358">
        <v>1</v>
      </c>
      <c r="F9" s="359" t="s">
        <v>150</v>
      </c>
      <c r="G9" s="360">
        <v>43542.99</v>
      </c>
      <c r="H9" s="360">
        <f>E9*G9</f>
        <v>43542.99</v>
      </c>
      <c r="I9" s="361" t="s">
        <v>239</v>
      </c>
      <c r="J9" s="362"/>
    </row>
    <row r="10" spans="1:10" s="363" customFormat="1" ht="30" customHeight="1">
      <c r="A10" s="355">
        <v>2</v>
      </c>
      <c r="B10" s="364" t="s">
        <v>151</v>
      </c>
      <c r="C10" s="356" t="s">
        <v>231</v>
      </c>
      <c r="D10" s="357"/>
      <c r="E10" s="358">
        <v>1</v>
      </c>
      <c r="F10" s="359" t="s">
        <v>150</v>
      </c>
      <c r="G10" s="360">
        <v>43542.99</v>
      </c>
      <c r="H10" s="360">
        <f t="shared" ref="H10:H26" si="0">E10*G10</f>
        <v>43542.99</v>
      </c>
      <c r="I10" s="361" t="s">
        <v>239</v>
      </c>
      <c r="J10" s="362"/>
    </row>
    <row r="11" spans="1:10" s="363" customFormat="1" ht="30" customHeight="1">
      <c r="A11" s="355">
        <v>3</v>
      </c>
      <c r="B11" s="364" t="s">
        <v>118</v>
      </c>
      <c r="C11" s="356" t="s">
        <v>231</v>
      </c>
      <c r="D11" s="357"/>
      <c r="E11" s="358">
        <v>1</v>
      </c>
      <c r="F11" s="359" t="s">
        <v>150</v>
      </c>
      <c r="G11" s="360">
        <v>10885.75</v>
      </c>
      <c r="H11" s="360">
        <f t="shared" si="0"/>
        <v>10885.75</v>
      </c>
      <c r="I11" s="361" t="s">
        <v>239</v>
      </c>
      <c r="J11" s="362"/>
    </row>
    <row r="12" spans="1:10" s="363" customFormat="1" ht="30" customHeight="1">
      <c r="A12" s="355">
        <v>4</v>
      </c>
      <c r="B12" s="364" t="s">
        <v>119</v>
      </c>
      <c r="C12" s="356" t="s">
        <v>231</v>
      </c>
      <c r="D12" s="357"/>
      <c r="E12" s="358">
        <v>1</v>
      </c>
      <c r="F12" s="359" t="s">
        <v>150</v>
      </c>
      <c r="G12" s="360">
        <v>47501.45</v>
      </c>
      <c r="H12" s="360">
        <f t="shared" si="0"/>
        <v>47501.45</v>
      </c>
      <c r="I12" s="361" t="s">
        <v>239</v>
      </c>
      <c r="J12" s="362"/>
    </row>
    <row r="13" spans="1:10" s="363" customFormat="1" ht="30" customHeight="1">
      <c r="A13" s="365">
        <v>5</v>
      </c>
      <c r="B13" s="366" t="s">
        <v>120</v>
      </c>
      <c r="C13" s="367" t="s">
        <v>231</v>
      </c>
      <c r="D13" s="368"/>
      <c r="E13" s="358">
        <v>1</v>
      </c>
      <c r="F13" s="359" t="s">
        <v>150</v>
      </c>
      <c r="G13" s="369">
        <v>47501.45</v>
      </c>
      <c r="H13" s="360">
        <f t="shared" si="0"/>
        <v>47501.45</v>
      </c>
      <c r="I13" s="361" t="s">
        <v>239</v>
      </c>
      <c r="J13" s="370"/>
    </row>
    <row r="14" spans="1:10" s="363" customFormat="1" ht="30" customHeight="1">
      <c r="A14" s="365">
        <v>6</v>
      </c>
      <c r="B14" s="366" t="s">
        <v>121</v>
      </c>
      <c r="C14" s="367" t="s">
        <v>231</v>
      </c>
      <c r="D14" s="368"/>
      <c r="E14" s="358">
        <v>1</v>
      </c>
      <c r="F14" s="359" t="s">
        <v>150</v>
      </c>
      <c r="G14" s="369">
        <v>32657.25</v>
      </c>
      <c r="H14" s="360">
        <f t="shared" si="0"/>
        <v>32657.25</v>
      </c>
      <c r="I14" s="361" t="s">
        <v>239</v>
      </c>
      <c r="J14" s="370"/>
    </row>
    <row r="15" spans="1:10" s="363" customFormat="1" ht="30" customHeight="1">
      <c r="A15" s="365">
        <v>7</v>
      </c>
      <c r="B15" s="366" t="s">
        <v>122</v>
      </c>
      <c r="C15" s="367" t="s">
        <v>233</v>
      </c>
      <c r="D15" s="368"/>
      <c r="E15" s="358">
        <v>1</v>
      </c>
      <c r="F15" s="359" t="s">
        <v>150</v>
      </c>
      <c r="G15" s="369">
        <v>25729.95</v>
      </c>
      <c r="H15" s="360">
        <f t="shared" si="0"/>
        <v>25729.95</v>
      </c>
      <c r="I15" s="361" t="s">
        <v>239</v>
      </c>
      <c r="J15" s="370"/>
    </row>
    <row r="16" spans="1:10" s="363" customFormat="1" ht="30" customHeight="1">
      <c r="A16" s="365">
        <v>8</v>
      </c>
      <c r="B16" s="366" t="s">
        <v>123</v>
      </c>
      <c r="C16" s="367" t="s">
        <v>233</v>
      </c>
      <c r="D16" s="368"/>
      <c r="E16" s="358">
        <v>1</v>
      </c>
      <c r="F16" s="359" t="s">
        <v>150</v>
      </c>
      <c r="G16" s="369">
        <v>25729.95</v>
      </c>
      <c r="H16" s="360">
        <f t="shared" si="0"/>
        <v>25729.95</v>
      </c>
      <c r="I16" s="361" t="s">
        <v>239</v>
      </c>
      <c r="J16" s="370"/>
    </row>
    <row r="17" spans="1:10" s="363" customFormat="1" ht="30" customHeight="1">
      <c r="A17" s="355">
        <v>9</v>
      </c>
      <c r="B17" s="366" t="s">
        <v>124</v>
      </c>
      <c r="C17" s="367" t="s">
        <v>233</v>
      </c>
      <c r="D17" s="368"/>
      <c r="E17" s="358">
        <v>1</v>
      </c>
      <c r="F17" s="359" t="s">
        <v>150</v>
      </c>
      <c r="G17" s="369">
        <v>25729.95</v>
      </c>
      <c r="H17" s="360">
        <f t="shared" si="0"/>
        <v>25729.95</v>
      </c>
      <c r="I17" s="361" t="s">
        <v>239</v>
      </c>
      <c r="J17" s="370"/>
    </row>
    <row r="18" spans="1:10" s="363" customFormat="1" ht="30" customHeight="1">
      <c r="A18" s="355">
        <v>10</v>
      </c>
      <c r="B18" s="366" t="s">
        <v>125</v>
      </c>
      <c r="C18" s="367" t="s">
        <v>233</v>
      </c>
      <c r="D18" s="368"/>
      <c r="E18" s="358">
        <v>1</v>
      </c>
      <c r="F18" s="359" t="s">
        <v>150</v>
      </c>
      <c r="G18" s="369">
        <v>25729.95</v>
      </c>
      <c r="H18" s="360">
        <f t="shared" si="0"/>
        <v>25729.95</v>
      </c>
      <c r="I18" s="361" t="s">
        <v>239</v>
      </c>
      <c r="J18" s="370"/>
    </row>
    <row r="19" spans="1:10" s="363" customFormat="1" ht="30" customHeight="1">
      <c r="A19" s="355">
        <v>11</v>
      </c>
      <c r="B19" s="366" t="s">
        <v>126</v>
      </c>
      <c r="C19" s="367" t="s">
        <v>233</v>
      </c>
      <c r="D19" s="368"/>
      <c r="E19" s="358">
        <v>1</v>
      </c>
      <c r="F19" s="359" t="s">
        <v>150</v>
      </c>
      <c r="G19" s="369">
        <v>31667.63</v>
      </c>
      <c r="H19" s="360">
        <f t="shared" si="0"/>
        <v>31667.63</v>
      </c>
      <c r="I19" s="361" t="s">
        <v>239</v>
      </c>
      <c r="J19" s="370"/>
    </row>
    <row r="20" spans="1:10" s="363" customFormat="1" ht="30" customHeight="1">
      <c r="A20" s="355">
        <v>12</v>
      </c>
      <c r="B20" s="366" t="s">
        <v>127</v>
      </c>
      <c r="C20" s="367" t="s">
        <v>233</v>
      </c>
      <c r="D20" s="368"/>
      <c r="E20" s="358">
        <v>1</v>
      </c>
      <c r="F20" s="359" t="s">
        <v>150</v>
      </c>
      <c r="G20" s="369">
        <v>31667.63</v>
      </c>
      <c r="H20" s="360">
        <f t="shared" si="0"/>
        <v>31667.63</v>
      </c>
      <c r="I20" s="361" t="s">
        <v>239</v>
      </c>
      <c r="J20" s="370"/>
    </row>
    <row r="21" spans="1:10" s="363" customFormat="1" ht="30" customHeight="1">
      <c r="A21" s="365">
        <v>13</v>
      </c>
      <c r="B21" s="366" t="s">
        <v>128</v>
      </c>
      <c r="C21" s="367" t="s">
        <v>233</v>
      </c>
      <c r="D21" s="368"/>
      <c r="E21" s="358">
        <v>1</v>
      </c>
      <c r="F21" s="359" t="s">
        <v>150</v>
      </c>
      <c r="G21" s="369">
        <v>49480.67</v>
      </c>
      <c r="H21" s="360">
        <f t="shared" si="0"/>
        <v>49480.67</v>
      </c>
      <c r="I21" s="361" t="s">
        <v>239</v>
      </c>
      <c r="J21" s="370"/>
    </row>
    <row r="22" spans="1:10" s="363" customFormat="1" ht="30" customHeight="1">
      <c r="A22" s="365">
        <v>14</v>
      </c>
      <c r="B22" s="366" t="s">
        <v>129</v>
      </c>
      <c r="C22" s="367" t="s">
        <v>235</v>
      </c>
      <c r="D22" s="368"/>
      <c r="E22" s="358">
        <v>1</v>
      </c>
      <c r="F22" s="359" t="s">
        <v>150</v>
      </c>
      <c r="G22" s="369">
        <v>23750.720000000001</v>
      </c>
      <c r="H22" s="360">
        <f t="shared" si="0"/>
        <v>23750.720000000001</v>
      </c>
      <c r="I22" s="361" t="s">
        <v>239</v>
      </c>
      <c r="J22" s="370"/>
    </row>
    <row r="23" spans="1:10" s="363" customFormat="1" ht="30" customHeight="1">
      <c r="A23" s="365">
        <v>15</v>
      </c>
      <c r="B23" s="366" t="s">
        <v>131</v>
      </c>
      <c r="C23" s="367" t="s">
        <v>235</v>
      </c>
      <c r="D23" s="368"/>
      <c r="E23" s="358">
        <v>1</v>
      </c>
      <c r="F23" s="359" t="s">
        <v>150</v>
      </c>
      <c r="G23" s="369">
        <v>23750.720000000001</v>
      </c>
      <c r="H23" s="360">
        <f t="shared" si="0"/>
        <v>23750.720000000001</v>
      </c>
      <c r="I23" s="361" t="s">
        <v>239</v>
      </c>
      <c r="J23" s="370"/>
    </row>
    <row r="24" spans="1:10" s="363" customFormat="1" ht="30" customHeight="1">
      <c r="A24" s="365">
        <v>16</v>
      </c>
      <c r="B24" s="366" t="s">
        <v>132</v>
      </c>
      <c r="C24" s="367" t="s">
        <v>133</v>
      </c>
      <c r="D24" s="368"/>
      <c r="E24" s="358">
        <v>1</v>
      </c>
      <c r="F24" s="359" t="s">
        <v>150</v>
      </c>
      <c r="G24" s="369">
        <v>20781.88</v>
      </c>
      <c r="H24" s="360">
        <f t="shared" si="0"/>
        <v>20781.88</v>
      </c>
      <c r="I24" s="361" t="s">
        <v>239</v>
      </c>
      <c r="J24" s="370"/>
    </row>
    <row r="25" spans="1:10" s="363" customFormat="1" ht="30" customHeight="1">
      <c r="A25" s="355">
        <v>17</v>
      </c>
      <c r="B25" s="366" t="s">
        <v>134</v>
      </c>
      <c r="C25" s="367" t="s">
        <v>238</v>
      </c>
      <c r="D25" s="368"/>
      <c r="E25" s="358">
        <v>1</v>
      </c>
      <c r="F25" s="359" t="s">
        <v>150</v>
      </c>
      <c r="G25" s="369">
        <v>42850.26</v>
      </c>
      <c r="H25" s="360">
        <f t="shared" si="0"/>
        <v>42850.26</v>
      </c>
      <c r="I25" s="361" t="s">
        <v>239</v>
      </c>
      <c r="J25" s="370"/>
    </row>
    <row r="26" spans="1:10" s="363" customFormat="1" ht="30" customHeight="1">
      <c r="A26" s="355">
        <v>18</v>
      </c>
      <c r="B26" s="366" t="s">
        <v>173</v>
      </c>
      <c r="C26" s="367" t="s">
        <v>137</v>
      </c>
      <c r="D26" s="368"/>
      <c r="E26" s="358">
        <v>1</v>
      </c>
      <c r="F26" s="359" t="s">
        <v>150</v>
      </c>
      <c r="G26" s="369">
        <v>36417.800000000003</v>
      </c>
      <c r="H26" s="360">
        <f t="shared" si="0"/>
        <v>36417.800000000003</v>
      </c>
      <c r="I26" s="361" t="s">
        <v>239</v>
      </c>
      <c r="J26" s="370"/>
    </row>
    <row r="27" spans="1:10" ht="30" customHeight="1" thickBot="1">
      <c r="A27" s="346"/>
      <c r="B27" s="347"/>
      <c r="C27" s="432" t="s">
        <v>229</v>
      </c>
      <c r="D27" s="432"/>
      <c r="E27" s="432"/>
      <c r="F27" s="432"/>
      <c r="G27" s="348"/>
      <c r="H27" s="349">
        <f>SUM(H9:H26)</f>
        <v>588918.99000000011</v>
      </c>
      <c r="I27" s="350"/>
      <c r="J27" s="351"/>
    </row>
    <row r="28" spans="1:10" s="16" customFormat="1">
      <c r="A28" s="13"/>
      <c r="B28" s="39"/>
      <c r="C28" s="39"/>
      <c r="D28" s="39"/>
      <c r="E28" s="352"/>
      <c r="F28" s="39"/>
      <c r="G28" s="39"/>
      <c r="H28" s="39"/>
      <c r="I28" s="353"/>
    </row>
    <row r="29" spans="1:10" s="16" customFormat="1">
      <c r="A29" s="13"/>
      <c r="B29" s="39"/>
      <c r="C29" s="39"/>
      <c r="D29" s="39"/>
      <c r="E29" s="352"/>
      <c r="F29" s="39"/>
      <c r="G29" s="39"/>
      <c r="H29" s="39"/>
      <c r="I29" s="353"/>
    </row>
  </sheetData>
  <protectedRanges>
    <protectedRange sqref="C9:H26" name="범위1_12"/>
  </protectedRanges>
  <autoFilter ref="B8:J27" xr:uid="{00000000-0009-0000-0000-000001000000}"/>
  <mergeCells count="2">
    <mergeCell ref="A6:J6"/>
    <mergeCell ref="C27:F27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45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5982-D43C-442B-A342-A7C4C2986A43}">
  <sheetPr>
    <tabColor rgb="FF00B0F0"/>
  </sheetPr>
  <dimension ref="A1:AV60"/>
  <sheetViews>
    <sheetView showGridLines="0" view="pageBreakPreview" zoomScale="85" zoomScaleNormal="100" zoomScaleSheetLayoutView="85" workbookViewId="0">
      <selection activeCell="B43" sqref="B43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6" width="3" style="5" customWidth="1"/>
    <col min="17" max="17" width="7" style="5" customWidth="1"/>
    <col min="18" max="18" width="2.3984375" style="5" customWidth="1"/>
    <col min="19" max="20" width="4.69921875" style="5" customWidth="1"/>
    <col min="21" max="21" width="2.3984375" style="5" customWidth="1"/>
    <col min="22" max="24" width="4.3984375" style="5" customWidth="1"/>
    <col min="25" max="25" width="2.3984375" style="5" customWidth="1"/>
    <col min="26" max="28" width="4.3984375" style="5" customWidth="1"/>
    <col min="29" max="29" width="15" style="5" customWidth="1"/>
    <col min="30" max="31" width="3" style="8" customWidth="1"/>
    <col min="32" max="32" width="12.69921875" style="8" customWidth="1"/>
    <col min="33" max="16384" width="3" style="8"/>
  </cols>
  <sheetData>
    <row r="1" spans="1:29">
      <c r="A1" s="135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 t="s">
        <v>0</v>
      </c>
      <c r="X1" s="136"/>
      <c r="Y1" s="136"/>
      <c r="Z1" s="136"/>
      <c r="AA1" s="136"/>
      <c r="AB1" s="136"/>
      <c r="AC1" s="137"/>
    </row>
    <row r="2" spans="1:29">
      <c r="A2" s="138"/>
      <c r="W2" s="5" t="s">
        <v>1</v>
      </c>
      <c r="AC2" s="139"/>
    </row>
    <row r="3" spans="1:29">
      <c r="A3" s="138"/>
      <c r="W3" s="5" t="s">
        <v>2</v>
      </c>
      <c r="AC3" s="139"/>
    </row>
    <row r="4" spans="1:29">
      <c r="A4" s="138"/>
      <c r="W4" s="5" t="s">
        <v>3</v>
      </c>
      <c r="AC4" s="139"/>
    </row>
    <row r="5" spans="1:29">
      <c r="A5" s="138"/>
      <c r="W5" s="5" t="s">
        <v>4</v>
      </c>
      <c r="AC5" s="139"/>
    </row>
    <row r="6" spans="1:29" ht="39.9" customHeight="1">
      <c r="A6" s="389" t="s">
        <v>62</v>
      </c>
      <c r="B6" s="390"/>
      <c r="C6" s="390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390"/>
      <c r="O6" s="390"/>
      <c r="P6" s="390"/>
      <c r="Q6" s="390"/>
      <c r="R6" s="390"/>
      <c r="S6" s="390"/>
      <c r="T6" s="390"/>
      <c r="U6" s="390"/>
      <c r="V6" s="390"/>
      <c r="W6" s="390"/>
      <c r="X6" s="390"/>
      <c r="Y6" s="390"/>
      <c r="Z6" s="390"/>
      <c r="AA6" s="390"/>
      <c r="AB6" s="390"/>
      <c r="AC6" s="391"/>
    </row>
    <row r="7" spans="1:29" ht="14.4" thickBot="1">
      <c r="A7" s="140"/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2"/>
    </row>
    <row r="8" spans="1:29" s="18" customFormat="1" ht="15" customHeight="1">
      <c r="A8" s="143" t="s">
        <v>5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5"/>
      <c r="R8" s="146" t="s">
        <v>63</v>
      </c>
      <c r="S8" s="144"/>
      <c r="T8" s="144"/>
      <c r="U8" s="146"/>
      <c r="V8" s="392" t="str">
        <f>CI!V8</f>
        <v>PGU-DE-0219</v>
      </c>
      <c r="W8" s="392"/>
      <c r="X8" s="392"/>
      <c r="Y8" s="392"/>
      <c r="Z8" s="392"/>
      <c r="AA8" s="144"/>
      <c r="AB8" s="144"/>
      <c r="AC8" s="167"/>
    </row>
    <row r="9" spans="1:29" s="18" customFormat="1" ht="15" customHeight="1">
      <c r="A9" s="147"/>
      <c r="B9" s="130" t="s">
        <v>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57"/>
      <c r="R9" s="156" t="s">
        <v>9</v>
      </c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68"/>
    </row>
    <row r="10" spans="1:29" s="18" customFormat="1" ht="15" customHeight="1">
      <c r="A10" s="147"/>
      <c r="B10" s="16" t="s">
        <v>64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23"/>
      <c r="R10" s="130" t="s">
        <v>10</v>
      </c>
      <c r="S10" s="16"/>
      <c r="T10" s="16"/>
      <c r="U10" s="16"/>
      <c r="V10" s="393">
        <f>CI!V10</f>
        <v>45693</v>
      </c>
      <c r="W10" s="393"/>
      <c r="X10" s="393"/>
      <c r="Y10" s="393"/>
      <c r="Z10" s="393"/>
      <c r="AA10" s="16"/>
      <c r="AB10" s="16"/>
      <c r="AC10" s="148"/>
    </row>
    <row r="11" spans="1:29" s="18" customFormat="1" ht="15" customHeight="1">
      <c r="A11" s="124"/>
      <c r="B11" s="126" t="s">
        <v>11</v>
      </c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7"/>
      <c r="R11" s="156" t="s">
        <v>12</v>
      </c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68"/>
    </row>
    <row r="12" spans="1:29" s="18" customFormat="1" ht="14.4">
      <c r="A12" s="149" t="s">
        <v>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23"/>
      <c r="R12" s="130" t="s">
        <v>14</v>
      </c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48"/>
    </row>
    <row r="13" spans="1:29" s="120" customFormat="1" ht="15.9" customHeight="1">
      <c r="A13" s="119"/>
      <c r="B13" s="130" t="s">
        <v>210</v>
      </c>
      <c r="C13" s="210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122"/>
      <c r="R13" s="210"/>
      <c r="AC13" s="131"/>
    </row>
    <row r="14" spans="1:29" s="120" customFormat="1" ht="15" customHeight="1">
      <c r="A14" s="121"/>
      <c r="B14" s="16" t="s">
        <v>211</v>
      </c>
      <c r="C14" s="210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122"/>
      <c r="R14" s="211"/>
      <c r="S14" s="129" t="s">
        <v>16</v>
      </c>
      <c r="T14" s="16"/>
      <c r="U14" s="16"/>
      <c r="V14" s="16"/>
      <c r="W14" s="16"/>
      <c r="X14" s="16"/>
      <c r="Y14" s="16"/>
      <c r="Z14" s="16"/>
      <c r="AA14" s="16"/>
      <c r="AB14" s="16"/>
      <c r="AC14" s="148"/>
    </row>
    <row r="15" spans="1:29" s="120" customFormat="1" ht="15" customHeight="1">
      <c r="A15" s="119"/>
      <c r="B15" s="16" t="s">
        <v>212</v>
      </c>
      <c r="C15" s="210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122"/>
      <c r="R15" s="210"/>
      <c r="S15" s="394" t="s">
        <v>214</v>
      </c>
      <c r="T15" s="394"/>
      <c r="U15" s="394"/>
      <c r="V15" s="394"/>
      <c r="W15" s="394"/>
      <c r="X15" s="394"/>
      <c r="Y15" s="394"/>
      <c r="Z15" s="394"/>
      <c r="AA15" s="394"/>
      <c r="AB15" s="394"/>
      <c r="AC15" s="395"/>
    </row>
    <row r="16" spans="1:29" s="18" customFormat="1" ht="15" customHeight="1">
      <c r="A16" s="147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23"/>
      <c r="R16" s="130"/>
      <c r="S16" s="396" t="s">
        <v>65</v>
      </c>
      <c r="T16" s="396"/>
      <c r="U16" s="396"/>
      <c r="V16" s="396"/>
      <c r="W16" s="396"/>
      <c r="X16" s="396"/>
      <c r="Y16" s="396"/>
      <c r="Z16" s="396"/>
      <c r="AA16" s="396"/>
      <c r="AB16" s="396"/>
      <c r="AC16" s="397"/>
    </row>
    <row r="17" spans="1:48" s="18" customFormat="1" ht="15" customHeight="1">
      <c r="A17" s="147"/>
      <c r="B17" s="118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23"/>
      <c r="R17" s="130"/>
      <c r="S17" s="129" t="s">
        <v>17</v>
      </c>
      <c r="T17" s="16"/>
      <c r="U17" s="16"/>
      <c r="V17" s="16"/>
      <c r="W17" s="16"/>
      <c r="X17" s="16"/>
      <c r="Y17" s="16"/>
      <c r="Z17" s="16"/>
      <c r="AA17" s="16"/>
      <c r="AB17" s="16"/>
      <c r="AC17" s="148"/>
    </row>
    <row r="18" spans="1:48" s="18" customFormat="1" ht="14.4">
      <c r="A18" s="124"/>
      <c r="B18" s="125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7"/>
      <c r="R18" s="130"/>
      <c r="S18" s="379" t="s">
        <v>18</v>
      </c>
      <c r="T18" s="379"/>
      <c r="U18" s="379"/>
      <c r="V18" s="379"/>
      <c r="W18" s="379"/>
      <c r="X18" s="379"/>
      <c r="Y18" s="379"/>
      <c r="Z18" s="379"/>
      <c r="AA18" s="379"/>
      <c r="AB18" s="379"/>
      <c r="AC18" s="380"/>
    </row>
    <row r="19" spans="1:48" s="18" customFormat="1" ht="14.4">
      <c r="A19" s="149" t="s">
        <v>19</v>
      </c>
      <c r="B19" s="1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23"/>
      <c r="R19" s="130"/>
      <c r="S19" s="129" t="s">
        <v>20</v>
      </c>
      <c r="T19" s="16"/>
      <c r="U19" s="16"/>
      <c r="V19" s="16"/>
      <c r="W19" s="54"/>
      <c r="X19" s="54"/>
      <c r="Y19" s="54"/>
      <c r="Z19" s="130"/>
      <c r="AA19" s="130"/>
      <c r="AB19" s="130"/>
      <c r="AC19" s="148"/>
    </row>
    <row r="20" spans="1:48" s="18" customFormat="1" ht="14.4">
      <c r="A20" s="147"/>
      <c r="B20" s="212" t="str">
        <f>CI!B20</f>
        <v>Wise Logistics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23"/>
      <c r="R20" s="130"/>
      <c r="S20" s="379">
        <v>2024</v>
      </c>
      <c r="T20" s="379"/>
      <c r="U20" s="379"/>
      <c r="V20" s="379"/>
      <c r="W20" s="379"/>
      <c r="X20" s="379"/>
      <c r="Y20" s="379"/>
      <c r="Z20" s="379"/>
      <c r="AA20" s="379"/>
      <c r="AB20" s="379"/>
      <c r="AC20" s="380"/>
    </row>
    <row r="21" spans="1:48" s="18" customFormat="1" ht="14.4">
      <c r="A21" s="147"/>
      <c r="B21" s="118" t="str">
        <f>CI!B21</f>
        <v xml:space="preserve">ATTAN: MS. Aliya 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23"/>
      <c r="R21" s="16"/>
      <c r="S21" s="129" t="s">
        <v>23</v>
      </c>
      <c r="T21" s="129"/>
      <c r="U21" s="129"/>
      <c r="V21" s="129"/>
      <c r="W21" s="89"/>
      <c r="X21" s="89"/>
      <c r="Y21" s="89"/>
      <c r="Z21" s="130"/>
      <c r="AA21" s="16"/>
      <c r="AB21" s="16"/>
      <c r="AC21" s="148"/>
      <c r="AV21" s="1"/>
    </row>
    <row r="22" spans="1:48" s="18" customFormat="1" ht="14.4">
      <c r="A22" s="177"/>
      <c r="B22" s="118" t="str">
        <f>CI!B22</f>
        <v>(E): a.kipshakbayeva@wiselogistics.kz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23"/>
      <c r="R22" s="150"/>
      <c r="S22" s="379" t="s">
        <v>25</v>
      </c>
      <c r="T22" s="379"/>
      <c r="U22" s="379"/>
      <c r="V22" s="379"/>
      <c r="W22" s="379"/>
      <c r="X22" s="379"/>
      <c r="Y22" s="379"/>
      <c r="Z22" s="379"/>
      <c r="AA22" s="379"/>
      <c r="AB22" s="379"/>
      <c r="AC22" s="380"/>
    </row>
    <row r="23" spans="1:48" s="18" customFormat="1" ht="14.4">
      <c r="A23" s="147"/>
      <c r="B23" s="118" t="str">
        <f>CI!B23</f>
        <v>(T): +7 701 512 19 69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23"/>
      <c r="R23" s="151"/>
      <c r="S23" s="129" t="s">
        <v>27</v>
      </c>
      <c r="T23" s="179"/>
      <c r="U23" s="16"/>
      <c r="V23" s="16"/>
      <c r="AA23" s="16"/>
      <c r="AB23" s="16"/>
      <c r="AC23" s="148"/>
    </row>
    <row r="24" spans="1:48" s="18" customFormat="1" ht="14.4">
      <c r="A24" s="147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23"/>
      <c r="R24" s="178"/>
      <c r="S24" s="379" t="str">
        <f>CI!S24</f>
        <v>DDP Turkistan</v>
      </c>
      <c r="T24" s="379"/>
      <c r="U24" s="379"/>
      <c r="V24" s="379"/>
      <c r="W24" s="379"/>
      <c r="X24" s="379"/>
      <c r="Y24" s="379"/>
      <c r="Z24" s="379"/>
      <c r="AA24" s="379"/>
      <c r="AB24" s="379"/>
      <c r="AC24" s="380"/>
    </row>
    <row r="25" spans="1:48" s="18" customFormat="1" ht="14.4">
      <c r="A25" s="147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23"/>
      <c r="R25" s="16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331"/>
    </row>
    <row r="26" spans="1:48" s="18" customFormat="1" ht="14.4" customHeight="1">
      <c r="A26" s="147"/>
      <c r="B26" s="180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23"/>
      <c r="R26" s="90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2"/>
    </row>
    <row r="27" spans="1:48" s="18" customFormat="1" ht="15" customHeight="1">
      <c r="A27" s="152" t="s">
        <v>28</v>
      </c>
      <c r="B27" s="153"/>
      <c r="C27" s="153"/>
      <c r="D27" s="153"/>
      <c r="E27" s="153"/>
      <c r="F27" s="153"/>
      <c r="G27" s="153"/>
      <c r="H27" s="154"/>
      <c r="I27" s="373" t="s">
        <v>29</v>
      </c>
      <c r="J27" s="374"/>
      <c r="K27" s="374"/>
      <c r="L27" s="374"/>
      <c r="M27" s="374"/>
      <c r="N27" s="374"/>
      <c r="O27" s="374"/>
      <c r="P27" s="374"/>
      <c r="Q27" s="375"/>
      <c r="R27" s="171" t="s">
        <v>30</v>
      </c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172"/>
    </row>
    <row r="28" spans="1:48" s="18" customFormat="1" ht="14.4">
      <c r="A28" s="147"/>
      <c r="B28" s="16" t="s">
        <v>31</v>
      </c>
      <c r="C28" s="16"/>
      <c r="D28" s="16"/>
      <c r="E28" s="16"/>
      <c r="F28" s="16"/>
      <c r="G28" s="16"/>
      <c r="H28" s="123"/>
      <c r="I28" s="16"/>
      <c r="J28" s="16" t="s">
        <v>32</v>
      </c>
      <c r="K28" s="16"/>
      <c r="L28" s="16"/>
      <c r="M28" s="16"/>
      <c r="N28" s="16"/>
      <c r="O28" s="16"/>
      <c r="P28" s="16"/>
      <c r="Q28" s="123"/>
      <c r="R28" s="16"/>
      <c r="AA28" s="16"/>
      <c r="AB28" s="16"/>
      <c r="AC28" s="148"/>
    </row>
    <row r="29" spans="1:48" s="18" customFormat="1" ht="14.4">
      <c r="A29" s="124"/>
      <c r="B29" s="155"/>
      <c r="C29" s="126"/>
      <c r="D29" s="126"/>
      <c r="E29" s="126"/>
      <c r="F29" s="126"/>
      <c r="G29" s="126"/>
      <c r="H29" s="127"/>
      <c r="I29" s="126"/>
      <c r="J29" s="155"/>
      <c r="K29" s="126"/>
      <c r="L29" s="126"/>
      <c r="M29" s="126"/>
      <c r="N29" s="126"/>
      <c r="O29" s="126"/>
      <c r="P29" s="126"/>
      <c r="Q29" s="127"/>
      <c r="R29" s="16"/>
      <c r="S29" s="129" t="s">
        <v>33</v>
      </c>
      <c r="U29" s="16"/>
      <c r="V29" s="16"/>
      <c r="X29" s="16" t="s">
        <v>34</v>
      </c>
      <c r="Y29" s="16" t="s">
        <v>241</v>
      </c>
      <c r="AA29" s="16"/>
      <c r="AB29" s="16"/>
      <c r="AC29" s="148"/>
    </row>
    <row r="30" spans="1:48" s="18" customFormat="1" ht="14.4">
      <c r="A30" s="149" t="s">
        <v>35</v>
      </c>
      <c r="B30" s="16"/>
      <c r="C30" s="16"/>
      <c r="D30" s="16"/>
      <c r="E30" s="16"/>
      <c r="F30" s="16"/>
      <c r="G30" s="16"/>
      <c r="H30" s="123"/>
      <c r="I30" s="373" t="s">
        <v>66</v>
      </c>
      <c r="J30" s="374"/>
      <c r="K30" s="374"/>
      <c r="L30" s="374"/>
      <c r="M30" s="374"/>
      <c r="N30" s="374"/>
      <c r="O30" s="374"/>
      <c r="P30" s="374"/>
      <c r="Q30" s="375"/>
      <c r="R30" s="16"/>
      <c r="S30" s="129" t="s">
        <v>37</v>
      </c>
      <c r="T30" s="16"/>
      <c r="X30" s="16" t="s">
        <v>34</v>
      </c>
      <c r="Z30" s="229"/>
      <c r="AA30" s="229"/>
      <c r="AB30" s="229">
        <f>COUNT('Summary PL'!A14:A31)</f>
        <v>18</v>
      </c>
      <c r="AC30" s="148" t="s">
        <v>38</v>
      </c>
    </row>
    <row r="31" spans="1:48" s="18" customFormat="1" ht="14.4">
      <c r="A31" s="149"/>
      <c r="B31" s="16"/>
      <c r="C31" s="16"/>
      <c r="D31" s="16"/>
      <c r="E31" s="16"/>
      <c r="F31" s="16"/>
      <c r="G31" s="16"/>
      <c r="H31" s="123"/>
      <c r="I31" s="378"/>
      <c r="J31" s="376"/>
      <c r="K31" s="376"/>
      <c r="L31" s="376"/>
      <c r="M31" s="376"/>
      <c r="N31" s="376"/>
      <c r="O31" s="376"/>
      <c r="P31" s="376"/>
      <c r="Q31" s="377"/>
      <c r="R31" s="16"/>
      <c r="S31" s="129" t="s">
        <v>39</v>
      </c>
      <c r="X31" s="16" t="s">
        <v>34</v>
      </c>
      <c r="Y31" s="433">
        <f>'Summary PL'!L32</f>
        <v>5951</v>
      </c>
      <c r="Z31" s="433"/>
      <c r="AA31" s="433"/>
      <c r="AB31" s="433"/>
      <c r="AC31" s="148" t="s">
        <v>40</v>
      </c>
    </row>
    <row r="32" spans="1:48" s="18" customFormat="1" ht="17.7" customHeight="1">
      <c r="A32" s="147"/>
      <c r="B32" s="16" t="s">
        <v>32</v>
      </c>
      <c r="C32" s="16"/>
      <c r="D32" s="16"/>
      <c r="E32" s="16"/>
      <c r="F32" s="16"/>
      <c r="G32" s="16"/>
      <c r="H32" s="123"/>
      <c r="I32" s="382"/>
      <c r="J32" s="383"/>
      <c r="K32" s="383"/>
      <c r="L32" s="383"/>
      <c r="M32" s="383"/>
      <c r="N32" s="383"/>
      <c r="O32" s="383"/>
      <c r="P32" s="383"/>
      <c r="Q32" s="384"/>
      <c r="R32" s="16"/>
      <c r="S32" s="129" t="s">
        <v>41</v>
      </c>
      <c r="X32" s="16" t="s">
        <v>34</v>
      </c>
      <c r="Y32" s="381">
        <f>'Summary PL'!M32</f>
        <v>10451</v>
      </c>
      <c r="Z32" s="381"/>
      <c r="AA32" s="381"/>
      <c r="AB32" s="381"/>
      <c r="AC32" s="148" t="s">
        <v>40</v>
      </c>
    </row>
    <row r="33" spans="1:39" s="18" customFormat="1" ht="16.2">
      <c r="A33" s="124"/>
      <c r="B33" s="126"/>
      <c r="C33" s="126"/>
      <c r="D33" s="126"/>
      <c r="E33" s="126"/>
      <c r="F33" s="126"/>
      <c r="G33" s="126"/>
      <c r="H33" s="127"/>
      <c r="I33" s="385"/>
      <c r="J33" s="386"/>
      <c r="K33" s="386"/>
      <c r="L33" s="386"/>
      <c r="M33" s="386"/>
      <c r="N33" s="386"/>
      <c r="O33" s="386"/>
      <c r="P33" s="386"/>
      <c r="Q33" s="387"/>
      <c r="R33" s="16"/>
      <c r="S33" s="129" t="s">
        <v>42</v>
      </c>
      <c r="U33" s="16"/>
      <c r="V33" s="16"/>
      <c r="W33" s="16"/>
      <c r="X33" s="16" t="s">
        <v>34</v>
      </c>
      <c r="Y33" s="381">
        <f>'Summary PL'!K32</f>
        <v>148.91699999999997</v>
      </c>
      <c r="Z33" s="381"/>
      <c r="AA33" s="381"/>
      <c r="AB33" s="381"/>
      <c r="AC33" s="148" t="s">
        <v>43</v>
      </c>
    </row>
    <row r="34" spans="1:39" s="18" customFormat="1" ht="16.5" customHeight="1">
      <c r="A34" s="149" t="s">
        <v>67</v>
      </c>
      <c r="B34" s="16"/>
      <c r="C34" s="16"/>
      <c r="D34" s="16"/>
      <c r="E34" s="16"/>
      <c r="F34" s="16"/>
      <c r="G34" s="16"/>
      <c r="H34" s="123"/>
      <c r="I34" s="373" t="s">
        <v>45</v>
      </c>
      <c r="J34" s="374"/>
      <c r="K34" s="374"/>
      <c r="L34" s="374"/>
      <c r="M34" s="374"/>
      <c r="N34" s="374"/>
      <c r="O34" s="374"/>
      <c r="P34" s="374"/>
      <c r="Q34" s="375"/>
      <c r="R34" s="16"/>
      <c r="T34" s="16"/>
      <c r="U34" s="16"/>
      <c r="V34" s="16"/>
      <c r="W34" s="16"/>
      <c r="X34" s="16"/>
      <c r="AA34" s="16"/>
      <c r="AB34" s="16"/>
      <c r="AC34" s="148"/>
    </row>
    <row r="35" spans="1:39" s="18" customFormat="1" ht="14.4">
      <c r="A35" s="149"/>
      <c r="B35" s="16" t="s">
        <v>32</v>
      </c>
      <c r="C35" s="16"/>
      <c r="D35" s="16"/>
      <c r="E35" s="16"/>
      <c r="F35" s="16"/>
      <c r="G35" s="16"/>
      <c r="H35" s="123"/>
      <c r="I35" s="378"/>
      <c r="J35" s="376"/>
      <c r="K35" s="376"/>
      <c r="L35" s="376"/>
      <c r="M35" s="376"/>
      <c r="N35" s="376"/>
      <c r="O35" s="376"/>
      <c r="P35" s="376"/>
      <c r="Q35" s="377"/>
      <c r="R35" s="16"/>
      <c r="S35" s="16"/>
      <c r="T35" s="16"/>
      <c r="U35" s="16"/>
      <c r="V35" s="16"/>
      <c r="W35" s="16"/>
      <c r="X35" s="16"/>
      <c r="AA35" s="16"/>
      <c r="AB35" s="16"/>
      <c r="AC35" s="148"/>
    </row>
    <row r="36" spans="1:39" s="18" customFormat="1" ht="14.4" customHeight="1">
      <c r="A36" s="147"/>
      <c r="C36" s="16"/>
      <c r="D36" s="16"/>
      <c r="E36" s="16"/>
      <c r="F36" s="16"/>
      <c r="G36" s="16"/>
      <c r="H36" s="123"/>
      <c r="I36" s="16"/>
      <c r="J36" s="372" t="s">
        <v>32</v>
      </c>
      <c r="K36" s="372"/>
      <c r="L36" s="372"/>
      <c r="M36" s="372"/>
      <c r="N36" s="372"/>
      <c r="O36" s="372"/>
      <c r="P36" s="372"/>
      <c r="Q36" s="123"/>
      <c r="R36" s="16"/>
      <c r="S36" s="434"/>
      <c r="T36" s="434"/>
      <c r="U36" s="434"/>
      <c r="V36" s="434"/>
      <c r="W36" s="434"/>
      <c r="X36" s="434"/>
      <c r="Y36" s="434"/>
      <c r="Z36" s="434"/>
      <c r="AA36" s="434"/>
      <c r="AB36" s="434"/>
      <c r="AC36" s="435"/>
    </row>
    <row r="37" spans="1:39" s="18" customFormat="1" ht="14.4">
      <c r="A37" s="124"/>
      <c r="B37" s="126"/>
      <c r="C37" s="126"/>
      <c r="D37" s="126"/>
      <c r="E37" s="126"/>
      <c r="F37" s="126"/>
      <c r="G37" s="126"/>
      <c r="H37" s="127"/>
      <c r="I37" s="126"/>
      <c r="J37" s="126"/>
      <c r="K37" s="126"/>
      <c r="L37" s="126"/>
      <c r="M37" s="126"/>
      <c r="N37" s="126"/>
      <c r="O37" s="126"/>
      <c r="P37" s="126"/>
      <c r="Q37" s="127"/>
      <c r="R37" s="16"/>
      <c r="S37" s="434"/>
      <c r="T37" s="434"/>
      <c r="U37" s="434"/>
      <c r="V37" s="434"/>
      <c r="W37" s="434"/>
      <c r="X37" s="434"/>
      <c r="Y37" s="434"/>
      <c r="Z37" s="434"/>
      <c r="AA37" s="434"/>
      <c r="AB37" s="434"/>
      <c r="AC37" s="435"/>
    </row>
    <row r="38" spans="1:39" s="18" customFormat="1" ht="14.4">
      <c r="A38" s="152" t="s">
        <v>46</v>
      </c>
      <c r="B38" s="153"/>
      <c r="C38" s="153"/>
      <c r="D38" s="153"/>
      <c r="E38" s="153"/>
      <c r="F38" s="153"/>
      <c r="G38" s="153"/>
      <c r="H38" s="153"/>
      <c r="I38" s="169"/>
      <c r="J38" s="153"/>
      <c r="K38" s="153"/>
      <c r="L38" s="153"/>
      <c r="M38" s="153"/>
      <c r="N38" s="153"/>
      <c r="O38" s="153"/>
      <c r="P38" s="153"/>
      <c r="Q38" s="154"/>
      <c r="R38" s="16"/>
      <c r="S38" s="434"/>
      <c r="T38" s="434"/>
      <c r="U38" s="434"/>
      <c r="V38" s="434"/>
      <c r="W38" s="434"/>
      <c r="X38" s="434"/>
      <c r="Y38" s="434"/>
      <c r="Z38" s="434"/>
      <c r="AA38" s="434"/>
      <c r="AB38" s="434"/>
      <c r="AC38" s="435"/>
    </row>
    <row r="39" spans="1:39" s="18" customFormat="1" ht="14.4">
      <c r="A39" s="147"/>
      <c r="B39" s="16" t="s">
        <v>15</v>
      </c>
      <c r="C39" s="16"/>
      <c r="D39" s="16"/>
      <c r="E39" s="16"/>
      <c r="F39" s="16"/>
      <c r="G39" s="16"/>
      <c r="H39" s="16"/>
      <c r="I39" s="16"/>
      <c r="J39" s="214"/>
      <c r="K39" s="214"/>
      <c r="L39" s="214"/>
      <c r="M39" s="214"/>
      <c r="N39" s="214"/>
      <c r="O39" s="214"/>
      <c r="P39" s="214"/>
      <c r="Q39" s="123"/>
      <c r="R39" s="16"/>
      <c r="S39" s="434"/>
      <c r="T39" s="434"/>
      <c r="U39" s="434"/>
      <c r="V39" s="434"/>
      <c r="W39" s="434"/>
      <c r="X39" s="434"/>
      <c r="Y39" s="434"/>
      <c r="Z39" s="434"/>
      <c r="AA39" s="434"/>
      <c r="AB39" s="434"/>
      <c r="AC39" s="435"/>
    </row>
    <row r="40" spans="1:39" s="18" customFormat="1" ht="14.4">
      <c r="A40" s="124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7"/>
      <c r="R40" s="16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81"/>
    </row>
    <row r="41" spans="1:39" s="18" customFormat="1" ht="16.5" customHeight="1">
      <c r="A41" s="421" t="s">
        <v>47</v>
      </c>
      <c r="B41" s="422"/>
      <c r="C41" s="422"/>
      <c r="D41" s="422"/>
      <c r="E41" s="422"/>
      <c r="F41" s="422"/>
      <c r="G41" s="422"/>
      <c r="H41" s="422"/>
      <c r="I41" s="422"/>
      <c r="J41" s="422"/>
      <c r="K41" s="422"/>
      <c r="L41" s="422"/>
      <c r="M41" s="422"/>
      <c r="N41" s="422"/>
      <c r="O41" s="422"/>
      <c r="P41" s="422"/>
      <c r="Q41" s="423"/>
      <c r="R41" s="427" t="s">
        <v>68</v>
      </c>
      <c r="S41" s="428"/>
      <c r="T41" s="430"/>
      <c r="U41" s="427" t="s">
        <v>69</v>
      </c>
      <c r="V41" s="428"/>
      <c r="W41" s="428"/>
      <c r="X41" s="430"/>
      <c r="Y41" s="427" t="s">
        <v>70</v>
      </c>
      <c r="Z41" s="428"/>
      <c r="AA41" s="428"/>
      <c r="AB41" s="430"/>
      <c r="AC41" s="209" t="s">
        <v>71</v>
      </c>
    </row>
    <row r="42" spans="1:39" s="18" customFormat="1" ht="16.5" customHeight="1">
      <c r="A42" s="424"/>
      <c r="B42" s="425"/>
      <c r="C42" s="425"/>
      <c r="D42" s="425"/>
      <c r="E42" s="425"/>
      <c r="F42" s="425"/>
      <c r="G42" s="425"/>
      <c r="H42" s="425"/>
      <c r="I42" s="425"/>
      <c r="J42" s="425"/>
      <c r="K42" s="425"/>
      <c r="L42" s="425"/>
      <c r="M42" s="425"/>
      <c r="N42" s="425"/>
      <c r="O42" s="425"/>
      <c r="P42" s="425"/>
      <c r="Q42" s="426"/>
      <c r="R42" s="403" t="s">
        <v>72</v>
      </c>
      <c r="S42" s="404"/>
      <c r="T42" s="405"/>
      <c r="U42" s="403" t="s">
        <v>73</v>
      </c>
      <c r="V42" s="404"/>
      <c r="W42" s="404"/>
      <c r="X42" s="405"/>
      <c r="Y42" s="403" t="s">
        <v>73</v>
      </c>
      <c r="Z42" s="404"/>
      <c r="AA42" s="404"/>
      <c r="AB42" s="405"/>
      <c r="AC42" s="208" t="s">
        <v>74</v>
      </c>
      <c r="AF42" s="440"/>
      <c r="AG42" s="440"/>
      <c r="AH42" s="440"/>
      <c r="AI42" s="440"/>
      <c r="AJ42" s="440"/>
      <c r="AK42" s="440"/>
      <c r="AL42" s="440"/>
      <c r="AM42" s="440"/>
    </row>
    <row r="43" spans="1:39" s="53" customFormat="1" ht="18" customHeight="1">
      <c r="A43" s="176"/>
      <c r="B43" s="16" t="str">
        <f>CI!B42</f>
        <v>Distributed Control System (DCS)</v>
      </c>
      <c r="C43" s="16"/>
      <c r="D43" s="16"/>
      <c r="E43" s="16"/>
      <c r="F43" s="16"/>
      <c r="G43" s="16"/>
      <c r="H43" s="16"/>
      <c r="I43" s="153"/>
      <c r="J43" s="153"/>
      <c r="K43" s="153"/>
      <c r="L43" s="153"/>
      <c r="M43" s="153"/>
      <c r="N43" s="153"/>
      <c r="O43" s="153"/>
      <c r="P43" s="153"/>
      <c r="Q43" s="123"/>
      <c r="R43" s="441" t="s">
        <v>240</v>
      </c>
      <c r="S43" s="442"/>
      <c r="T43" s="443"/>
      <c r="U43" s="444">
        <f>'Summary PL'!L32</f>
        <v>5951</v>
      </c>
      <c r="V43" s="445"/>
      <c r="W43" s="445"/>
      <c r="X43" s="446"/>
      <c r="Y43" s="444">
        <f>'Summary PL'!M32</f>
        <v>10451</v>
      </c>
      <c r="Z43" s="445"/>
      <c r="AA43" s="445"/>
      <c r="AB43" s="446"/>
      <c r="AC43" s="371">
        <f>'Summary PL'!K32</f>
        <v>148.91699999999997</v>
      </c>
      <c r="AE43" s="52"/>
    </row>
    <row r="44" spans="1:39" s="18" customFormat="1" ht="18" customHeight="1">
      <c r="A44" s="176"/>
      <c r="B44" s="241" t="str">
        <f>CI!AD43</f>
        <v>Распределенная система управления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23"/>
      <c r="R44" s="441"/>
      <c r="S44" s="442"/>
      <c r="T44" s="443"/>
      <c r="U44" s="437"/>
      <c r="V44" s="438"/>
      <c r="W44" s="438"/>
      <c r="X44" s="439"/>
      <c r="Y44" s="437"/>
      <c r="Z44" s="438"/>
      <c r="AA44" s="438"/>
      <c r="AB44" s="439"/>
      <c r="AC44" s="371"/>
      <c r="AE44" s="16"/>
    </row>
    <row r="45" spans="1:39" s="18" customFormat="1" ht="18" customHeight="1" thickBot="1">
      <c r="A45" s="149"/>
      <c r="B45" s="130"/>
      <c r="C45" s="130"/>
      <c r="D45" s="130"/>
      <c r="E45" s="130"/>
      <c r="F45" s="130"/>
      <c r="G45" s="130"/>
      <c r="H45" s="130"/>
      <c r="I45" s="170"/>
      <c r="J45" s="170"/>
      <c r="K45" s="170"/>
      <c r="L45" s="170"/>
      <c r="M45" s="170"/>
      <c r="N45" s="170"/>
      <c r="O45" s="170"/>
      <c r="P45" s="170"/>
      <c r="Q45" s="165"/>
      <c r="R45" s="213"/>
      <c r="S45" s="213"/>
      <c r="T45" s="86"/>
      <c r="U45" s="130"/>
      <c r="V45" s="130"/>
      <c r="W45" s="130"/>
      <c r="X45" s="61"/>
      <c r="Y45" s="56"/>
      <c r="Z45" s="56"/>
      <c r="AA45" s="56"/>
      <c r="AB45" s="61"/>
      <c r="AC45" s="371"/>
    </row>
    <row r="46" spans="1:39" s="18" customFormat="1" ht="18" customHeight="1" thickBot="1">
      <c r="A46" s="158"/>
      <c r="B46" s="159"/>
      <c r="C46" s="159"/>
      <c r="D46" s="159"/>
      <c r="E46" s="159"/>
      <c r="F46" s="159"/>
      <c r="G46" s="159"/>
      <c r="H46" s="159"/>
      <c r="I46" s="400"/>
      <c r="J46" s="400"/>
      <c r="K46" s="400"/>
      <c r="L46" s="400"/>
      <c r="M46" s="400"/>
      <c r="N46" s="400"/>
      <c r="O46" s="400"/>
      <c r="P46" s="400"/>
      <c r="Q46" s="436"/>
      <c r="R46" s="453"/>
      <c r="S46" s="454"/>
      <c r="T46" s="455"/>
      <c r="U46" s="447">
        <f>'Summary PL'!L32</f>
        <v>5951</v>
      </c>
      <c r="V46" s="448"/>
      <c r="W46" s="448"/>
      <c r="X46" s="449"/>
      <c r="Y46" s="450">
        <f>'Summary PL'!M32</f>
        <v>10451</v>
      </c>
      <c r="Z46" s="451"/>
      <c r="AA46" s="451"/>
      <c r="AB46" s="452"/>
      <c r="AC46" s="242">
        <f>'Summary PL'!K32</f>
        <v>148.91699999999997</v>
      </c>
    </row>
    <row r="47" spans="1:39">
      <c r="A47" s="135"/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7"/>
    </row>
    <row r="48" spans="1:39">
      <c r="A48" s="138"/>
      <c r="AC48" s="139"/>
    </row>
    <row r="49" spans="1:29">
      <c r="A49" s="138"/>
      <c r="AC49" s="139"/>
    </row>
    <row r="50" spans="1:29">
      <c r="A50" s="138"/>
      <c r="AC50" s="139"/>
    </row>
    <row r="51" spans="1:29">
      <c r="A51" s="138"/>
      <c r="AC51" s="139"/>
    </row>
    <row r="52" spans="1:29">
      <c r="A52" s="138"/>
      <c r="AC52" s="139"/>
    </row>
    <row r="53" spans="1:29">
      <c r="A53" s="138"/>
      <c r="AC53" s="139"/>
    </row>
    <row r="54" spans="1:29" ht="14.4">
      <c r="A54" s="147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S54" s="16" t="s">
        <v>55</v>
      </c>
      <c r="AC54" s="139"/>
    </row>
    <row r="55" spans="1:29" ht="14.4">
      <c r="A55" s="147" t="s">
        <v>56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AC55" s="139"/>
    </row>
    <row r="56" spans="1:29" ht="14.4">
      <c r="A56" s="147" t="s">
        <v>57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W56" s="160"/>
      <c r="X56" s="160"/>
      <c r="AC56" s="139"/>
    </row>
    <row r="57" spans="1:29" ht="14.4">
      <c r="A57" s="147" t="s">
        <v>75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V57" s="398" t="s">
        <v>59</v>
      </c>
      <c r="W57" s="398"/>
      <c r="X57" s="398"/>
      <c r="Y57" s="398"/>
      <c r="Z57" s="398"/>
      <c r="AA57" s="398"/>
      <c r="AB57" s="398"/>
      <c r="AC57" s="399"/>
    </row>
    <row r="58" spans="1:29" ht="14.4">
      <c r="A58" s="147" t="s">
        <v>60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S58" s="129"/>
      <c r="U58" s="182"/>
      <c r="V58" s="182"/>
      <c r="W58" s="182"/>
      <c r="X58" s="182"/>
      <c r="Y58" s="182"/>
      <c r="Z58" s="182"/>
      <c r="AA58" s="182"/>
      <c r="AB58" s="182"/>
      <c r="AC58" s="139"/>
    </row>
    <row r="59" spans="1:29" ht="12.6" thickBot="1">
      <c r="A59" s="16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2"/>
    </row>
    <row r="60" spans="1:29" ht="15" thickBot="1">
      <c r="A60" s="162" t="s">
        <v>61</v>
      </c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4"/>
    </row>
  </sheetData>
  <mergeCells count="38">
    <mergeCell ref="AJ42:AM42"/>
    <mergeCell ref="U41:X41"/>
    <mergeCell ref="Y41:AB41"/>
    <mergeCell ref="U42:X42"/>
    <mergeCell ref="Y42:AB42"/>
    <mergeCell ref="V57:AC57"/>
    <mergeCell ref="AF42:AI42"/>
    <mergeCell ref="R43:T43"/>
    <mergeCell ref="R44:T44"/>
    <mergeCell ref="U43:X43"/>
    <mergeCell ref="U46:X46"/>
    <mergeCell ref="Y46:AB46"/>
    <mergeCell ref="R46:T46"/>
    <mergeCell ref="R42:T42"/>
    <mergeCell ref="Y43:AB43"/>
    <mergeCell ref="R41:T41"/>
    <mergeCell ref="I46:Q46"/>
    <mergeCell ref="U44:X44"/>
    <mergeCell ref="Y44:AB44"/>
    <mergeCell ref="A41:Q42"/>
    <mergeCell ref="Y31:AB31"/>
    <mergeCell ref="Y32:AB32"/>
    <mergeCell ref="J36:P36"/>
    <mergeCell ref="Y33:AB33"/>
    <mergeCell ref="S36:AC39"/>
    <mergeCell ref="I30:Q31"/>
    <mergeCell ref="I34:Q35"/>
    <mergeCell ref="I32:Q33"/>
    <mergeCell ref="A6:AC6"/>
    <mergeCell ref="V8:Z8"/>
    <mergeCell ref="V10:Z10"/>
    <mergeCell ref="I27:Q27"/>
    <mergeCell ref="S15:AC15"/>
    <mergeCell ref="S16:AC16"/>
    <mergeCell ref="S18:AC18"/>
    <mergeCell ref="S20:AC20"/>
    <mergeCell ref="S22:AC22"/>
    <mergeCell ref="S24:AC24"/>
  </mergeCells>
  <phoneticPr fontId="9" type="noConversion"/>
  <pageMargins left="0.39370078740157483" right="0.39370078740157483" top="0.59055118110236227" bottom="0.39370078740157483" header="0.31496062992125984" footer="0.23622047244094491"/>
  <pageSetup paperSize="9" scale="72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972D-56AD-4F6D-B5B0-4E29749415B4}">
  <sheetPr>
    <tabColor rgb="FF00B0F0"/>
    <pageSetUpPr fitToPage="1"/>
  </sheetPr>
  <dimension ref="A1:V80"/>
  <sheetViews>
    <sheetView showGridLines="0" view="pageBreakPreview" zoomScale="70" zoomScaleNormal="90" zoomScaleSheetLayoutView="70" workbookViewId="0">
      <selection activeCell="C42" sqref="C42"/>
    </sheetView>
  </sheetViews>
  <sheetFormatPr defaultColWidth="10" defaultRowHeight="13.8"/>
  <cols>
    <col min="1" max="1" width="18.09765625" style="39" customWidth="1"/>
    <col min="2" max="2" width="20.3984375" style="39" customWidth="1"/>
    <col min="3" max="3" width="28.69921875" style="39" customWidth="1"/>
    <col min="4" max="4" width="48.69921875" style="39" customWidth="1"/>
    <col min="5" max="5" width="17.09765625" style="11" customWidth="1"/>
    <col min="6" max="6" width="12.59765625" style="239" customWidth="1"/>
    <col min="7" max="7" width="9.19921875" style="40" customWidth="1"/>
    <col min="8" max="11" width="12.59765625" style="51" customWidth="1"/>
    <col min="12" max="12" width="17.59765625" style="43" customWidth="1"/>
    <col min="13" max="13" width="17.59765625" style="228" customWidth="1"/>
    <col min="14" max="14" width="18.3984375" style="43" customWidth="1"/>
    <col min="15" max="15" width="15.19921875" style="42" customWidth="1"/>
    <col min="16" max="17" width="16.09765625" style="63" customWidth="1"/>
    <col min="18" max="18" width="10" style="11"/>
    <col min="19" max="19" width="21.69921875" style="11" customWidth="1"/>
    <col min="20" max="21" width="10" style="12"/>
    <col min="22" max="16384" width="10" style="13"/>
  </cols>
  <sheetData>
    <row r="1" spans="1:22" s="8" customFormat="1" ht="14.1" customHeight="1">
      <c r="A1" s="5"/>
      <c r="B1" s="5"/>
      <c r="C1" s="5"/>
      <c r="D1" s="5"/>
      <c r="E1" s="6"/>
      <c r="F1" s="235"/>
      <c r="G1" s="7"/>
      <c r="H1" s="66"/>
      <c r="I1" s="44"/>
      <c r="J1" s="44"/>
      <c r="K1" s="44"/>
      <c r="M1" s="222"/>
      <c r="N1" s="5"/>
      <c r="O1" s="9" t="s">
        <v>0</v>
      </c>
      <c r="P1" s="37"/>
      <c r="Q1" s="37"/>
      <c r="R1" s="191" t="s">
        <v>76</v>
      </c>
      <c r="S1" s="192" t="s">
        <v>77</v>
      </c>
      <c r="T1" s="192" t="s">
        <v>78</v>
      </c>
      <c r="U1" s="193"/>
      <c r="V1" s="194"/>
    </row>
    <row r="2" spans="1:22" s="8" customFormat="1" ht="14.1" customHeight="1">
      <c r="A2" s="5"/>
      <c r="B2" s="5"/>
      <c r="C2" s="5"/>
      <c r="D2" s="5"/>
      <c r="E2" s="6"/>
      <c r="F2" s="235"/>
      <c r="G2" s="7"/>
      <c r="H2" s="66"/>
      <c r="I2" s="44"/>
      <c r="J2" s="44"/>
      <c r="K2" s="44"/>
      <c r="M2" s="222"/>
      <c r="N2" s="5"/>
      <c r="O2" s="9" t="s">
        <v>1</v>
      </c>
      <c r="P2" s="37"/>
      <c r="Q2" s="37"/>
      <c r="R2" s="194"/>
      <c r="S2" s="192" t="s">
        <v>79</v>
      </c>
      <c r="T2" s="192" t="s">
        <v>80</v>
      </c>
      <c r="U2" s="194"/>
      <c r="V2" s="194"/>
    </row>
    <row r="3" spans="1:22" s="8" customFormat="1" ht="14.1" customHeight="1">
      <c r="A3" s="5"/>
      <c r="B3" s="5"/>
      <c r="C3" s="5"/>
      <c r="D3" s="5"/>
      <c r="E3" s="6"/>
      <c r="F3" s="235"/>
      <c r="G3" s="7"/>
      <c r="H3" s="66"/>
      <c r="I3" s="44"/>
      <c r="J3" s="44"/>
      <c r="K3" s="44"/>
      <c r="M3" s="222"/>
      <c r="N3" s="5"/>
      <c r="O3" s="9" t="s">
        <v>2</v>
      </c>
      <c r="P3" s="37"/>
      <c r="Q3" s="37"/>
      <c r="R3" s="195"/>
      <c r="S3" s="192" t="s">
        <v>81</v>
      </c>
      <c r="T3" s="192" t="s">
        <v>82</v>
      </c>
      <c r="U3" s="194"/>
      <c r="V3" s="194"/>
    </row>
    <row r="4" spans="1:22" s="8" customFormat="1" ht="14.1" customHeight="1">
      <c r="A4" s="5"/>
      <c r="B4" s="5"/>
      <c r="C4" s="5"/>
      <c r="D4" s="5"/>
      <c r="E4" s="6"/>
      <c r="F4" s="235"/>
      <c r="G4" s="7"/>
      <c r="H4" s="66"/>
      <c r="I4" s="44"/>
      <c r="J4" s="44"/>
      <c r="K4" s="44"/>
      <c r="M4" s="222"/>
      <c r="N4" s="5"/>
      <c r="O4" s="9" t="s">
        <v>3</v>
      </c>
      <c r="P4" s="37"/>
      <c r="Q4" s="37"/>
      <c r="R4" s="195"/>
      <c r="S4" s="192" t="s">
        <v>83</v>
      </c>
      <c r="T4" s="192" t="s">
        <v>84</v>
      </c>
      <c r="U4" s="194"/>
      <c r="V4" s="194"/>
    </row>
    <row r="5" spans="1:22" s="8" customFormat="1" ht="14.1" customHeight="1">
      <c r="A5" s="5"/>
      <c r="B5" s="5"/>
      <c r="C5" s="5"/>
      <c r="D5" s="5"/>
      <c r="E5" s="6"/>
      <c r="F5" s="235"/>
      <c r="G5" s="7"/>
      <c r="H5" s="66"/>
      <c r="I5" s="44"/>
      <c r="J5" s="44"/>
      <c r="K5" s="44"/>
      <c r="M5" s="222"/>
      <c r="N5" s="5"/>
      <c r="O5" s="9" t="s">
        <v>4</v>
      </c>
      <c r="P5" s="37"/>
      <c r="Q5" s="37"/>
      <c r="R5" s="101"/>
    </row>
    <row r="6" spans="1:22" ht="51.9" customHeight="1">
      <c r="A6" s="431" t="s">
        <v>85</v>
      </c>
      <c r="B6" s="431"/>
      <c r="C6" s="390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390"/>
      <c r="O6" s="390"/>
      <c r="P6" s="390"/>
      <c r="Q6" s="88"/>
      <c r="R6" s="19"/>
    </row>
    <row r="7" spans="1:22" ht="17.100000000000001" customHeight="1">
      <c r="A7" s="104" t="s">
        <v>86</v>
      </c>
      <c r="B7" s="104" t="s">
        <v>87</v>
      </c>
      <c r="C7" s="105"/>
      <c r="D7" s="105"/>
      <c r="E7" s="105"/>
      <c r="F7" s="230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19"/>
    </row>
    <row r="8" spans="1:22" ht="17.100000000000001" customHeight="1">
      <c r="A8" s="104"/>
      <c r="B8" s="104" t="s">
        <v>88</v>
      </c>
      <c r="C8" s="105"/>
      <c r="D8" s="105"/>
      <c r="E8" s="105"/>
      <c r="F8" s="230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U8" s="101"/>
      <c r="V8" s="102"/>
    </row>
    <row r="9" spans="1:22" s="18" customFormat="1" ht="17.100000000000001" customHeight="1" thickBot="1">
      <c r="A9" s="104" t="s">
        <v>89</v>
      </c>
      <c r="B9" s="104" t="str">
        <f>PL!V8</f>
        <v>PGU-DE-0219</v>
      </c>
      <c r="C9" s="104"/>
      <c r="D9" s="106"/>
      <c r="E9" s="25"/>
      <c r="F9" s="236"/>
      <c r="G9" s="14"/>
      <c r="H9" s="45"/>
      <c r="I9" s="45"/>
      <c r="J9" s="45"/>
      <c r="K9" s="67"/>
      <c r="L9" s="15"/>
      <c r="M9" s="223"/>
      <c r="N9" s="15"/>
      <c r="O9" s="17"/>
      <c r="P9" s="17"/>
      <c r="Q9" s="17"/>
      <c r="U9" s="101"/>
      <c r="V9" s="102"/>
    </row>
    <row r="10" spans="1:22" s="18" customFormat="1" ht="21" customHeight="1">
      <c r="A10" s="186" t="s">
        <v>90</v>
      </c>
      <c r="B10" s="187" t="str">
        <f>PL!B13</f>
        <v>Branch of JSC "Doosan Enerbility" in the Turkestan region</v>
      </c>
      <c r="C10" s="187"/>
      <c r="D10" s="197"/>
      <c r="E10" s="198"/>
      <c r="F10" s="236"/>
      <c r="G10" s="14"/>
      <c r="H10" s="45"/>
      <c r="I10" s="45"/>
      <c r="J10" s="45"/>
      <c r="K10" s="67"/>
      <c r="L10" s="15"/>
      <c r="M10" s="223"/>
      <c r="N10" s="15"/>
      <c r="O10" s="17"/>
      <c r="P10" s="17"/>
      <c r="Q10" s="17"/>
      <c r="U10" s="101"/>
      <c r="V10" s="102"/>
    </row>
    <row r="11" spans="1:22" s="18" customFormat="1" ht="21" customHeight="1" thickBot="1">
      <c r="A11" s="217" t="s">
        <v>91</v>
      </c>
      <c r="B11" s="218" t="str">
        <f>PL!B14</f>
        <v>321 Tauke Khan Avenue, Turkestan region, Turkestan, Kazakhstan, 161200</v>
      </c>
      <c r="C11" s="218"/>
      <c r="D11" s="219"/>
      <c r="E11" s="199"/>
      <c r="F11" s="236"/>
      <c r="G11" s="14"/>
      <c r="H11" s="45"/>
      <c r="I11" s="45"/>
      <c r="J11" s="45"/>
      <c r="K11" s="67"/>
      <c r="L11" s="15"/>
      <c r="M11" s="223"/>
      <c r="N11" s="15"/>
      <c r="O11" s="17"/>
      <c r="P11" s="17"/>
      <c r="Q11" s="17"/>
      <c r="U11" s="101"/>
      <c r="V11" s="102"/>
    </row>
    <row r="12" spans="1:22" s="21" customFormat="1" ht="25.35" customHeight="1">
      <c r="A12" s="456" t="s">
        <v>92</v>
      </c>
      <c r="B12" s="458" t="s">
        <v>93</v>
      </c>
      <c r="C12" s="458" t="s">
        <v>94</v>
      </c>
      <c r="D12" s="458" t="s">
        <v>95</v>
      </c>
      <c r="E12" s="458" t="s">
        <v>96</v>
      </c>
      <c r="F12" s="460" t="s">
        <v>97</v>
      </c>
      <c r="G12" s="460"/>
      <c r="H12" s="461" t="s">
        <v>98</v>
      </c>
      <c r="I12" s="461"/>
      <c r="J12" s="461"/>
      <c r="K12" s="461"/>
      <c r="L12" s="462" t="s">
        <v>99</v>
      </c>
      <c r="M12" s="461" t="s">
        <v>100</v>
      </c>
      <c r="N12" s="462" t="s">
        <v>101</v>
      </c>
      <c r="O12" s="467" t="s">
        <v>102</v>
      </c>
      <c r="P12" s="467" t="s">
        <v>103</v>
      </c>
      <c r="Q12" s="465" t="s">
        <v>104</v>
      </c>
      <c r="S12" s="20"/>
      <c r="T12" s="20"/>
      <c r="U12" s="20"/>
    </row>
    <row r="13" spans="1:22" s="21" customFormat="1" ht="32.700000000000003" customHeight="1">
      <c r="A13" s="457"/>
      <c r="B13" s="459"/>
      <c r="C13" s="459"/>
      <c r="D13" s="459"/>
      <c r="E13" s="459"/>
      <c r="F13" s="256" t="s">
        <v>105</v>
      </c>
      <c r="G13" s="257" t="s">
        <v>106</v>
      </c>
      <c r="H13" s="258" t="s">
        <v>107</v>
      </c>
      <c r="I13" s="258" t="s">
        <v>108</v>
      </c>
      <c r="J13" s="258" t="s">
        <v>109</v>
      </c>
      <c r="K13" s="258" t="s">
        <v>110</v>
      </c>
      <c r="L13" s="463"/>
      <c r="M13" s="464"/>
      <c r="N13" s="463"/>
      <c r="O13" s="468"/>
      <c r="P13" s="468"/>
      <c r="Q13" s="466"/>
      <c r="S13" s="20"/>
      <c r="T13" s="20"/>
      <c r="U13" s="20"/>
    </row>
    <row r="14" spans="1:22" s="65" customFormat="1" ht="24.9" customHeight="1">
      <c r="A14" s="132">
        <v>1</v>
      </c>
      <c r="B14" s="134"/>
      <c r="C14" s="103" t="s">
        <v>111</v>
      </c>
      <c r="D14" s="216" t="s">
        <v>232</v>
      </c>
      <c r="E14" s="134" t="s">
        <v>112</v>
      </c>
      <c r="F14" s="232">
        <v>1</v>
      </c>
      <c r="G14" s="134" t="s">
        <v>113</v>
      </c>
      <c r="H14" s="46">
        <f>'Detail PL'!G18</f>
        <v>270</v>
      </c>
      <c r="I14" s="46">
        <f>'Detail PL'!H18</f>
        <v>230</v>
      </c>
      <c r="J14" s="46">
        <f>'Detail PL'!I18</f>
        <v>135</v>
      </c>
      <c r="K14" s="46">
        <f>'Detail PL'!J18</f>
        <v>8.3840000000000003</v>
      </c>
      <c r="L14" s="46">
        <f>'Detail PL'!K18</f>
        <v>440</v>
      </c>
      <c r="M14" s="46">
        <f>'Detail PL'!L18</f>
        <v>680</v>
      </c>
      <c r="N14" s="23" t="s">
        <v>114</v>
      </c>
      <c r="O14" s="22" t="s">
        <v>115</v>
      </c>
      <c r="P14" s="248" t="s">
        <v>116</v>
      </c>
      <c r="Q14" s="98"/>
      <c r="R14" s="24"/>
      <c r="S14" s="25"/>
      <c r="T14" s="25"/>
      <c r="U14" s="64"/>
    </row>
    <row r="15" spans="1:22" s="65" customFormat="1" ht="24.9" customHeight="1">
      <c r="A15" s="132">
        <v>2</v>
      </c>
      <c r="B15" s="134"/>
      <c r="C15" s="103" t="s">
        <v>117</v>
      </c>
      <c r="D15" s="216" t="s">
        <v>232</v>
      </c>
      <c r="E15" s="134" t="s">
        <v>112</v>
      </c>
      <c r="F15" s="232">
        <v>1</v>
      </c>
      <c r="G15" s="134" t="s">
        <v>113</v>
      </c>
      <c r="H15" s="46">
        <f>'Detail PL'!G23</f>
        <v>270</v>
      </c>
      <c r="I15" s="46">
        <f>'Detail PL'!H23</f>
        <v>230</v>
      </c>
      <c r="J15" s="46">
        <f>'Detail PL'!I23</f>
        <v>135</v>
      </c>
      <c r="K15" s="46">
        <f>'Detail PL'!J23</f>
        <v>8.3840000000000003</v>
      </c>
      <c r="L15" s="46">
        <f>'Detail PL'!K23</f>
        <v>440</v>
      </c>
      <c r="M15" s="46">
        <f>'Detail PL'!L23</f>
        <v>680</v>
      </c>
      <c r="N15" s="23" t="s">
        <v>114</v>
      </c>
      <c r="O15" s="22" t="s">
        <v>115</v>
      </c>
      <c r="P15" s="248" t="s">
        <v>116</v>
      </c>
      <c r="Q15" s="98"/>
      <c r="R15" s="24"/>
      <c r="S15" s="25"/>
      <c r="T15" s="25"/>
      <c r="U15" s="64"/>
    </row>
    <row r="16" spans="1:22" s="65" customFormat="1" ht="24.9" customHeight="1">
      <c r="A16" s="132">
        <v>3</v>
      </c>
      <c r="B16" s="134"/>
      <c r="C16" s="103" t="s">
        <v>118</v>
      </c>
      <c r="D16" s="216" t="s">
        <v>232</v>
      </c>
      <c r="E16" s="134" t="s">
        <v>112</v>
      </c>
      <c r="F16" s="232">
        <v>1</v>
      </c>
      <c r="G16" s="134" t="s">
        <v>113</v>
      </c>
      <c r="H16" s="46">
        <f>'Detail PL'!G25</f>
        <v>140</v>
      </c>
      <c r="I16" s="46">
        <f>'Detail PL'!H25</f>
        <v>122</v>
      </c>
      <c r="J16" s="46">
        <f>'Detail PL'!I25</f>
        <v>128</v>
      </c>
      <c r="K16" s="46">
        <f>'Detail PL'!J25</f>
        <v>2.1859999999999999</v>
      </c>
      <c r="L16" s="46">
        <f>'Detail PL'!K25</f>
        <v>110</v>
      </c>
      <c r="M16" s="46">
        <f>'Detail PL'!L25</f>
        <v>190</v>
      </c>
      <c r="N16" s="23" t="s">
        <v>114</v>
      </c>
      <c r="O16" s="22" t="s">
        <v>115</v>
      </c>
      <c r="P16" s="248" t="s">
        <v>116</v>
      </c>
      <c r="Q16" s="98"/>
      <c r="R16" s="24"/>
      <c r="S16" s="25"/>
      <c r="T16" s="25"/>
      <c r="U16" s="64"/>
    </row>
    <row r="17" spans="1:21" s="65" customFormat="1" ht="24.9" customHeight="1">
      <c r="A17" s="132">
        <v>4</v>
      </c>
      <c r="B17" s="134"/>
      <c r="C17" s="103" t="s">
        <v>119</v>
      </c>
      <c r="D17" s="216" t="s">
        <v>232</v>
      </c>
      <c r="E17" s="134" t="s">
        <v>112</v>
      </c>
      <c r="F17" s="232">
        <v>1</v>
      </c>
      <c r="G17" s="134" t="s">
        <v>113</v>
      </c>
      <c r="H17" s="46">
        <f>'Detail PL'!G30</f>
        <v>270</v>
      </c>
      <c r="I17" s="46">
        <f>'Detail PL'!H30</f>
        <v>230</v>
      </c>
      <c r="J17" s="46">
        <f>'Detail PL'!I30</f>
        <v>100</v>
      </c>
      <c r="K17" s="46">
        <f>'Detail PL'!J30</f>
        <v>6.21</v>
      </c>
      <c r="L17" s="46">
        <f>'Detail PL'!K30</f>
        <v>480</v>
      </c>
      <c r="M17" s="46">
        <f>'Detail PL'!L30</f>
        <v>730</v>
      </c>
      <c r="N17" s="23" t="s">
        <v>114</v>
      </c>
      <c r="O17" s="22" t="s">
        <v>115</v>
      </c>
      <c r="P17" s="248" t="s">
        <v>116</v>
      </c>
      <c r="Q17" s="98"/>
      <c r="R17" s="24"/>
      <c r="S17" s="25"/>
      <c r="T17" s="25"/>
      <c r="U17" s="64"/>
    </row>
    <row r="18" spans="1:21" s="65" customFormat="1" ht="24.9" customHeight="1">
      <c r="A18" s="132">
        <v>5</v>
      </c>
      <c r="B18" s="134"/>
      <c r="C18" s="103" t="s">
        <v>120</v>
      </c>
      <c r="D18" s="216" t="s">
        <v>232</v>
      </c>
      <c r="E18" s="134" t="s">
        <v>112</v>
      </c>
      <c r="F18" s="232">
        <v>1</v>
      </c>
      <c r="G18" s="134" t="s">
        <v>113</v>
      </c>
      <c r="H18" s="46">
        <f>'Detail PL'!G35</f>
        <v>270</v>
      </c>
      <c r="I18" s="46">
        <f>'Detail PL'!H35</f>
        <v>230</v>
      </c>
      <c r="J18" s="46">
        <f>'Detail PL'!I35</f>
        <v>135</v>
      </c>
      <c r="K18" s="46">
        <f>'Detail PL'!J35</f>
        <v>8.3840000000000003</v>
      </c>
      <c r="L18" s="46">
        <f>'Detail PL'!K35</f>
        <v>480</v>
      </c>
      <c r="M18" s="46">
        <f>'Detail PL'!L35</f>
        <v>730</v>
      </c>
      <c r="N18" s="23" t="s">
        <v>114</v>
      </c>
      <c r="O18" s="22" t="s">
        <v>115</v>
      </c>
      <c r="P18" s="248" t="s">
        <v>116</v>
      </c>
      <c r="Q18" s="98"/>
      <c r="R18" s="24"/>
      <c r="S18" s="25"/>
      <c r="T18" s="25"/>
      <c r="U18" s="64"/>
    </row>
    <row r="19" spans="1:21" s="65" customFormat="1" ht="24.9" customHeight="1">
      <c r="A19" s="132">
        <v>6</v>
      </c>
      <c r="B19" s="134"/>
      <c r="C19" s="103" t="s">
        <v>121</v>
      </c>
      <c r="D19" s="216" t="s">
        <v>232</v>
      </c>
      <c r="E19" s="134" t="s">
        <v>112</v>
      </c>
      <c r="F19" s="232">
        <v>1</v>
      </c>
      <c r="G19" s="134" t="s">
        <v>113</v>
      </c>
      <c r="H19" s="46">
        <f>'Detail PL'!G40</f>
        <v>270</v>
      </c>
      <c r="I19" s="46">
        <f>'Detail PL'!H40</f>
        <v>230</v>
      </c>
      <c r="J19" s="46">
        <f>'Detail PL'!I40</f>
        <v>135</v>
      </c>
      <c r="K19" s="46">
        <f>'Detail PL'!J40</f>
        <v>8.3840000000000003</v>
      </c>
      <c r="L19" s="46">
        <f>'Detail PL'!K40</f>
        <v>330</v>
      </c>
      <c r="M19" s="46">
        <f>'Detail PL'!L40</f>
        <v>580</v>
      </c>
      <c r="N19" s="23" t="s">
        <v>114</v>
      </c>
      <c r="O19" s="22" t="s">
        <v>115</v>
      </c>
      <c r="P19" s="248" t="s">
        <v>116</v>
      </c>
      <c r="Q19" s="98"/>
      <c r="R19" s="24"/>
      <c r="S19" s="25"/>
      <c r="T19" s="25"/>
      <c r="U19" s="64"/>
    </row>
    <row r="20" spans="1:21" s="65" customFormat="1" ht="24.9" customHeight="1">
      <c r="A20" s="132">
        <v>7</v>
      </c>
      <c r="B20" s="134"/>
      <c r="C20" s="103" t="s">
        <v>122</v>
      </c>
      <c r="D20" s="216" t="s">
        <v>234</v>
      </c>
      <c r="E20" s="134" t="s">
        <v>112</v>
      </c>
      <c r="F20" s="232">
        <v>1</v>
      </c>
      <c r="G20" s="134" t="s">
        <v>113</v>
      </c>
      <c r="H20" s="46">
        <f>'Detail PL'!G45</f>
        <v>270</v>
      </c>
      <c r="I20" s="46">
        <f>'Detail PL'!H45</f>
        <v>230</v>
      </c>
      <c r="J20" s="46">
        <f>'Detail PL'!I45</f>
        <v>135</v>
      </c>
      <c r="K20" s="46">
        <f>'Detail PL'!J45</f>
        <v>8.3840000000000003</v>
      </c>
      <c r="L20" s="46">
        <f>'Detail PL'!K45</f>
        <v>260</v>
      </c>
      <c r="M20" s="46">
        <f>'Detail PL'!L45</f>
        <v>510</v>
      </c>
      <c r="N20" s="23" t="s">
        <v>114</v>
      </c>
      <c r="O20" s="22" t="s">
        <v>115</v>
      </c>
      <c r="P20" s="248" t="s">
        <v>116</v>
      </c>
      <c r="Q20" s="98"/>
      <c r="R20" s="24"/>
      <c r="S20" s="25"/>
      <c r="T20" s="25"/>
      <c r="U20" s="64"/>
    </row>
    <row r="21" spans="1:21" s="65" customFormat="1" ht="24.9" customHeight="1">
      <c r="A21" s="132">
        <v>8</v>
      </c>
      <c r="B21" s="134"/>
      <c r="C21" s="103" t="s">
        <v>123</v>
      </c>
      <c r="D21" s="216" t="s">
        <v>234</v>
      </c>
      <c r="E21" s="134" t="s">
        <v>112</v>
      </c>
      <c r="F21" s="232">
        <v>1</v>
      </c>
      <c r="G21" s="134" t="s">
        <v>113</v>
      </c>
      <c r="H21" s="46">
        <f>'Detail PL'!G50</f>
        <v>270</v>
      </c>
      <c r="I21" s="46">
        <f>'Detail PL'!H50</f>
        <v>230</v>
      </c>
      <c r="J21" s="46">
        <f>'Detail PL'!I50</f>
        <v>135</v>
      </c>
      <c r="K21" s="46">
        <f>'Detail PL'!J50</f>
        <v>8.3840000000000003</v>
      </c>
      <c r="L21" s="46">
        <f>'Detail PL'!K50</f>
        <v>260</v>
      </c>
      <c r="M21" s="46">
        <f>'Detail PL'!L50</f>
        <v>510</v>
      </c>
      <c r="N21" s="23" t="s">
        <v>114</v>
      </c>
      <c r="O21" s="22" t="s">
        <v>115</v>
      </c>
      <c r="P21" s="248" t="s">
        <v>116</v>
      </c>
      <c r="Q21" s="98"/>
      <c r="R21" s="24"/>
      <c r="S21" s="25"/>
      <c r="T21" s="25"/>
      <c r="U21" s="64"/>
    </row>
    <row r="22" spans="1:21" s="65" customFormat="1" ht="24.9" customHeight="1">
      <c r="A22" s="132">
        <v>9</v>
      </c>
      <c r="B22" s="134"/>
      <c r="C22" s="103" t="s">
        <v>124</v>
      </c>
      <c r="D22" s="216" t="s">
        <v>234</v>
      </c>
      <c r="E22" s="134" t="s">
        <v>112</v>
      </c>
      <c r="F22" s="232">
        <v>1</v>
      </c>
      <c r="G22" s="134" t="s">
        <v>113</v>
      </c>
      <c r="H22" s="46">
        <f>'Detail PL'!G55</f>
        <v>270</v>
      </c>
      <c r="I22" s="46">
        <f>'Detail PL'!H55</f>
        <v>230</v>
      </c>
      <c r="J22" s="46">
        <f>'Detail PL'!I55</f>
        <v>135</v>
      </c>
      <c r="K22" s="46">
        <f>'Detail PL'!J55</f>
        <v>8.3840000000000003</v>
      </c>
      <c r="L22" s="46">
        <f>'Detail PL'!K55</f>
        <v>260</v>
      </c>
      <c r="M22" s="46">
        <f>'Detail PL'!L55</f>
        <v>510</v>
      </c>
      <c r="N22" s="23" t="s">
        <v>114</v>
      </c>
      <c r="O22" s="22" t="s">
        <v>115</v>
      </c>
      <c r="P22" s="248" t="s">
        <v>116</v>
      </c>
      <c r="Q22" s="98"/>
      <c r="R22" s="24"/>
      <c r="S22" s="25"/>
      <c r="T22" s="25"/>
      <c r="U22" s="64"/>
    </row>
    <row r="23" spans="1:21" s="65" customFormat="1" ht="24.9" customHeight="1">
      <c r="A23" s="132">
        <v>10</v>
      </c>
      <c r="B23" s="134"/>
      <c r="C23" s="103" t="s">
        <v>125</v>
      </c>
      <c r="D23" s="216" t="s">
        <v>234</v>
      </c>
      <c r="E23" s="134" t="s">
        <v>112</v>
      </c>
      <c r="F23" s="232">
        <v>1</v>
      </c>
      <c r="G23" s="134" t="s">
        <v>113</v>
      </c>
      <c r="H23" s="46">
        <f>'Detail PL'!G60</f>
        <v>270</v>
      </c>
      <c r="I23" s="46">
        <f>'Detail PL'!H60</f>
        <v>230</v>
      </c>
      <c r="J23" s="46">
        <f>'Detail PL'!I60</f>
        <v>135</v>
      </c>
      <c r="K23" s="46">
        <f>'Detail PL'!J60</f>
        <v>8.3840000000000003</v>
      </c>
      <c r="L23" s="46">
        <f>'Detail PL'!K60</f>
        <v>260</v>
      </c>
      <c r="M23" s="46">
        <f>'Detail PL'!L60</f>
        <v>510</v>
      </c>
      <c r="N23" s="23" t="s">
        <v>114</v>
      </c>
      <c r="O23" s="22" t="s">
        <v>115</v>
      </c>
      <c r="P23" s="248" t="s">
        <v>116</v>
      </c>
      <c r="Q23" s="98"/>
      <c r="R23" s="24"/>
      <c r="S23" s="25"/>
      <c r="T23" s="25"/>
      <c r="U23" s="64"/>
    </row>
    <row r="24" spans="1:21" s="65" customFormat="1" ht="24.9" customHeight="1">
      <c r="A24" s="132">
        <v>11</v>
      </c>
      <c r="B24" s="134"/>
      <c r="C24" s="103" t="s">
        <v>126</v>
      </c>
      <c r="D24" s="216" t="s">
        <v>234</v>
      </c>
      <c r="E24" s="134" t="s">
        <v>112</v>
      </c>
      <c r="F24" s="232">
        <v>1</v>
      </c>
      <c r="G24" s="134" t="s">
        <v>113</v>
      </c>
      <c r="H24" s="46">
        <f>'Detail PL'!G65</f>
        <v>270</v>
      </c>
      <c r="I24" s="46">
        <f>'Detail PL'!H65</f>
        <v>230</v>
      </c>
      <c r="J24" s="46">
        <f>'Detail PL'!I65</f>
        <v>210</v>
      </c>
      <c r="K24" s="46">
        <f>'Detail PL'!J65</f>
        <v>13.041</v>
      </c>
      <c r="L24" s="46">
        <f>'Detail PL'!K65</f>
        <v>320</v>
      </c>
      <c r="M24" s="46">
        <f>'Detail PL'!L65</f>
        <v>710</v>
      </c>
      <c r="N24" s="23" t="s">
        <v>114</v>
      </c>
      <c r="O24" s="22" t="s">
        <v>115</v>
      </c>
      <c r="P24" s="248" t="s">
        <v>116</v>
      </c>
      <c r="Q24" s="98"/>
      <c r="R24" s="24"/>
      <c r="S24" s="25"/>
      <c r="T24" s="25"/>
      <c r="U24" s="64"/>
    </row>
    <row r="25" spans="1:21" s="65" customFormat="1" ht="24.9" customHeight="1">
      <c r="A25" s="132">
        <v>12</v>
      </c>
      <c r="B25" s="134"/>
      <c r="C25" s="103" t="s">
        <v>127</v>
      </c>
      <c r="D25" s="216" t="s">
        <v>234</v>
      </c>
      <c r="E25" s="134" t="s">
        <v>112</v>
      </c>
      <c r="F25" s="232">
        <v>1</v>
      </c>
      <c r="G25" s="134" t="s">
        <v>113</v>
      </c>
      <c r="H25" s="46">
        <f>'Detail PL'!G70</f>
        <v>270</v>
      </c>
      <c r="I25" s="46">
        <f>'Detail PL'!H70</f>
        <v>230</v>
      </c>
      <c r="J25" s="46">
        <f>'Detail PL'!I70</f>
        <v>210</v>
      </c>
      <c r="K25" s="46">
        <f>'Detail PL'!J70</f>
        <v>13.041</v>
      </c>
      <c r="L25" s="46">
        <f>'Detail PL'!K70</f>
        <v>320</v>
      </c>
      <c r="M25" s="46">
        <f>'Detail PL'!L70</f>
        <v>710</v>
      </c>
      <c r="N25" s="23" t="s">
        <v>114</v>
      </c>
      <c r="O25" s="22" t="s">
        <v>115</v>
      </c>
      <c r="P25" s="248" t="s">
        <v>116</v>
      </c>
      <c r="Q25" s="98"/>
      <c r="R25" s="24"/>
      <c r="S25" s="25"/>
      <c r="T25" s="25"/>
      <c r="U25" s="64"/>
    </row>
    <row r="26" spans="1:21" s="65" customFormat="1" ht="24.9" customHeight="1">
      <c r="A26" s="132">
        <v>13</v>
      </c>
      <c r="B26" s="134"/>
      <c r="C26" s="103" t="s">
        <v>128</v>
      </c>
      <c r="D26" s="216" t="s">
        <v>234</v>
      </c>
      <c r="E26" s="134" t="s">
        <v>112</v>
      </c>
      <c r="F26" s="232">
        <v>1</v>
      </c>
      <c r="G26" s="134" t="s">
        <v>113</v>
      </c>
      <c r="H26" s="46">
        <f>'Detail PL'!G77</f>
        <v>270</v>
      </c>
      <c r="I26" s="46">
        <f>'Detail PL'!H77</f>
        <v>230</v>
      </c>
      <c r="J26" s="46">
        <f>'Detail PL'!I77</f>
        <v>235</v>
      </c>
      <c r="K26" s="46">
        <f>'Detail PL'!J77</f>
        <v>14.593999999999999</v>
      </c>
      <c r="L26" s="46">
        <f>'Detail PL'!K77</f>
        <v>500</v>
      </c>
      <c r="M26" s="46">
        <f>'Detail PL'!L77</f>
        <v>930</v>
      </c>
      <c r="N26" s="23" t="s">
        <v>114</v>
      </c>
      <c r="O26" s="22" t="s">
        <v>115</v>
      </c>
      <c r="P26" s="248" t="s">
        <v>116</v>
      </c>
      <c r="Q26" s="98"/>
      <c r="R26" s="24"/>
      <c r="S26" s="25"/>
      <c r="T26" s="25"/>
      <c r="U26" s="64"/>
    </row>
    <row r="27" spans="1:21" s="65" customFormat="1" ht="24.9" customHeight="1">
      <c r="A27" s="132">
        <v>14</v>
      </c>
      <c r="B27" s="134"/>
      <c r="C27" s="103" t="s">
        <v>129</v>
      </c>
      <c r="D27" s="216" t="s">
        <v>236</v>
      </c>
      <c r="E27" s="134" t="s">
        <v>112</v>
      </c>
      <c r="F27" s="232">
        <v>1</v>
      </c>
      <c r="G27" s="134" t="s">
        <v>113</v>
      </c>
      <c r="H27" s="46">
        <f>'Detail PL'!G94</f>
        <v>200</v>
      </c>
      <c r="I27" s="46">
        <f>'Detail PL'!H94</f>
        <v>200</v>
      </c>
      <c r="J27" s="46">
        <f>'Detail PL'!I94</f>
        <v>180</v>
      </c>
      <c r="K27" s="46">
        <f>'Detail PL'!J94</f>
        <v>7.2</v>
      </c>
      <c r="L27" s="46">
        <f>'Detail PL'!K94</f>
        <v>240</v>
      </c>
      <c r="M27" s="46">
        <f>'Detail PL'!L94</f>
        <v>450</v>
      </c>
      <c r="N27" s="23" t="s">
        <v>114</v>
      </c>
      <c r="O27" s="22" t="s">
        <v>115</v>
      </c>
      <c r="P27" s="248" t="s">
        <v>116</v>
      </c>
      <c r="Q27" s="98"/>
      <c r="R27" s="24"/>
      <c r="S27" s="25"/>
      <c r="T27" s="25"/>
      <c r="U27" s="64"/>
    </row>
    <row r="28" spans="1:21" s="65" customFormat="1" ht="24.9" customHeight="1">
      <c r="A28" s="132">
        <v>15</v>
      </c>
      <c r="B28" s="134"/>
      <c r="C28" s="103" t="s">
        <v>131</v>
      </c>
      <c r="D28" s="216" t="s">
        <v>236</v>
      </c>
      <c r="E28" s="134" t="s">
        <v>112</v>
      </c>
      <c r="F28" s="232">
        <v>1</v>
      </c>
      <c r="G28" s="134" t="s">
        <v>113</v>
      </c>
      <c r="H28" s="46">
        <f>'Detail PL'!G111</f>
        <v>200</v>
      </c>
      <c r="I28" s="46">
        <f>'Detail PL'!H111</f>
        <v>200</v>
      </c>
      <c r="J28" s="46">
        <f>'Detail PL'!I111</f>
        <v>180</v>
      </c>
      <c r="K28" s="46">
        <f>'Detail PL'!J111</f>
        <v>7.2</v>
      </c>
      <c r="L28" s="46">
        <f>'Detail PL'!K111</f>
        <v>240</v>
      </c>
      <c r="M28" s="46">
        <f>'Detail PL'!L111</f>
        <v>450</v>
      </c>
      <c r="N28" s="23" t="s">
        <v>114</v>
      </c>
      <c r="O28" s="22" t="s">
        <v>115</v>
      </c>
      <c r="P28" s="248" t="s">
        <v>116</v>
      </c>
      <c r="Q28" s="98"/>
      <c r="R28" s="24"/>
      <c r="S28" s="25"/>
      <c r="T28" s="25"/>
      <c r="U28" s="64"/>
    </row>
    <row r="29" spans="1:21" s="65" customFormat="1" ht="24.9" customHeight="1">
      <c r="A29" s="132">
        <v>16</v>
      </c>
      <c r="B29" s="134"/>
      <c r="C29" s="103" t="s">
        <v>132</v>
      </c>
      <c r="D29" s="216" t="s">
        <v>133</v>
      </c>
      <c r="E29" s="134" t="s">
        <v>112</v>
      </c>
      <c r="F29" s="232">
        <v>1</v>
      </c>
      <c r="G29" s="134" t="s">
        <v>113</v>
      </c>
      <c r="H29" s="46">
        <f>'Detail PL'!G113</f>
        <v>230</v>
      </c>
      <c r="I29" s="46">
        <f>'Detail PL'!H113</f>
        <v>120</v>
      </c>
      <c r="J29" s="46">
        <f>'Detail PL'!I113</f>
        <v>190</v>
      </c>
      <c r="K29" s="46">
        <f>'Detail PL'!J113</f>
        <v>5.2439999999999998</v>
      </c>
      <c r="L29" s="46">
        <f>'Detail PL'!K113</f>
        <v>210</v>
      </c>
      <c r="M29" s="46">
        <f>'Detail PL'!L113</f>
        <v>370</v>
      </c>
      <c r="N29" s="23" t="s">
        <v>114</v>
      </c>
      <c r="O29" s="22" t="s">
        <v>115</v>
      </c>
      <c r="P29" s="248" t="s">
        <v>116</v>
      </c>
      <c r="Q29" s="98"/>
      <c r="R29" s="24"/>
      <c r="S29" s="25"/>
      <c r="T29" s="25"/>
      <c r="U29" s="64"/>
    </row>
    <row r="30" spans="1:21" s="65" customFormat="1" ht="24.9" customHeight="1">
      <c r="A30" s="132">
        <v>17</v>
      </c>
      <c r="B30" s="134"/>
      <c r="C30" s="103" t="s">
        <v>134</v>
      </c>
      <c r="D30" s="216" t="s">
        <v>135</v>
      </c>
      <c r="E30" s="134" t="s">
        <v>112</v>
      </c>
      <c r="F30" s="232">
        <v>1</v>
      </c>
      <c r="G30" s="134" t="s">
        <v>113</v>
      </c>
      <c r="H30" s="46">
        <f>'Detail PL'!G125</f>
        <v>230</v>
      </c>
      <c r="I30" s="46">
        <f>'Detail PL'!H125</f>
        <v>230</v>
      </c>
      <c r="J30" s="46">
        <f>'Detail PL'!I125</f>
        <v>195</v>
      </c>
      <c r="K30" s="46">
        <f>'Detail PL'!J125</f>
        <v>10.316000000000001</v>
      </c>
      <c r="L30" s="46">
        <f>'Detail PL'!K125</f>
        <v>433</v>
      </c>
      <c r="M30" s="46">
        <f>'Detail PL'!L125</f>
        <v>743</v>
      </c>
      <c r="N30" s="23" t="s">
        <v>114</v>
      </c>
      <c r="O30" s="22" t="s">
        <v>115</v>
      </c>
      <c r="P30" s="248" t="s">
        <v>116</v>
      </c>
      <c r="Q30" s="98"/>
      <c r="R30" s="24"/>
      <c r="S30" s="25"/>
      <c r="T30" s="25"/>
      <c r="U30" s="64"/>
    </row>
    <row r="31" spans="1:21" s="65" customFormat="1" ht="24.9" customHeight="1">
      <c r="A31" s="132">
        <v>18</v>
      </c>
      <c r="B31" s="134"/>
      <c r="C31" s="103" t="s">
        <v>136</v>
      </c>
      <c r="D31" s="216" t="s">
        <v>137</v>
      </c>
      <c r="E31" s="134" t="s">
        <v>112</v>
      </c>
      <c r="F31" s="232">
        <v>1</v>
      </c>
      <c r="G31" s="134" t="s">
        <v>113</v>
      </c>
      <c r="H31" s="46">
        <f>'Detail PL'!G134</f>
        <v>150</v>
      </c>
      <c r="I31" s="46">
        <f>'Detail PL'!H134</f>
        <v>150</v>
      </c>
      <c r="J31" s="46">
        <f>'Detail PL'!I134</f>
        <v>125</v>
      </c>
      <c r="K31" s="46">
        <f>'Detail PL'!J134</f>
        <v>2.8130000000000002</v>
      </c>
      <c r="L31" s="46">
        <f>'Detail PL'!K134</f>
        <v>368</v>
      </c>
      <c r="M31" s="46">
        <f>'Detail PL'!L134</f>
        <v>458</v>
      </c>
      <c r="N31" s="23" t="s">
        <v>114</v>
      </c>
      <c r="O31" s="22" t="s">
        <v>115</v>
      </c>
      <c r="P31" s="248" t="s">
        <v>116</v>
      </c>
      <c r="Q31" s="98"/>
      <c r="R31" s="24"/>
      <c r="S31" s="25"/>
      <c r="T31" s="25"/>
      <c r="U31" s="64"/>
    </row>
    <row r="32" spans="1:21" s="28" customFormat="1" ht="27.9" customHeight="1" thickBot="1">
      <c r="A32" s="469" t="s">
        <v>138</v>
      </c>
      <c r="B32" s="470"/>
      <c r="C32" s="470"/>
      <c r="D32" s="470"/>
      <c r="E32" s="470"/>
      <c r="F32" s="237"/>
      <c r="G32" s="215"/>
      <c r="H32" s="99"/>
      <c r="I32" s="99"/>
      <c r="J32" s="99"/>
      <c r="K32" s="99">
        <f>SUM(K14:K31)</f>
        <v>148.91699999999997</v>
      </c>
      <c r="L32" s="99">
        <f>SUM(L14:L31)</f>
        <v>5951</v>
      </c>
      <c r="M32" s="99">
        <f>SUM(M14:M31)</f>
        <v>10451</v>
      </c>
      <c r="N32" s="188"/>
      <c r="O32" s="189"/>
      <c r="P32" s="196"/>
      <c r="Q32" s="190"/>
      <c r="R32" s="26"/>
      <c r="S32" s="26"/>
      <c r="T32" s="27"/>
      <c r="U32" s="27"/>
    </row>
    <row r="33" spans="1:21" s="8" customFormat="1" ht="22.5" customHeight="1">
      <c r="A33" s="5"/>
      <c r="B33" s="5"/>
      <c r="C33" s="7"/>
      <c r="D33" s="7"/>
      <c r="E33" s="29"/>
      <c r="F33" s="233"/>
      <c r="G33" s="7"/>
      <c r="H33" s="47"/>
      <c r="I33" s="47"/>
      <c r="J33" s="49"/>
      <c r="K33" s="49"/>
      <c r="L33" s="30"/>
      <c r="M33" s="224"/>
      <c r="N33" s="30"/>
      <c r="O33" s="32"/>
      <c r="P33" s="17"/>
      <c r="Q33" s="17"/>
      <c r="R33" s="33"/>
      <c r="S33" s="33"/>
      <c r="T33" s="10"/>
      <c r="U33" s="10"/>
    </row>
    <row r="34" spans="1:21" s="8" customFormat="1" ht="12" customHeight="1">
      <c r="A34" s="5"/>
      <c r="B34" s="5"/>
      <c r="C34" s="7"/>
      <c r="D34" s="7"/>
      <c r="F34" s="233"/>
      <c r="G34" s="7"/>
      <c r="H34" s="47"/>
      <c r="I34" s="47"/>
      <c r="J34" s="49"/>
      <c r="K34" s="49"/>
      <c r="L34" s="30"/>
      <c r="M34" s="224"/>
      <c r="N34" s="30"/>
      <c r="O34" s="32"/>
      <c r="P34" s="17"/>
      <c r="Q34" s="17"/>
      <c r="R34" s="6"/>
      <c r="S34" s="6"/>
      <c r="T34" s="10"/>
      <c r="U34" s="10"/>
    </row>
    <row r="35" spans="1:21" s="8" customFormat="1" ht="22.5" customHeight="1">
      <c r="A35" s="5"/>
      <c r="B35" s="5"/>
      <c r="C35" s="7"/>
      <c r="D35" s="7"/>
      <c r="F35" s="233"/>
      <c r="G35" s="7"/>
      <c r="H35" s="47"/>
      <c r="I35" s="47"/>
      <c r="J35" s="49"/>
      <c r="K35" s="49"/>
      <c r="L35" s="30"/>
      <c r="M35" s="224"/>
      <c r="N35" s="30"/>
      <c r="O35" s="32"/>
      <c r="P35" s="17"/>
      <c r="Q35" s="17"/>
      <c r="R35" s="6"/>
      <c r="S35" s="6"/>
      <c r="T35" s="10"/>
      <c r="U35" s="10"/>
    </row>
    <row r="36" spans="1:21" s="8" customFormat="1" ht="12" customHeight="1">
      <c r="A36" s="5"/>
      <c r="B36" s="5"/>
      <c r="C36" s="7"/>
      <c r="D36" s="7"/>
      <c r="F36" s="233"/>
      <c r="G36" s="7"/>
      <c r="H36" s="47"/>
      <c r="I36" s="47"/>
      <c r="J36" s="49"/>
      <c r="K36" s="49"/>
      <c r="L36" s="30"/>
      <c r="M36" s="224"/>
      <c r="N36" s="30"/>
      <c r="O36" s="32"/>
      <c r="P36" s="17"/>
      <c r="Q36" s="17"/>
      <c r="R36" s="6"/>
      <c r="S36" s="6"/>
      <c r="T36" s="10"/>
      <c r="U36" s="10"/>
    </row>
    <row r="37" spans="1:21" s="8" customFormat="1" ht="12" customHeight="1">
      <c r="A37" s="5"/>
      <c r="B37" s="5"/>
      <c r="C37" s="7"/>
      <c r="D37" s="7"/>
      <c r="F37" s="234"/>
      <c r="G37" s="34"/>
      <c r="H37" s="47"/>
      <c r="I37" s="47"/>
      <c r="J37" s="49"/>
      <c r="K37" s="49"/>
      <c r="L37" s="30"/>
      <c r="M37" s="224"/>
      <c r="N37" s="30"/>
      <c r="O37" s="32"/>
      <c r="P37" s="17"/>
      <c r="Q37" s="17"/>
      <c r="R37" s="6"/>
      <c r="S37" s="6"/>
      <c r="T37" s="10"/>
      <c r="U37" s="10"/>
    </row>
    <row r="38" spans="1:21" s="8" customFormat="1" ht="12" customHeight="1">
      <c r="A38" s="5"/>
      <c r="B38" s="5"/>
      <c r="C38" s="7"/>
      <c r="D38" s="7"/>
      <c r="F38" s="234"/>
      <c r="G38" s="34"/>
      <c r="H38" s="47"/>
      <c r="I38" s="47"/>
      <c r="J38" s="49"/>
      <c r="K38" s="49"/>
      <c r="L38" s="30"/>
      <c r="M38" s="224"/>
      <c r="N38" s="30"/>
      <c r="O38" s="32"/>
      <c r="P38" s="17"/>
      <c r="Q38" s="17"/>
      <c r="R38" s="6"/>
      <c r="S38" s="6"/>
      <c r="T38" s="10"/>
      <c r="U38" s="10"/>
    </row>
    <row r="39" spans="1:21" s="8" customFormat="1" ht="12" customHeight="1">
      <c r="A39" s="5"/>
      <c r="B39" s="5"/>
      <c r="C39" s="7"/>
      <c r="D39" s="7"/>
      <c r="F39" s="234"/>
      <c r="G39" s="34"/>
      <c r="H39" s="47"/>
      <c r="I39" s="47"/>
      <c r="J39" s="49"/>
      <c r="K39" s="49"/>
      <c r="L39" s="30"/>
      <c r="M39" s="224"/>
      <c r="N39" s="30"/>
      <c r="O39" s="32"/>
      <c r="P39" s="17"/>
      <c r="Q39" s="17"/>
      <c r="R39" s="6"/>
      <c r="S39" s="6"/>
      <c r="T39" s="10"/>
      <c r="U39" s="10"/>
    </row>
    <row r="40" spans="1:21" s="37" customFormat="1" ht="29.25" customHeight="1">
      <c r="A40" s="9"/>
      <c r="B40" s="9"/>
      <c r="C40" s="9"/>
      <c r="D40" s="9"/>
      <c r="F40" s="234"/>
      <c r="G40" s="34"/>
      <c r="H40" s="48"/>
      <c r="I40" s="48"/>
      <c r="J40" s="69"/>
      <c r="K40" s="69"/>
      <c r="L40" s="35"/>
      <c r="M40" s="225"/>
      <c r="N40" s="35"/>
      <c r="O40" s="17"/>
      <c r="P40" s="17"/>
      <c r="Q40" s="17"/>
      <c r="R40" s="6"/>
      <c r="S40" s="6"/>
      <c r="T40" s="36"/>
      <c r="U40" s="36"/>
    </row>
    <row r="41" spans="1:21" s="37" customFormat="1" ht="29.25" customHeight="1">
      <c r="A41" s="9"/>
      <c r="B41" s="9"/>
      <c r="C41" s="9"/>
      <c r="D41" s="9"/>
      <c r="F41" s="234"/>
      <c r="G41" s="34"/>
      <c r="H41" s="48"/>
      <c r="I41" s="48"/>
      <c r="J41" s="69"/>
      <c r="K41" s="69"/>
      <c r="L41" s="35"/>
      <c r="M41" s="225"/>
      <c r="N41" s="35"/>
      <c r="O41" s="17"/>
      <c r="P41" s="17"/>
      <c r="Q41" s="17"/>
      <c r="R41" s="6"/>
      <c r="S41" s="6"/>
      <c r="T41" s="36"/>
      <c r="U41" s="36"/>
    </row>
    <row r="42" spans="1:21" s="8" customFormat="1" ht="12" customHeight="1">
      <c r="A42" s="5"/>
      <c r="B42" s="5"/>
      <c r="C42" s="7"/>
      <c r="D42" s="7"/>
      <c r="F42" s="234"/>
      <c r="G42" s="7"/>
      <c r="H42" s="47"/>
      <c r="I42" s="47"/>
      <c r="J42" s="49"/>
      <c r="K42" s="49"/>
      <c r="L42" s="30"/>
      <c r="M42" s="224"/>
      <c r="N42" s="30"/>
      <c r="O42" s="32"/>
      <c r="P42" s="17"/>
      <c r="Q42" s="17"/>
      <c r="R42" s="6"/>
      <c r="S42" s="6"/>
      <c r="T42" s="10"/>
      <c r="U42" s="10"/>
    </row>
    <row r="43" spans="1:21" s="8" customFormat="1" ht="18" customHeight="1">
      <c r="A43" s="5"/>
      <c r="B43" s="5"/>
      <c r="C43" s="7"/>
      <c r="D43" s="7"/>
      <c r="E43" s="5"/>
      <c r="F43" s="234"/>
      <c r="G43" s="7"/>
      <c r="H43" s="47"/>
      <c r="I43" s="47"/>
      <c r="J43" s="49"/>
      <c r="K43" s="49"/>
      <c r="L43" s="30"/>
      <c r="M43" s="224"/>
      <c r="N43" s="30"/>
      <c r="O43" s="32"/>
      <c r="P43" s="17"/>
      <c r="Q43" s="17"/>
      <c r="R43" s="6"/>
      <c r="S43" s="6"/>
      <c r="T43" s="10"/>
      <c r="U43" s="10"/>
    </row>
    <row r="44" spans="1:21" s="8" customFormat="1" ht="12" customHeight="1">
      <c r="A44" s="5"/>
      <c r="B44" s="5"/>
      <c r="C44" s="7"/>
      <c r="D44" s="7"/>
      <c r="E44" s="5"/>
      <c r="F44" s="234"/>
      <c r="G44" s="7"/>
      <c r="H44" s="47"/>
      <c r="I44" s="47"/>
      <c r="J44" s="49"/>
      <c r="K44" s="49"/>
      <c r="L44" s="30"/>
      <c r="M44" s="224"/>
      <c r="N44" s="30"/>
      <c r="O44" s="32"/>
      <c r="P44" s="17"/>
      <c r="Q44" s="17"/>
      <c r="R44" s="6"/>
      <c r="S44" s="6"/>
      <c r="T44" s="10"/>
      <c r="U44" s="10"/>
    </row>
    <row r="45" spans="1:21" s="8" customFormat="1" ht="12" customHeight="1">
      <c r="A45" s="5"/>
      <c r="B45" s="5"/>
      <c r="C45" s="7"/>
      <c r="D45" s="7"/>
      <c r="E45" s="5"/>
      <c r="F45" s="234"/>
      <c r="G45" s="7"/>
      <c r="H45" s="47"/>
      <c r="I45" s="47"/>
      <c r="J45" s="49"/>
      <c r="K45" s="49"/>
      <c r="L45" s="30"/>
      <c r="M45" s="224"/>
      <c r="N45" s="30"/>
      <c r="O45" s="32"/>
      <c r="P45" s="17"/>
      <c r="Q45" s="17"/>
      <c r="R45" s="6"/>
      <c r="S45" s="6"/>
      <c r="T45" s="10"/>
      <c r="U45" s="10"/>
    </row>
    <row r="46" spans="1:21" s="8" customFormat="1" ht="12" customHeight="1">
      <c r="A46" s="5"/>
      <c r="B46" s="5"/>
      <c r="C46" s="7"/>
      <c r="D46" s="7"/>
      <c r="E46" s="5"/>
      <c r="F46" s="234"/>
      <c r="G46" s="7"/>
      <c r="H46" s="47"/>
      <c r="I46" s="47"/>
      <c r="J46" s="49"/>
      <c r="K46" s="49"/>
      <c r="L46" s="30"/>
      <c r="M46" s="224"/>
      <c r="N46" s="30"/>
      <c r="O46" s="32"/>
      <c r="P46" s="17"/>
      <c r="Q46" s="17"/>
      <c r="R46" s="6"/>
      <c r="S46" s="6"/>
      <c r="T46" s="10"/>
      <c r="U46" s="10"/>
    </row>
    <row r="47" spans="1:21" s="8" customFormat="1" ht="12" customHeight="1">
      <c r="A47" s="5"/>
      <c r="B47" s="5"/>
      <c r="C47" s="7"/>
      <c r="D47" s="7"/>
      <c r="E47" s="5"/>
      <c r="F47" s="234"/>
      <c r="G47" s="7"/>
      <c r="H47" s="47"/>
      <c r="I47" s="47"/>
      <c r="J47" s="49"/>
      <c r="K47" s="49"/>
      <c r="L47" s="30"/>
      <c r="M47" s="224"/>
      <c r="N47" s="30"/>
      <c r="O47" s="32"/>
      <c r="P47" s="17"/>
      <c r="Q47" s="17"/>
      <c r="R47" s="6"/>
      <c r="S47" s="6"/>
      <c r="T47" s="10"/>
      <c r="U47" s="10"/>
    </row>
    <row r="48" spans="1:21" s="8" customFormat="1" ht="12" customHeight="1">
      <c r="A48" s="5"/>
      <c r="B48" s="5"/>
      <c r="C48" s="7"/>
      <c r="D48" s="7"/>
      <c r="E48" s="5"/>
      <c r="F48" s="234"/>
      <c r="G48" s="7"/>
      <c r="H48" s="47"/>
      <c r="I48" s="47"/>
      <c r="J48" s="49"/>
      <c r="K48" s="49"/>
      <c r="L48" s="30"/>
      <c r="M48" s="224"/>
      <c r="N48" s="30"/>
      <c r="O48" s="32"/>
      <c r="P48" s="17"/>
      <c r="Q48" s="17"/>
      <c r="R48" s="6"/>
      <c r="S48" s="6"/>
      <c r="T48" s="10"/>
      <c r="U48" s="10"/>
    </row>
    <row r="49" spans="1:21" s="8" customFormat="1" ht="13.5" customHeight="1">
      <c r="A49" s="5"/>
      <c r="B49" s="5"/>
      <c r="C49" s="7"/>
      <c r="D49" s="7"/>
      <c r="E49" s="5"/>
      <c r="F49" s="234"/>
      <c r="G49" s="7"/>
      <c r="H49" s="47"/>
      <c r="I49" s="47"/>
      <c r="J49" s="49"/>
      <c r="K49" s="49"/>
      <c r="L49" s="30"/>
      <c r="M49" s="224"/>
      <c r="N49" s="30"/>
      <c r="O49" s="32"/>
      <c r="P49" s="17"/>
      <c r="Q49" s="17"/>
      <c r="R49" s="6"/>
      <c r="S49" s="6"/>
      <c r="T49" s="10"/>
      <c r="U49" s="10"/>
    </row>
    <row r="50" spans="1:21" s="8" customFormat="1" ht="13.5" customHeight="1">
      <c r="A50" s="5"/>
      <c r="B50" s="5"/>
      <c r="C50" s="7"/>
      <c r="D50" s="7"/>
      <c r="E50" s="5"/>
      <c r="F50" s="234"/>
      <c r="G50" s="7"/>
      <c r="H50" s="47"/>
      <c r="I50" s="47"/>
      <c r="J50" s="49"/>
      <c r="K50" s="49"/>
      <c r="L50" s="30"/>
      <c r="M50" s="224"/>
      <c r="N50" s="30"/>
      <c r="O50" s="32"/>
      <c r="P50" s="17"/>
      <c r="Q50" s="17"/>
      <c r="R50" s="6"/>
      <c r="S50" s="6"/>
      <c r="T50" s="10"/>
      <c r="U50" s="10"/>
    </row>
    <row r="51" spans="1:21" s="8" customFormat="1" ht="13.5" customHeight="1">
      <c r="A51" s="5"/>
      <c r="B51" s="5"/>
      <c r="C51" s="7"/>
      <c r="D51" s="7"/>
      <c r="E51" s="5"/>
      <c r="F51" s="234"/>
      <c r="G51" s="7"/>
      <c r="H51" s="47"/>
      <c r="I51" s="47"/>
      <c r="J51" s="49"/>
      <c r="K51" s="49"/>
      <c r="L51" s="30"/>
      <c r="M51" s="224"/>
      <c r="N51" s="30"/>
      <c r="O51" s="32"/>
      <c r="P51" s="17"/>
      <c r="Q51" s="17"/>
      <c r="R51" s="6"/>
      <c r="S51" s="6"/>
      <c r="T51" s="10"/>
      <c r="U51" s="10"/>
    </row>
    <row r="52" spans="1:21" s="8" customFormat="1" ht="29.25" customHeight="1">
      <c r="A52" s="5"/>
      <c r="B52" s="5"/>
      <c r="C52" s="7"/>
      <c r="D52" s="7"/>
      <c r="E52" s="5"/>
      <c r="F52" s="234"/>
      <c r="G52" s="7"/>
      <c r="H52" s="47"/>
      <c r="I52" s="47"/>
      <c r="J52" s="49"/>
      <c r="K52" s="49"/>
      <c r="L52" s="30"/>
      <c r="M52" s="224"/>
      <c r="N52" s="30"/>
      <c r="O52" s="32"/>
      <c r="P52" s="17"/>
      <c r="Q52" s="17"/>
      <c r="R52" s="6"/>
      <c r="S52" s="6"/>
      <c r="T52" s="10"/>
      <c r="U52" s="10"/>
    </row>
    <row r="53" spans="1:21" s="8" customFormat="1" ht="13.5" customHeight="1">
      <c r="A53" s="5"/>
      <c r="B53" s="5"/>
      <c r="C53" s="7"/>
      <c r="D53" s="7"/>
      <c r="E53" s="5"/>
      <c r="F53" s="234"/>
      <c r="G53" s="7"/>
      <c r="H53" s="47"/>
      <c r="I53" s="47"/>
      <c r="J53" s="49"/>
      <c r="K53" s="49"/>
      <c r="L53" s="30"/>
      <c r="M53" s="224"/>
      <c r="N53" s="30"/>
      <c r="O53" s="32"/>
      <c r="P53" s="17"/>
      <c r="Q53" s="17"/>
      <c r="R53" s="6"/>
      <c r="S53" s="6"/>
      <c r="T53" s="10"/>
      <c r="U53" s="10"/>
    </row>
    <row r="54" spans="1:21" s="8" customFormat="1" ht="13.5" customHeight="1">
      <c r="A54" s="5"/>
      <c r="B54" s="5"/>
      <c r="C54" s="7"/>
      <c r="D54" s="7"/>
      <c r="E54" s="5"/>
      <c r="F54" s="234"/>
      <c r="G54" s="7"/>
      <c r="H54" s="47"/>
      <c r="I54" s="47"/>
      <c r="J54" s="49"/>
      <c r="K54" s="49"/>
      <c r="L54" s="30"/>
      <c r="M54" s="224"/>
      <c r="N54" s="30"/>
      <c r="O54" s="32"/>
      <c r="P54" s="17"/>
      <c r="Q54" s="17"/>
      <c r="R54" s="6"/>
      <c r="S54" s="6"/>
      <c r="T54" s="10"/>
      <c r="U54" s="10"/>
    </row>
    <row r="55" spans="1:21" s="8" customFormat="1" ht="13.5" customHeight="1">
      <c r="A55" s="5"/>
      <c r="B55" s="5"/>
      <c r="C55" s="7"/>
      <c r="D55" s="7"/>
      <c r="E55" s="5"/>
      <c r="F55" s="234"/>
      <c r="G55" s="7"/>
      <c r="H55" s="47"/>
      <c r="I55" s="47"/>
      <c r="J55" s="49"/>
      <c r="K55" s="49"/>
      <c r="L55" s="30"/>
      <c r="M55" s="224"/>
      <c r="N55" s="30"/>
      <c r="O55" s="32"/>
      <c r="P55" s="17"/>
      <c r="Q55" s="17"/>
      <c r="R55" s="6"/>
      <c r="S55" s="6"/>
      <c r="T55" s="10"/>
      <c r="U55" s="10"/>
    </row>
    <row r="56" spans="1:21" s="8" customFormat="1" ht="13.5" customHeight="1">
      <c r="A56" s="5"/>
      <c r="B56" s="5"/>
      <c r="C56" s="7"/>
      <c r="D56" s="7"/>
      <c r="E56" s="5"/>
      <c r="F56" s="234"/>
      <c r="G56" s="7"/>
      <c r="H56" s="47"/>
      <c r="I56" s="47"/>
      <c r="J56" s="49"/>
      <c r="K56" s="49"/>
      <c r="L56" s="30"/>
      <c r="M56" s="224"/>
      <c r="N56" s="30"/>
      <c r="O56" s="32"/>
      <c r="P56" s="17"/>
      <c r="Q56" s="17"/>
      <c r="R56" s="6"/>
      <c r="S56" s="6"/>
      <c r="T56" s="10"/>
      <c r="U56" s="10"/>
    </row>
    <row r="57" spans="1:21" s="8" customFormat="1" ht="13.5" customHeight="1">
      <c r="A57" s="5"/>
      <c r="B57" s="5"/>
      <c r="C57" s="7"/>
      <c r="D57" s="7"/>
      <c r="E57" s="5"/>
      <c r="F57" s="234"/>
      <c r="G57" s="7"/>
      <c r="H57" s="47"/>
      <c r="I57" s="47"/>
      <c r="J57" s="49"/>
      <c r="K57" s="49"/>
      <c r="L57" s="30"/>
      <c r="M57" s="224"/>
      <c r="N57" s="30"/>
      <c r="O57" s="32"/>
      <c r="P57" s="17"/>
      <c r="Q57" s="17"/>
      <c r="R57" s="6"/>
      <c r="S57" s="6"/>
      <c r="T57" s="10"/>
      <c r="U57" s="10"/>
    </row>
    <row r="58" spans="1:21" s="8" customFormat="1" ht="13.5" customHeight="1">
      <c r="A58" s="5"/>
      <c r="B58" s="5"/>
      <c r="C58" s="7"/>
      <c r="D58" s="7"/>
      <c r="E58" s="5"/>
      <c r="F58" s="234"/>
      <c r="G58" s="7"/>
      <c r="H58" s="47"/>
      <c r="I58" s="47"/>
      <c r="J58" s="49"/>
      <c r="K58" s="49"/>
      <c r="L58" s="30"/>
      <c r="M58" s="224"/>
      <c r="N58" s="30"/>
      <c r="O58" s="32"/>
      <c r="P58" s="17"/>
      <c r="Q58" s="17"/>
      <c r="R58" s="6"/>
      <c r="S58" s="6"/>
      <c r="T58" s="10"/>
      <c r="U58" s="10"/>
    </row>
    <row r="59" spans="1:21" s="8" customFormat="1" ht="13.5" customHeight="1">
      <c r="A59" s="5"/>
      <c r="B59" s="5"/>
      <c r="C59" s="7"/>
      <c r="D59" s="7"/>
      <c r="E59" s="5"/>
      <c r="F59" s="234"/>
      <c r="G59" s="7"/>
      <c r="H59" s="47"/>
      <c r="I59" s="47"/>
      <c r="J59" s="49"/>
      <c r="K59" s="49"/>
      <c r="L59" s="30"/>
      <c r="M59" s="224"/>
      <c r="N59" s="30"/>
      <c r="O59" s="32"/>
      <c r="P59" s="17"/>
      <c r="Q59" s="17"/>
      <c r="R59" s="6"/>
      <c r="S59" s="6"/>
      <c r="T59" s="10"/>
      <c r="U59" s="10"/>
    </row>
    <row r="60" spans="1:21" s="8" customFormat="1" ht="13.5" customHeight="1">
      <c r="A60" s="5"/>
      <c r="B60" s="5"/>
      <c r="C60" s="7"/>
      <c r="D60" s="7"/>
      <c r="E60" s="5"/>
      <c r="F60" s="234"/>
      <c r="G60" s="7"/>
      <c r="H60" s="47"/>
      <c r="I60" s="47"/>
      <c r="J60" s="49"/>
      <c r="K60" s="49"/>
      <c r="L60" s="30"/>
      <c r="M60" s="224"/>
      <c r="N60" s="30"/>
      <c r="O60" s="32"/>
      <c r="P60" s="17"/>
      <c r="Q60" s="17"/>
      <c r="R60" s="6"/>
      <c r="S60" s="6"/>
      <c r="T60" s="10"/>
      <c r="U60" s="10"/>
    </row>
    <row r="61" spans="1:21" s="8" customFormat="1" ht="13.5" customHeight="1">
      <c r="A61" s="5"/>
      <c r="B61" s="5"/>
      <c r="C61" s="7"/>
      <c r="D61" s="7"/>
      <c r="E61" s="5"/>
      <c r="F61" s="234"/>
      <c r="G61" s="7"/>
      <c r="H61" s="47"/>
      <c r="I61" s="47"/>
      <c r="J61" s="49"/>
      <c r="K61" s="49"/>
      <c r="L61" s="30"/>
      <c r="M61" s="224"/>
      <c r="N61" s="30"/>
      <c r="O61" s="32"/>
      <c r="P61" s="17"/>
      <c r="Q61" s="17"/>
      <c r="R61" s="6"/>
      <c r="S61" s="6"/>
      <c r="T61" s="10"/>
      <c r="U61" s="10"/>
    </row>
    <row r="62" spans="1:21" s="8" customFormat="1" ht="13.5" customHeight="1">
      <c r="A62" s="5"/>
      <c r="B62" s="5"/>
      <c r="C62" s="7"/>
      <c r="D62" s="7"/>
      <c r="E62" s="5"/>
      <c r="F62" s="234"/>
      <c r="G62" s="7"/>
      <c r="H62" s="47"/>
      <c r="I62" s="47"/>
      <c r="J62" s="49"/>
      <c r="K62" s="49"/>
      <c r="L62" s="30"/>
      <c r="M62" s="224"/>
      <c r="N62" s="30"/>
      <c r="O62" s="32"/>
      <c r="P62" s="17"/>
      <c r="Q62" s="17"/>
      <c r="R62" s="6"/>
      <c r="S62" s="6"/>
      <c r="T62" s="10"/>
      <c r="U62" s="10"/>
    </row>
    <row r="63" spans="1:21" s="8" customFormat="1" ht="13.5" customHeight="1">
      <c r="A63" s="5"/>
      <c r="B63" s="5"/>
      <c r="C63" s="7"/>
      <c r="D63" s="7"/>
      <c r="E63" s="5"/>
      <c r="F63" s="234"/>
      <c r="G63" s="7"/>
      <c r="H63" s="47"/>
      <c r="I63" s="47"/>
      <c r="J63" s="49"/>
      <c r="K63" s="49"/>
      <c r="L63" s="30"/>
      <c r="M63" s="224"/>
      <c r="N63" s="30"/>
      <c r="O63" s="32"/>
      <c r="P63" s="17"/>
      <c r="Q63" s="17"/>
      <c r="R63" s="6"/>
      <c r="S63" s="6"/>
      <c r="T63" s="10"/>
      <c r="U63" s="10"/>
    </row>
    <row r="64" spans="1:21" s="8" customFormat="1" ht="13.5" customHeight="1">
      <c r="A64" s="5"/>
      <c r="B64" s="5"/>
      <c r="C64" s="7"/>
      <c r="D64" s="7"/>
      <c r="E64" s="5"/>
      <c r="F64" s="234"/>
      <c r="G64" s="7"/>
      <c r="H64" s="47"/>
      <c r="I64" s="47"/>
      <c r="J64" s="49"/>
      <c r="K64" s="49"/>
      <c r="L64" s="30"/>
      <c r="M64" s="224"/>
      <c r="N64" s="30"/>
      <c r="O64" s="32"/>
      <c r="P64" s="17"/>
      <c r="Q64" s="17"/>
      <c r="R64" s="6"/>
      <c r="S64" s="6"/>
      <c r="T64" s="10"/>
      <c r="U64" s="10"/>
    </row>
    <row r="65" spans="1:21" s="8" customFormat="1" ht="13.5" customHeight="1">
      <c r="A65" s="5"/>
      <c r="B65" s="5"/>
      <c r="C65" s="7"/>
      <c r="D65" s="7"/>
      <c r="E65" s="5"/>
      <c r="F65" s="234"/>
      <c r="G65" s="7"/>
      <c r="H65" s="47"/>
      <c r="I65" s="47"/>
      <c r="J65" s="49"/>
      <c r="K65" s="49"/>
      <c r="L65" s="30"/>
      <c r="M65" s="224"/>
      <c r="N65" s="30"/>
      <c r="O65" s="32"/>
      <c r="P65" s="17"/>
      <c r="Q65" s="17"/>
      <c r="R65" s="6"/>
      <c r="S65" s="6"/>
      <c r="T65" s="10"/>
      <c r="U65" s="10"/>
    </row>
    <row r="66" spans="1:21" s="8" customFormat="1" ht="13.5" customHeight="1">
      <c r="A66" s="5"/>
      <c r="B66" s="5"/>
      <c r="C66" s="7"/>
      <c r="D66" s="7"/>
      <c r="E66" s="5"/>
      <c r="F66" s="234"/>
      <c r="G66" s="7"/>
      <c r="H66" s="47"/>
      <c r="I66" s="47"/>
      <c r="J66" s="49"/>
      <c r="K66" s="49"/>
      <c r="L66" s="30"/>
      <c r="M66" s="224"/>
      <c r="N66" s="30"/>
      <c r="O66" s="32"/>
      <c r="P66" s="17"/>
      <c r="Q66" s="17"/>
      <c r="R66" s="6"/>
      <c r="S66" s="6"/>
      <c r="T66" s="10"/>
      <c r="U66" s="10"/>
    </row>
    <row r="67" spans="1:21" s="8" customFormat="1" ht="13.5" customHeight="1">
      <c r="A67" s="5"/>
      <c r="B67" s="5"/>
      <c r="C67" s="7"/>
      <c r="D67" s="7"/>
      <c r="E67" s="5"/>
      <c r="F67" s="234"/>
      <c r="G67" s="7"/>
      <c r="H67" s="47"/>
      <c r="I67" s="47"/>
      <c r="J67" s="49"/>
      <c r="K67" s="49"/>
      <c r="L67" s="30"/>
      <c r="M67" s="224"/>
      <c r="N67" s="30"/>
      <c r="O67" s="32"/>
      <c r="P67" s="17"/>
      <c r="Q67" s="17"/>
      <c r="R67" s="11"/>
      <c r="S67" s="11"/>
      <c r="T67" s="10"/>
      <c r="U67" s="10"/>
    </row>
    <row r="68" spans="1:21" s="8" customFormat="1" ht="13.5" customHeight="1">
      <c r="A68" s="5"/>
      <c r="B68" s="5"/>
      <c r="C68" s="7"/>
      <c r="D68" s="7"/>
      <c r="E68" s="5"/>
      <c r="F68" s="234"/>
      <c r="G68" s="7"/>
      <c r="H68" s="47"/>
      <c r="I68" s="47"/>
      <c r="J68" s="49"/>
      <c r="K68" s="49"/>
      <c r="L68" s="30"/>
      <c r="M68" s="224"/>
      <c r="N68" s="30"/>
      <c r="O68" s="32"/>
      <c r="P68" s="17"/>
      <c r="Q68" s="17"/>
      <c r="R68" s="11"/>
      <c r="S68" s="11"/>
      <c r="T68" s="10"/>
      <c r="U68" s="10"/>
    </row>
    <row r="69" spans="1:21" s="8" customFormat="1" ht="13.5" customHeight="1">
      <c r="A69" s="5"/>
      <c r="B69" s="5"/>
      <c r="C69" s="7"/>
      <c r="D69" s="7"/>
      <c r="E69" s="5"/>
      <c r="F69" s="234"/>
      <c r="G69" s="7"/>
      <c r="H69" s="47"/>
      <c r="I69" s="47"/>
      <c r="J69" s="49"/>
      <c r="K69" s="49"/>
      <c r="L69" s="30"/>
      <c r="M69" s="224"/>
      <c r="N69" s="30"/>
      <c r="O69" s="32"/>
      <c r="P69" s="17"/>
      <c r="Q69" s="17"/>
      <c r="R69" s="11"/>
      <c r="S69" s="11"/>
      <c r="T69" s="10"/>
      <c r="U69" s="10"/>
    </row>
    <row r="70" spans="1:21" s="8" customFormat="1" ht="13.5" customHeight="1">
      <c r="A70" s="5"/>
      <c r="B70" s="5"/>
      <c r="C70" s="7"/>
      <c r="D70" s="7"/>
      <c r="E70" s="5"/>
      <c r="F70" s="234"/>
      <c r="G70" s="7"/>
      <c r="H70" s="47"/>
      <c r="I70" s="47"/>
      <c r="J70" s="49"/>
      <c r="K70" s="49"/>
      <c r="L70" s="30"/>
      <c r="M70" s="224"/>
      <c r="N70" s="30"/>
      <c r="O70" s="32"/>
      <c r="P70" s="17"/>
      <c r="Q70" s="17"/>
      <c r="R70" s="11"/>
      <c r="S70" s="11"/>
      <c r="T70" s="10"/>
      <c r="U70" s="10"/>
    </row>
    <row r="71" spans="1:21" s="8" customFormat="1" ht="13.5" customHeight="1">
      <c r="A71" s="5"/>
      <c r="B71" s="5"/>
      <c r="C71" s="7"/>
      <c r="D71" s="7"/>
      <c r="E71" s="5"/>
      <c r="F71" s="234"/>
      <c r="G71" s="7"/>
      <c r="H71" s="47"/>
      <c r="I71" s="47"/>
      <c r="J71" s="49"/>
      <c r="K71" s="49"/>
      <c r="L71" s="30"/>
      <c r="M71" s="224"/>
      <c r="N71" s="30"/>
      <c r="O71" s="32"/>
      <c r="P71" s="17"/>
      <c r="Q71" s="17"/>
      <c r="R71" s="11"/>
      <c r="S71" s="11"/>
      <c r="T71" s="10"/>
      <c r="U71" s="10"/>
    </row>
    <row r="72" spans="1:21" s="8" customFormat="1" ht="13.5" customHeight="1">
      <c r="A72" s="5"/>
      <c r="B72" s="5"/>
      <c r="C72" s="7"/>
      <c r="D72" s="7"/>
      <c r="E72" s="5"/>
      <c r="F72" s="234"/>
      <c r="G72" s="7"/>
      <c r="H72" s="47"/>
      <c r="I72" s="47"/>
      <c r="J72" s="49"/>
      <c r="K72" s="49"/>
      <c r="L72" s="30"/>
      <c r="M72" s="224"/>
      <c r="N72" s="30"/>
      <c r="O72" s="32"/>
      <c r="P72" s="17"/>
      <c r="Q72" s="17"/>
      <c r="R72" s="11"/>
      <c r="S72" s="11"/>
      <c r="T72" s="10"/>
      <c r="U72" s="10"/>
    </row>
    <row r="73" spans="1:21" s="8" customFormat="1" ht="13.5" customHeight="1">
      <c r="A73" s="5"/>
      <c r="B73" s="5"/>
      <c r="C73" s="7"/>
      <c r="D73" s="7"/>
      <c r="E73" s="5"/>
      <c r="F73" s="233"/>
      <c r="G73" s="7"/>
      <c r="H73" s="47"/>
      <c r="I73" s="47"/>
      <c r="J73" s="49"/>
      <c r="K73" s="49"/>
      <c r="L73" s="30"/>
      <c r="M73" s="224"/>
      <c r="N73" s="30"/>
      <c r="O73" s="32"/>
      <c r="P73" s="17"/>
      <c r="Q73" s="17"/>
      <c r="R73" s="11"/>
      <c r="S73" s="11"/>
      <c r="T73" s="10"/>
      <c r="U73" s="10"/>
    </row>
    <row r="74" spans="1:21" s="8" customFormat="1" ht="22.5" customHeight="1">
      <c r="A74" s="5"/>
      <c r="B74" s="5"/>
      <c r="C74" s="471"/>
      <c r="D74" s="471"/>
      <c r="E74" s="471"/>
      <c r="F74" s="233"/>
      <c r="G74" s="7"/>
      <c r="H74" s="49"/>
      <c r="I74" s="49"/>
      <c r="J74" s="49"/>
      <c r="K74" s="70"/>
      <c r="L74" s="31"/>
      <c r="M74" s="226"/>
      <c r="N74" s="31"/>
      <c r="O74" s="38"/>
      <c r="P74" s="62"/>
      <c r="Q74" s="62"/>
      <c r="R74" s="11"/>
      <c r="S74" s="11"/>
      <c r="T74" s="10"/>
      <c r="U74" s="10"/>
    </row>
    <row r="75" spans="1:21">
      <c r="F75" s="238"/>
      <c r="H75" s="50"/>
      <c r="I75" s="50"/>
      <c r="L75" s="41"/>
      <c r="M75" s="227"/>
      <c r="N75" s="41"/>
    </row>
    <row r="76" spans="1:21">
      <c r="F76" s="238"/>
      <c r="H76" s="50"/>
      <c r="I76" s="50"/>
      <c r="L76" s="41"/>
      <c r="M76" s="227"/>
      <c r="N76" s="41"/>
    </row>
    <row r="77" spans="1:21">
      <c r="F77" s="238"/>
      <c r="H77" s="50"/>
      <c r="I77" s="50"/>
      <c r="L77" s="41"/>
      <c r="M77" s="227"/>
      <c r="N77" s="41"/>
    </row>
    <row r="78" spans="1:21">
      <c r="F78" s="238"/>
      <c r="H78" s="50"/>
      <c r="I78" s="50"/>
      <c r="L78" s="41"/>
      <c r="M78" s="227"/>
      <c r="N78" s="41"/>
    </row>
    <row r="79" spans="1:21">
      <c r="F79" s="238"/>
      <c r="H79" s="50"/>
      <c r="I79" s="50"/>
      <c r="L79" s="41"/>
      <c r="M79" s="227"/>
      <c r="N79" s="41"/>
    </row>
    <row r="80" spans="1:21" s="11" customFormat="1">
      <c r="A80" s="39"/>
      <c r="B80" s="39"/>
      <c r="C80" s="39"/>
      <c r="D80" s="39"/>
      <c r="F80" s="238"/>
      <c r="G80" s="40"/>
      <c r="H80" s="50"/>
      <c r="I80" s="50"/>
      <c r="J80" s="51"/>
      <c r="K80" s="51"/>
      <c r="L80" s="41"/>
      <c r="M80" s="227"/>
      <c r="N80" s="41"/>
      <c r="O80" s="42"/>
      <c r="P80" s="63"/>
      <c r="Q80" s="63"/>
      <c r="T80" s="12"/>
      <c r="U80" s="12"/>
    </row>
  </sheetData>
  <protectedRanges>
    <protectedRange sqref="D14:Q31" name="범위1_1"/>
  </protectedRanges>
  <mergeCells count="16">
    <mergeCell ref="Q12:Q13"/>
    <mergeCell ref="O12:O13"/>
    <mergeCell ref="P12:P13"/>
    <mergeCell ref="A32:E32"/>
    <mergeCell ref="C74:E74"/>
    <mergeCell ref="A6:P6"/>
    <mergeCell ref="A12:A13"/>
    <mergeCell ref="C12:C13"/>
    <mergeCell ref="D12:D13"/>
    <mergeCell ref="E12:E13"/>
    <mergeCell ref="F12:G12"/>
    <mergeCell ref="H12:K12"/>
    <mergeCell ref="L12:L13"/>
    <mergeCell ref="M12:M13"/>
    <mergeCell ref="N12:N13"/>
    <mergeCell ref="B12:B13"/>
  </mergeCells>
  <phoneticPr fontId="3" type="noConversion"/>
  <printOptions horizontalCentered="1"/>
  <pageMargins left="0.39370078740157483" right="0.39370078740157483" top="0.19685039370078741" bottom="0.19685039370078741" header="0.23622047244094491" footer="0"/>
  <pageSetup paperSize="9" scale="41" fitToHeight="0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B8F8-B3A0-4F9B-AE3F-5E75C97B3498}">
  <sheetPr>
    <tabColor rgb="FF00B0F0"/>
    <pageSetUpPr fitToPage="1"/>
  </sheetPr>
  <dimension ref="A1:V183"/>
  <sheetViews>
    <sheetView showGridLines="0" tabSelected="1" view="pageBreakPreview" topLeftCell="A98" zoomScale="70" zoomScaleNormal="70" zoomScaleSheetLayoutView="70" workbookViewId="0">
      <selection activeCell="C139" sqref="C139"/>
    </sheetView>
  </sheetViews>
  <sheetFormatPr defaultColWidth="10" defaultRowHeight="13.8"/>
  <cols>
    <col min="1" max="1" width="18.09765625" style="39" customWidth="1"/>
    <col min="2" max="2" width="30.5" style="39" customWidth="1"/>
    <col min="3" max="3" width="61.59765625" style="39" bestFit="1" customWidth="1"/>
    <col min="4" max="4" width="20" style="39" customWidth="1"/>
    <col min="5" max="5" width="11.19921875" style="311" customWidth="1"/>
    <col min="6" max="6" width="12.59765625" style="239" customWidth="1"/>
    <col min="7" max="7" width="12.59765625" style="297" customWidth="1"/>
    <col min="8" max="9" width="12.59765625" style="51" customWidth="1"/>
    <col min="10" max="10" width="11.3984375" style="51" bestFit="1" customWidth="1"/>
    <col min="11" max="11" width="17.59765625" style="51" customWidth="1"/>
    <col min="12" max="12" width="17.59765625" style="228" customWidth="1"/>
    <col min="13" max="13" width="17.3984375" style="243" customWidth="1"/>
    <col min="14" max="14" width="18.3984375" style="43" customWidth="1"/>
    <col min="15" max="15" width="18.59765625" style="42" customWidth="1"/>
    <col min="16" max="16" width="18.59765625" style="63" customWidth="1"/>
    <col min="17" max="17" width="16.09765625" style="63" customWidth="1"/>
    <col min="18" max="18" width="10" style="11"/>
    <col min="19" max="19" width="21.59765625" style="11" customWidth="1"/>
    <col min="20" max="21" width="10" style="12"/>
    <col min="22" max="16384" width="10" style="13"/>
  </cols>
  <sheetData>
    <row r="1" spans="1:22" s="8" customFormat="1" ht="14.1" customHeight="1">
      <c r="A1" s="5"/>
      <c r="B1" s="5"/>
      <c r="C1" s="5"/>
      <c r="D1" s="5"/>
      <c r="E1" s="302"/>
      <c r="F1" s="235"/>
      <c r="G1" s="49"/>
      <c r="H1" s="66"/>
      <c r="I1" s="44"/>
      <c r="J1" s="44"/>
      <c r="K1" s="44"/>
      <c r="L1" s="294"/>
      <c r="M1" s="250"/>
      <c r="N1" s="5"/>
      <c r="O1" s="9" t="s">
        <v>0</v>
      </c>
      <c r="P1" s="37"/>
      <c r="Q1" s="37"/>
      <c r="R1" s="191" t="s">
        <v>76</v>
      </c>
      <c r="S1" s="192" t="s">
        <v>77</v>
      </c>
      <c r="T1" s="192" t="s">
        <v>78</v>
      </c>
      <c r="U1" s="193"/>
      <c r="V1" s="194"/>
    </row>
    <row r="2" spans="1:22" s="8" customFormat="1" ht="14.1" customHeight="1">
      <c r="A2" s="5"/>
      <c r="B2" s="5"/>
      <c r="C2" s="5"/>
      <c r="D2" s="5"/>
      <c r="E2" s="302"/>
      <c r="F2" s="235"/>
      <c r="G2" s="49"/>
      <c r="H2" s="66"/>
      <c r="I2" s="44"/>
      <c r="J2" s="44"/>
      <c r="K2" s="44"/>
      <c r="L2" s="294"/>
      <c r="M2" s="250"/>
      <c r="N2" s="5"/>
      <c r="O2" s="9" t="s">
        <v>1</v>
      </c>
      <c r="P2" s="37"/>
      <c r="Q2" s="37"/>
      <c r="R2" s="194"/>
      <c r="S2" s="192" t="s">
        <v>79</v>
      </c>
      <c r="T2" s="192" t="s">
        <v>80</v>
      </c>
      <c r="U2" s="194"/>
      <c r="V2" s="194"/>
    </row>
    <row r="3" spans="1:22" s="8" customFormat="1" ht="14.1" customHeight="1">
      <c r="A3" s="5"/>
      <c r="B3" s="5"/>
      <c r="C3" s="5"/>
      <c r="D3" s="5"/>
      <c r="E3" s="302"/>
      <c r="F3" s="235"/>
      <c r="G3" s="49"/>
      <c r="H3" s="66"/>
      <c r="I3" s="44"/>
      <c r="J3" s="44"/>
      <c r="K3" s="44"/>
      <c r="L3" s="294"/>
      <c r="M3" s="250"/>
      <c r="N3" s="5"/>
      <c r="O3" s="9" t="s">
        <v>2</v>
      </c>
      <c r="P3" s="37"/>
      <c r="Q3" s="37"/>
      <c r="R3" s="195"/>
      <c r="S3" s="192" t="s">
        <v>81</v>
      </c>
      <c r="T3" s="192" t="s">
        <v>82</v>
      </c>
      <c r="U3" s="194"/>
      <c r="V3" s="194"/>
    </row>
    <row r="4" spans="1:22" s="8" customFormat="1" ht="14.1" customHeight="1">
      <c r="A4" s="5"/>
      <c r="B4" s="5"/>
      <c r="C4" s="5"/>
      <c r="D4" s="5"/>
      <c r="E4" s="302"/>
      <c r="F4" s="235"/>
      <c r="G4" s="49"/>
      <c r="H4" s="66"/>
      <c r="I4" s="44"/>
      <c r="J4" s="44"/>
      <c r="K4" s="44"/>
      <c r="L4" s="294"/>
      <c r="M4" s="250"/>
      <c r="N4" s="5"/>
      <c r="O4" s="9" t="s">
        <v>3</v>
      </c>
      <c r="P4" s="37"/>
      <c r="Q4" s="37"/>
      <c r="R4" s="195"/>
      <c r="S4" s="192" t="s">
        <v>83</v>
      </c>
      <c r="T4" s="192" t="s">
        <v>84</v>
      </c>
      <c r="U4" s="194"/>
      <c r="V4" s="194"/>
    </row>
    <row r="5" spans="1:22" s="8" customFormat="1" ht="14.1" customHeight="1">
      <c r="A5" s="5"/>
      <c r="B5" s="5"/>
      <c r="C5" s="5"/>
      <c r="D5" s="5"/>
      <c r="E5" s="302"/>
      <c r="F5" s="235"/>
      <c r="G5" s="49"/>
      <c r="H5" s="66"/>
      <c r="I5" s="44"/>
      <c r="J5" s="44"/>
      <c r="K5" s="44"/>
      <c r="L5" s="294"/>
      <c r="M5" s="250"/>
      <c r="N5" s="5"/>
      <c r="O5" s="9" t="s">
        <v>4</v>
      </c>
      <c r="P5" s="37"/>
      <c r="Q5" s="37"/>
      <c r="R5" s="101"/>
    </row>
    <row r="6" spans="1:22" ht="52.2" customHeight="1">
      <c r="A6" s="431" t="s">
        <v>85</v>
      </c>
      <c r="B6" s="431"/>
      <c r="C6" s="431"/>
      <c r="D6" s="431"/>
      <c r="E6" s="431"/>
      <c r="F6" s="431"/>
      <c r="G6" s="431"/>
      <c r="H6" s="431"/>
      <c r="I6" s="431"/>
      <c r="J6" s="431"/>
      <c r="K6" s="431"/>
      <c r="L6" s="431"/>
      <c r="M6" s="431"/>
      <c r="N6" s="431"/>
      <c r="O6" s="431"/>
      <c r="P6" s="431"/>
      <c r="Q6" s="431"/>
      <c r="R6" s="19"/>
    </row>
    <row r="7" spans="1:22" ht="17.100000000000001" customHeight="1">
      <c r="A7" s="104" t="s">
        <v>86</v>
      </c>
      <c r="B7" s="104" t="s">
        <v>87</v>
      </c>
      <c r="C7" s="105"/>
      <c r="D7" s="105"/>
      <c r="E7" s="298"/>
      <c r="F7" s="230"/>
      <c r="G7" s="275"/>
      <c r="H7" s="275"/>
      <c r="I7" s="275"/>
      <c r="J7" s="275"/>
      <c r="K7" s="275"/>
      <c r="L7" s="275"/>
      <c r="M7" s="88"/>
      <c r="N7" s="88"/>
      <c r="O7" s="88"/>
      <c r="P7" s="88"/>
      <c r="Q7" s="88"/>
      <c r="R7" s="19"/>
    </row>
    <row r="8" spans="1:22" ht="17.100000000000001" customHeight="1">
      <c r="A8" s="104"/>
      <c r="B8" s="104" t="s">
        <v>88</v>
      </c>
      <c r="C8" s="105"/>
      <c r="D8" s="105"/>
      <c r="E8" s="298"/>
      <c r="F8" s="230"/>
      <c r="G8" s="275"/>
      <c r="H8" s="275"/>
      <c r="I8" s="275"/>
      <c r="J8" s="275"/>
      <c r="K8" s="275"/>
      <c r="L8" s="275"/>
      <c r="M8" s="88"/>
      <c r="N8" s="88"/>
      <c r="O8" s="88"/>
      <c r="P8" s="88"/>
      <c r="Q8" s="88"/>
      <c r="U8" s="101"/>
      <c r="V8" s="102"/>
    </row>
    <row r="9" spans="1:22" s="18" customFormat="1" ht="17.100000000000001" customHeight="1" thickBot="1">
      <c r="A9" s="104" t="s">
        <v>89</v>
      </c>
      <c r="B9" s="104" t="s">
        <v>139</v>
      </c>
      <c r="C9" s="104"/>
      <c r="D9" s="106"/>
      <c r="E9" s="303"/>
      <c r="F9" s="236"/>
      <c r="G9" s="67"/>
      <c r="H9" s="45"/>
      <c r="I9" s="45"/>
      <c r="J9" s="45"/>
      <c r="K9" s="67"/>
      <c r="L9" s="223"/>
      <c r="M9" s="249"/>
      <c r="N9" s="15"/>
      <c r="O9" s="17"/>
      <c r="P9" s="17"/>
      <c r="Q9" s="17"/>
      <c r="U9" s="101"/>
      <c r="V9" s="102"/>
    </row>
    <row r="10" spans="1:22" s="18" customFormat="1" ht="21" customHeight="1">
      <c r="A10" s="186" t="s">
        <v>90</v>
      </c>
      <c r="B10" s="187" t="str">
        <f>'Summary PL'!B10</f>
        <v>Branch of JSC "Doosan Enerbility" in the Turkestan region</v>
      </c>
      <c r="C10" s="187"/>
      <c r="D10" s="197"/>
      <c r="E10" s="304"/>
      <c r="F10" s="236"/>
      <c r="G10" s="67"/>
      <c r="H10" s="45"/>
      <c r="I10" s="45"/>
      <c r="J10" s="45"/>
      <c r="K10" s="67"/>
      <c r="L10" s="223"/>
      <c r="M10" s="249"/>
      <c r="N10" s="15"/>
      <c r="O10" s="17"/>
      <c r="P10" s="17"/>
      <c r="Q10" s="17"/>
      <c r="U10" s="101"/>
      <c r="V10" s="102"/>
    </row>
    <row r="11" spans="1:22" s="18" customFormat="1" ht="21" customHeight="1" thickBot="1">
      <c r="A11" s="254" t="s">
        <v>91</v>
      </c>
      <c r="B11" s="255" t="str">
        <f>'Summary PL'!B11</f>
        <v>321 Tauke Khan Avenue, Turkestan region, Turkestan, Kazakhstan, 161200</v>
      </c>
      <c r="C11" s="255"/>
      <c r="D11" s="259"/>
      <c r="E11" s="305"/>
      <c r="F11" s="236"/>
      <c r="G11" s="67"/>
      <c r="H11" s="45"/>
      <c r="I11" s="45"/>
      <c r="J11" s="45"/>
      <c r="K11" s="67"/>
      <c r="L11" s="223"/>
      <c r="M11" s="249"/>
      <c r="N11" s="15"/>
      <c r="O11" s="17"/>
      <c r="P11" s="17"/>
      <c r="Q11" s="17"/>
      <c r="U11" s="101"/>
      <c r="V11" s="102"/>
    </row>
    <row r="12" spans="1:22" s="21" customFormat="1" ht="23.7" customHeight="1">
      <c r="A12" s="474" t="s">
        <v>92</v>
      </c>
      <c r="B12" s="476" t="s">
        <v>140</v>
      </c>
      <c r="C12" s="476" t="s">
        <v>95</v>
      </c>
      <c r="D12" s="476" t="s">
        <v>141</v>
      </c>
      <c r="E12" s="486" t="s">
        <v>97</v>
      </c>
      <c r="F12" s="486"/>
      <c r="G12" s="487" t="s">
        <v>98</v>
      </c>
      <c r="H12" s="487"/>
      <c r="I12" s="487"/>
      <c r="J12" s="487"/>
      <c r="K12" s="488" t="s">
        <v>99</v>
      </c>
      <c r="L12" s="488" t="s">
        <v>100</v>
      </c>
      <c r="M12" s="478" t="s">
        <v>142</v>
      </c>
      <c r="N12" s="478" t="s">
        <v>143</v>
      </c>
      <c r="O12" s="480" t="s">
        <v>144</v>
      </c>
      <c r="P12" s="482" t="s">
        <v>145</v>
      </c>
      <c r="Q12" s="484" t="s">
        <v>146</v>
      </c>
      <c r="R12" s="19"/>
      <c r="S12" s="20"/>
      <c r="T12" s="20"/>
      <c r="U12" s="20"/>
      <c r="V12" s="20"/>
    </row>
    <row r="13" spans="1:22" s="21" customFormat="1" ht="39" customHeight="1">
      <c r="A13" s="475"/>
      <c r="B13" s="477"/>
      <c r="C13" s="477"/>
      <c r="D13" s="477"/>
      <c r="E13" s="231" t="s">
        <v>147</v>
      </c>
      <c r="F13" s="220" t="s">
        <v>148</v>
      </c>
      <c r="G13" s="68" t="s">
        <v>107</v>
      </c>
      <c r="H13" s="68" t="s">
        <v>108</v>
      </c>
      <c r="I13" s="68" t="s">
        <v>109</v>
      </c>
      <c r="J13" s="68" t="s">
        <v>110</v>
      </c>
      <c r="K13" s="489"/>
      <c r="L13" s="489"/>
      <c r="M13" s="479"/>
      <c r="N13" s="479"/>
      <c r="O13" s="481"/>
      <c r="P13" s="483"/>
      <c r="Q13" s="485"/>
      <c r="R13" s="19"/>
      <c r="S13" s="20"/>
      <c r="T13" s="20"/>
      <c r="U13" s="20"/>
      <c r="V13" s="20"/>
    </row>
    <row r="14" spans="1:22" s="65" customFormat="1" ht="21.9" customHeight="1">
      <c r="A14" s="132">
        <v>1</v>
      </c>
      <c r="B14" s="312" t="s">
        <v>111</v>
      </c>
      <c r="C14" s="270" t="s">
        <v>149</v>
      </c>
      <c r="D14" s="261"/>
      <c r="E14" s="306">
        <v>1</v>
      </c>
      <c r="F14" s="134" t="s">
        <v>150</v>
      </c>
      <c r="G14" s="284"/>
      <c r="H14" s="284"/>
      <c r="I14" s="284"/>
      <c r="J14" s="284"/>
      <c r="K14" s="278"/>
      <c r="L14" s="278"/>
      <c r="M14" s="261"/>
      <c r="N14" s="262"/>
      <c r="O14" s="270"/>
      <c r="P14" s="269"/>
      <c r="Q14" s="318"/>
      <c r="R14" s="24"/>
      <c r="S14" s="25"/>
      <c r="T14" s="25"/>
      <c r="U14" s="64"/>
    </row>
    <row r="15" spans="1:22" s="65" customFormat="1" ht="21.9" customHeight="1">
      <c r="A15" s="132">
        <v>2</v>
      </c>
      <c r="B15" s="312" t="s">
        <v>111</v>
      </c>
      <c r="C15" s="270" t="s">
        <v>149</v>
      </c>
      <c r="D15" s="261"/>
      <c r="E15" s="306">
        <v>1</v>
      </c>
      <c r="F15" s="134" t="s">
        <v>150</v>
      </c>
      <c r="G15" s="276"/>
      <c r="H15" s="276"/>
      <c r="I15" s="276"/>
      <c r="J15" s="276"/>
      <c r="K15" s="278"/>
      <c r="L15" s="278"/>
      <c r="M15" s="260"/>
      <c r="N15" s="262"/>
      <c r="O15" s="270"/>
      <c r="P15" s="269"/>
      <c r="Q15" s="318"/>
      <c r="R15" s="24"/>
      <c r="S15" s="25"/>
      <c r="T15" s="25"/>
      <c r="U15" s="64"/>
    </row>
    <row r="16" spans="1:22" s="65" customFormat="1" ht="21.9" customHeight="1">
      <c r="A16" s="132">
        <v>3</v>
      </c>
      <c r="B16" s="312" t="s">
        <v>111</v>
      </c>
      <c r="C16" s="216" t="s">
        <v>149</v>
      </c>
      <c r="D16" s="261"/>
      <c r="E16" s="306">
        <v>1</v>
      </c>
      <c r="F16" s="134" t="s">
        <v>150</v>
      </c>
      <c r="G16" s="276"/>
      <c r="H16" s="276"/>
      <c r="I16" s="276"/>
      <c r="J16" s="276"/>
      <c r="K16" s="278"/>
      <c r="L16" s="278"/>
      <c r="M16" s="260"/>
      <c r="N16" s="262"/>
      <c r="O16" s="270"/>
      <c r="P16" s="269"/>
      <c r="Q16" s="318"/>
      <c r="R16" s="24"/>
      <c r="S16" s="25"/>
      <c r="T16" s="25"/>
      <c r="U16" s="64"/>
    </row>
    <row r="17" spans="1:21" s="65" customFormat="1" ht="21.9" customHeight="1">
      <c r="A17" s="132">
        <v>4</v>
      </c>
      <c r="B17" s="312" t="s">
        <v>111</v>
      </c>
      <c r="C17" s="216" t="s">
        <v>149</v>
      </c>
      <c r="D17" s="261"/>
      <c r="E17" s="306">
        <v>1</v>
      </c>
      <c r="F17" s="134" t="s">
        <v>150</v>
      </c>
      <c r="G17" s="276"/>
      <c r="H17" s="276"/>
      <c r="I17" s="276"/>
      <c r="J17" s="276"/>
      <c r="K17" s="278"/>
      <c r="L17" s="278"/>
      <c r="M17" s="260"/>
      <c r="N17" s="262"/>
      <c r="O17" s="270"/>
      <c r="P17" s="269"/>
      <c r="Q17" s="318"/>
      <c r="R17" s="24"/>
      <c r="S17" s="25"/>
      <c r="T17" s="25"/>
      <c r="U17" s="64"/>
    </row>
    <row r="18" spans="1:21" s="317" customFormat="1" ht="21.9" customHeight="1">
      <c r="A18" s="94"/>
      <c r="B18" s="96"/>
      <c r="C18" s="263"/>
      <c r="D18" s="314"/>
      <c r="E18" s="299"/>
      <c r="F18" s="287"/>
      <c r="G18" s="277">
        <v>270</v>
      </c>
      <c r="H18" s="277">
        <v>230</v>
      </c>
      <c r="I18" s="277">
        <v>135</v>
      </c>
      <c r="J18" s="277">
        <f>ROUND(I18*H18*G18/1000000,3)</f>
        <v>8.3840000000000003</v>
      </c>
      <c r="K18" s="272">
        <v>440</v>
      </c>
      <c r="L18" s="272">
        <v>680</v>
      </c>
      <c r="M18" s="221"/>
      <c r="N18" s="97"/>
      <c r="O18" s="95"/>
      <c r="P18" s="97"/>
      <c r="Q18" s="319"/>
      <c r="R18" s="24"/>
      <c r="S18" s="315"/>
      <c r="T18" s="315"/>
      <c r="U18" s="316"/>
    </row>
    <row r="19" spans="1:21" s="65" customFormat="1" ht="21.9" customHeight="1">
      <c r="A19" s="132">
        <v>1</v>
      </c>
      <c r="B19" s="312" t="s">
        <v>151</v>
      </c>
      <c r="C19" s="216" t="s">
        <v>149</v>
      </c>
      <c r="D19" s="261"/>
      <c r="E19" s="306">
        <v>1</v>
      </c>
      <c r="F19" s="134" t="s">
        <v>150</v>
      </c>
      <c r="G19" s="276"/>
      <c r="H19" s="276"/>
      <c r="I19" s="276"/>
      <c r="J19" s="278"/>
      <c r="K19" s="284"/>
      <c r="L19" s="284"/>
      <c r="M19" s="261"/>
      <c r="N19" s="262"/>
      <c r="O19" s="270"/>
      <c r="P19" s="269"/>
      <c r="Q19" s="318"/>
      <c r="R19" s="24"/>
      <c r="S19" s="25"/>
      <c r="T19" s="25"/>
      <c r="U19" s="64"/>
    </row>
    <row r="20" spans="1:21" s="65" customFormat="1" ht="21.9" customHeight="1">
      <c r="A20" s="132">
        <v>2</v>
      </c>
      <c r="B20" s="312" t="s">
        <v>151</v>
      </c>
      <c r="C20" s="216" t="s">
        <v>149</v>
      </c>
      <c r="D20" s="261"/>
      <c r="E20" s="306">
        <v>1</v>
      </c>
      <c r="F20" s="134" t="s">
        <v>150</v>
      </c>
      <c r="G20" s="276"/>
      <c r="H20" s="284"/>
      <c r="I20" s="276"/>
      <c r="J20" s="276"/>
      <c r="K20" s="278"/>
      <c r="L20" s="278"/>
      <c r="M20" s="260"/>
      <c r="N20" s="262"/>
      <c r="O20" s="270"/>
      <c r="P20" s="269"/>
      <c r="Q20" s="318"/>
      <c r="R20" s="24"/>
      <c r="S20" s="25"/>
      <c r="T20" s="25"/>
      <c r="U20" s="64"/>
    </row>
    <row r="21" spans="1:21" s="65" customFormat="1" ht="21.9" customHeight="1">
      <c r="A21" s="132">
        <v>3</v>
      </c>
      <c r="B21" s="312" t="s">
        <v>151</v>
      </c>
      <c r="C21" s="216" t="s">
        <v>149</v>
      </c>
      <c r="D21" s="261"/>
      <c r="E21" s="306">
        <v>1</v>
      </c>
      <c r="F21" s="134" t="s">
        <v>150</v>
      </c>
      <c r="G21" s="276"/>
      <c r="H21" s="276"/>
      <c r="I21" s="276"/>
      <c r="J21" s="276"/>
      <c r="K21" s="278"/>
      <c r="L21" s="278"/>
      <c r="M21" s="260"/>
      <c r="N21" s="262"/>
      <c r="O21" s="270"/>
      <c r="P21" s="269"/>
      <c r="Q21" s="318"/>
      <c r="R21" s="24"/>
      <c r="S21" s="25"/>
      <c r="T21" s="25"/>
      <c r="U21" s="64"/>
    </row>
    <row r="22" spans="1:21" s="65" customFormat="1" ht="21.9" customHeight="1">
      <c r="A22" s="132">
        <v>4</v>
      </c>
      <c r="B22" s="312" t="s">
        <v>151</v>
      </c>
      <c r="C22" s="216" t="s">
        <v>149</v>
      </c>
      <c r="D22" s="261"/>
      <c r="E22" s="306">
        <v>1</v>
      </c>
      <c r="F22" s="134" t="s">
        <v>150</v>
      </c>
      <c r="G22" s="276"/>
      <c r="H22" s="276"/>
      <c r="I22" s="276"/>
      <c r="J22" s="276"/>
      <c r="K22" s="291"/>
      <c r="L22" s="291"/>
      <c r="M22" s="260"/>
      <c r="N22" s="262"/>
      <c r="O22" s="270"/>
      <c r="P22" s="269"/>
      <c r="Q22" s="318"/>
      <c r="R22" s="24"/>
      <c r="S22" s="25"/>
      <c r="T22" s="25"/>
      <c r="U22" s="64"/>
    </row>
    <row r="23" spans="1:21" s="317" customFormat="1" ht="21.9" customHeight="1">
      <c r="A23" s="94"/>
      <c r="B23" s="96"/>
      <c r="C23" s="267"/>
      <c r="D23" s="314"/>
      <c r="E23" s="299"/>
      <c r="F23" s="287"/>
      <c r="G23" s="277">
        <v>270</v>
      </c>
      <c r="H23" s="277">
        <v>230</v>
      </c>
      <c r="I23" s="277">
        <v>135</v>
      </c>
      <c r="J23" s="277">
        <f>ROUND(I23*H23*G23/1000000,3)</f>
        <v>8.3840000000000003</v>
      </c>
      <c r="K23" s="272">
        <v>440</v>
      </c>
      <c r="L23" s="272">
        <v>680</v>
      </c>
      <c r="M23" s="221"/>
      <c r="N23" s="97"/>
      <c r="O23" s="95"/>
      <c r="P23" s="97"/>
      <c r="Q23" s="319"/>
      <c r="R23" s="24"/>
      <c r="S23" s="315"/>
      <c r="T23" s="315"/>
      <c r="U23" s="316"/>
    </row>
    <row r="24" spans="1:21" s="65" customFormat="1" ht="21.9" customHeight="1">
      <c r="A24" s="132">
        <v>1</v>
      </c>
      <c r="B24" s="312" t="s">
        <v>118</v>
      </c>
      <c r="C24" s="216" t="s">
        <v>149</v>
      </c>
      <c r="D24" s="261"/>
      <c r="E24" s="300">
        <v>1</v>
      </c>
      <c r="F24" s="134" t="s">
        <v>150</v>
      </c>
      <c r="G24" s="295"/>
      <c r="H24" s="284"/>
      <c r="I24" s="284"/>
      <c r="J24" s="284"/>
      <c r="K24" s="284"/>
      <c r="L24" s="284"/>
      <c r="M24" s="261"/>
      <c r="N24" s="23"/>
      <c r="O24" s="22"/>
      <c r="P24" s="248"/>
      <c r="Q24" s="98"/>
      <c r="R24" s="24"/>
      <c r="S24" s="25"/>
      <c r="T24" s="25"/>
      <c r="U24" s="64"/>
    </row>
    <row r="25" spans="1:21" s="317" customFormat="1" ht="21.9" customHeight="1">
      <c r="A25" s="94"/>
      <c r="B25" s="96"/>
      <c r="C25" s="267"/>
      <c r="D25" s="314"/>
      <c r="E25" s="299"/>
      <c r="F25" s="287"/>
      <c r="G25" s="279">
        <v>140</v>
      </c>
      <c r="H25" s="279">
        <v>122</v>
      </c>
      <c r="I25" s="279">
        <v>128</v>
      </c>
      <c r="J25" s="277">
        <f>ROUND(I25*H25*G25/1000000,3)</f>
        <v>2.1859999999999999</v>
      </c>
      <c r="K25" s="279">
        <v>110</v>
      </c>
      <c r="L25" s="279">
        <v>190</v>
      </c>
      <c r="M25" s="286"/>
      <c r="N25" s="97"/>
      <c r="O25" s="95"/>
      <c r="P25" s="97"/>
      <c r="Q25" s="319"/>
      <c r="R25" s="24"/>
      <c r="S25" s="315"/>
      <c r="T25" s="315"/>
      <c r="U25" s="316"/>
    </row>
    <row r="26" spans="1:21" s="65" customFormat="1" ht="21.9" customHeight="1">
      <c r="A26" s="132">
        <v>1</v>
      </c>
      <c r="B26" s="133" t="str">
        <f>'Summary PL'!C17</f>
        <v>PGU-DE-0219-DCS-FNT-004</v>
      </c>
      <c r="C26" s="216" t="s">
        <v>152</v>
      </c>
      <c r="D26" s="261"/>
      <c r="E26" s="306">
        <v>1</v>
      </c>
      <c r="F26" s="134" t="s">
        <v>150</v>
      </c>
      <c r="G26" s="276"/>
      <c r="H26" s="284"/>
      <c r="I26" s="284"/>
      <c r="J26" s="284"/>
      <c r="K26" s="284"/>
      <c r="L26" s="284"/>
      <c r="M26" s="261"/>
      <c r="N26" s="262"/>
      <c r="O26" s="270"/>
      <c r="P26" s="269"/>
      <c r="Q26" s="318"/>
      <c r="R26" s="24"/>
      <c r="S26" s="25"/>
      <c r="T26" s="25"/>
      <c r="U26" s="64"/>
    </row>
    <row r="27" spans="1:21" s="65" customFormat="1" ht="21.9" customHeight="1">
      <c r="A27" s="132">
        <v>2</v>
      </c>
      <c r="B27" s="133" t="s">
        <v>119</v>
      </c>
      <c r="C27" s="216" t="s">
        <v>152</v>
      </c>
      <c r="D27" s="261"/>
      <c r="E27" s="306">
        <v>1</v>
      </c>
      <c r="F27" s="134" t="s">
        <v>150</v>
      </c>
      <c r="G27" s="276"/>
      <c r="H27" s="276"/>
      <c r="I27" s="276"/>
      <c r="J27" s="276"/>
      <c r="K27" s="278"/>
      <c r="L27" s="278"/>
      <c r="M27" s="260"/>
      <c r="N27" s="262"/>
      <c r="O27" s="270"/>
      <c r="P27" s="269"/>
      <c r="Q27" s="318"/>
      <c r="R27" s="24"/>
      <c r="S27" s="25"/>
      <c r="T27" s="25"/>
      <c r="U27" s="64"/>
    </row>
    <row r="28" spans="1:21" s="65" customFormat="1" ht="21.9" customHeight="1">
      <c r="A28" s="132">
        <v>3</v>
      </c>
      <c r="B28" s="133" t="s">
        <v>119</v>
      </c>
      <c r="C28" s="216" t="s">
        <v>152</v>
      </c>
      <c r="D28" s="261"/>
      <c r="E28" s="306">
        <v>1</v>
      </c>
      <c r="F28" s="134" t="s">
        <v>150</v>
      </c>
      <c r="G28" s="276"/>
      <c r="H28" s="276"/>
      <c r="I28" s="276"/>
      <c r="J28" s="276"/>
      <c r="K28" s="278"/>
      <c r="L28" s="278"/>
      <c r="M28" s="260"/>
      <c r="N28" s="262"/>
      <c r="O28" s="270"/>
      <c r="P28" s="269"/>
      <c r="Q28" s="318"/>
      <c r="R28" s="24"/>
      <c r="S28" s="25"/>
      <c r="T28" s="25"/>
      <c r="U28" s="64"/>
    </row>
    <row r="29" spans="1:21" s="65" customFormat="1" ht="21.9" customHeight="1">
      <c r="A29" s="132">
        <v>4</v>
      </c>
      <c r="B29" s="133" t="s">
        <v>119</v>
      </c>
      <c r="C29" s="216" t="s">
        <v>152</v>
      </c>
      <c r="D29" s="261"/>
      <c r="E29" s="306">
        <v>1</v>
      </c>
      <c r="F29" s="134" t="s">
        <v>150</v>
      </c>
      <c r="G29" s="276"/>
      <c r="H29" s="276"/>
      <c r="I29" s="276"/>
      <c r="J29" s="276"/>
      <c r="K29" s="278"/>
      <c r="L29" s="278"/>
      <c r="M29" s="260"/>
      <c r="N29" s="262"/>
      <c r="O29" s="270"/>
      <c r="P29" s="269"/>
      <c r="Q29" s="318"/>
      <c r="R29" s="24"/>
      <c r="S29" s="25"/>
      <c r="T29" s="25"/>
      <c r="U29" s="64"/>
    </row>
    <row r="30" spans="1:21" s="317" customFormat="1" ht="21.9" customHeight="1">
      <c r="A30" s="94"/>
      <c r="B30" s="96"/>
      <c r="C30" s="267"/>
      <c r="D30" s="314"/>
      <c r="E30" s="299"/>
      <c r="F30" s="268"/>
      <c r="G30" s="279">
        <v>270</v>
      </c>
      <c r="H30" s="279">
        <v>230</v>
      </c>
      <c r="I30" s="277">
        <v>100</v>
      </c>
      <c r="J30" s="279">
        <f>ROUND(I30*H30*G30/1000000,3)</f>
        <v>6.21</v>
      </c>
      <c r="K30" s="279">
        <v>480</v>
      </c>
      <c r="L30" s="279">
        <v>730</v>
      </c>
      <c r="M30" s="268"/>
      <c r="N30" s="289"/>
      <c r="O30" s="290"/>
      <c r="P30" s="289"/>
      <c r="Q30" s="320"/>
      <c r="R30" s="24"/>
      <c r="S30" s="315"/>
      <c r="T30" s="315"/>
      <c r="U30" s="316"/>
    </row>
    <row r="31" spans="1:21" s="65" customFormat="1" ht="21.9" customHeight="1">
      <c r="A31" s="132">
        <v>1</v>
      </c>
      <c r="B31" s="133" t="str">
        <f>'Summary PL'!C18</f>
        <v>PGU-DE-0219-DCS-FNT-005</v>
      </c>
      <c r="C31" s="216" t="s">
        <v>153</v>
      </c>
      <c r="D31" s="261"/>
      <c r="E31" s="306">
        <v>1</v>
      </c>
      <c r="F31" s="134" t="s">
        <v>150</v>
      </c>
      <c r="G31" s="276"/>
      <c r="H31" s="284"/>
      <c r="I31" s="284"/>
      <c r="J31" s="284"/>
      <c r="K31" s="284"/>
      <c r="L31" s="284"/>
      <c r="M31" s="261"/>
      <c r="N31" s="262"/>
      <c r="O31" s="270"/>
      <c r="P31" s="269"/>
      <c r="Q31" s="318"/>
      <c r="R31" s="24"/>
      <c r="S31" s="25"/>
      <c r="T31" s="25"/>
      <c r="U31" s="64"/>
    </row>
    <row r="32" spans="1:21" s="65" customFormat="1" ht="21.9" customHeight="1">
      <c r="A32" s="132">
        <v>2</v>
      </c>
      <c r="B32" s="133" t="s">
        <v>120</v>
      </c>
      <c r="C32" s="216" t="s">
        <v>153</v>
      </c>
      <c r="D32" s="261"/>
      <c r="E32" s="306">
        <v>1</v>
      </c>
      <c r="F32" s="134" t="s">
        <v>150</v>
      </c>
      <c r="G32" s="276"/>
      <c r="H32" s="276"/>
      <c r="I32" s="276"/>
      <c r="J32" s="276"/>
      <c r="K32" s="278"/>
      <c r="L32" s="278"/>
      <c r="M32" s="260"/>
      <c r="N32" s="262"/>
      <c r="O32" s="270"/>
      <c r="P32" s="269"/>
      <c r="Q32" s="318"/>
      <c r="R32" s="24"/>
      <c r="S32" s="25"/>
      <c r="T32" s="25"/>
      <c r="U32" s="64"/>
    </row>
    <row r="33" spans="1:21" s="65" customFormat="1" ht="21.9" customHeight="1">
      <c r="A33" s="132">
        <v>3</v>
      </c>
      <c r="B33" s="133" t="s">
        <v>120</v>
      </c>
      <c r="C33" s="216" t="s">
        <v>152</v>
      </c>
      <c r="D33" s="261"/>
      <c r="E33" s="306">
        <v>1</v>
      </c>
      <c r="F33" s="134" t="s">
        <v>150</v>
      </c>
      <c r="G33" s="276"/>
      <c r="H33" s="276"/>
      <c r="I33" s="276"/>
      <c r="J33" s="276"/>
      <c r="K33" s="278"/>
      <c r="L33" s="278"/>
      <c r="M33" s="260"/>
      <c r="N33" s="262"/>
      <c r="O33" s="270"/>
      <c r="P33" s="269"/>
      <c r="Q33" s="318"/>
      <c r="R33" s="24"/>
      <c r="S33" s="25"/>
      <c r="T33" s="25"/>
      <c r="U33" s="64"/>
    </row>
    <row r="34" spans="1:21" s="65" customFormat="1" ht="21.9" customHeight="1">
      <c r="A34" s="132">
        <v>4</v>
      </c>
      <c r="B34" s="133" t="s">
        <v>120</v>
      </c>
      <c r="C34" s="216" t="s">
        <v>152</v>
      </c>
      <c r="D34" s="261"/>
      <c r="E34" s="306">
        <v>1</v>
      </c>
      <c r="F34" s="134" t="s">
        <v>150</v>
      </c>
      <c r="G34" s="276"/>
      <c r="H34" s="276"/>
      <c r="I34" s="276"/>
      <c r="J34" s="276"/>
      <c r="K34" s="278"/>
      <c r="L34" s="278"/>
      <c r="M34" s="260"/>
      <c r="N34" s="262"/>
      <c r="O34" s="270"/>
      <c r="P34" s="269"/>
      <c r="Q34" s="318"/>
      <c r="R34" s="24"/>
      <c r="S34" s="25"/>
      <c r="T34" s="25"/>
      <c r="U34" s="64"/>
    </row>
    <row r="35" spans="1:21" s="65" customFormat="1" ht="21.9" customHeight="1">
      <c r="A35" s="251"/>
      <c r="B35" s="252"/>
      <c r="C35" s="292"/>
      <c r="D35" s="314"/>
      <c r="E35" s="301"/>
      <c r="F35" s="264"/>
      <c r="G35" s="279">
        <v>270</v>
      </c>
      <c r="H35" s="279">
        <v>230</v>
      </c>
      <c r="I35" s="277">
        <v>135</v>
      </c>
      <c r="J35" s="279">
        <f>ROUND(I35*H35*G35/1000000,3)</f>
        <v>8.3840000000000003</v>
      </c>
      <c r="K35" s="279">
        <v>480</v>
      </c>
      <c r="L35" s="279">
        <v>730</v>
      </c>
      <c r="M35" s="273"/>
      <c r="N35" s="282"/>
      <c r="O35" s="283"/>
      <c r="P35" s="282"/>
      <c r="Q35" s="321"/>
      <c r="R35" s="24"/>
      <c r="S35" s="25"/>
      <c r="T35" s="25"/>
      <c r="U35" s="64"/>
    </row>
    <row r="36" spans="1:21" s="65" customFormat="1" ht="21.9" customHeight="1">
      <c r="A36" s="132">
        <v>1</v>
      </c>
      <c r="B36" s="133" t="str">
        <f>'Summary PL'!C19</f>
        <v>PGU-DE-0219-DCS-FNT-006</v>
      </c>
      <c r="C36" s="216" t="s">
        <v>154</v>
      </c>
      <c r="D36" s="261"/>
      <c r="E36" s="306">
        <v>1</v>
      </c>
      <c r="F36" s="134" t="s">
        <v>150</v>
      </c>
      <c r="G36" s="276"/>
      <c r="H36" s="284"/>
      <c r="I36" s="284"/>
      <c r="J36" s="284"/>
      <c r="K36" s="278"/>
      <c r="L36" s="284"/>
      <c r="M36" s="261"/>
      <c r="N36" s="262"/>
      <c r="O36" s="270"/>
      <c r="P36" s="269"/>
      <c r="Q36" s="318"/>
      <c r="R36" s="24"/>
      <c r="S36" s="25"/>
      <c r="T36" s="25"/>
      <c r="U36" s="64"/>
    </row>
    <row r="37" spans="1:21" s="65" customFormat="1" ht="21.9" customHeight="1">
      <c r="A37" s="132">
        <v>2</v>
      </c>
      <c r="B37" s="133" t="s">
        <v>121</v>
      </c>
      <c r="C37" s="216" t="s">
        <v>155</v>
      </c>
      <c r="D37" s="261"/>
      <c r="E37" s="300">
        <v>2</v>
      </c>
      <c r="F37" s="134" t="s">
        <v>150</v>
      </c>
      <c r="G37" s="276"/>
      <c r="H37" s="276"/>
      <c r="I37" s="276"/>
      <c r="J37" s="276"/>
      <c r="K37" s="278"/>
      <c r="L37" s="278"/>
      <c r="M37" s="260"/>
      <c r="N37" s="262"/>
      <c r="O37" s="270"/>
      <c r="P37" s="269"/>
      <c r="Q37" s="318"/>
      <c r="R37" s="24"/>
      <c r="S37" s="25"/>
      <c r="T37" s="25"/>
      <c r="U37" s="64"/>
    </row>
    <row r="38" spans="1:21" s="65" customFormat="1" ht="21.9" customHeight="1">
      <c r="A38" s="132">
        <v>3</v>
      </c>
      <c r="B38" s="133" t="s">
        <v>121</v>
      </c>
      <c r="C38" s="216" t="s">
        <v>156</v>
      </c>
      <c r="D38" s="261"/>
      <c r="E38" s="300">
        <v>1</v>
      </c>
      <c r="F38" s="134" t="s">
        <v>150</v>
      </c>
      <c r="G38" s="276"/>
      <c r="H38" s="276"/>
      <c r="I38" s="276"/>
      <c r="J38" s="276"/>
      <c r="K38" s="278"/>
      <c r="L38" s="278"/>
      <c r="M38" s="260"/>
      <c r="N38" s="262"/>
      <c r="O38" s="270"/>
      <c r="P38" s="269"/>
      <c r="Q38" s="318"/>
      <c r="R38" s="24"/>
      <c r="S38" s="25"/>
      <c r="T38" s="25"/>
      <c r="U38" s="64"/>
    </row>
    <row r="39" spans="1:21" s="65" customFormat="1" ht="21.9" customHeight="1">
      <c r="A39" s="132">
        <v>4</v>
      </c>
      <c r="B39" s="133" t="s">
        <v>121</v>
      </c>
      <c r="C39" s="216" t="s">
        <v>156</v>
      </c>
      <c r="D39" s="261"/>
      <c r="E39" s="300">
        <v>1</v>
      </c>
      <c r="F39" s="134" t="s">
        <v>150</v>
      </c>
      <c r="G39" s="276"/>
      <c r="H39" s="276"/>
      <c r="I39" s="276"/>
      <c r="J39" s="276"/>
      <c r="K39" s="278"/>
      <c r="L39" s="278"/>
      <c r="M39" s="260"/>
      <c r="N39" s="262"/>
      <c r="O39" s="270"/>
      <c r="P39" s="269"/>
      <c r="Q39" s="318"/>
      <c r="R39" s="24"/>
      <c r="S39" s="25"/>
      <c r="T39" s="25"/>
      <c r="U39" s="64"/>
    </row>
    <row r="40" spans="1:21" s="65" customFormat="1" ht="21.9" customHeight="1">
      <c r="A40" s="251"/>
      <c r="B40" s="252"/>
      <c r="C40" s="292"/>
      <c r="D40" s="314"/>
      <c r="E40" s="301"/>
      <c r="F40" s="264"/>
      <c r="G40" s="279">
        <v>270</v>
      </c>
      <c r="H40" s="279">
        <v>230</v>
      </c>
      <c r="I40" s="277">
        <v>135</v>
      </c>
      <c r="J40" s="279">
        <f>ROUND(I40*H40*G40/1000000,3)</f>
        <v>8.3840000000000003</v>
      </c>
      <c r="K40" s="277">
        <v>330</v>
      </c>
      <c r="L40" s="277">
        <v>580</v>
      </c>
      <c r="M40" s="273"/>
      <c r="N40" s="282"/>
      <c r="O40" s="283"/>
      <c r="P40" s="282"/>
      <c r="Q40" s="321"/>
      <c r="R40" s="24"/>
      <c r="S40" s="25"/>
      <c r="T40" s="25"/>
      <c r="U40" s="64"/>
    </row>
    <row r="41" spans="1:21" s="65" customFormat="1" ht="21.9" customHeight="1">
      <c r="A41" s="132">
        <v>1</v>
      </c>
      <c r="B41" s="133" t="str">
        <f>'Summary PL'!C20</f>
        <v>PGU-DE-0219-DCS-FNT-007</v>
      </c>
      <c r="C41" s="216" t="s">
        <v>156</v>
      </c>
      <c r="D41" s="261"/>
      <c r="E41" s="306">
        <v>1</v>
      </c>
      <c r="F41" s="134" t="s">
        <v>150</v>
      </c>
      <c r="G41" s="276"/>
      <c r="H41" s="261"/>
      <c r="I41" s="261"/>
      <c r="J41" s="261"/>
      <c r="K41" s="261"/>
      <c r="L41" s="261"/>
      <c r="M41" s="261"/>
      <c r="N41" s="262"/>
      <c r="O41" s="270"/>
      <c r="P41" s="269"/>
      <c r="Q41" s="318"/>
      <c r="R41" s="24"/>
      <c r="S41" s="25"/>
      <c r="T41" s="25"/>
      <c r="U41" s="64"/>
    </row>
    <row r="42" spans="1:21" s="65" customFormat="1" ht="21.9" customHeight="1">
      <c r="A42" s="132">
        <v>2</v>
      </c>
      <c r="B42" s="133" t="s">
        <v>122</v>
      </c>
      <c r="C42" s="216" t="s">
        <v>156</v>
      </c>
      <c r="D42" s="261"/>
      <c r="E42" s="300">
        <v>1</v>
      </c>
      <c r="F42" s="134" t="s">
        <v>150</v>
      </c>
      <c r="G42" s="276"/>
      <c r="H42" s="276"/>
      <c r="I42" s="276"/>
      <c r="J42" s="276"/>
      <c r="K42" s="278"/>
      <c r="L42" s="278"/>
      <c r="M42" s="260"/>
      <c r="N42" s="262"/>
      <c r="O42" s="270"/>
      <c r="P42" s="269"/>
      <c r="Q42" s="318"/>
      <c r="R42" s="24"/>
      <c r="S42" s="25"/>
      <c r="T42" s="25"/>
      <c r="U42" s="64"/>
    </row>
    <row r="43" spans="1:21" s="65" customFormat="1" ht="21.9" customHeight="1">
      <c r="A43" s="132">
        <v>3</v>
      </c>
      <c r="B43" s="133" t="s">
        <v>122</v>
      </c>
      <c r="C43" s="216" t="s">
        <v>156</v>
      </c>
      <c r="D43" s="261"/>
      <c r="E43" s="300">
        <v>1</v>
      </c>
      <c r="F43" s="134" t="s">
        <v>150</v>
      </c>
      <c r="G43" s="276"/>
      <c r="H43" s="276"/>
      <c r="I43" s="276"/>
      <c r="J43" s="276"/>
      <c r="K43" s="278"/>
      <c r="L43" s="278"/>
      <c r="M43" s="260"/>
      <c r="N43" s="262"/>
      <c r="O43" s="270"/>
      <c r="P43" s="269"/>
      <c r="Q43" s="318"/>
      <c r="R43" s="24"/>
      <c r="S43" s="25"/>
      <c r="T43" s="25"/>
      <c r="U43" s="64"/>
    </row>
    <row r="44" spans="1:21" s="65" customFormat="1" ht="21.9" customHeight="1">
      <c r="A44" s="132">
        <v>4</v>
      </c>
      <c r="B44" s="133" t="s">
        <v>122</v>
      </c>
      <c r="C44" s="216" t="s">
        <v>156</v>
      </c>
      <c r="D44" s="261"/>
      <c r="E44" s="300">
        <v>1</v>
      </c>
      <c r="F44" s="134" t="s">
        <v>150</v>
      </c>
      <c r="G44" s="276"/>
      <c r="H44" s="276"/>
      <c r="I44" s="276"/>
      <c r="J44" s="276"/>
      <c r="K44" s="278"/>
      <c r="L44" s="278"/>
      <c r="M44" s="260"/>
      <c r="N44" s="262"/>
      <c r="O44" s="270"/>
      <c r="P44" s="269"/>
      <c r="Q44" s="318"/>
      <c r="R44" s="24"/>
      <c r="S44" s="25"/>
      <c r="T44" s="25"/>
      <c r="U44" s="64"/>
    </row>
    <row r="45" spans="1:21" s="65" customFormat="1" ht="21.9" customHeight="1">
      <c r="A45" s="251"/>
      <c r="B45" s="252"/>
      <c r="C45" s="292"/>
      <c r="D45" s="314"/>
      <c r="E45" s="301"/>
      <c r="F45" s="264"/>
      <c r="G45" s="277">
        <v>270</v>
      </c>
      <c r="H45" s="277">
        <v>230</v>
      </c>
      <c r="I45" s="277">
        <v>135</v>
      </c>
      <c r="J45" s="277">
        <f>ROUND(I45*H45*G45/1000000,3)</f>
        <v>8.3840000000000003</v>
      </c>
      <c r="K45" s="277">
        <v>260</v>
      </c>
      <c r="L45" s="274">
        <v>510</v>
      </c>
      <c r="M45" s="273"/>
      <c r="N45" s="282"/>
      <c r="O45" s="283"/>
      <c r="P45" s="282"/>
      <c r="Q45" s="321"/>
      <c r="R45" s="24"/>
      <c r="S45" s="25"/>
      <c r="T45" s="25"/>
      <c r="U45" s="64"/>
    </row>
    <row r="46" spans="1:21" s="65" customFormat="1" ht="21.9" customHeight="1">
      <c r="A46" s="132">
        <v>1</v>
      </c>
      <c r="B46" s="133" t="str">
        <f>'Summary PL'!C21</f>
        <v>PGU-DE-0219-DCS-FNT-008</v>
      </c>
      <c r="C46" s="216" t="s">
        <v>156</v>
      </c>
      <c r="D46" s="261"/>
      <c r="E46" s="300">
        <v>1</v>
      </c>
      <c r="F46" s="134" t="s">
        <v>150</v>
      </c>
      <c r="G46" s="276"/>
      <c r="H46" s="261"/>
      <c r="I46" s="261"/>
      <c r="J46" s="261"/>
      <c r="K46" s="261"/>
      <c r="L46" s="261"/>
      <c r="M46" s="261"/>
      <c r="N46" s="262"/>
      <c r="O46" s="270"/>
      <c r="P46" s="269"/>
      <c r="Q46" s="318"/>
      <c r="R46" s="24"/>
      <c r="S46" s="25"/>
      <c r="T46" s="25"/>
      <c r="U46" s="64"/>
    </row>
    <row r="47" spans="1:21" s="65" customFormat="1" ht="21.9" customHeight="1">
      <c r="A47" s="132">
        <v>2</v>
      </c>
      <c r="B47" s="133" t="s">
        <v>123</v>
      </c>
      <c r="C47" s="216" t="s">
        <v>156</v>
      </c>
      <c r="D47" s="261"/>
      <c r="E47" s="300">
        <v>1</v>
      </c>
      <c r="F47" s="134" t="s">
        <v>150</v>
      </c>
      <c r="G47" s="276"/>
      <c r="H47" s="276"/>
      <c r="I47" s="276"/>
      <c r="J47" s="276"/>
      <c r="K47" s="278"/>
      <c r="L47" s="278"/>
      <c r="M47" s="260"/>
      <c r="N47" s="262"/>
      <c r="O47" s="270"/>
      <c r="P47" s="269"/>
      <c r="Q47" s="318"/>
      <c r="R47" s="24"/>
      <c r="S47" s="25"/>
      <c r="T47" s="25"/>
      <c r="U47" s="64"/>
    </row>
    <row r="48" spans="1:21" s="65" customFormat="1" ht="21.9" customHeight="1">
      <c r="A48" s="132">
        <v>3</v>
      </c>
      <c r="B48" s="133" t="s">
        <v>123</v>
      </c>
      <c r="C48" s="216" t="s">
        <v>156</v>
      </c>
      <c r="D48" s="261"/>
      <c r="E48" s="300">
        <v>1</v>
      </c>
      <c r="F48" s="134" t="s">
        <v>150</v>
      </c>
      <c r="G48" s="276"/>
      <c r="H48" s="276"/>
      <c r="I48" s="276"/>
      <c r="J48" s="276"/>
      <c r="K48" s="278"/>
      <c r="L48" s="278"/>
      <c r="M48" s="260"/>
      <c r="N48" s="262"/>
      <c r="O48" s="270"/>
      <c r="P48" s="269"/>
      <c r="Q48" s="318"/>
      <c r="R48" s="24"/>
      <c r="S48" s="25"/>
      <c r="T48" s="25"/>
      <c r="U48" s="64"/>
    </row>
    <row r="49" spans="1:21" s="65" customFormat="1" ht="21.9" customHeight="1">
      <c r="A49" s="132">
        <v>4</v>
      </c>
      <c r="B49" s="133" t="s">
        <v>123</v>
      </c>
      <c r="C49" s="216" t="s">
        <v>156</v>
      </c>
      <c r="D49" s="261"/>
      <c r="E49" s="300">
        <v>1</v>
      </c>
      <c r="F49" s="134" t="s">
        <v>150</v>
      </c>
      <c r="G49" s="276"/>
      <c r="H49" s="276"/>
      <c r="I49" s="276"/>
      <c r="J49" s="276"/>
      <c r="K49" s="278"/>
      <c r="L49" s="278"/>
      <c r="M49" s="260"/>
      <c r="N49" s="262"/>
      <c r="O49" s="270"/>
      <c r="P49" s="269"/>
      <c r="Q49" s="318"/>
      <c r="R49" s="24"/>
      <c r="S49" s="25"/>
      <c r="T49" s="25"/>
      <c r="U49" s="64"/>
    </row>
    <row r="50" spans="1:21" s="65" customFormat="1" ht="21.9" customHeight="1">
      <c r="A50" s="251"/>
      <c r="B50" s="252"/>
      <c r="C50" s="292"/>
      <c r="D50" s="314"/>
      <c r="E50" s="301"/>
      <c r="F50" s="264"/>
      <c r="G50" s="277">
        <v>270</v>
      </c>
      <c r="H50" s="277">
        <v>230</v>
      </c>
      <c r="I50" s="277">
        <v>135</v>
      </c>
      <c r="J50" s="277">
        <f>ROUND(I50*H50*G50/1000000,3)</f>
        <v>8.3840000000000003</v>
      </c>
      <c r="K50" s="277">
        <v>260</v>
      </c>
      <c r="L50" s="274">
        <v>510</v>
      </c>
      <c r="M50" s="273"/>
      <c r="N50" s="282"/>
      <c r="O50" s="283"/>
      <c r="P50" s="282"/>
      <c r="Q50" s="321"/>
      <c r="R50" s="24"/>
      <c r="S50" s="25"/>
      <c r="T50" s="25"/>
      <c r="U50" s="64"/>
    </row>
    <row r="51" spans="1:21" s="65" customFormat="1" ht="21.9" customHeight="1">
      <c r="A51" s="132">
        <v>1</v>
      </c>
      <c r="B51" s="133" t="str">
        <f>'Summary PL'!C22</f>
        <v>PGU-DE-0219-DCS-FNT-009</v>
      </c>
      <c r="C51" s="216" t="s">
        <v>156</v>
      </c>
      <c r="D51" s="261"/>
      <c r="E51" s="306">
        <v>1</v>
      </c>
      <c r="F51" s="134" t="s">
        <v>150</v>
      </c>
      <c r="G51" s="276"/>
      <c r="H51" s="261"/>
      <c r="I51" s="261"/>
      <c r="J51" s="261"/>
      <c r="K51" s="261"/>
      <c r="L51" s="261"/>
      <c r="M51" s="261"/>
      <c r="N51" s="262"/>
      <c r="O51" s="270"/>
      <c r="P51" s="269"/>
      <c r="Q51" s="318"/>
      <c r="R51" s="24"/>
      <c r="S51" s="25"/>
      <c r="T51" s="25"/>
      <c r="U51" s="64"/>
    </row>
    <row r="52" spans="1:21" s="65" customFormat="1" ht="21.9" customHeight="1">
      <c r="A52" s="132">
        <v>2</v>
      </c>
      <c r="B52" s="133" t="s">
        <v>124</v>
      </c>
      <c r="C52" s="216" t="s">
        <v>156</v>
      </c>
      <c r="D52" s="261"/>
      <c r="E52" s="306">
        <v>1</v>
      </c>
      <c r="F52" s="134" t="s">
        <v>150</v>
      </c>
      <c r="G52" s="276"/>
      <c r="H52" s="276"/>
      <c r="I52" s="276"/>
      <c r="J52" s="276"/>
      <c r="K52" s="278"/>
      <c r="L52" s="278"/>
      <c r="M52" s="260"/>
      <c r="N52" s="262"/>
      <c r="O52" s="270"/>
      <c r="P52" s="269"/>
      <c r="Q52" s="318"/>
      <c r="R52" s="24"/>
      <c r="S52" s="25"/>
      <c r="T52" s="25"/>
      <c r="U52" s="64"/>
    </row>
    <row r="53" spans="1:21" s="65" customFormat="1" ht="21.9" customHeight="1">
      <c r="A53" s="132">
        <v>3</v>
      </c>
      <c r="B53" s="133" t="s">
        <v>124</v>
      </c>
      <c r="C53" s="216" t="s">
        <v>156</v>
      </c>
      <c r="D53" s="261"/>
      <c r="E53" s="306">
        <v>1</v>
      </c>
      <c r="F53" s="134" t="s">
        <v>150</v>
      </c>
      <c r="G53" s="276"/>
      <c r="H53" s="276"/>
      <c r="I53" s="276"/>
      <c r="J53" s="276"/>
      <c r="K53" s="278"/>
      <c r="L53" s="278"/>
      <c r="M53" s="260"/>
      <c r="N53" s="262"/>
      <c r="O53" s="270"/>
      <c r="P53" s="269"/>
      <c r="Q53" s="318"/>
      <c r="R53" s="24"/>
      <c r="S53" s="25"/>
      <c r="T53" s="25"/>
      <c r="U53" s="64"/>
    </row>
    <row r="54" spans="1:21" s="65" customFormat="1" ht="21.9" customHeight="1">
      <c r="A54" s="132">
        <v>4</v>
      </c>
      <c r="B54" s="133" t="s">
        <v>124</v>
      </c>
      <c r="C54" s="216" t="s">
        <v>156</v>
      </c>
      <c r="D54" s="261"/>
      <c r="E54" s="306">
        <v>1</v>
      </c>
      <c r="F54" s="134" t="s">
        <v>150</v>
      </c>
      <c r="G54" s="276"/>
      <c r="H54" s="276"/>
      <c r="I54" s="276"/>
      <c r="J54" s="276"/>
      <c r="K54" s="278"/>
      <c r="L54" s="278"/>
      <c r="M54" s="260"/>
      <c r="N54" s="262"/>
      <c r="O54" s="270"/>
      <c r="P54" s="269"/>
      <c r="Q54" s="318"/>
      <c r="R54" s="24"/>
      <c r="S54" s="25"/>
      <c r="T54" s="25"/>
      <c r="U54" s="64"/>
    </row>
    <row r="55" spans="1:21" s="65" customFormat="1" ht="21.9" customHeight="1">
      <c r="A55" s="251"/>
      <c r="B55" s="252"/>
      <c r="C55" s="292"/>
      <c r="D55" s="314"/>
      <c r="E55" s="301"/>
      <c r="F55" s="264"/>
      <c r="G55" s="277">
        <v>270</v>
      </c>
      <c r="H55" s="277">
        <v>230</v>
      </c>
      <c r="I55" s="277">
        <v>135</v>
      </c>
      <c r="J55" s="277">
        <f>ROUND(I55*H55*G55/1000000,3)</f>
        <v>8.3840000000000003</v>
      </c>
      <c r="K55" s="277">
        <v>260</v>
      </c>
      <c r="L55" s="274">
        <v>510</v>
      </c>
      <c r="M55" s="273"/>
      <c r="N55" s="282"/>
      <c r="O55" s="283"/>
      <c r="P55" s="282"/>
      <c r="Q55" s="321"/>
      <c r="R55" s="24"/>
      <c r="S55" s="25"/>
      <c r="T55" s="25"/>
      <c r="U55" s="64"/>
    </row>
    <row r="56" spans="1:21" s="65" customFormat="1" ht="21.9" customHeight="1">
      <c r="A56" s="132">
        <v>1</v>
      </c>
      <c r="B56" s="133" t="str">
        <f>'Summary PL'!C23</f>
        <v>PGU-DE-0219-DCS-FNT-010</v>
      </c>
      <c r="C56" s="216" t="s">
        <v>156</v>
      </c>
      <c r="D56" s="261"/>
      <c r="E56" s="306">
        <v>1</v>
      </c>
      <c r="F56" s="134" t="s">
        <v>150</v>
      </c>
      <c r="G56" s="276"/>
      <c r="H56" s="261"/>
      <c r="I56" s="261"/>
      <c r="J56" s="261"/>
      <c r="K56" s="261"/>
      <c r="L56" s="261"/>
      <c r="M56" s="261"/>
      <c r="N56" s="262"/>
      <c r="O56" s="270"/>
      <c r="P56" s="269"/>
      <c r="Q56" s="318"/>
      <c r="R56" s="24"/>
      <c r="S56" s="25"/>
      <c r="T56" s="25"/>
      <c r="U56" s="64"/>
    </row>
    <row r="57" spans="1:21" s="65" customFormat="1" ht="21.9" customHeight="1">
      <c r="A57" s="132">
        <v>2</v>
      </c>
      <c r="B57" s="133" t="s">
        <v>125</v>
      </c>
      <c r="C57" s="216" t="s">
        <v>156</v>
      </c>
      <c r="D57" s="261"/>
      <c r="E57" s="306">
        <v>1</v>
      </c>
      <c r="F57" s="134" t="s">
        <v>150</v>
      </c>
      <c r="G57" s="276"/>
      <c r="H57" s="276"/>
      <c r="I57" s="276"/>
      <c r="J57" s="276"/>
      <c r="K57" s="278"/>
      <c r="L57" s="278"/>
      <c r="M57" s="260"/>
      <c r="N57" s="262"/>
      <c r="O57" s="270"/>
      <c r="P57" s="269"/>
      <c r="Q57" s="318"/>
      <c r="R57" s="24"/>
      <c r="S57" s="25"/>
      <c r="T57" s="25"/>
      <c r="U57" s="64"/>
    </row>
    <row r="58" spans="1:21" s="65" customFormat="1" ht="21.9" customHeight="1">
      <c r="A58" s="132">
        <v>3</v>
      </c>
      <c r="B58" s="133" t="s">
        <v>125</v>
      </c>
      <c r="C58" s="216" t="s">
        <v>156</v>
      </c>
      <c r="D58" s="261"/>
      <c r="E58" s="306">
        <v>1</v>
      </c>
      <c r="F58" s="134" t="s">
        <v>150</v>
      </c>
      <c r="G58" s="276"/>
      <c r="H58" s="276"/>
      <c r="I58" s="276"/>
      <c r="J58" s="276"/>
      <c r="K58" s="278"/>
      <c r="L58" s="278"/>
      <c r="M58" s="260"/>
      <c r="N58" s="262"/>
      <c r="O58" s="270"/>
      <c r="P58" s="269"/>
      <c r="Q58" s="318"/>
      <c r="R58" s="24"/>
      <c r="S58" s="25"/>
      <c r="T58" s="25"/>
      <c r="U58" s="64"/>
    </row>
    <row r="59" spans="1:21" s="65" customFormat="1" ht="21.9" customHeight="1">
      <c r="A59" s="132">
        <v>4</v>
      </c>
      <c r="B59" s="133" t="s">
        <v>125</v>
      </c>
      <c r="C59" s="216" t="s">
        <v>156</v>
      </c>
      <c r="D59" s="261"/>
      <c r="E59" s="306">
        <v>1</v>
      </c>
      <c r="F59" s="134" t="s">
        <v>150</v>
      </c>
      <c r="G59" s="276"/>
      <c r="H59" s="276"/>
      <c r="I59" s="276"/>
      <c r="J59" s="276"/>
      <c r="K59" s="278"/>
      <c r="L59" s="278"/>
      <c r="M59" s="260"/>
      <c r="N59" s="262"/>
      <c r="O59" s="270"/>
      <c r="P59" s="269"/>
      <c r="Q59" s="318"/>
      <c r="R59" s="24"/>
      <c r="S59" s="25"/>
      <c r="T59" s="25"/>
      <c r="U59" s="64"/>
    </row>
    <row r="60" spans="1:21" s="65" customFormat="1" ht="21.9" customHeight="1">
      <c r="A60" s="251"/>
      <c r="B60" s="252"/>
      <c r="C60" s="292"/>
      <c r="D60" s="314"/>
      <c r="E60" s="301"/>
      <c r="F60" s="264"/>
      <c r="G60" s="277">
        <v>270</v>
      </c>
      <c r="H60" s="277">
        <v>230</v>
      </c>
      <c r="I60" s="277">
        <v>135</v>
      </c>
      <c r="J60" s="277">
        <f>ROUND(I60*H60*G60/1000000,3)</f>
        <v>8.3840000000000003</v>
      </c>
      <c r="K60" s="277">
        <v>260</v>
      </c>
      <c r="L60" s="274">
        <v>510</v>
      </c>
      <c r="M60" s="273"/>
      <c r="N60" s="282"/>
      <c r="O60" s="283"/>
      <c r="P60" s="282"/>
      <c r="Q60" s="321"/>
      <c r="R60" s="24"/>
      <c r="S60" s="25"/>
      <c r="T60" s="25"/>
      <c r="U60" s="64"/>
    </row>
    <row r="61" spans="1:21" s="65" customFormat="1" ht="21.9" customHeight="1">
      <c r="A61" s="132">
        <v>1</v>
      </c>
      <c r="B61" s="133" t="s">
        <v>126</v>
      </c>
      <c r="C61" s="216" t="s">
        <v>157</v>
      </c>
      <c r="D61" s="261"/>
      <c r="E61" s="306">
        <v>2</v>
      </c>
      <c r="F61" s="134" t="s">
        <v>150</v>
      </c>
      <c r="G61" s="276"/>
      <c r="H61" s="261"/>
      <c r="I61" s="261"/>
      <c r="J61" s="261"/>
      <c r="K61" s="261"/>
      <c r="L61" s="261"/>
      <c r="M61" s="261"/>
      <c r="N61" s="262"/>
      <c r="O61" s="270"/>
      <c r="P61" s="269"/>
      <c r="Q61" s="318"/>
      <c r="R61" s="24"/>
      <c r="S61" s="25"/>
      <c r="T61" s="25"/>
      <c r="U61" s="64"/>
    </row>
    <row r="62" spans="1:21" s="65" customFormat="1" ht="21.9" customHeight="1">
      <c r="A62" s="132">
        <v>2</v>
      </c>
      <c r="B62" s="133" t="s">
        <v>126</v>
      </c>
      <c r="C62" s="216" t="s">
        <v>157</v>
      </c>
      <c r="D62" s="261"/>
      <c r="E62" s="306">
        <v>2</v>
      </c>
      <c r="F62" s="134" t="s">
        <v>150</v>
      </c>
      <c r="G62" s="276"/>
      <c r="H62" s="276"/>
      <c r="I62" s="276"/>
      <c r="J62" s="276"/>
      <c r="K62" s="278"/>
      <c r="L62" s="261"/>
      <c r="M62" s="261"/>
      <c r="N62" s="262"/>
      <c r="O62" s="270"/>
      <c r="P62" s="269"/>
      <c r="Q62" s="318"/>
      <c r="R62" s="24"/>
      <c r="S62" s="25"/>
      <c r="T62" s="25"/>
      <c r="U62" s="64"/>
    </row>
    <row r="63" spans="1:21" s="65" customFormat="1" ht="21.9" customHeight="1">
      <c r="A63" s="132">
        <v>3</v>
      </c>
      <c r="B63" s="133" t="s">
        <v>126</v>
      </c>
      <c r="C63" s="216" t="s">
        <v>157</v>
      </c>
      <c r="D63" s="261"/>
      <c r="E63" s="306">
        <v>2</v>
      </c>
      <c r="F63" s="134" t="s">
        <v>150</v>
      </c>
      <c r="G63" s="276"/>
      <c r="H63" s="276"/>
      <c r="I63" s="276"/>
      <c r="J63" s="276"/>
      <c r="K63" s="278"/>
      <c r="L63" s="278"/>
      <c r="M63" s="260"/>
      <c r="N63" s="262"/>
      <c r="O63" s="270"/>
      <c r="P63" s="269"/>
      <c r="Q63" s="318"/>
      <c r="R63" s="24"/>
      <c r="S63" s="25"/>
      <c r="T63" s="25"/>
      <c r="U63" s="64"/>
    </row>
    <row r="64" spans="1:21" s="65" customFormat="1" ht="21.9" customHeight="1">
      <c r="A64" s="132">
        <v>4</v>
      </c>
      <c r="B64" s="133" t="s">
        <v>126</v>
      </c>
      <c r="C64" s="216" t="s">
        <v>157</v>
      </c>
      <c r="D64" s="261"/>
      <c r="E64" s="306">
        <v>2</v>
      </c>
      <c r="F64" s="134" t="s">
        <v>150</v>
      </c>
      <c r="G64" s="276"/>
      <c r="H64" s="276"/>
      <c r="I64" s="276"/>
      <c r="J64" s="276"/>
      <c r="K64" s="278"/>
      <c r="L64" s="278"/>
      <c r="M64" s="260"/>
      <c r="N64" s="262"/>
      <c r="O64" s="270"/>
      <c r="P64" s="269"/>
      <c r="Q64" s="318"/>
      <c r="R64" s="24"/>
      <c r="S64" s="25"/>
      <c r="T64" s="25"/>
      <c r="U64" s="64"/>
    </row>
    <row r="65" spans="1:21" s="65" customFormat="1" ht="21.9" customHeight="1">
      <c r="A65" s="251"/>
      <c r="B65" s="252"/>
      <c r="C65" s="292"/>
      <c r="D65" s="314"/>
      <c r="E65" s="301"/>
      <c r="F65" s="264"/>
      <c r="G65" s="277">
        <v>270</v>
      </c>
      <c r="H65" s="277">
        <v>230</v>
      </c>
      <c r="I65" s="277">
        <v>210</v>
      </c>
      <c r="J65" s="277">
        <f>ROUND(I65*H65*G65/1000000,3)</f>
        <v>13.041</v>
      </c>
      <c r="K65" s="277">
        <v>320</v>
      </c>
      <c r="L65" s="274">
        <v>710</v>
      </c>
      <c r="M65" s="273"/>
      <c r="N65" s="282"/>
      <c r="O65" s="283"/>
      <c r="P65" s="282"/>
      <c r="Q65" s="321"/>
      <c r="R65" s="24"/>
      <c r="S65" s="25"/>
      <c r="T65" s="25"/>
      <c r="U65" s="64"/>
    </row>
    <row r="66" spans="1:21" s="65" customFormat="1" ht="21.9" customHeight="1">
      <c r="A66" s="132">
        <v>1</v>
      </c>
      <c r="B66" s="133" t="s">
        <v>127</v>
      </c>
      <c r="C66" s="216" t="s">
        <v>157</v>
      </c>
      <c r="D66" s="261"/>
      <c r="E66" s="306">
        <v>2</v>
      </c>
      <c r="F66" s="134" t="s">
        <v>150</v>
      </c>
      <c r="G66" s="276"/>
      <c r="H66" s="261"/>
      <c r="I66" s="261"/>
      <c r="J66" s="261"/>
      <c r="K66" s="261"/>
      <c r="L66" s="261"/>
      <c r="M66" s="261"/>
      <c r="N66" s="262"/>
      <c r="O66" s="270"/>
      <c r="P66" s="269"/>
      <c r="Q66" s="318"/>
      <c r="R66" s="24"/>
      <c r="S66" s="25"/>
      <c r="T66" s="25"/>
      <c r="U66" s="64"/>
    </row>
    <row r="67" spans="1:21" s="65" customFormat="1" ht="21.9" customHeight="1">
      <c r="A67" s="132">
        <v>2</v>
      </c>
      <c r="B67" s="133" t="s">
        <v>127</v>
      </c>
      <c r="C67" s="216" t="s">
        <v>157</v>
      </c>
      <c r="D67" s="261"/>
      <c r="E67" s="306">
        <v>2</v>
      </c>
      <c r="F67" s="134" t="s">
        <v>150</v>
      </c>
      <c r="G67" s="276"/>
      <c r="H67" s="276"/>
      <c r="I67" s="276"/>
      <c r="J67" s="276"/>
      <c r="K67" s="278"/>
      <c r="L67" s="278"/>
      <c r="M67" s="260"/>
      <c r="N67" s="262"/>
      <c r="O67" s="270"/>
      <c r="P67" s="269"/>
      <c r="Q67" s="318"/>
      <c r="R67" s="24"/>
      <c r="S67" s="25"/>
      <c r="T67" s="25"/>
      <c r="U67" s="64"/>
    </row>
    <row r="68" spans="1:21" s="65" customFormat="1" ht="21.9" customHeight="1">
      <c r="A68" s="132">
        <v>3</v>
      </c>
      <c r="B68" s="133" t="s">
        <v>127</v>
      </c>
      <c r="C68" s="216" t="s">
        <v>157</v>
      </c>
      <c r="D68" s="261"/>
      <c r="E68" s="306">
        <v>2</v>
      </c>
      <c r="F68" s="134" t="s">
        <v>150</v>
      </c>
      <c r="G68" s="276"/>
      <c r="H68" s="276"/>
      <c r="I68" s="276"/>
      <c r="J68" s="276"/>
      <c r="K68" s="278"/>
      <c r="L68" s="278"/>
      <c r="M68" s="260"/>
      <c r="N68" s="262"/>
      <c r="O68" s="270"/>
      <c r="P68" s="269"/>
      <c r="Q68" s="318"/>
      <c r="R68" s="24"/>
      <c r="S68" s="25"/>
      <c r="T68" s="25"/>
      <c r="U68" s="64"/>
    </row>
    <row r="69" spans="1:21" s="65" customFormat="1" ht="21.9" customHeight="1">
      <c r="A69" s="132">
        <v>4</v>
      </c>
      <c r="B69" s="133" t="s">
        <v>127</v>
      </c>
      <c r="C69" s="216" t="s">
        <v>157</v>
      </c>
      <c r="D69" s="261"/>
      <c r="E69" s="306">
        <v>2</v>
      </c>
      <c r="F69" s="134" t="s">
        <v>150</v>
      </c>
      <c r="G69" s="276"/>
      <c r="H69" s="276"/>
      <c r="I69" s="276"/>
      <c r="J69" s="276"/>
      <c r="K69" s="278"/>
      <c r="L69" s="278"/>
      <c r="M69" s="260"/>
      <c r="N69" s="262"/>
      <c r="O69" s="270"/>
      <c r="P69" s="269"/>
      <c r="Q69" s="318"/>
      <c r="R69" s="24"/>
      <c r="S69" s="25"/>
      <c r="T69" s="25"/>
      <c r="U69" s="64"/>
    </row>
    <row r="70" spans="1:21" s="65" customFormat="1" ht="21.9" customHeight="1">
      <c r="A70" s="251"/>
      <c r="B70" s="252"/>
      <c r="C70" s="292"/>
      <c r="D70" s="314"/>
      <c r="E70" s="301"/>
      <c r="F70" s="264"/>
      <c r="G70" s="277">
        <v>270</v>
      </c>
      <c r="H70" s="277">
        <v>230</v>
      </c>
      <c r="I70" s="277">
        <v>210</v>
      </c>
      <c r="J70" s="277">
        <f>ROUND(I70*H70*G70/1000000,3)</f>
        <v>13.041</v>
      </c>
      <c r="K70" s="277">
        <v>320</v>
      </c>
      <c r="L70" s="274">
        <v>710</v>
      </c>
      <c r="M70" s="273"/>
      <c r="N70" s="282"/>
      <c r="O70" s="283"/>
      <c r="P70" s="282"/>
      <c r="Q70" s="321"/>
      <c r="R70" s="24"/>
      <c r="S70" s="25"/>
      <c r="T70" s="25"/>
      <c r="U70" s="64"/>
    </row>
    <row r="71" spans="1:21" s="65" customFormat="1" ht="21.9" customHeight="1">
      <c r="A71" s="132">
        <v>1</v>
      </c>
      <c r="B71" s="133" t="s">
        <v>128</v>
      </c>
      <c r="C71" s="216" t="s">
        <v>157</v>
      </c>
      <c r="D71" s="261"/>
      <c r="E71" s="300">
        <v>2</v>
      </c>
      <c r="F71" s="134" t="s">
        <v>150</v>
      </c>
      <c r="G71" s="276"/>
      <c r="H71" s="261"/>
      <c r="I71" s="261"/>
      <c r="J71" s="261"/>
      <c r="K71" s="261"/>
      <c r="L71" s="261"/>
      <c r="M71" s="261"/>
      <c r="N71" s="262"/>
      <c r="O71" s="270"/>
      <c r="P71" s="269"/>
      <c r="Q71" s="318"/>
      <c r="R71" s="24"/>
      <c r="S71" s="25"/>
      <c r="T71" s="25"/>
      <c r="U71" s="64"/>
    </row>
    <row r="72" spans="1:21" s="65" customFormat="1" ht="21.9" customHeight="1">
      <c r="A72" s="132">
        <v>2</v>
      </c>
      <c r="B72" s="133" t="s">
        <v>128</v>
      </c>
      <c r="C72" s="216" t="s">
        <v>157</v>
      </c>
      <c r="D72" s="261"/>
      <c r="E72" s="300">
        <v>2</v>
      </c>
      <c r="F72" s="134" t="s">
        <v>150</v>
      </c>
      <c r="G72" s="276"/>
      <c r="H72" s="276"/>
      <c r="I72" s="276"/>
      <c r="J72" s="276"/>
      <c r="K72" s="278"/>
      <c r="L72" s="278"/>
      <c r="M72" s="260"/>
      <c r="N72" s="262"/>
      <c r="O72" s="270"/>
      <c r="P72" s="269"/>
      <c r="Q72" s="318"/>
      <c r="R72" s="24"/>
      <c r="S72" s="25"/>
      <c r="T72" s="25"/>
      <c r="U72" s="64"/>
    </row>
    <row r="73" spans="1:21" s="65" customFormat="1" ht="21.9" customHeight="1">
      <c r="A73" s="132">
        <v>3</v>
      </c>
      <c r="B73" s="133" t="s">
        <v>128</v>
      </c>
      <c r="C73" s="216" t="s">
        <v>157</v>
      </c>
      <c r="D73" s="261"/>
      <c r="E73" s="300">
        <v>2</v>
      </c>
      <c r="F73" s="134" t="s">
        <v>150</v>
      </c>
      <c r="G73" s="276"/>
      <c r="H73" s="276"/>
      <c r="I73" s="276"/>
      <c r="J73" s="276"/>
      <c r="K73" s="278"/>
      <c r="L73" s="278"/>
      <c r="M73" s="260"/>
      <c r="N73" s="262"/>
      <c r="O73" s="270"/>
      <c r="P73" s="269"/>
      <c r="Q73" s="318"/>
      <c r="R73" s="24"/>
      <c r="S73" s="25"/>
      <c r="T73" s="25"/>
      <c r="U73" s="64"/>
    </row>
    <row r="74" spans="1:21" s="65" customFormat="1" ht="21.9" customHeight="1">
      <c r="A74" s="132">
        <v>4</v>
      </c>
      <c r="B74" s="133" t="s">
        <v>128</v>
      </c>
      <c r="C74" s="216" t="s">
        <v>158</v>
      </c>
      <c r="D74" s="261"/>
      <c r="E74" s="300">
        <v>1</v>
      </c>
      <c r="F74" s="134" t="s">
        <v>150</v>
      </c>
      <c r="G74" s="276"/>
      <c r="H74" s="276"/>
      <c r="I74" s="276"/>
      <c r="J74" s="276"/>
      <c r="K74" s="278"/>
      <c r="L74" s="278"/>
      <c r="M74" s="260"/>
      <c r="N74" s="262"/>
      <c r="O74" s="270"/>
      <c r="P74" s="269"/>
      <c r="Q74" s="318"/>
      <c r="R74" s="24"/>
      <c r="S74" s="25"/>
      <c r="T74" s="25"/>
      <c r="U74" s="64"/>
    </row>
    <row r="75" spans="1:21" s="65" customFormat="1" ht="21.9" customHeight="1">
      <c r="A75" s="132">
        <v>5</v>
      </c>
      <c r="B75" s="133" t="s">
        <v>128</v>
      </c>
      <c r="C75" s="216" t="s">
        <v>159</v>
      </c>
      <c r="D75" s="261"/>
      <c r="E75" s="300">
        <v>1</v>
      </c>
      <c r="F75" s="134" t="s">
        <v>150</v>
      </c>
      <c r="G75" s="276"/>
      <c r="H75" s="276"/>
      <c r="I75" s="276"/>
      <c r="J75" s="276"/>
      <c r="K75" s="278"/>
      <c r="L75" s="278"/>
      <c r="M75" s="260"/>
      <c r="N75" s="262"/>
      <c r="O75" s="270"/>
      <c r="P75" s="269"/>
      <c r="Q75" s="318"/>
      <c r="R75" s="24"/>
      <c r="S75" s="25"/>
      <c r="T75" s="25"/>
      <c r="U75" s="64"/>
    </row>
    <row r="76" spans="1:21" s="65" customFormat="1" ht="21.9" customHeight="1">
      <c r="A76" s="132">
        <v>6</v>
      </c>
      <c r="B76" s="133" t="s">
        <v>128</v>
      </c>
      <c r="C76" s="216" t="s">
        <v>160</v>
      </c>
      <c r="D76" s="261"/>
      <c r="E76" s="300">
        <v>1</v>
      </c>
      <c r="F76" s="134" t="s">
        <v>150</v>
      </c>
      <c r="G76" s="276"/>
      <c r="H76" s="276"/>
      <c r="I76" s="276"/>
      <c r="J76" s="276"/>
      <c r="K76" s="278"/>
      <c r="L76" s="278"/>
      <c r="M76" s="260"/>
      <c r="N76" s="262"/>
      <c r="O76" s="270"/>
      <c r="P76" s="269"/>
      <c r="Q76" s="318"/>
      <c r="R76" s="24"/>
      <c r="S76" s="25"/>
      <c r="T76" s="25"/>
      <c r="U76" s="64"/>
    </row>
    <row r="77" spans="1:21" s="65" customFormat="1" ht="21.9" customHeight="1">
      <c r="A77" s="251"/>
      <c r="B77" s="252"/>
      <c r="C77" s="292"/>
      <c r="D77" s="314"/>
      <c r="E77" s="301"/>
      <c r="F77" s="264"/>
      <c r="G77" s="277">
        <v>270</v>
      </c>
      <c r="H77" s="277">
        <v>230</v>
      </c>
      <c r="I77" s="277">
        <v>235</v>
      </c>
      <c r="J77" s="277">
        <f>ROUND(I77*H77*G77/1000000,3)</f>
        <v>14.593999999999999</v>
      </c>
      <c r="K77" s="277">
        <v>500</v>
      </c>
      <c r="L77" s="274">
        <v>930</v>
      </c>
      <c r="M77" s="273"/>
      <c r="N77" s="282"/>
      <c r="O77" s="283"/>
      <c r="P77" s="282"/>
      <c r="Q77" s="321"/>
      <c r="R77" s="24"/>
      <c r="S77" s="25"/>
      <c r="T77" s="25"/>
      <c r="U77" s="64"/>
    </row>
    <row r="78" spans="1:21" s="65" customFormat="1" ht="21.9" customHeight="1">
      <c r="A78" s="132">
        <v>1</v>
      </c>
      <c r="B78" s="133" t="s">
        <v>129</v>
      </c>
      <c r="C78" s="216" t="s">
        <v>130</v>
      </c>
      <c r="D78" s="261"/>
      <c r="E78" s="300">
        <v>1</v>
      </c>
      <c r="F78" s="134" t="s">
        <v>150</v>
      </c>
      <c r="G78" s="276"/>
      <c r="H78" s="261"/>
      <c r="I78" s="261"/>
      <c r="J78" s="261"/>
      <c r="K78" s="261"/>
      <c r="L78" s="261"/>
      <c r="M78" s="261"/>
      <c r="N78" s="262"/>
      <c r="O78" s="270"/>
      <c r="P78" s="269"/>
      <c r="Q78" s="318"/>
      <c r="R78" s="24"/>
      <c r="S78" s="25"/>
      <c r="T78" s="25"/>
      <c r="U78" s="64"/>
    </row>
    <row r="79" spans="1:21" s="65" customFormat="1" ht="21.9" customHeight="1">
      <c r="A79" s="132">
        <v>2</v>
      </c>
      <c r="B79" s="133" t="s">
        <v>129</v>
      </c>
      <c r="C79" s="216" t="s">
        <v>130</v>
      </c>
      <c r="D79" s="261"/>
      <c r="E79" s="300">
        <v>1</v>
      </c>
      <c r="F79" s="134" t="s">
        <v>150</v>
      </c>
      <c r="G79" s="276"/>
      <c r="H79" s="276"/>
      <c r="I79" s="276"/>
      <c r="J79" s="276"/>
      <c r="K79" s="278"/>
      <c r="L79" s="278"/>
      <c r="M79" s="260"/>
      <c r="N79" s="262"/>
      <c r="O79" s="270"/>
      <c r="P79" s="269"/>
      <c r="Q79" s="318"/>
      <c r="R79" s="24"/>
      <c r="S79" s="25"/>
      <c r="T79" s="25"/>
      <c r="U79" s="64"/>
    </row>
    <row r="80" spans="1:21" s="65" customFormat="1" ht="21.9" customHeight="1">
      <c r="A80" s="132">
        <v>3</v>
      </c>
      <c r="B80" s="133" t="s">
        <v>129</v>
      </c>
      <c r="C80" s="216" t="s">
        <v>130</v>
      </c>
      <c r="D80" s="261"/>
      <c r="E80" s="300">
        <v>1</v>
      </c>
      <c r="F80" s="134" t="s">
        <v>150</v>
      </c>
      <c r="G80" s="276"/>
      <c r="H80" s="276"/>
      <c r="I80" s="276"/>
      <c r="J80" s="276"/>
      <c r="K80" s="278"/>
      <c r="L80" s="278"/>
      <c r="M80" s="260"/>
      <c r="N80" s="262"/>
      <c r="O80" s="270"/>
      <c r="P80" s="269"/>
      <c r="Q80" s="318"/>
      <c r="R80" s="24"/>
      <c r="S80" s="25"/>
      <c r="T80" s="25"/>
      <c r="U80" s="64"/>
    </row>
    <row r="81" spans="1:21" s="65" customFormat="1" ht="21.9" customHeight="1">
      <c r="A81" s="132">
        <v>4</v>
      </c>
      <c r="B81" s="133" t="s">
        <v>129</v>
      </c>
      <c r="C81" s="216" t="s">
        <v>130</v>
      </c>
      <c r="D81" s="261"/>
      <c r="E81" s="300">
        <v>1</v>
      </c>
      <c r="F81" s="134" t="s">
        <v>150</v>
      </c>
      <c r="G81" s="276"/>
      <c r="H81" s="276"/>
      <c r="I81" s="276"/>
      <c r="J81" s="276"/>
      <c r="K81" s="278"/>
      <c r="L81" s="278"/>
      <c r="M81" s="260"/>
      <c r="N81" s="262"/>
      <c r="O81" s="270"/>
      <c r="P81" s="269"/>
      <c r="Q81" s="318"/>
      <c r="R81" s="24"/>
      <c r="S81" s="25"/>
      <c r="T81" s="25"/>
      <c r="U81" s="64"/>
    </row>
    <row r="82" spans="1:21" s="65" customFormat="1" ht="21.9" customHeight="1">
      <c r="A82" s="132">
        <v>5</v>
      </c>
      <c r="B82" s="133" t="s">
        <v>129</v>
      </c>
      <c r="C82" s="216" t="s">
        <v>130</v>
      </c>
      <c r="D82" s="261"/>
      <c r="E82" s="300">
        <v>1</v>
      </c>
      <c r="F82" s="134" t="s">
        <v>150</v>
      </c>
      <c r="G82" s="276"/>
      <c r="H82" s="276"/>
      <c r="I82" s="276"/>
      <c r="J82" s="276"/>
      <c r="K82" s="278"/>
      <c r="L82" s="278"/>
      <c r="M82" s="260"/>
      <c r="N82" s="262"/>
      <c r="O82" s="270"/>
      <c r="P82" s="269"/>
      <c r="Q82" s="318"/>
      <c r="R82" s="24"/>
      <c r="S82" s="25"/>
      <c r="T82" s="25"/>
      <c r="U82" s="64"/>
    </row>
    <row r="83" spans="1:21" s="65" customFormat="1" ht="21.9" customHeight="1">
      <c r="A83" s="132">
        <v>6</v>
      </c>
      <c r="B83" s="133" t="s">
        <v>129</v>
      </c>
      <c r="C83" s="216" t="s">
        <v>130</v>
      </c>
      <c r="D83" s="261"/>
      <c r="E83" s="300">
        <v>1</v>
      </c>
      <c r="F83" s="134" t="s">
        <v>150</v>
      </c>
      <c r="G83" s="276"/>
      <c r="H83" s="276"/>
      <c r="I83" s="276"/>
      <c r="J83" s="276"/>
      <c r="K83" s="278"/>
      <c r="L83" s="278"/>
      <c r="M83" s="260"/>
      <c r="N83" s="262"/>
      <c r="O83" s="270"/>
      <c r="P83" s="269"/>
      <c r="Q83" s="318"/>
      <c r="R83" s="24"/>
      <c r="S83" s="25"/>
      <c r="T83" s="25"/>
      <c r="U83" s="64"/>
    </row>
    <row r="84" spans="1:21" s="65" customFormat="1" ht="21.9" customHeight="1">
      <c r="A84" s="132">
        <v>7</v>
      </c>
      <c r="B84" s="133" t="s">
        <v>129</v>
      </c>
      <c r="C84" s="216" t="s">
        <v>130</v>
      </c>
      <c r="D84" s="261"/>
      <c r="E84" s="300">
        <v>1</v>
      </c>
      <c r="F84" s="134" t="s">
        <v>150</v>
      </c>
      <c r="G84" s="276"/>
      <c r="H84" s="276"/>
      <c r="I84" s="276"/>
      <c r="J84" s="276"/>
      <c r="K84" s="278"/>
      <c r="L84" s="278"/>
      <c r="M84" s="260"/>
      <c r="N84" s="262"/>
      <c r="O84" s="270"/>
      <c r="P84" s="269"/>
      <c r="Q84" s="318"/>
      <c r="R84" s="24"/>
      <c r="S84" s="25"/>
      <c r="T84" s="25"/>
      <c r="U84" s="64"/>
    </row>
    <row r="85" spans="1:21" s="65" customFormat="1" ht="21.9" customHeight="1">
      <c r="A85" s="132">
        <v>8</v>
      </c>
      <c r="B85" s="133" t="s">
        <v>129</v>
      </c>
      <c r="C85" s="216" t="s">
        <v>130</v>
      </c>
      <c r="D85" s="261"/>
      <c r="E85" s="300">
        <v>1</v>
      </c>
      <c r="F85" s="134" t="s">
        <v>150</v>
      </c>
      <c r="G85" s="276"/>
      <c r="H85" s="276"/>
      <c r="I85" s="276"/>
      <c r="J85" s="276"/>
      <c r="K85" s="278"/>
      <c r="L85" s="278"/>
      <c r="M85" s="260"/>
      <c r="N85" s="262"/>
      <c r="O85" s="270"/>
      <c r="P85" s="269"/>
      <c r="Q85" s="318"/>
      <c r="R85" s="24"/>
      <c r="S85" s="25"/>
      <c r="T85" s="25"/>
      <c r="U85" s="64"/>
    </row>
    <row r="86" spans="1:21" s="65" customFormat="1" ht="21.9" customHeight="1">
      <c r="A86" s="132">
        <v>9</v>
      </c>
      <c r="B86" s="133" t="s">
        <v>129</v>
      </c>
      <c r="C86" s="216" t="s">
        <v>130</v>
      </c>
      <c r="D86" s="261"/>
      <c r="E86" s="300">
        <v>1</v>
      </c>
      <c r="F86" s="134" t="s">
        <v>150</v>
      </c>
      <c r="G86" s="276"/>
      <c r="H86" s="276"/>
      <c r="I86" s="276"/>
      <c r="J86" s="276"/>
      <c r="K86" s="278"/>
      <c r="L86" s="278"/>
      <c r="M86" s="260"/>
      <c r="N86" s="262"/>
      <c r="O86" s="270"/>
      <c r="P86" s="269"/>
      <c r="Q86" s="318"/>
      <c r="R86" s="24"/>
      <c r="S86" s="25"/>
      <c r="T86" s="25"/>
      <c r="U86" s="64"/>
    </row>
    <row r="87" spans="1:21" s="65" customFormat="1" ht="21.9" customHeight="1">
      <c r="A87" s="132">
        <v>10</v>
      </c>
      <c r="B87" s="133" t="s">
        <v>129</v>
      </c>
      <c r="C87" s="216" t="s">
        <v>130</v>
      </c>
      <c r="D87" s="261"/>
      <c r="E87" s="300">
        <v>1</v>
      </c>
      <c r="F87" s="134" t="s">
        <v>150</v>
      </c>
      <c r="G87" s="276"/>
      <c r="H87" s="276"/>
      <c r="I87" s="276"/>
      <c r="J87" s="276"/>
      <c r="K87" s="278"/>
      <c r="L87" s="278"/>
      <c r="M87" s="260"/>
      <c r="N87" s="262"/>
      <c r="O87" s="270"/>
      <c r="P87" s="269"/>
      <c r="Q87" s="318"/>
      <c r="R87" s="24"/>
      <c r="S87" s="25"/>
      <c r="T87" s="25"/>
      <c r="U87" s="64"/>
    </row>
    <row r="88" spans="1:21" s="65" customFormat="1" ht="21.9" customHeight="1">
      <c r="A88" s="132">
        <v>11</v>
      </c>
      <c r="B88" s="133" t="s">
        <v>129</v>
      </c>
      <c r="C88" s="216" t="s">
        <v>130</v>
      </c>
      <c r="D88" s="261"/>
      <c r="E88" s="300">
        <v>1</v>
      </c>
      <c r="F88" s="134" t="s">
        <v>150</v>
      </c>
      <c r="G88" s="276"/>
      <c r="H88" s="276"/>
      <c r="I88" s="276"/>
      <c r="J88" s="276"/>
      <c r="K88" s="278"/>
      <c r="L88" s="278"/>
      <c r="M88" s="260"/>
      <c r="N88" s="262"/>
      <c r="O88" s="270"/>
      <c r="P88" s="269"/>
      <c r="Q88" s="318"/>
      <c r="R88" s="24"/>
      <c r="S88" s="25"/>
      <c r="T88" s="25"/>
      <c r="U88" s="64"/>
    </row>
    <row r="89" spans="1:21" s="65" customFormat="1" ht="21.9" customHeight="1">
      <c r="A89" s="132">
        <v>12</v>
      </c>
      <c r="B89" s="133" t="s">
        <v>129</v>
      </c>
      <c r="C89" s="216" t="s">
        <v>130</v>
      </c>
      <c r="D89" s="261"/>
      <c r="E89" s="300">
        <v>1</v>
      </c>
      <c r="F89" s="134" t="s">
        <v>150</v>
      </c>
      <c r="G89" s="276"/>
      <c r="H89" s="276"/>
      <c r="I89" s="276"/>
      <c r="J89" s="276"/>
      <c r="K89" s="278"/>
      <c r="L89" s="278"/>
      <c r="M89" s="260"/>
      <c r="N89" s="262"/>
      <c r="O89" s="270"/>
      <c r="P89" s="269"/>
      <c r="Q89" s="318"/>
      <c r="R89" s="24"/>
      <c r="S89" s="25"/>
      <c r="T89" s="25"/>
      <c r="U89" s="64"/>
    </row>
    <row r="90" spans="1:21" s="65" customFormat="1" ht="21.9" customHeight="1">
      <c r="A90" s="132">
        <v>13</v>
      </c>
      <c r="B90" s="133" t="s">
        <v>129</v>
      </c>
      <c r="C90" s="216" t="s">
        <v>130</v>
      </c>
      <c r="D90" s="261"/>
      <c r="E90" s="300">
        <v>1</v>
      </c>
      <c r="F90" s="134" t="s">
        <v>150</v>
      </c>
      <c r="G90" s="276"/>
      <c r="H90" s="276"/>
      <c r="I90" s="276"/>
      <c r="J90" s="276"/>
      <c r="K90" s="278"/>
      <c r="L90" s="278"/>
      <c r="M90" s="260"/>
      <c r="N90" s="262"/>
      <c r="O90" s="270"/>
      <c r="P90" s="269"/>
      <c r="Q90" s="318"/>
      <c r="R90" s="24"/>
      <c r="S90" s="25"/>
      <c r="T90" s="25"/>
      <c r="U90" s="64"/>
    </row>
    <row r="91" spans="1:21" s="65" customFormat="1" ht="21.9" customHeight="1">
      <c r="A91" s="132">
        <v>14</v>
      </c>
      <c r="B91" s="133" t="s">
        <v>129</v>
      </c>
      <c r="C91" s="216" t="s">
        <v>130</v>
      </c>
      <c r="D91" s="261"/>
      <c r="E91" s="300">
        <v>1</v>
      </c>
      <c r="F91" s="134" t="s">
        <v>150</v>
      </c>
      <c r="G91" s="276"/>
      <c r="H91" s="276"/>
      <c r="I91" s="276"/>
      <c r="J91" s="276"/>
      <c r="K91" s="278"/>
      <c r="L91" s="278"/>
      <c r="M91" s="260"/>
      <c r="N91" s="262"/>
      <c r="O91" s="270"/>
      <c r="P91" s="269"/>
      <c r="Q91" s="318"/>
      <c r="R91" s="24"/>
      <c r="S91" s="25"/>
      <c r="T91" s="25"/>
      <c r="U91" s="64"/>
    </row>
    <row r="92" spans="1:21" s="65" customFormat="1" ht="21.9" customHeight="1">
      <c r="A92" s="132">
        <v>15</v>
      </c>
      <c r="B92" s="133" t="s">
        <v>129</v>
      </c>
      <c r="C92" s="216" t="s">
        <v>130</v>
      </c>
      <c r="D92" s="261"/>
      <c r="E92" s="300">
        <v>1</v>
      </c>
      <c r="F92" s="134" t="s">
        <v>150</v>
      </c>
      <c r="G92" s="276"/>
      <c r="H92" s="276"/>
      <c r="I92" s="276"/>
      <c r="J92" s="276"/>
      <c r="K92" s="278"/>
      <c r="L92" s="278"/>
      <c r="M92" s="260"/>
      <c r="N92" s="262"/>
      <c r="O92" s="270"/>
      <c r="P92" s="269"/>
      <c r="Q92" s="318"/>
      <c r="R92" s="24"/>
      <c r="S92" s="25"/>
      <c r="T92" s="25"/>
      <c r="U92" s="64"/>
    </row>
    <row r="93" spans="1:21" s="65" customFormat="1" ht="21.9" customHeight="1">
      <c r="A93" s="132">
        <v>16</v>
      </c>
      <c r="B93" s="133" t="s">
        <v>129</v>
      </c>
      <c r="C93" s="216" t="s">
        <v>130</v>
      </c>
      <c r="D93" s="261"/>
      <c r="E93" s="300">
        <v>1</v>
      </c>
      <c r="F93" s="134" t="s">
        <v>150</v>
      </c>
      <c r="G93" s="276"/>
      <c r="H93" s="276"/>
      <c r="I93" s="276"/>
      <c r="J93" s="276"/>
      <c r="K93" s="278"/>
      <c r="L93" s="278"/>
      <c r="M93" s="260"/>
      <c r="N93" s="262"/>
      <c r="O93" s="270"/>
      <c r="P93" s="269"/>
      <c r="Q93" s="318"/>
      <c r="R93" s="24"/>
      <c r="S93" s="25"/>
      <c r="T93" s="25"/>
      <c r="U93" s="64"/>
    </row>
    <row r="94" spans="1:21" s="65" customFormat="1" ht="21.9" customHeight="1">
      <c r="A94" s="251"/>
      <c r="B94" s="252"/>
      <c r="C94" s="292"/>
      <c r="D94" s="314"/>
      <c r="E94" s="301"/>
      <c r="F94" s="264"/>
      <c r="G94" s="277">
        <v>200</v>
      </c>
      <c r="H94" s="277">
        <v>200</v>
      </c>
      <c r="I94" s="277">
        <v>180</v>
      </c>
      <c r="J94" s="277">
        <f>ROUND(I94*H94*G94/1000000,3)</f>
        <v>7.2</v>
      </c>
      <c r="K94" s="277">
        <v>240</v>
      </c>
      <c r="L94" s="274">
        <v>450</v>
      </c>
      <c r="M94" s="273"/>
      <c r="N94" s="282"/>
      <c r="O94" s="283"/>
      <c r="P94" s="282"/>
      <c r="Q94" s="321"/>
      <c r="R94" s="24"/>
      <c r="S94" s="25"/>
      <c r="T94" s="25"/>
      <c r="U94" s="64"/>
    </row>
    <row r="95" spans="1:21" s="65" customFormat="1" ht="21.9" customHeight="1">
      <c r="A95" s="132">
        <v>1</v>
      </c>
      <c r="B95" s="133" t="s">
        <v>131</v>
      </c>
      <c r="C95" s="216" t="s">
        <v>130</v>
      </c>
      <c r="D95" s="261"/>
      <c r="E95" s="300">
        <v>1</v>
      </c>
      <c r="F95" s="134" t="s">
        <v>150</v>
      </c>
      <c r="G95" s="276"/>
      <c r="H95" s="261"/>
      <c r="I95" s="261"/>
      <c r="J95" s="261"/>
      <c r="K95" s="261"/>
      <c r="L95" s="261"/>
      <c r="M95" s="261"/>
      <c r="N95" s="262"/>
      <c r="O95" s="270"/>
      <c r="P95" s="269"/>
      <c r="Q95" s="318"/>
      <c r="R95" s="24"/>
      <c r="S95" s="25"/>
      <c r="T95" s="25"/>
      <c r="U95" s="64"/>
    </row>
    <row r="96" spans="1:21" s="65" customFormat="1" ht="21.9" customHeight="1">
      <c r="A96" s="132">
        <v>2</v>
      </c>
      <c r="B96" s="133" t="s">
        <v>131</v>
      </c>
      <c r="C96" s="216" t="s">
        <v>130</v>
      </c>
      <c r="D96" s="261"/>
      <c r="E96" s="300">
        <v>1</v>
      </c>
      <c r="F96" s="134" t="s">
        <v>150</v>
      </c>
      <c r="G96" s="276"/>
      <c r="H96" s="276"/>
      <c r="I96" s="276"/>
      <c r="J96" s="276"/>
      <c r="K96" s="278"/>
      <c r="L96" s="278"/>
      <c r="M96" s="260"/>
      <c r="N96" s="262"/>
      <c r="O96" s="270"/>
      <c r="P96" s="269"/>
      <c r="Q96" s="318"/>
      <c r="R96" s="24"/>
      <c r="S96" s="25"/>
      <c r="T96" s="25"/>
      <c r="U96" s="64"/>
    </row>
    <row r="97" spans="1:21" s="65" customFormat="1" ht="21.9" customHeight="1">
      <c r="A97" s="132">
        <v>3</v>
      </c>
      <c r="B97" s="133" t="s">
        <v>131</v>
      </c>
      <c r="C97" s="216" t="s">
        <v>130</v>
      </c>
      <c r="D97" s="261"/>
      <c r="E97" s="300">
        <v>1</v>
      </c>
      <c r="F97" s="134" t="s">
        <v>150</v>
      </c>
      <c r="G97" s="276"/>
      <c r="H97" s="276"/>
      <c r="I97" s="276"/>
      <c r="J97" s="276"/>
      <c r="K97" s="278"/>
      <c r="L97" s="278"/>
      <c r="M97" s="260"/>
      <c r="N97" s="262"/>
      <c r="O97" s="270"/>
      <c r="P97" s="269"/>
      <c r="Q97" s="318"/>
      <c r="R97" s="24"/>
      <c r="S97" s="25"/>
      <c r="T97" s="25"/>
      <c r="U97" s="64"/>
    </row>
    <row r="98" spans="1:21" s="65" customFormat="1" ht="21.9" customHeight="1">
      <c r="A98" s="132">
        <v>4</v>
      </c>
      <c r="B98" s="133" t="s">
        <v>131</v>
      </c>
      <c r="C98" s="216" t="s">
        <v>130</v>
      </c>
      <c r="D98" s="261"/>
      <c r="E98" s="300">
        <v>1</v>
      </c>
      <c r="F98" s="134" t="s">
        <v>150</v>
      </c>
      <c r="G98" s="276"/>
      <c r="H98" s="276"/>
      <c r="I98" s="276"/>
      <c r="J98" s="276"/>
      <c r="K98" s="278"/>
      <c r="L98" s="278"/>
      <c r="M98" s="260"/>
      <c r="N98" s="262"/>
      <c r="O98" s="270"/>
      <c r="P98" s="269"/>
      <c r="Q98" s="318"/>
      <c r="R98" s="24"/>
      <c r="S98" s="25"/>
      <c r="T98" s="25"/>
      <c r="U98" s="64"/>
    </row>
    <row r="99" spans="1:21" s="65" customFormat="1" ht="21.9" customHeight="1">
      <c r="A99" s="132">
        <v>5</v>
      </c>
      <c r="B99" s="133" t="s">
        <v>131</v>
      </c>
      <c r="C99" s="216" t="s">
        <v>130</v>
      </c>
      <c r="D99" s="261"/>
      <c r="E99" s="300">
        <v>1</v>
      </c>
      <c r="F99" s="134" t="s">
        <v>150</v>
      </c>
      <c r="G99" s="276"/>
      <c r="H99" s="276"/>
      <c r="I99" s="276"/>
      <c r="J99" s="276"/>
      <c r="K99" s="278"/>
      <c r="L99" s="278"/>
      <c r="M99" s="260"/>
      <c r="N99" s="262"/>
      <c r="O99" s="270"/>
      <c r="P99" s="269"/>
      <c r="Q99" s="318"/>
      <c r="R99" s="24"/>
      <c r="S99" s="25"/>
      <c r="T99" s="25"/>
      <c r="U99" s="64"/>
    </row>
    <row r="100" spans="1:21" s="65" customFormat="1" ht="21.9" customHeight="1">
      <c r="A100" s="132">
        <v>6</v>
      </c>
      <c r="B100" s="133" t="s">
        <v>131</v>
      </c>
      <c r="C100" s="216" t="s">
        <v>130</v>
      </c>
      <c r="D100" s="261"/>
      <c r="E100" s="300">
        <v>1</v>
      </c>
      <c r="F100" s="134" t="s">
        <v>150</v>
      </c>
      <c r="G100" s="276"/>
      <c r="H100" s="276"/>
      <c r="I100" s="276"/>
      <c r="J100" s="276"/>
      <c r="K100" s="278"/>
      <c r="L100" s="278"/>
      <c r="M100" s="260"/>
      <c r="N100" s="262"/>
      <c r="O100" s="270"/>
      <c r="P100" s="269"/>
      <c r="Q100" s="318"/>
      <c r="R100" s="24"/>
      <c r="S100" s="25"/>
      <c r="T100" s="25"/>
      <c r="U100" s="64"/>
    </row>
    <row r="101" spans="1:21" s="65" customFormat="1" ht="21.9" customHeight="1">
      <c r="A101" s="132">
        <v>7</v>
      </c>
      <c r="B101" s="133" t="s">
        <v>131</v>
      </c>
      <c r="C101" s="216" t="s">
        <v>130</v>
      </c>
      <c r="D101" s="261"/>
      <c r="E101" s="300">
        <v>1</v>
      </c>
      <c r="F101" s="134" t="s">
        <v>150</v>
      </c>
      <c r="G101" s="276"/>
      <c r="H101" s="276"/>
      <c r="I101" s="276"/>
      <c r="J101" s="276"/>
      <c r="K101" s="278"/>
      <c r="L101" s="278"/>
      <c r="M101" s="260"/>
      <c r="N101" s="262"/>
      <c r="O101" s="270"/>
      <c r="P101" s="269"/>
      <c r="Q101" s="318"/>
      <c r="R101" s="24"/>
      <c r="S101" s="25"/>
      <c r="T101" s="25"/>
      <c r="U101" s="64"/>
    </row>
    <row r="102" spans="1:21" s="65" customFormat="1" ht="21.9" customHeight="1">
      <c r="A102" s="132">
        <v>8</v>
      </c>
      <c r="B102" s="133" t="s">
        <v>131</v>
      </c>
      <c r="C102" s="216" t="s">
        <v>130</v>
      </c>
      <c r="D102" s="261"/>
      <c r="E102" s="300">
        <v>1</v>
      </c>
      <c r="F102" s="134" t="s">
        <v>150</v>
      </c>
      <c r="G102" s="276"/>
      <c r="H102" s="276"/>
      <c r="I102" s="276"/>
      <c r="J102" s="276"/>
      <c r="K102" s="278"/>
      <c r="L102" s="278"/>
      <c r="M102" s="260"/>
      <c r="N102" s="262"/>
      <c r="O102" s="270"/>
      <c r="P102" s="269"/>
      <c r="Q102" s="318"/>
      <c r="R102" s="24"/>
      <c r="S102" s="25"/>
      <c r="T102" s="25"/>
      <c r="U102" s="64"/>
    </row>
    <row r="103" spans="1:21" s="65" customFormat="1" ht="21.9" customHeight="1">
      <c r="A103" s="132">
        <v>9</v>
      </c>
      <c r="B103" s="133" t="s">
        <v>131</v>
      </c>
      <c r="C103" s="216" t="s">
        <v>130</v>
      </c>
      <c r="D103" s="261"/>
      <c r="E103" s="300">
        <v>1</v>
      </c>
      <c r="F103" s="134" t="s">
        <v>150</v>
      </c>
      <c r="G103" s="276"/>
      <c r="H103" s="276"/>
      <c r="I103" s="276"/>
      <c r="J103" s="276"/>
      <c r="K103" s="278"/>
      <c r="L103" s="278"/>
      <c r="M103" s="260"/>
      <c r="N103" s="262"/>
      <c r="O103" s="270"/>
      <c r="P103" s="269"/>
      <c r="Q103" s="318"/>
      <c r="R103" s="24"/>
      <c r="S103" s="25"/>
      <c r="T103" s="25"/>
      <c r="U103" s="64"/>
    </row>
    <row r="104" spans="1:21" s="65" customFormat="1" ht="21.9" customHeight="1">
      <c r="A104" s="132">
        <v>10</v>
      </c>
      <c r="B104" s="133" t="s">
        <v>131</v>
      </c>
      <c r="C104" s="216" t="s">
        <v>130</v>
      </c>
      <c r="D104" s="261"/>
      <c r="E104" s="300">
        <v>1</v>
      </c>
      <c r="F104" s="134" t="s">
        <v>150</v>
      </c>
      <c r="G104" s="276"/>
      <c r="H104" s="276"/>
      <c r="I104" s="276"/>
      <c r="J104" s="276"/>
      <c r="K104" s="278"/>
      <c r="L104" s="278"/>
      <c r="M104" s="260"/>
      <c r="N104" s="262"/>
      <c r="O104" s="270"/>
      <c r="P104" s="269"/>
      <c r="Q104" s="318"/>
      <c r="R104" s="24"/>
      <c r="S104" s="25"/>
      <c r="T104" s="25"/>
      <c r="U104" s="64"/>
    </row>
    <row r="105" spans="1:21" s="65" customFormat="1" ht="21.9" customHeight="1">
      <c r="A105" s="132">
        <v>11</v>
      </c>
      <c r="B105" s="133" t="s">
        <v>131</v>
      </c>
      <c r="C105" s="216" t="s">
        <v>130</v>
      </c>
      <c r="D105" s="261"/>
      <c r="E105" s="300">
        <v>1</v>
      </c>
      <c r="F105" s="134" t="s">
        <v>150</v>
      </c>
      <c r="G105" s="276"/>
      <c r="H105" s="276"/>
      <c r="I105" s="276"/>
      <c r="J105" s="276"/>
      <c r="K105" s="278"/>
      <c r="L105" s="278"/>
      <c r="M105" s="260"/>
      <c r="N105" s="262"/>
      <c r="O105" s="270"/>
      <c r="P105" s="269"/>
      <c r="Q105" s="318"/>
      <c r="R105" s="24"/>
      <c r="S105" s="25"/>
      <c r="T105" s="25"/>
      <c r="U105" s="64"/>
    </row>
    <row r="106" spans="1:21" s="65" customFormat="1" ht="21.9" customHeight="1">
      <c r="A106" s="132">
        <v>12</v>
      </c>
      <c r="B106" s="133" t="s">
        <v>131</v>
      </c>
      <c r="C106" s="216" t="s">
        <v>130</v>
      </c>
      <c r="D106" s="261"/>
      <c r="E106" s="300">
        <v>1</v>
      </c>
      <c r="F106" s="134" t="s">
        <v>150</v>
      </c>
      <c r="G106" s="276"/>
      <c r="H106" s="276"/>
      <c r="I106" s="276"/>
      <c r="J106" s="276"/>
      <c r="K106" s="278"/>
      <c r="L106" s="278"/>
      <c r="M106" s="260"/>
      <c r="N106" s="262"/>
      <c r="O106" s="270"/>
      <c r="P106" s="269"/>
      <c r="Q106" s="318"/>
      <c r="R106" s="24"/>
      <c r="S106" s="25"/>
      <c r="T106" s="25"/>
      <c r="U106" s="64"/>
    </row>
    <row r="107" spans="1:21" s="65" customFormat="1" ht="21.9" customHeight="1">
      <c r="A107" s="132">
        <v>13</v>
      </c>
      <c r="B107" s="133" t="s">
        <v>131</v>
      </c>
      <c r="C107" s="216" t="s">
        <v>130</v>
      </c>
      <c r="D107" s="261"/>
      <c r="E107" s="300">
        <v>1</v>
      </c>
      <c r="F107" s="134" t="s">
        <v>150</v>
      </c>
      <c r="G107" s="276"/>
      <c r="H107" s="276"/>
      <c r="I107" s="276"/>
      <c r="J107" s="276"/>
      <c r="K107" s="278"/>
      <c r="L107" s="278"/>
      <c r="M107" s="260"/>
      <c r="N107" s="262"/>
      <c r="O107" s="270"/>
      <c r="P107" s="269"/>
      <c r="Q107" s="318"/>
      <c r="R107" s="24"/>
      <c r="S107" s="25"/>
      <c r="T107" s="25"/>
      <c r="U107" s="64"/>
    </row>
    <row r="108" spans="1:21" s="65" customFormat="1" ht="21.9" customHeight="1">
      <c r="A108" s="132">
        <v>14</v>
      </c>
      <c r="B108" s="133" t="s">
        <v>131</v>
      </c>
      <c r="C108" s="216" t="s">
        <v>130</v>
      </c>
      <c r="D108" s="261"/>
      <c r="E108" s="300">
        <v>1</v>
      </c>
      <c r="F108" s="134" t="s">
        <v>150</v>
      </c>
      <c r="G108" s="276"/>
      <c r="H108" s="276"/>
      <c r="I108" s="276"/>
      <c r="J108" s="276"/>
      <c r="K108" s="278"/>
      <c r="L108" s="278"/>
      <c r="M108" s="260"/>
      <c r="N108" s="262"/>
      <c r="O108" s="270"/>
      <c r="P108" s="269"/>
      <c r="Q108" s="318"/>
      <c r="R108" s="24"/>
      <c r="S108" s="25"/>
      <c r="T108" s="25"/>
      <c r="U108" s="64"/>
    </row>
    <row r="109" spans="1:21" s="65" customFormat="1" ht="21.9" customHeight="1">
      <c r="A109" s="132">
        <v>15</v>
      </c>
      <c r="B109" s="133" t="s">
        <v>131</v>
      </c>
      <c r="C109" s="216" t="s">
        <v>130</v>
      </c>
      <c r="D109" s="261"/>
      <c r="E109" s="300">
        <v>1</v>
      </c>
      <c r="F109" s="134" t="s">
        <v>150</v>
      </c>
      <c r="G109" s="276"/>
      <c r="H109" s="276"/>
      <c r="I109" s="276"/>
      <c r="J109" s="276"/>
      <c r="K109" s="278"/>
      <c r="L109" s="278"/>
      <c r="M109" s="260"/>
      <c r="N109" s="262"/>
      <c r="O109" s="270"/>
      <c r="P109" s="269"/>
      <c r="Q109" s="318"/>
      <c r="R109" s="24"/>
      <c r="S109" s="25"/>
      <c r="T109" s="25"/>
      <c r="U109" s="64"/>
    </row>
    <row r="110" spans="1:21" s="65" customFormat="1" ht="21.9" customHeight="1">
      <c r="A110" s="132">
        <v>16</v>
      </c>
      <c r="B110" s="133" t="s">
        <v>131</v>
      </c>
      <c r="C110" s="216" t="s">
        <v>130</v>
      </c>
      <c r="D110" s="261"/>
      <c r="E110" s="300">
        <v>1</v>
      </c>
      <c r="F110" s="134" t="s">
        <v>150</v>
      </c>
      <c r="G110" s="288"/>
      <c r="H110" s="288"/>
      <c r="I110" s="288"/>
      <c r="J110" s="288"/>
      <c r="K110" s="278"/>
      <c r="L110" s="278"/>
      <c r="M110" s="260"/>
      <c r="N110" s="262"/>
      <c r="O110" s="270"/>
      <c r="P110" s="269"/>
      <c r="Q110" s="318"/>
      <c r="R110" s="24"/>
      <c r="S110" s="25"/>
      <c r="T110" s="25"/>
      <c r="U110" s="64"/>
    </row>
    <row r="111" spans="1:21" s="65" customFormat="1" ht="21.9" customHeight="1">
      <c r="A111" s="251"/>
      <c r="B111" s="252"/>
      <c r="C111" s="292"/>
      <c r="D111" s="314"/>
      <c r="E111" s="301"/>
      <c r="F111" s="264"/>
      <c r="G111" s="277">
        <v>200</v>
      </c>
      <c r="H111" s="277">
        <v>200</v>
      </c>
      <c r="I111" s="277">
        <v>180</v>
      </c>
      <c r="J111" s="277">
        <f>ROUND(I111*H111*G111/1000000,3)</f>
        <v>7.2</v>
      </c>
      <c r="K111" s="277">
        <v>240</v>
      </c>
      <c r="L111" s="274">
        <v>450</v>
      </c>
      <c r="M111" s="273"/>
      <c r="N111" s="282"/>
      <c r="O111" s="283"/>
      <c r="P111" s="282"/>
      <c r="Q111" s="321"/>
      <c r="R111" s="24"/>
      <c r="S111" s="25"/>
      <c r="T111" s="25"/>
      <c r="U111" s="64"/>
    </row>
    <row r="112" spans="1:21" s="65" customFormat="1" ht="21.9" customHeight="1">
      <c r="A112" s="132">
        <v>1</v>
      </c>
      <c r="B112" s="133" t="s">
        <v>132</v>
      </c>
      <c r="C112" s="216" t="s">
        <v>161</v>
      </c>
      <c r="D112" s="261"/>
      <c r="E112" s="300">
        <v>5</v>
      </c>
      <c r="F112" s="134" t="s">
        <v>150</v>
      </c>
      <c r="G112" s="288"/>
      <c r="H112" s="288"/>
      <c r="I112" s="288"/>
      <c r="J112" s="288"/>
      <c r="K112" s="261"/>
      <c r="L112" s="261"/>
      <c r="M112" s="261"/>
      <c r="N112" s="23"/>
      <c r="O112" s="22"/>
      <c r="P112" s="248"/>
      <c r="Q112" s="98"/>
      <c r="R112" s="24"/>
      <c r="S112" s="25"/>
      <c r="T112" s="25"/>
      <c r="U112" s="64"/>
    </row>
    <row r="113" spans="1:21" s="65" customFormat="1" ht="21.9" customHeight="1">
      <c r="A113" s="251"/>
      <c r="B113" s="313"/>
      <c r="C113" s="253"/>
      <c r="D113" s="314"/>
      <c r="E113" s="301"/>
      <c r="F113" s="264"/>
      <c r="G113" s="277">
        <v>230</v>
      </c>
      <c r="H113" s="277">
        <v>120</v>
      </c>
      <c r="I113" s="277">
        <v>190</v>
      </c>
      <c r="J113" s="277">
        <f>ROUND(I113*H113*G113/1000000,3)</f>
        <v>5.2439999999999998</v>
      </c>
      <c r="K113" s="277">
        <v>210</v>
      </c>
      <c r="L113" s="274">
        <v>370</v>
      </c>
      <c r="M113" s="280"/>
      <c r="N113" s="265"/>
      <c r="O113" s="266"/>
      <c r="P113" s="265"/>
      <c r="Q113" s="322"/>
      <c r="R113" s="24"/>
      <c r="S113" s="25"/>
      <c r="T113" s="25"/>
      <c r="U113" s="64"/>
    </row>
    <row r="114" spans="1:21" s="65" customFormat="1" ht="21.9" customHeight="1">
      <c r="A114" s="132">
        <v>1</v>
      </c>
      <c r="B114" s="133" t="s">
        <v>134</v>
      </c>
      <c r="C114" s="293" t="s">
        <v>162</v>
      </c>
      <c r="D114" s="261"/>
      <c r="E114" s="300">
        <v>30</v>
      </c>
      <c r="F114" s="134" t="s">
        <v>150</v>
      </c>
      <c r="G114" s="276"/>
      <c r="H114" s="261"/>
      <c r="I114" s="261"/>
      <c r="J114" s="261"/>
      <c r="K114" s="261"/>
      <c r="L114" s="261"/>
      <c r="M114" s="261"/>
      <c r="N114" s="262"/>
      <c r="O114" s="270"/>
      <c r="P114" s="269"/>
      <c r="Q114" s="318"/>
      <c r="R114" s="24"/>
      <c r="S114" s="25"/>
      <c r="T114" s="25"/>
      <c r="U114" s="64"/>
    </row>
    <row r="115" spans="1:21" s="65" customFormat="1" ht="21.9" customHeight="1">
      <c r="A115" s="132">
        <v>2</v>
      </c>
      <c r="B115" s="133" t="s">
        <v>134</v>
      </c>
      <c r="C115" s="293" t="s">
        <v>163</v>
      </c>
      <c r="D115" s="261"/>
      <c r="E115" s="300">
        <v>30</v>
      </c>
      <c r="F115" s="134" t="s">
        <v>150</v>
      </c>
      <c r="G115" s="276"/>
      <c r="H115" s="276"/>
      <c r="I115" s="276"/>
      <c r="J115" s="276"/>
      <c r="K115" s="278"/>
      <c r="L115" s="278"/>
      <c r="M115" s="260"/>
      <c r="N115" s="262"/>
      <c r="O115" s="270"/>
      <c r="P115" s="269"/>
      <c r="Q115" s="318"/>
      <c r="R115" s="24"/>
      <c r="S115" s="25"/>
      <c r="T115" s="25"/>
      <c r="U115" s="64"/>
    </row>
    <row r="116" spans="1:21" s="65" customFormat="1" ht="21.9" customHeight="1">
      <c r="A116" s="132">
        <v>3</v>
      </c>
      <c r="B116" s="133" t="s">
        <v>134</v>
      </c>
      <c r="C116" s="293" t="s">
        <v>164</v>
      </c>
      <c r="D116" s="261"/>
      <c r="E116" s="300">
        <v>5</v>
      </c>
      <c r="F116" s="134" t="s">
        <v>150</v>
      </c>
      <c r="G116" s="276"/>
      <c r="H116" s="276"/>
      <c r="I116" s="276"/>
      <c r="J116" s="276"/>
      <c r="K116" s="278"/>
      <c r="L116" s="278"/>
      <c r="M116" s="260"/>
      <c r="N116" s="262"/>
      <c r="O116" s="270"/>
      <c r="P116" s="269"/>
      <c r="Q116" s="318"/>
      <c r="R116" s="24"/>
      <c r="S116" s="25"/>
      <c r="T116" s="25"/>
      <c r="U116" s="64"/>
    </row>
    <row r="117" spans="1:21" s="65" customFormat="1" ht="21.9" customHeight="1">
      <c r="A117" s="132">
        <v>4</v>
      </c>
      <c r="B117" s="133" t="s">
        <v>134</v>
      </c>
      <c r="C117" s="293" t="s">
        <v>165</v>
      </c>
      <c r="D117" s="261"/>
      <c r="E117" s="300">
        <v>5</v>
      </c>
      <c r="F117" s="134" t="s">
        <v>150</v>
      </c>
      <c r="G117" s="276"/>
      <c r="H117" s="276"/>
      <c r="I117" s="276"/>
      <c r="J117" s="276"/>
      <c r="K117" s="278"/>
      <c r="L117" s="278"/>
      <c r="M117" s="260"/>
      <c r="N117" s="262"/>
      <c r="O117" s="270"/>
      <c r="P117" s="269"/>
      <c r="Q117" s="318"/>
      <c r="R117" s="24"/>
      <c r="S117" s="25"/>
      <c r="T117" s="25"/>
      <c r="U117" s="64"/>
    </row>
    <row r="118" spans="1:21" s="65" customFormat="1" ht="21.9" customHeight="1">
      <c r="A118" s="132">
        <v>5</v>
      </c>
      <c r="B118" s="133" t="s">
        <v>134</v>
      </c>
      <c r="C118" s="293" t="s">
        <v>166</v>
      </c>
      <c r="D118" s="261"/>
      <c r="E118" s="300">
        <v>9</v>
      </c>
      <c r="F118" s="134" t="s">
        <v>150</v>
      </c>
      <c r="G118" s="276"/>
      <c r="H118" s="276"/>
      <c r="I118" s="276"/>
      <c r="J118" s="276"/>
      <c r="K118" s="278"/>
      <c r="L118" s="278"/>
      <c r="M118" s="260"/>
      <c r="N118" s="262"/>
      <c r="O118" s="270"/>
      <c r="P118" s="269"/>
      <c r="Q118" s="318"/>
      <c r="R118" s="24"/>
      <c r="S118" s="25"/>
      <c r="T118" s="25"/>
      <c r="U118" s="64"/>
    </row>
    <row r="119" spans="1:21" s="65" customFormat="1" ht="21.9" customHeight="1">
      <c r="A119" s="132">
        <v>6</v>
      </c>
      <c r="B119" s="133" t="s">
        <v>134</v>
      </c>
      <c r="C119" s="293" t="s">
        <v>167</v>
      </c>
      <c r="D119" s="261"/>
      <c r="E119" s="300">
        <v>9</v>
      </c>
      <c r="F119" s="134" t="s">
        <v>150</v>
      </c>
      <c r="G119" s="276"/>
      <c r="H119" s="276"/>
      <c r="I119" s="276"/>
      <c r="J119" s="276"/>
      <c r="K119" s="278"/>
      <c r="L119" s="278"/>
      <c r="M119" s="260"/>
      <c r="N119" s="262"/>
      <c r="O119" s="270"/>
      <c r="P119" s="269"/>
      <c r="Q119" s="318"/>
      <c r="R119" s="24"/>
      <c r="S119" s="25"/>
      <c r="T119" s="25"/>
      <c r="U119" s="64"/>
    </row>
    <row r="120" spans="1:21" s="65" customFormat="1" ht="21.9" customHeight="1">
      <c r="A120" s="132">
        <v>7</v>
      </c>
      <c r="B120" s="133" t="s">
        <v>134</v>
      </c>
      <c r="C120" s="293" t="s">
        <v>168</v>
      </c>
      <c r="D120" s="261"/>
      <c r="E120" s="300">
        <v>5</v>
      </c>
      <c r="F120" s="134" t="s">
        <v>150</v>
      </c>
      <c r="G120" s="276"/>
      <c r="H120" s="276"/>
      <c r="I120" s="276"/>
      <c r="J120" s="276"/>
      <c r="K120" s="278"/>
      <c r="L120" s="278"/>
      <c r="M120" s="260"/>
      <c r="N120" s="262"/>
      <c r="O120" s="270"/>
      <c r="P120" s="269"/>
      <c r="Q120" s="318"/>
      <c r="R120" s="24"/>
      <c r="S120" s="25"/>
      <c r="T120" s="25"/>
      <c r="U120" s="64"/>
    </row>
    <row r="121" spans="1:21" s="65" customFormat="1" ht="21.9" customHeight="1">
      <c r="A121" s="132">
        <v>8</v>
      </c>
      <c r="B121" s="133" t="s">
        <v>134</v>
      </c>
      <c r="C121" s="293" t="s">
        <v>169</v>
      </c>
      <c r="D121" s="261"/>
      <c r="E121" s="300">
        <v>25</v>
      </c>
      <c r="F121" s="134" t="s">
        <v>150</v>
      </c>
      <c r="G121" s="276"/>
      <c r="H121" s="276"/>
      <c r="I121" s="276"/>
      <c r="J121" s="276"/>
      <c r="K121" s="278"/>
      <c r="L121" s="278"/>
      <c r="M121" s="260"/>
      <c r="N121" s="262"/>
      <c r="O121" s="270"/>
      <c r="P121" s="269"/>
      <c r="Q121" s="318"/>
      <c r="R121" s="24"/>
      <c r="S121" s="25"/>
      <c r="T121" s="25"/>
      <c r="U121" s="64"/>
    </row>
    <row r="122" spans="1:21" s="65" customFormat="1" ht="21.9" customHeight="1">
      <c r="A122" s="132">
        <v>9</v>
      </c>
      <c r="B122" s="133" t="s">
        <v>134</v>
      </c>
      <c r="C122" s="293" t="s">
        <v>170</v>
      </c>
      <c r="D122" s="261"/>
      <c r="E122" s="300">
        <v>25</v>
      </c>
      <c r="F122" s="134" t="s">
        <v>150</v>
      </c>
      <c r="G122" s="276"/>
      <c r="H122" s="276"/>
      <c r="I122" s="276"/>
      <c r="J122" s="276"/>
      <c r="K122" s="278"/>
      <c r="L122" s="278"/>
      <c r="M122" s="260"/>
      <c r="N122" s="262"/>
      <c r="O122" s="270"/>
      <c r="P122" s="269"/>
      <c r="Q122" s="318"/>
      <c r="R122" s="24"/>
      <c r="S122" s="25"/>
      <c r="T122" s="25"/>
      <c r="U122" s="64"/>
    </row>
    <row r="123" spans="1:21" s="65" customFormat="1" ht="21.9" customHeight="1">
      <c r="A123" s="132">
        <v>10</v>
      </c>
      <c r="B123" s="133" t="s">
        <v>134</v>
      </c>
      <c r="C123" s="293" t="s">
        <v>171</v>
      </c>
      <c r="D123" s="261"/>
      <c r="E123" s="300">
        <v>25</v>
      </c>
      <c r="F123" s="134" t="s">
        <v>150</v>
      </c>
      <c r="G123" s="276"/>
      <c r="H123" s="276"/>
      <c r="I123" s="276"/>
      <c r="J123" s="276"/>
      <c r="K123" s="278"/>
      <c r="L123" s="278"/>
      <c r="M123" s="260"/>
      <c r="N123" s="262"/>
      <c r="O123" s="270"/>
      <c r="P123" s="269"/>
      <c r="Q123" s="318"/>
      <c r="R123" s="24"/>
      <c r="S123" s="25"/>
      <c r="T123" s="25"/>
      <c r="U123" s="64"/>
    </row>
    <row r="124" spans="1:21" s="65" customFormat="1" ht="21.9" customHeight="1">
      <c r="A124" s="132">
        <v>11</v>
      </c>
      <c r="B124" s="133" t="s">
        <v>134</v>
      </c>
      <c r="C124" s="293" t="s">
        <v>172</v>
      </c>
      <c r="D124" s="261"/>
      <c r="E124" s="300">
        <v>25</v>
      </c>
      <c r="F124" s="134" t="s">
        <v>150</v>
      </c>
      <c r="G124" s="261"/>
      <c r="H124" s="261"/>
      <c r="I124" s="261"/>
      <c r="J124" s="261"/>
      <c r="K124" s="261"/>
      <c r="L124" s="261"/>
      <c r="M124" s="260"/>
      <c r="N124" s="262"/>
      <c r="O124" s="270"/>
      <c r="P124" s="269"/>
      <c r="Q124" s="318"/>
      <c r="R124" s="24"/>
      <c r="S124" s="25"/>
      <c r="T124" s="25"/>
      <c r="U124" s="64"/>
    </row>
    <row r="125" spans="1:21" s="65" customFormat="1" ht="21.9" customHeight="1">
      <c r="A125" s="251"/>
      <c r="B125" s="252"/>
      <c r="C125" s="292"/>
      <c r="D125" s="314"/>
      <c r="E125" s="301"/>
      <c r="F125" s="264"/>
      <c r="G125" s="277">
        <v>230</v>
      </c>
      <c r="H125" s="277">
        <v>230</v>
      </c>
      <c r="I125" s="277">
        <v>195</v>
      </c>
      <c r="J125" s="277">
        <f>ROUND(I125*H125*G125/1000000,3)</f>
        <v>10.316000000000001</v>
      </c>
      <c r="K125" s="277">
        <v>433</v>
      </c>
      <c r="L125" s="274">
        <v>743</v>
      </c>
      <c r="M125" s="273"/>
      <c r="N125" s="282"/>
      <c r="O125" s="283"/>
      <c r="P125" s="282"/>
      <c r="Q125" s="321"/>
      <c r="R125" s="24"/>
      <c r="S125" s="25"/>
      <c r="T125" s="25"/>
      <c r="U125" s="64"/>
    </row>
    <row r="126" spans="1:21" s="65" customFormat="1" ht="21.9" customHeight="1">
      <c r="A126" s="132">
        <v>1</v>
      </c>
      <c r="B126" s="133" t="s">
        <v>173</v>
      </c>
      <c r="C126" s="216" t="s">
        <v>174</v>
      </c>
      <c r="D126" s="261"/>
      <c r="E126" s="300">
        <v>1</v>
      </c>
      <c r="F126" s="134" t="s">
        <v>150</v>
      </c>
      <c r="G126" s="276"/>
      <c r="H126" s="261"/>
      <c r="I126" s="261"/>
      <c r="J126" s="261"/>
      <c r="K126" s="261"/>
      <c r="L126" s="261"/>
      <c r="M126" s="261"/>
      <c r="N126" s="262"/>
      <c r="O126" s="270"/>
      <c r="P126" s="269"/>
      <c r="Q126" s="318"/>
      <c r="R126" s="24"/>
      <c r="S126" s="25"/>
      <c r="T126" s="25"/>
      <c r="U126" s="64"/>
    </row>
    <row r="127" spans="1:21" s="65" customFormat="1" ht="21.9" customHeight="1">
      <c r="A127" s="132">
        <v>2</v>
      </c>
      <c r="B127" s="133" t="s">
        <v>173</v>
      </c>
      <c r="C127" s="216" t="s">
        <v>174</v>
      </c>
      <c r="D127" s="261"/>
      <c r="E127" s="300">
        <v>1</v>
      </c>
      <c r="F127" s="134" t="s">
        <v>150</v>
      </c>
      <c r="G127" s="276"/>
      <c r="H127" s="276"/>
      <c r="I127" s="276"/>
      <c r="J127" s="276"/>
      <c r="K127" s="278"/>
      <c r="L127" s="278"/>
      <c r="M127" s="260"/>
      <c r="N127" s="262"/>
      <c r="O127" s="270"/>
      <c r="P127" s="269"/>
      <c r="Q127" s="318"/>
      <c r="R127" s="24"/>
      <c r="S127" s="25"/>
      <c r="T127" s="25"/>
      <c r="U127" s="64"/>
    </row>
    <row r="128" spans="1:21" s="65" customFormat="1" ht="21.9" customHeight="1">
      <c r="A128" s="132">
        <v>3</v>
      </c>
      <c r="B128" s="133" t="s">
        <v>173</v>
      </c>
      <c r="C128" s="216" t="s">
        <v>174</v>
      </c>
      <c r="D128" s="261"/>
      <c r="E128" s="300">
        <v>1</v>
      </c>
      <c r="F128" s="134" t="s">
        <v>150</v>
      </c>
      <c r="G128" s="276"/>
      <c r="H128" s="276"/>
      <c r="I128" s="276"/>
      <c r="J128" s="276"/>
      <c r="K128" s="278"/>
      <c r="L128" s="278"/>
      <c r="M128" s="260"/>
      <c r="N128" s="262"/>
      <c r="O128" s="270"/>
      <c r="P128" s="269"/>
      <c r="Q128" s="318"/>
      <c r="R128" s="24"/>
      <c r="S128" s="25"/>
      <c r="T128" s="25"/>
      <c r="U128" s="64"/>
    </row>
    <row r="129" spans="1:22" s="65" customFormat="1" ht="21.9" customHeight="1">
      <c r="A129" s="132">
        <v>4</v>
      </c>
      <c r="B129" s="133" t="s">
        <v>173</v>
      </c>
      <c r="C129" s="216" t="s">
        <v>174</v>
      </c>
      <c r="D129" s="261"/>
      <c r="E129" s="300">
        <v>1</v>
      </c>
      <c r="F129" s="134" t="s">
        <v>150</v>
      </c>
      <c r="G129" s="276"/>
      <c r="H129" s="276"/>
      <c r="I129" s="276"/>
      <c r="J129" s="276"/>
      <c r="K129" s="278"/>
      <c r="L129" s="278"/>
      <c r="M129" s="260"/>
      <c r="N129" s="262"/>
      <c r="O129" s="270"/>
      <c r="P129" s="269"/>
      <c r="Q129" s="318"/>
      <c r="R129" s="24"/>
      <c r="S129" s="25"/>
      <c r="T129" s="25"/>
      <c r="U129" s="64"/>
    </row>
    <row r="130" spans="1:22" s="65" customFormat="1" ht="21.9" customHeight="1">
      <c r="A130" s="132">
        <v>5</v>
      </c>
      <c r="B130" s="133" t="s">
        <v>173</v>
      </c>
      <c r="C130" s="216" t="s">
        <v>174</v>
      </c>
      <c r="D130" s="261"/>
      <c r="E130" s="300">
        <v>1</v>
      </c>
      <c r="F130" s="134" t="s">
        <v>150</v>
      </c>
      <c r="G130" s="276"/>
      <c r="H130" s="276"/>
      <c r="I130" s="276"/>
      <c r="J130" s="276"/>
      <c r="K130" s="278"/>
      <c r="L130" s="278"/>
      <c r="M130" s="260"/>
      <c r="N130" s="262"/>
      <c r="O130" s="270"/>
      <c r="P130" s="269"/>
      <c r="Q130" s="318"/>
      <c r="R130" s="24"/>
      <c r="S130" s="25"/>
      <c r="T130" s="25"/>
      <c r="U130" s="64"/>
    </row>
    <row r="131" spans="1:22" s="65" customFormat="1" ht="21.9" customHeight="1">
      <c r="A131" s="132">
        <v>6</v>
      </c>
      <c r="B131" s="133" t="s">
        <v>173</v>
      </c>
      <c r="C131" s="216" t="s">
        <v>174</v>
      </c>
      <c r="D131" s="261"/>
      <c r="E131" s="300">
        <v>1</v>
      </c>
      <c r="F131" s="134" t="s">
        <v>150</v>
      </c>
      <c r="G131" s="276"/>
      <c r="H131" s="276"/>
      <c r="I131" s="276"/>
      <c r="J131" s="276"/>
      <c r="K131" s="278"/>
      <c r="L131" s="278"/>
      <c r="M131" s="260"/>
      <c r="N131" s="262"/>
      <c r="O131" s="270"/>
      <c r="P131" s="269"/>
      <c r="Q131" s="318"/>
      <c r="R131" s="24"/>
      <c r="S131" s="25"/>
      <c r="T131" s="25"/>
      <c r="U131" s="64"/>
    </row>
    <row r="132" spans="1:22" ht="21.9" customHeight="1">
      <c r="A132" s="132">
        <v>7</v>
      </c>
      <c r="B132" s="133" t="s">
        <v>173</v>
      </c>
      <c r="C132" s="216" t="s">
        <v>174</v>
      </c>
      <c r="D132" s="285"/>
      <c r="E132" s="300">
        <v>1</v>
      </c>
      <c r="F132" s="134" t="s">
        <v>150</v>
      </c>
      <c r="G132" s="276"/>
      <c r="H132" s="276"/>
      <c r="I132" s="276"/>
      <c r="J132" s="276"/>
      <c r="K132" s="278"/>
      <c r="L132" s="278"/>
      <c r="M132" s="260"/>
      <c r="N132" s="262"/>
      <c r="O132" s="270"/>
      <c r="P132" s="269"/>
      <c r="Q132" s="318"/>
    </row>
    <row r="133" spans="1:22" ht="21.9" customHeight="1">
      <c r="A133" s="132">
        <v>8</v>
      </c>
      <c r="B133" s="133" t="s">
        <v>173</v>
      </c>
      <c r="C133" s="216" t="s">
        <v>174</v>
      </c>
      <c r="D133" s="285"/>
      <c r="E133" s="300">
        <v>1</v>
      </c>
      <c r="F133" s="134" t="s">
        <v>150</v>
      </c>
      <c r="G133" s="276"/>
      <c r="H133" s="276"/>
      <c r="I133" s="276"/>
      <c r="J133" s="276"/>
      <c r="K133" s="278"/>
      <c r="L133" s="278"/>
      <c r="M133" s="260"/>
      <c r="N133" s="262"/>
      <c r="O133" s="270"/>
      <c r="P133" s="269"/>
      <c r="Q133" s="318"/>
    </row>
    <row r="134" spans="1:22" ht="21.9" customHeight="1">
      <c r="A134" s="251"/>
      <c r="B134" s="281"/>
      <c r="C134" s="292"/>
      <c r="D134" s="314"/>
      <c r="E134" s="301"/>
      <c r="F134" s="264"/>
      <c r="G134" s="277">
        <v>150</v>
      </c>
      <c r="H134" s="277">
        <v>150</v>
      </c>
      <c r="I134" s="277">
        <v>125</v>
      </c>
      <c r="J134" s="277">
        <f>ROUND(I134*H134*G134/1000000,3)</f>
        <v>2.8130000000000002</v>
      </c>
      <c r="K134" s="277">
        <v>368</v>
      </c>
      <c r="L134" s="274">
        <v>458</v>
      </c>
      <c r="M134" s="273"/>
      <c r="N134" s="282"/>
      <c r="O134" s="283"/>
      <c r="P134" s="282"/>
      <c r="Q134" s="321"/>
    </row>
    <row r="135" spans="1:22" s="28" customFormat="1" ht="27.9" customHeight="1" thickBot="1">
      <c r="A135" s="472" t="s">
        <v>175</v>
      </c>
      <c r="B135" s="473"/>
      <c r="C135" s="473"/>
      <c r="D135" s="473"/>
      <c r="E135" s="323"/>
      <c r="F135" s="324"/>
      <c r="G135" s="325"/>
      <c r="H135" s="325"/>
      <c r="I135" s="325"/>
      <c r="J135" s="326">
        <f>J18+J23+J25+J30+J35+J40+J45+J50+J55+J60+J65+J70+J77+J94+J111+J113+J125+J134</f>
        <v>148.91699999999997</v>
      </c>
      <c r="K135" s="326">
        <f t="shared" ref="K135:L135" si="0">K18+K23+K25+K30+K35+K40+K45+K50+K55+K60+K65+K70+K77+K94+K111+K113+K125+K134</f>
        <v>5951</v>
      </c>
      <c r="L135" s="326">
        <f t="shared" si="0"/>
        <v>10451</v>
      </c>
      <c r="M135" s="327"/>
      <c r="N135" s="327"/>
      <c r="O135" s="328"/>
      <c r="P135" s="329"/>
      <c r="Q135" s="330"/>
      <c r="R135" s="26"/>
      <c r="S135" s="26"/>
      <c r="T135" s="26"/>
      <c r="U135" s="27"/>
      <c r="V135" s="27"/>
    </row>
    <row r="136" spans="1:22" s="8" customFormat="1" ht="22.5" customHeight="1">
      <c r="A136" s="5"/>
      <c r="B136" s="5"/>
      <c r="C136" s="7"/>
      <c r="D136" s="7"/>
      <c r="E136" s="307"/>
      <c r="F136" s="233"/>
      <c r="G136" s="49"/>
      <c r="H136" s="47"/>
      <c r="I136" s="47"/>
      <c r="J136" s="49"/>
      <c r="K136" s="49"/>
      <c r="L136" s="224"/>
      <c r="M136" s="246"/>
      <c r="N136" s="30"/>
      <c r="O136" s="32"/>
      <c r="P136" s="17"/>
      <c r="Q136" s="17"/>
      <c r="R136" s="6"/>
      <c r="S136" s="6"/>
      <c r="T136" s="10"/>
      <c r="U136" s="10"/>
    </row>
    <row r="137" spans="1:22" s="8" customFormat="1" ht="12" customHeight="1">
      <c r="A137" s="5"/>
      <c r="B137" s="5"/>
      <c r="C137" s="7"/>
      <c r="D137" s="7"/>
      <c r="E137" s="308"/>
      <c r="F137" s="233"/>
      <c r="G137" s="49"/>
      <c r="H137" s="47"/>
      <c r="I137" s="47"/>
      <c r="J137" s="49"/>
      <c r="K137" s="49"/>
      <c r="L137" s="224"/>
      <c r="M137" s="246"/>
      <c r="N137" s="30"/>
      <c r="O137" s="32"/>
      <c r="P137" s="17"/>
      <c r="Q137" s="17"/>
      <c r="R137" s="6"/>
      <c r="S137" s="6"/>
      <c r="T137" s="10"/>
      <c r="U137" s="10"/>
    </row>
    <row r="138" spans="1:22" s="8" customFormat="1" ht="12" customHeight="1">
      <c r="A138" s="5"/>
      <c r="B138" s="5"/>
      <c r="C138" s="7"/>
      <c r="D138" s="7"/>
      <c r="E138" s="308"/>
      <c r="F138" s="233"/>
      <c r="G138" s="49"/>
      <c r="H138" s="47"/>
      <c r="I138" s="47"/>
      <c r="J138" s="49"/>
      <c r="K138" s="49"/>
      <c r="L138" s="224"/>
      <c r="M138" s="246"/>
      <c r="N138" s="30"/>
      <c r="O138" s="32"/>
      <c r="P138" s="17"/>
      <c r="Q138" s="17"/>
      <c r="R138" s="6"/>
      <c r="S138" s="6"/>
      <c r="T138" s="10"/>
      <c r="U138" s="10"/>
    </row>
    <row r="139" spans="1:22" s="8" customFormat="1" ht="12" customHeight="1">
      <c r="A139" s="5"/>
      <c r="B139" s="5"/>
      <c r="C139" s="7"/>
      <c r="D139" s="7"/>
      <c r="E139" s="308"/>
      <c r="F139" s="233"/>
      <c r="G139" s="49"/>
      <c r="H139" s="47"/>
      <c r="I139" s="47"/>
      <c r="J139" s="49"/>
      <c r="K139" s="49"/>
      <c r="L139" s="224"/>
      <c r="M139" s="246"/>
      <c r="N139" s="30"/>
      <c r="O139" s="32"/>
      <c r="P139" s="17"/>
      <c r="Q139" s="17"/>
      <c r="R139" s="6"/>
      <c r="S139" s="6"/>
      <c r="T139" s="10"/>
      <c r="U139" s="10"/>
    </row>
    <row r="140" spans="1:22" s="8" customFormat="1" ht="12" customHeight="1">
      <c r="A140" s="5"/>
      <c r="B140" s="5"/>
      <c r="C140" s="7"/>
      <c r="D140" s="7"/>
      <c r="E140" s="308"/>
      <c r="F140" s="234"/>
      <c r="G140" s="296"/>
      <c r="H140" s="47"/>
      <c r="I140" s="47"/>
      <c r="J140" s="49"/>
      <c r="K140" s="49"/>
      <c r="L140" s="224"/>
      <c r="M140" s="246"/>
      <c r="N140" s="30"/>
      <c r="O140" s="32"/>
      <c r="P140" s="17"/>
      <c r="Q140" s="17"/>
      <c r="R140" s="6"/>
      <c r="S140" s="6"/>
      <c r="T140" s="10"/>
      <c r="U140" s="10"/>
    </row>
    <row r="141" spans="1:22" s="37" customFormat="1" ht="29.25" customHeight="1">
      <c r="A141" s="5"/>
      <c r="B141" s="5"/>
      <c r="C141" s="7"/>
      <c r="D141" s="7"/>
      <c r="E141" s="308"/>
      <c r="F141" s="234"/>
      <c r="G141" s="296"/>
      <c r="H141" s="47"/>
      <c r="I141" s="47"/>
      <c r="J141" s="49"/>
      <c r="K141" s="49"/>
      <c r="L141" s="224"/>
      <c r="M141" s="246"/>
      <c r="N141" s="30"/>
      <c r="O141" s="32"/>
      <c r="P141" s="17"/>
      <c r="Q141" s="17"/>
      <c r="R141" s="6"/>
      <c r="S141" s="6"/>
      <c r="T141" s="36"/>
      <c r="U141" s="36"/>
    </row>
    <row r="142" spans="1:22" s="37" customFormat="1" ht="29.25" customHeight="1">
      <c r="A142" s="5"/>
      <c r="B142" s="5"/>
      <c r="C142" s="7"/>
      <c r="D142" s="7"/>
      <c r="E142" s="308"/>
      <c r="F142" s="234"/>
      <c r="G142" s="296"/>
      <c r="H142" s="47"/>
      <c r="I142" s="47"/>
      <c r="J142" s="49"/>
      <c r="K142" s="49"/>
      <c r="L142" s="224"/>
      <c r="M142" s="246"/>
      <c r="N142" s="30"/>
      <c r="O142" s="32"/>
      <c r="P142" s="17"/>
      <c r="Q142" s="17"/>
      <c r="R142" s="6"/>
      <c r="S142" s="6"/>
      <c r="T142" s="36"/>
      <c r="U142" s="36"/>
    </row>
    <row r="143" spans="1:22" s="8" customFormat="1" ht="12" customHeight="1">
      <c r="A143" s="9"/>
      <c r="B143" s="5"/>
      <c r="C143" s="9"/>
      <c r="D143" s="9"/>
      <c r="E143" s="308"/>
      <c r="F143" s="234"/>
      <c r="G143" s="296"/>
      <c r="H143" s="48"/>
      <c r="I143" s="48"/>
      <c r="J143" s="69"/>
      <c r="K143" s="69"/>
      <c r="L143" s="225"/>
      <c r="M143" s="247"/>
      <c r="N143" s="35"/>
      <c r="O143" s="17"/>
      <c r="P143" s="17"/>
      <c r="Q143" s="17"/>
      <c r="R143" s="6"/>
      <c r="S143" s="6"/>
      <c r="T143" s="10"/>
      <c r="U143" s="10"/>
    </row>
    <row r="144" spans="1:22" s="8" customFormat="1" ht="18" customHeight="1">
      <c r="A144" s="9"/>
      <c r="B144" s="5"/>
      <c r="C144" s="9"/>
      <c r="D144" s="9"/>
      <c r="E144" s="308"/>
      <c r="F144" s="234"/>
      <c r="G144" s="296"/>
      <c r="H144" s="48"/>
      <c r="I144" s="48"/>
      <c r="J144" s="69"/>
      <c r="K144" s="69"/>
      <c r="L144" s="225"/>
      <c r="M144" s="247"/>
      <c r="N144" s="35"/>
      <c r="O144" s="17"/>
      <c r="P144" s="17"/>
      <c r="Q144" s="17"/>
      <c r="R144" s="6"/>
      <c r="S144" s="6"/>
      <c r="T144" s="10"/>
      <c r="U144" s="10"/>
    </row>
    <row r="145" spans="1:21" s="8" customFormat="1" ht="12" customHeight="1">
      <c r="A145" s="5"/>
      <c r="B145" s="5"/>
      <c r="C145" s="7"/>
      <c r="D145" s="7"/>
      <c r="E145" s="308"/>
      <c r="F145" s="234"/>
      <c r="G145" s="49"/>
      <c r="H145" s="47"/>
      <c r="I145" s="47"/>
      <c r="J145" s="49"/>
      <c r="K145" s="49"/>
      <c r="L145" s="224"/>
      <c r="M145" s="246"/>
      <c r="N145" s="30"/>
      <c r="O145" s="32"/>
      <c r="P145" s="17"/>
      <c r="Q145" s="17"/>
      <c r="R145" s="6"/>
      <c r="S145" s="6"/>
      <c r="T145" s="10"/>
      <c r="U145" s="10"/>
    </row>
    <row r="146" spans="1:21" s="8" customFormat="1" ht="12" customHeight="1">
      <c r="A146" s="5"/>
      <c r="B146" s="5"/>
      <c r="C146" s="7"/>
      <c r="D146" s="7"/>
      <c r="E146" s="309"/>
      <c r="F146" s="234"/>
      <c r="G146" s="49"/>
      <c r="H146" s="47"/>
      <c r="I146" s="47"/>
      <c r="J146" s="49"/>
      <c r="K146" s="49"/>
      <c r="L146" s="224"/>
      <c r="M146" s="246"/>
      <c r="N146" s="30"/>
      <c r="O146" s="32"/>
      <c r="P146" s="17"/>
      <c r="Q146" s="17"/>
      <c r="R146" s="6"/>
      <c r="S146" s="6"/>
      <c r="T146" s="10"/>
      <c r="U146" s="10"/>
    </row>
    <row r="147" spans="1:21" s="8" customFormat="1" ht="12" customHeight="1">
      <c r="A147" s="5"/>
      <c r="B147" s="5"/>
      <c r="C147" s="7"/>
      <c r="D147" s="7"/>
      <c r="E147" s="309"/>
      <c r="F147" s="234"/>
      <c r="G147" s="49"/>
      <c r="H147" s="47"/>
      <c r="I147" s="47"/>
      <c r="J147" s="49"/>
      <c r="K147" s="49"/>
      <c r="L147" s="224"/>
      <c r="M147" s="246"/>
      <c r="N147" s="30"/>
      <c r="O147" s="32"/>
      <c r="P147" s="17"/>
      <c r="Q147" s="17"/>
      <c r="R147" s="6"/>
      <c r="S147" s="6"/>
      <c r="T147" s="10"/>
      <c r="U147" s="10"/>
    </row>
    <row r="148" spans="1:21" s="8" customFormat="1" ht="12" customHeight="1">
      <c r="A148" s="5"/>
      <c r="B148" s="5"/>
      <c r="C148" s="7"/>
      <c r="D148" s="7"/>
      <c r="E148" s="309"/>
      <c r="F148" s="234"/>
      <c r="G148" s="49"/>
      <c r="H148" s="47"/>
      <c r="I148" s="47"/>
      <c r="J148" s="49"/>
      <c r="K148" s="49"/>
      <c r="L148" s="224"/>
      <c r="M148" s="246"/>
      <c r="N148" s="30"/>
      <c r="O148" s="32"/>
      <c r="P148" s="17"/>
      <c r="Q148" s="17"/>
      <c r="R148" s="6"/>
      <c r="S148" s="6"/>
      <c r="T148" s="10"/>
      <c r="U148" s="10"/>
    </row>
    <row r="149" spans="1:21" s="8" customFormat="1" ht="12" customHeight="1">
      <c r="A149" s="5"/>
      <c r="B149" s="5"/>
      <c r="C149" s="7"/>
      <c r="D149" s="7"/>
      <c r="E149" s="309"/>
      <c r="F149" s="234"/>
      <c r="G149" s="49"/>
      <c r="H149" s="47"/>
      <c r="I149" s="47"/>
      <c r="J149" s="49"/>
      <c r="K149" s="49"/>
      <c r="L149" s="224"/>
      <c r="M149" s="246"/>
      <c r="N149" s="30"/>
      <c r="O149" s="32"/>
      <c r="P149" s="17"/>
      <c r="Q149" s="17"/>
      <c r="R149" s="6"/>
      <c r="S149" s="6"/>
      <c r="T149" s="10"/>
      <c r="U149" s="10"/>
    </row>
    <row r="150" spans="1:21" s="8" customFormat="1" ht="13.5" customHeight="1">
      <c r="A150" s="5"/>
      <c r="B150" s="5"/>
      <c r="C150" s="7"/>
      <c r="D150" s="7"/>
      <c r="E150" s="309"/>
      <c r="F150" s="234"/>
      <c r="G150" s="49"/>
      <c r="H150" s="47"/>
      <c r="I150" s="47"/>
      <c r="J150" s="49"/>
      <c r="K150" s="49"/>
      <c r="L150" s="224"/>
      <c r="M150" s="246"/>
      <c r="N150" s="30"/>
      <c r="O150" s="32"/>
      <c r="P150" s="17"/>
      <c r="Q150" s="17"/>
      <c r="R150" s="6"/>
      <c r="S150" s="6"/>
      <c r="T150" s="10"/>
      <c r="U150" s="10"/>
    </row>
    <row r="151" spans="1:21" s="8" customFormat="1" ht="13.5" customHeight="1">
      <c r="A151" s="5"/>
      <c r="B151" s="5"/>
      <c r="C151" s="7"/>
      <c r="D151" s="7"/>
      <c r="E151" s="309"/>
      <c r="F151" s="234"/>
      <c r="G151" s="49"/>
      <c r="H151" s="47"/>
      <c r="I151" s="47"/>
      <c r="J151" s="49"/>
      <c r="K151" s="49"/>
      <c r="L151" s="224"/>
      <c r="M151" s="246"/>
      <c r="N151" s="30"/>
      <c r="O151" s="32"/>
      <c r="P151" s="17"/>
      <c r="Q151" s="17"/>
      <c r="R151" s="6"/>
      <c r="S151" s="6"/>
      <c r="T151" s="10"/>
      <c r="U151" s="10"/>
    </row>
    <row r="152" spans="1:21" s="8" customFormat="1" ht="13.5" customHeight="1">
      <c r="A152" s="5"/>
      <c r="B152" s="5"/>
      <c r="C152" s="7"/>
      <c r="D152" s="7"/>
      <c r="E152" s="309"/>
      <c r="F152" s="234"/>
      <c r="G152" s="49"/>
      <c r="H152" s="47"/>
      <c r="I152" s="47"/>
      <c r="J152" s="49"/>
      <c r="K152" s="49"/>
      <c r="L152" s="224"/>
      <c r="M152" s="246"/>
      <c r="N152" s="30"/>
      <c r="O152" s="32"/>
      <c r="P152" s="17"/>
      <c r="Q152" s="17"/>
      <c r="R152" s="6"/>
      <c r="S152" s="6"/>
      <c r="T152" s="10"/>
      <c r="U152" s="10"/>
    </row>
    <row r="153" spans="1:21" s="8" customFormat="1" ht="29.25" customHeight="1">
      <c r="A153" s="5"/>
      <c r="B153" s="5"/>
      <c r="C153" s="7"/>
      <c r="D153" s="7"/>
      <c r="E153" s="309"/>
      <c r="F153" s="234"/>
      <c r="G153" s="49"/>
      <c r="H153" s="47"/>
      <c r="I153" s="47"/>
      <c r="J153" s="49"/>
      <c r="K153" s="49"/>
      <c r="L153" s="224"/>
      <c r="M153" s="246"/>
      <c r="N153" s="30"/>
      <c r="O153" s="32"/>
      <c r="P153" s="17"/>
      <c r="Q153" s="17"/>
      <c r="R153" s="6"/>
      <c r="S153" s="6"/>
      <c r="T153" s="10"/>
      <c r="U153" s="10"/>
    </row>
    <row r="154" spans="1:21" s="8" customFormat="1" ht="13.5" customHeight="1">
      <c r="A154" s="5"/>
      <c r="B154" s="5"/>
      <c r="C154" s="7"/>
      <c r="D154" s="7"/>
      <c r="E154" s="309"/>
      <c r="F154" s="234"/>
      <c r="G154" s="49"/>
      <c r="H154" s="47"/>
      <c r="I154" s="47"/>
      <c r="J154" s="49"/>
      <c r="K154" s="49"/>
      <c r="L154" s="224"/>
      <c r="M154" s="246"/>
      <c r="N154" s="30"/>
      <c r="O154" s="32"/>
      <c r="P154" s="17"/>
      <c r="Q154" s="17"/>
      <c r="R154" s="6"/>
      <c r="S154" s="6"/>
      <c r="T154" s="10"/>
      <c r="U154" s="10"/>
    </row>
    <row r="155" spans="1:21" s="8" customFormat="1" ht="13.5" customHeight="1">
      <c r="A155" s="5"/>
      <c r="B155" s="5"/>
      <c r="C155" s="7"/>
      <c r="D155" s="7"/>
      <c r="E155" s="309"/>
      <c r="F155" s="234"/>
      <c r="G155" s="49"/>
      <c r="H155" s="47"/>
      <c r="I155" s="47"/>
      <c r="J155" s="49"/>
      <c r="K155" s="49"/>
      <c r="L155" s="224"/>
      <c r="M155" s="246"/>
      <c r="N155" s="30"/>
      <c r="O155" s="32"/>
      <c r="P155" s="17"/>
      <c r="Q155" s="17"/>
      <c r="R155" s="6"/>
      <c r="S155" s="6"/>
      <c r="T155" s="10"/>
      <c r="U155" s="10"/>
    </row>
    <row r="156" spans="1:21" s="8" customFormat="1" ht="13.5" customHeight="1">
      <c r="A156" s="5"/>
      <c r="B156" s="5"/>
      <c r="C156" s="7"/>
      <c r="D156" s="7"/>
      <c r="E156" s="309"/>
      <c r="F156" s="234"/>
      <c r="G156" s="49"/>
      <c r="H156" s="47"/>
      <c r="I156" s="47"/>
      <c r="J156" s="49"/>
      <c r="K156" s="49"/>
      <c r="L156" s="224"/>
      <c r="M156" s="246"/>
      <c r="N156" s="30"/>
      <c r="O156" s="32"/>
      <c r="P156" s="17"/>
      <c r="Q156" s="17"/>
      <c r="R156" s="6"/>
      <c r="S156" s="6"/>
      <c r="T156" s="10"/>
      <c r="U156" s="10"/>
    </row>
    <row r="157" spans="1:21" s="8" customFormat="1" ht="13.5" customHeight="1">
      <c r="A157" s="5"/>
      <c r="B157" s="5"/>
      <c r="C157" s="7"/>
      <c r="D157" s="7"/>
      <c r="E157" s="309"/>
      <c r="F157" s="234"/>
      <c r="G157" s="49"/>
      <c r="H157" s="47"/>
      <c r="I157" s="47"/>
      <c r="J157" s="49"/>
      <c r="K157" s="49"/>
      <c r="L157" s="224"/>
      <c r="M157" s="246"/>
      <c r="N157" s="30"/>
      <c r="O157" s="32"/>
      <c r="P157" s="17"/>
      <c r="Q157" s="17"/>
      <c r="R157" s="6"/>
      <c r="S157" s="6"/>
      <c r="T157" s="10"/>
      <c r="U157" s="10"/>
    </row>
    <row r="158" spans="1:21" s="8" customFormat="1" ht="13.5" customHeight="1">
      <c r="A158" s="5"/>
      <c r="B158" s="5"/>
      <c r="C158" s="7"/>
      <c r="D158" s="7"/>
      <c r="E158" s="309"/>
      <c r="F158" s="234"/>
      <c r="G158" s="49"/>
      <c r="H158" s="47"/>
      <c r="I158" s="47"/>
      <c r="J158" s="49"/>
      <c r="K158" s="49"/>
      <c r="L158" s="224"/>
      <c r="M158" s="246"/>
      <c r="N158" s="30"/>
      <c r="O158" s="32"/>
      <c r="P158" s="17"/>
      <c r="Q158" s="17"/>
      <c r="R158" s="6"/>
      <c r="S158" s="6"/>
      <c r="T158" s="10"/>
      <c r="U158" s="10"/>
    </row>
    <row r="159" spans="1:21" s="8" customFormat="1" ht="13.5" customHeight="1">
      <c r="A159" s="5"/>
      <c r="B159" s="5"/>
      <c r="C159" s="7"/>
      <c r="D159" s="7"/>
      <c r="E159" s="309"/>
      <c r="F159" s="234"/>
      <c r="G159" s="49"/>
      <c r="H159" s="47"/>
      <c r="I159" s="47"/>
      <c r="J159" s="49"/>
      <c r="K159" s="49"/>
      <c r="L159" s="224"/>
      <c r="M159" s="246"/>
      <c r="N159" s="30"/>
      <c r="O159" s="32"/>
      <c r="P159" s="17"/>
      <c r="Q159" s="17"/>
      <c r="R159" s="6"/>
      <c r="S159" s="6"/>
      <c r="T159" s="10"/>
      <c r="U159" s="10"/>
    </row>
    <row r="160" spans="1:21" s="8" customFormat="1" ht="13.5" customHeight="1">
      <c r="A160" s="5"/>
      <c r="B160" s="5"/>
      <c r="C160" s="7"/>
      <c r="D160" s="7"/>
      <c r="E160" s="309"/>
      <c r="F160" s="234"/>
      <c r="G160" s="49"/>
      <c r="H160" s="47"/>
      <c r="I160" s="47"/>
      <c r="J160" s="49"/>
      <c r="K160" s="49"/>
      <c r="L160" s="224"/>
      <c r="M160" s="246"/>
      <c r="N160" s="30"/>
      <c r="O160" s="32"/>
      <c r="P160" s="17"/>
      <c r="Q160" s="17"/>
      <c r="R160" s="6"/>
      <c r="S160" s="6"/>
      <c r="T160" s="10"/>
      <c r="U160" s="10"/>
    </row>
    <row r="161" spans="1:21" s="8" customFormat="1" ht="13.5" customHeight="1">
      <c r="A161" s="5"/>
      <c r="B161" s="5"/>
      <c r="C161" s="7"/>
      <c r="D161" s="7"/>
      <c r="E161" s="309"/>
      <c r="F161" s="234"/>
      <c r="G161" s="49"/>
      <c r="H161" s="47"/>
      <c r="I161" s="47"/>
      <c r="J161" s="49"/>
      <c r="K161" s="49"/>
      <c r="L161" s="224"/>
      <c r="M161" s="246"/>
      <c r="N161" s="30"/>
      <c r="O161" s="32"/>
      <c r="P161" s="17"/>
      <c r="Q161" s="17"/>
      <c r="R161" s="6"/>
      <c r="S161" s="6"/>
      <c r="T161" s="10"/>
      <c r="U161" s="10"/>
    </row>
    <row r="162" spans="1:21" s="8" customFormat="1" ht="13.5" customHeight="1">
      <c r="A162" s="5"/>
      <c r="B162" s="5"/>
      <c r="C162" s="7"/>
      <c r="D162" s="7"/>
      <c r="E162" s="309"/>
      <c r="F162" s="234"/>
      <c r="G162" s="49"/>
      <c r="H162" s="47"/>
      <c r="I162" s="47"/>
      <c r="J162" s="49"/>
      <c r="K162" s="49"/>
      <c r="L162" s="224"/>
      <c r="M162" s="246"/>
      <c r="N162" s="30"/>
      <c r="O162" s="32"/>
      <c r="P162" s="17"/>
      <c r="Q162" s="17"/>
      <c r="R162" s="6"/>
      <c r="S162" s="6"/>
      <c r="T162" s="10"/>
      <c r="U162" s="10"/>
    </row>
    <row r="163" spans="1:21" s="8" customFormat="1" ht="13.5" customHeight="1">
      <c r="A163" s="5"/>
      <c r="B163" s="5"/>
      <c r="C163" s="7"/>
      <c r="D163" s="7"/>
      <c r="E163" s="309"/>
      <c r="F163" s="234"/>
      <c r="G163" s="49"/>
      <c r="H163" s="47"/>
      <c r="I163" s="47"/>
      <c r="J163" s="49"/>
      <c r="K163" s="49"/>
      <c r="L163" s="224"/>
      <c r="M163" s="246"/>
      <c r="N163" s="30"/>
      <c r="O163" s="32"/>
      <c r="P163" s="17"/>
      <c r="Q163" s="17"/>
      <c r="R163" s="6"/>
      <c r="S163" s="6"/>
      <c r="T163" s="10"/>
      <c r="U163" s="10"/>
    </row>
    <row r="164" spans="1:21" s="8" customFormat="1" ht="13.5" customHeight="1">
      <c r="A164" s="5"/>
      <c r="B164" s="5"/>
      <c r="C164" s="7"/>
      <c r="D164" s="7"/>
      <c r="E164" s="309"/>
      <c r="F164" s="234"/>
      <c r="G164" s="49"/>
      <c r="H164" s="47"/>
      <c r="I164" s="47"/>
      <c r="J164" s="49"/>
      <c r="K164" s="49"/>
      <c r="L164" s="224"/>
      <c r="M164" s="246"/>
      <c r="N164" s="30"/>
      <c r="O164" s="32"/>
      <c r="P164" s="17"/>
      <c r="Q164" s="17"/>
      <c r="R164" s="6"/>
      <c r="S164" s="6"/>
      <c r="T164" s="10"/>
      <c r="U164" s="10"/>
    </row>
    <row r="165" spans="1:21" s="8" customFormat="1" ht="13.5" customHeight="1">
      <c r="A165" s="5"/>
      <c r="B165" s="5"/>
      <c r="C165" s="7"/>
      <c r="D165" s="7"/>
      <c r="E165" s="309"/>
      <c r="F165" s="234"/>
      <c r="G165" s="49"/>
      <c r="H165" s="47"/>
      <c r="I165" s="47"/>
      <c r="J165" s="49"/>
      <c r="K165" s="49"/>
      <c r="L165" s="224"/>
      <c r="M165" s="246"/>
      <c r="N165" s="30"/>
      <c r="O165" s="32"/>
      <c r="P165" s="17"/>
      <c r="Q165" s="17"/>
      <c r="R165" s="6"/>
      <c r="S165" s="6"/>
      <c r="T165" s="10"/>
      <c r="U165" s="10"/>
    </row>
    <row r="166" spans="1:21" s="8" customFormat="1" ht="13.5" customHeight="1">
      <c r="A166" s="5"/>
      <c r="B166" s="5"/>
      <c r="C166" s="7"/>
      <c r="D166" s="7"/>
      <c r="E166" s="309"/>
      <c r="F166" s="234"/>
      <c r="G166" s="49"/>
      <c r="H166" s="47"/>
      <c r="I166" s="47"/>
      <c r="J166" s="49"/>
      <c r="K166" s="49"/>
      <c r="L166" s="224"/>
      <c r="M166" s="246"/>
      <c r="N166" s="30"/>
      <c r="O166" s="32"/>
      <c r="P166" s="17"/>
      <c r="Q166" s="17"/>
      <c r="R166" s="6"/>
      <c r="S166" s="6"/>
      <c r="T166" s="10"/>
      <c r="U166" s="10"/>
    </row>
    <row r="167" spans="1:21" s="8" customFormat="1" ht="13.5" customHeight="1">
      <c r="A167" s="5"/>
      <c r="B167" s="5"/>
      <c r="C167" s="7"/>
      <c r="D167" s="7"/>
      <c r="E167" s="309"/>
      <c r="F167" s="234"/>
      <c r="G167" s="49"/>
      <c r="H167" s="47"/>
      <c r="I167" s="47"/>
      <c r="J167" s="49"/>
      <c r="K167" s="49"/>
      <c r="L167" s="224"/>
      <c r="M167" s="246"/>
      <c r="N167" s="30"/>
      <c r="O167" s="32"/>
      <c r="P167" s="17"/>
      <c r="Q167" s="17"/>
      <c r="R167" s="6"/>
      <c r="S167" s="6"/>
      <c r="T167" s="10"/>
      <c r="U167" s="10"/>
    </row>
    <row r="168" spans="1:21" s="8" customFormat="1" ht="13.5" customHeight="1">
      <c r="A168" s="5"/>
      <c r="B168" s="5"/>
      <c r="C168" s="7"/>
      <c r="D168" s="7"/>
      <c r="E168" s="309"/>
      <c r="F168" s="234"/>
      <c r="G168" s="49"/>
      <c r="H168" s="47"/>
      <c r="I168" s="47"/>
      <c r="J168" s="49"/>
      <c r="K168" s="49"/>
      <c r="L168" s="224"/>
      <c r="M168" s="246"/>
      <c r="N168" s="30"/>
      <c r="O168" s="32"/>
      <c r="P168" s="17"/>
      <c r="Q168" s="17"/>
      <c r="R168" s="11"/>
      <c r="S168" s="11"/>
      <c r="T168" s="10"/>
      <c r="U168" s="10"/>
    </row>
    <row r="169" spans="1:21" s="8" customFormat="1" ht="13.5" customHeight="1">
      <c r="A169" s="5"/>
      <c r="B169" s="5"/>
      <c r="C169" s="7"/>
      <c r="D169" s="7"/>
      <c r="E169" s="309"/>
      <c r="F169" s="234"/>
      <c r="G169" s="49"/>
      <c r="H169" s="47"/>
      <c r="I169" s="47"/>
      <c r="J169" s="49"/>
      <c r="K169" s="49"/>
      <c r="L169" s="224"/>
      <c r="M169" s="246"/>
      <c r="N169" s="30"/>
      <c r="O169" s="32"/>
      <c r="P169" s="17"/>
      <c r="Q169" s="17"/>
      <c r="R169" s="11"/>
      <c r="S169" s="11"/>
      <c r="T169" s="10"/>
      <c r="U169" s="10"/>
    </row>
    <row r="170" spans="1:21" s="8" customFormat="1" ht="13.5" customHeight="1">
      <c r="A170" s="5"/>
      <c r="B170" s="5"/>
      <c r="C170" s="7"/>
      <c r="D170" s="7"/>
      <c r="E170" s="309"/>
      <c r="F170" s="234"/>
      <c r="G170" s="49"/>
      <c r="H170" s="47"/>
      <c r="I170" s="47"/>
      <c r="J170" s="49"/>
      <c r="K170" s="49"/>
      <c r="L170" s="224"/>
      <c r="M170" s="246"/>
      <c r="N170" s="30"/>
      <c r="O170" s="32"/>
      <c r="P170" s="17"/>
      <c r="Q170" s="17"/>
      <c r="R170" s="11"/>
      <c r="S170" s="11"/>
      <c r="T170" s="10"/>
      <c r="U170" s="10"/>
    </row>
    <row r="171" spans="1:21" s="8" customFormat="1" ht="13.5" customHeight="1">
      <c r="A171" s="5"/>
      <c r="B171" s="5"/>
      <c r="C171" s="7"/>
      <c r="D171" s="7"/>
      <c r="E171" s="309"/>
      <c r="F171" s="234"/>
      <c r="G171" s="49"/>
      <c r="H171" s="47"/>
      <c r="I171" s="47"/>
      <c r="J171" s="49"/>
      <c r="K171" s="49"/>
      <c r="L171" s="224"/>
      <c r="M171" s="246"/>
      <c r="N171" s="30"/>
      <c r="O171" s="32"/>
      <c r="P171" s="17"/>
      <c r="Q171" s="17"/>
      <c r="R171" s="11"/>
      <c r="S171" s="11"/>
      <c r="T171" s="10"/>
      <c r="U171" s="10"/>
    </row>
    <row r="172" spans="1:21" s="8" customFormat="1" ht="13.5" customHeight="1">
      <c r="A172" s="5"/>
      <c r="B172" s="5"/>
      <c r="C172" s="7"/>
      <c r="D172" s="7"/>
      <c r="E172" s="309"/>
      <c r="F172" s="234"/>
      <c r="G172" s="49"/>
      <c r="H172" s="47"/>
      <c r="I172" s="47"/>
      <c r="J172" s="49"/>
      <c r="K172" s="49"/>
      <c r="L172" s="224"/>
      <c r="M172" s="246"/>
      <c r="N172" s="30"/>
      <c r="O172" s="32"/>
      <c r="P172" s="17"/>
      <c r="Q172" s="17"/>
      <c r="R172" s="11"/>
      <c r="S172" s="11"/>
      <c r="T172" s="10"/>
      <c r="U172" s="10"/>
    </row>
    <row r="173" spans="1:21" s="8" customFormat="1" ht="13.5" customHeight="1">
      <c r="A173" s="5"/>
      <c r="B173" s="5"/>
      <c r="C173" s="7"/>
      <c r="D173" s="7"/>
      <c r="E173" s="309"/>
      <c r="F173" s="234"/>
      <c r="G173" s="49"/>
      <c r="H173" s="47"/>
      <c r="I173" s="47"/>
      <c r="J173" s="49"/>
      <c r="K173" s="49"/>
      <c r="L173" s="224"/>
      <c r="M173" s="246"/>
      <c r="N173" s="30"/>
      <c r="O173" s="32"/>
      <c r="P173" s="17"/>
      <c r="Q173" s="17"/>
      <c r="R173" s="11"/>
      <c r="S173" s="11"/>
      <c r="T173" s="10"/>
      <c r="U173" s="10"/>
    </row>
    <row r="174" spans="1:21" s="8" customFormat="1" ht="13.5" customHeight="1">
      <c r="A174" s="5"/>
      <c r="B174" s="5"/>
      <c r="C174" s="7"/>
      <c r="D174" s="7"/>
      <c r="E174" s="309"/>
      <c r="F174" s="234"/>
      <c r="G174" s="49"/>
      <c r="H174" s="47"/>
      <c r="I174" s="47"/>
      <c r="J174" s="49"/>
      <c r="K174" s="49"/>
      <c r="L174" s="224"/>
      <c r="M174" s="246"/>
      <c r="N174" s="30"/>
      <c r="O174" s="32"/>
      <c r="P174" s="17"/>
      <c r="Q174" s="17"/>
      <c r="R174" s="11"/>
      <c r="S174" s="11"/>
      <c r="T174" s="10"/>
      <c r="U174" s="10"/>
    </row>
    <row r="175" spans="1:21" s="8" customFormat="1" ht="22.5" customHeight="1">
      <c r="A175" s="5"/>
      <c r="B175" s="5"/>
      <c r="C175" s="7"/>
      <c r="D175" s="7"/>
      <c r="E175" s="309"/>
      <c r="F175" s="234"/>
      <c r="G175" s="49"/>
      <c r="H175" s="47"/>
      <c r="I175" s="47"/>
      <c r="J175" s="49"/>
      <c r="K175" s="49"/>
      <c r="L175" s="224"/>
      <c r="M175" s="246"/>
      <c r="N175" s="30"/>
      <c r="O175" s="32"/>
      <c r="P175" s="17"/>
      <c r="Q175" s="17"/>
      <c r="R175" s="11"/>
      <c r="S175" s="11"/>
      <c r="T175" s="10"/>
      <c r="U175" s="10"/>
    </row>
    <row r="176" spans="1:21">
      <c r="A176" s="5"/>
      <c r="B176" s="5"/>
      <c r="C176" s="7"/>
      <c r="D176" s="7"/>
      <c r="E176" s="309"/>
      <c r="F176" s="233"/>
      <c r="G176" s="49"/>
      <c r="H176" s="47"/>
      <c r="I176" s="47"/>
      <c r="J176" s="49"/>
      <c r="K176" s="49"/>
      <c r="L176" s="224"/>
      <c r="M176" s="246"/>
      <c r="N176" s="30"/>
      <c r="O176" s="32"/>
      <c r="P176" s="17"/>
      <c r="Q176" s="17"/>
    </row>
    <row r="177" spans="1:21">
      <c r="A177" s="5"/>
      <c r="B177" s="5"/>
      <c r="C177" s="271"/>
      <c r="D177" s="271"/>
      <c r="E177" s="310"/>
      <c r="F177" s="233"/>
      <c r="G177" s="49"/>
      <c r="H177" s="49"/>
      <c r="I177" s="49"/>
      <c r="J177" s="49"/>
      <c r="K177" s="70"/>
      <c r="L177" s="49"/>
      <c r="M177" s="245"/>
      <c r="N177" s="31"/>
      <c r="O177" s="38"/>
      <c r="P177" s="62"/>
      <c r="Q177" s="62"/>
    </row>
    <row r="178" spans="1:21">
      <c r="F178" s="238"/>
      <c r="H178" s="50"/>
      <c r="I178" s="50"/>
      <c r="L178" s="227"/>
      <c r="M178" s="244"/>
      <c r="N178" s="41"/>
    </row>
    <row r="179" spans="1:21">
      <c r="F179" s="238"/>
      <c r="H179" s="50"/>
      <c r="I179" s="50"/>
      <c r="L179" s="227"/>
      <c r="M179" s="244"/>
      <c r="N179" s="41"/>
    </row>
    <row r="180" spans="1:21">
      <c r="F180" s="238"/>
      <c r="H180" s="50"/>
      <c r="I180" s="50"/>
      <c r="L180" s="227"/>
      <c r="M180" s="244"/>
      <c r="N180" s="41"/>
    </row>
    <row r="181" spans="1:21" s="11" customFormat="1">
      <c r="A181" s="39"/>
      <c r="B181" s="39"/>
      <c r="C181" s="39"/>
      <c r="D181" s="39"/>
      <c r="E181" s="311"/>
      <c r="F181" s="238"/>
      <c r="G181" s="297"/>
      <c r="H181" s="50"/>
      <c r="I181" s="50"/>
      <c r="J181" s="51"/>
      <c r="K181" s="51"/>
      <c r="L181" s="227"/>
      <c r="M181" s="244"/>
      <c r="N181" s="41"/>
      <c r="O181" s="42"/>
      <c r="P181" s="63"/>
      <c r="Q181" s="63"/>
      <c r="T181" s="12"/>
      <c r="U181" s="12"/>
    </row>
    <row r="182" spans="1:21">
      <c r="F182" s="238"/>
      <c r="H182" s="50"/>
      <c r="I182" s="50"/>
      <c r="L182" s="227"/>
      <c r="M182" s="244"/>
      <c r="N182" s="41"/>
    </row>
    <row r="183" spans="1:21">
      <c r="F183" s="238"/>
      <c r="H183" s="50"/>
      <c r="I183" s="50"/>
      <c r="L183" s="227"/>
      <c r="M183" s="244"/>
      <c r="N183" s="41"/>
    </row>
  </sheetData>
  <protectedRanges>
    <protectedRange sqref="K128:K129 K14:L14 K23:L23 G18:I19 G25:I25 L15:M18 G15:J17 G30:I30 K30:L30 K25:L25 M20:M23 L20:L22 G23:I23 G20:G22 H22:J22 H21 I20:J21 L57:M59 C14:C17 C61:C64 H115:J116 C126:C133 C19:C22 D18 C24 C26:C29 C31:C34 C36:C39 C41:C44 C46:C49 C51:C54 C56:C59 H57:J59 C66:C69 C71:C76 C78:C93 C95:C110 C112:C113 G134:I134 G35:I35 G26:H29 I27:I30 G27:J29 K35:L35 G32:J34 L27:M30 K40:L40 G45:I45 G36:H39 G37:J39 G40:I40 L32:M35 K45:L45 G50:I50 G42:J44 L37:M40 K50:L50 G55:I55 G47:J49 L42:M45 K55:L55 G60:I60 G52:J54 L47:M50 G56:G59 G65:I65 L52:M55 K65:L65 N14:Q134 K60:M60 K70:L70 G70:I70 G62:J64 G77:I77 G67:J69 L63:M65 K77:L77 G94:I94 G72:J76 L67:M70 K94:L94 G111:I111 G79:J93 L72:M77 K111:L111 G113:I113 G96:J110 L79:M94 L96:M111 K113:M113 K125:L125 G114:G116 G117:K123 L127:M134 L115:L123 M115:M125 G127:J133 K132:K134 E14:F124 E126:F134 D23 D25 D30 D35 D40 D45 D50 D55 D60 D65 D70 D77 D94 D111 D113 D125:I125 D134" name="범위1_1"/>
    <protectedRange sqref="J134 K130:K131 J18:J19 K15:K18 J25 K20:K22 J23 J30 K27:K29 J35 K32:K34 J40 K36:K39 J45 K42:K44 J50 K47:K49 J55 K52:K54 J60 K57:K59 J65 J70 K62:K64 K67:K69 J77 K72:K76 J94 K79:K93 J111 K96:K110 J113 J125 K115:K116 K127" name="범위1_1_2_1"/>
    <protectedRange sqref="C122:C124 C114:C120" name="범위1_1_3"/>
  </protectedRanges>
  <autoFilter ref="B12:Q135" xr:uid="{D7B5B8F8-B3A0-4F9B-AE3F-5E75C97B3498}">
    <filterColumn colId="3" showButton="0"/>
    <filterColumn colId="5" showButton="0"/>
    <filterColumn colId="6" showButton="0"/>
    <filterColumn colId="7" showButton="0"/>
  </autoFilter>
  <mergeCells count="15">
    <mergeCell ref="A6:Q6"/>
    <mergeCell ref="M12:M13"/>
    <mergeCell ref="N12:N13"/>
    <mergeCell ref="O12:O13"/>
    <mergeCell ref="P12:P13"/>
    <mergeCell ref="Q12:Q13"/>
    <mergeCell ref="E12:F12"/>
    <mergeCell ref="G12:J12"/>
    <mergeCell ref="K12:K13"/>
    <mergeCell ref="L12:L13"/>
    <mergeCell ref="A135:D135"/>
    <mergeCell ref="A12:A13"/>
    <mergeCell ref="B12:B13"/>
    <mergeCell ref="C12:C13"/>
    <mergeCell ref="D12:D13"/>
  </mergeCells>
  <phoneticPr fontId="3" type="noConversion"/>
  <printOptions horizontalCentered="1"/>
  <pageMargins left="0.39370078740157483" right="0.39370078740157483" top="0.19685039370078741" bottom="0.19685039370078741" header="0.23622047244094491" footer="0"/>
  <pageSetup paperSize="9" scale="39" fitToHeight="0" orientation="landscape" horizontalDpi="1200" verticalDpi="1200" r:id="rId1"/>
  <headerFooter alignWithMargins="0">
    <oddFooter>&amp;C&amp;"Calibri,보통"&amp;12Doosan Enerbility</oddFooter>
  </headerFooter>
  <rowBreaks count="1" manualBreakCount="1">
    <brk id="70" max="1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B526-F86F-4314-8755-7C7D07C1F773}">
  <dimension ref="A1:AC32"/>
  <sheetViews>
    <sheetView showGridLines="0" view="pageBreakPreview" zoomScale="60" zoomScaleNormal="100" workbookViewId="0">
      <selection activeCell="G15" sqref="G15"/>
    </sheetView>
  </sheetViews>
  <sheetFormatPr defaultColWidth="9" defaultRowHeight="21"/>
  <cols>
    <col min="1" max="1" width="12.69921875" style="75" customWidth="1"/>
    <col min="2" max="3" width="9" style="75"/>
    <col min="4" max="4" width="1.8984375" style="75" customWidth="1"/>
    <col min="5" max="5" width="9" style="75"/>
    <col min="6" max="6" width="2.3984375" style="76" customWidth="1"/>
    <col min="7" max="7" width="16.8984375" style="76" customWidth="1"/>
    <col min="8" max="8" width="9" style="76" customWidth="1"/>
    <col min="9" max="9" width="12.09765625" style="76" bestFit="1" customWidth="1"/>
    <col min="10" max="10" width="9" style="76" customWidth="1"/>
    <col min="11" max="11" width="14.5" style="76" bestFit="1" customWidth="1"/>
    <col min="12" max="13" width="9" style="76"/>
    <col min="14" max="14" width="5.8984375" style="76" customWidth="1"/>
    <col min="15" max="15" width="3.59765625" style="2" customWidth="1"/>
    <col min="16" max="16" width="12.69921875" style="75" customWidth="1"/>
    <col min="17" max="18" width="9" style="75"/>
    <col min="19" max="19" width="1.8984375" style="75" customWidth="1"/>
    <col min="20" max="20" width="9" style="75"/>
    <col min="21" max="21" width="2.3984375" style="76" customWidth="1"/>
    <col min="22" max="22" width="16.8984375" style="76" customWidth="1"/>
    <col min="23" max="23" width="9" style="76"/>
    <col min="24" max="24" width="12.09765625" style="76" bestFit="1" customWidth="1"/>
    <col min="25" max="25" width="9" style="76"/>
    <col min="26" max="26" width="14.5" style="76" bestFit="1" customWidth="1"/>
    <col min="27" max="28" width="9" style="76"/>
    <col min="29" max="29" width="2.59765625" style="76" customWidth="1"/>
    <col min="30" max="30" width="3.59765625" style="2" customWidth="1"/>
    <col min="31" max="16384" width="9" style="2"/>
  </cols>
  <sheetData>
    <row r="1" spans="1:29" ht="95.1" customHeight="1" thickBot="1">
      <c r="A1" s="490" t="s">
        <v>176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2"/>
      <c r="O1" s="116"/>
      <c r="P1" s="490" t="s">
        <v>176</v>
      </c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  <c r="AC1" s="492"/>
    </row>
    <row r="2" spans="1:29" s="3" customFormat="1" ht="37.5" customHeight="1">
      <c r="A2" s="87" t="s">
        <v>177</v>
      </c>
      <c r="B2" s="107"/>
      <c r="C2" s="107"/>
      <c r="D2" s="75"/>
      <c r="E2" s="75"/>
      <c r="F2" s="108" t="s">
        <v>178</v>
      </c>
      <c r="G2" s="108" t="s">
        <v>179</v>
      </c>
      <c r="H2" s="108"/>
      <c r="I2" s="108"/>
      <c r="J2" s="108"/>
      <c r="K2" s="108"/>
      <c r="L2" s="108"/>
      <c r="M2" s="108"/>
      <c r="N2" s="93"/>
      <c r="O2" s="117"/>
      <c r="P2" s="87" t="s">
        <v>177</v>
      </c>
      <c r="Q2" s="107"/>
      <c r="R2" s="107"/>
      <c r="S2" s="75"/>
      <c r="T2" s="75"/>
      <c r="U2" s="108" t="s">
        <v>178</v>
      </c>
      <c r="V2" s="108" t="s">
        <v>179</v>
      </c>
      <c r="W2" s="108"/>
      <c r="X2" s="108"/>
      <c r="Y2" s="108"/>
      <c r="Z2" s="108"/>
      <c r="AA2" s="108"/>
      <c r="AB2" s="108"/>
      <c r="AC2" s="93"/>
    </row>
    <row r="3" spans="1:29" s="4" customFormat="1" ht="25.2">
      <c r="A3" s="77" t="s">
        <v>180</v>
      </c>
      <c r="B3" s="75"/>
      <c r="C3" s="75"/>
      <c r="D3" s="75"/>
      <c r="E3" s="75"/>
      <c r="F3" s="108"/>
      <c r="G3" s="108" t="s">
        <v>181</v>
      </c>
      <c r="H3" s="108"/>
      <c r="I3" s="108"/>
      <c r="J3" s="108"/>
      <c r="K3" s="108"/>
      <c r="L3" s="108"/>
      <c r="M3" s="108"/>
      <c r="N3" s="93"/>
      <c r="P3" s="77" t="s">
        <v>180</v>
      </c>
      <c r="Q3" s="75"/>
      <c r="R3" s="75"/>
      <c r="S3" s="75"/>
      <c r="T3" s="75"/>
      <c r="U3" s="108"/>
      <c r="V3" s="108" t="s">
        <v>181</v>
      </c>
      <c r="W3" s="108"/>
      <c r="X3" s="108"/>
      <c r="Y3" s="108"/>
      <c r="Z3" s="108"/>
      <c r="AA3" s="108"/>
      <c r="AB3" s="108"/>
      <c r="AC3" s="93"/>
    </row>
    <row r="4" spans="1:29" s="3" customFormat="1" ht="9.9" customHeight="1">
      <c r="A4" s="77"/>
      <c r="B4" s="75"/>
      <c r="C4" s="75"/>
      <c r="D4" s="75"/>
      <c r="E4" s="75"/>
      <c r="F4" s="108"/>
      <c r="G4" s="75"/>
      <c r="H4" s="75"/>
      <c r="I4" s="75"/>
      <c r="J4" s="75"/>
      <c r="K4" s="75"/>
      <c r="L4" s="75"/>
      <c r="M4" s="75"/>
      <c r="N4" s="78"/>
      <c r="P4" s="77"/>
      <c r="Q4" s="75"/>
      <c r="R4" s="75"/>
      <c r="S4" s="75"/>
      <c r="T4" s="75"/>
      <c r="U4" s="108"/>
      <c r="V4" s="75"/>
      <c r="W4" s="75"/>
      <c r="X4" s="75"/>
      <c r="Y4" s="75"/>
      <c r="Z4" s="75"/>
      <c r="AA4" s="75"/>
      <c r="AB4" s="75"/>
      <c r="AC4" s="78"/>
    </row>
    <row r="5" spans="1:29" s="204" customFormat="1" ht="42.75" customHeight="1">
      <c r="A5" s="200" t="s">
        <v>182</v>
      </c>
      <c r="B5" s="201"/>
      <c r="C5" s="201"/>
      <c r="D5" s="201"/>
      <c r="E5" s="201"/>
      <c r="F5" s="202" t="s">
        <v>178</v>
      </c>
      <c r="G5" s="202" t="e">
        <f>#REF!</f>
        <v>#REF!</v>
      </c>
      <c r="H5" s="201"/>
      <c r="I5" s="201"/>
      <c r="J5" s="201"/>
      <c r="K5" s="201"/>
      <c r="L5" s="201"/>
      <c r="M5" s="201"/>
      <c r="N5" s="203"/>
      <c r="P5" s="200" t="s">
        <v>182</v>
      </c>
      <c r="Q5" s="201"/>
      <c r="R5" s="201"/>
      <c r="S5" s="201"/>
      <c r="T5" s="201"/>
      <c r="U5" s="202" t="s">
        <v>178</v>
      </c>
      <c r="V5" s="202" t="e">
        <f>#REF!</f>
        <v>#REF!</v>
      </c>
      <c r="W5" s="201"/>
      <c r="X5" s="201"/>
      <c r="Y5" s="201"/>
      <c r="Z5" s="201"/>
      <c r="AA5" s="201"/>
      <c r="AB5" s="201"/>
      <c r="AC5" s="203"/>
    </row>
    <row r="6" spans="1:29" s="206" customFormat="1" ht="25.2">
      <c r="A6" s="200" t="s">
        <v>183</v>
      </c>
      <c r="B6" s="201"/>
      <c r="C6" s="201"/>
      <c r="D6" s="201"/>
      <c r="E6" s="201"/>
      <c r="F6" s="205"/>
      <c r="G6" s="202"/>
      <c r="H6" s="201"/>
      <c r="I6" s="201"/>
      <c r="J6" s="201"/>
      <c r="K6" s="201"/>
      <c r="L6" s="201"/>
      <c r="M6" s="201"/>
      <c r="N6" s="203"/>
      <c r="P6" s="200" t="s">
        <v>183</v>
      </c>
      <c r="Q6" s="201"/>
      <c r="R6" s="201"/>
      <c r="S6" s="201"/>
      <c r="T6" s="201"/>
      <c r="U6" s="205"/>
      <c r="V6" s="202"/>
      <c r="W6" s="201"/>
      <c r="X6" s="201"/>
      <c r="Y6" s="201"/>
      <c r="Z6" s="201"/>
      <c r="AA6" s="201"/>
      <c r="AB6" s="201"/>
      <c r="AC6" s="203"/>
    </row>
    <row r="7" spans="1:29" s="3" customFormat="1" ht="9.9" customHeight="1">
      <c r="A7" s="77"/>
      <c r="B7" s="75"/>
      <c r="C7" s="75"/>
      <c r="D7" s="75"/>
      <c r="E7" s="75"/>
      <c r="F7" s="109"/>
      <c r="G7" s="109"/>
      <c r="H7" s="75"/>
      <c r="I7" s="75"/>
      <c r="J7" s="75"/>
      <c r="K7" s="75"/>
      <c r="L7" s="75"/>
      <c r="M7" s="75"/>
      <c r="N7" s="78"/>
      <c r="P7" s="77"/>
      <c r="Q7" s="75"/>
      <c r="R7" s="75"/>
      <c r="S7" s="75"/>
      <c r="T7" s="75"/>
      <c r="U7" s="109"/>
      <c r="V7" s="109"/>
      <c r="W7" s="75"/>
      <c r="X7" s="75"/>
      <c r="Y7" s="75"/>
      <c r="Z7" s="75"/>
      <c r="AA7" s="75"/>
      <c r="AB7" s="75"/>
      <c r="AC7" s="78"/>
    </row>
    <row r="8" spans="1:29" s="3" customFormat="1" ht="25.2">
      <c r="A8" s="77" t="s">
        <v>184</v>
      </c>
      <c r="B8" s="75"/>
      <c r="C8" s="75"/>
      <c r="D8" s="75"/>
      <c r="E8" s="75"/>
      <c r="F8" s="108" t="s">
        <v>185</v>
      </c>
      <c r="G8" s="75"/>
      <c r="H8" s="75"/>
      <c r="I8" s="75"/>
      <c r="J8" s="75"/>
      <c r="K8" s="75"/>
      <c r="L8" s="75"/>
      <c r="M8" s="75"/>
      <c r="N8" s="78"/>
      <c r="P8" s="77" t="s">
        <v>184</v>
      </c>
      <c r="Q8" s="75"/>
      <c r="R8" s="75"/>
      <c r="S8" s="75"/>
      <c r="T8" s="75"/>
      <c r="U8" s="108" t="s">
        <v>185</v>
      </c>
      <c r="V8" s="75"/>
      <c r="W8" s="75"/>
      <c r="X8" s="75"/>
      <c r="Y8" s="75"/>
      <c r="Z8" s="75"/>
      <c r="AA8" s="75"/>
      <c r="AB8" s="75"/>
      <c r="AC8" s="78"/>
    </row>
    <row r="9" spans="1:29" s="4" customFormat="1" ht="25.2">
      <c r="A9" s="77" t="s">
        <v>186</v>
      </c>
      <c r="B9" s="75"/>
      <c r="C9" s="75"/>
      <c r="D9" s="75"/>
      <c r="E9" s="75"/>
      <c r="F9" s="108" t="s">
        <v>187</v>
      </c>
      <c r="G9" s="75"/>
      <c r="H9" s="75"/>
      <c r="I9" s="75"/>
      <c r="J9" s="75"/>
      <c r="K9" s="75"/>
      <c r="L9" s="75"/>
      <c r="M9" s="75"/>
      <c r="N9" s="78"/>
      <c r="P9" s="77" t="s">
        <v>186</v>
      </c>
      <c r="Q9" s="75"/>
      <c r="R9" s="75"/>
      <c r="S9" s="75"/>
      <c r="T9" s="75"/>
      <c r="U9" s="108" t="s">
        <v>187</v>
      </c>
      <c r="V9" s="75"/>
      <c r="W9" s="75"/>
      <c r="X9" s="75"/>
      <c r="Y9" s="75"/>
      <c r="Z9" s="75"/>
      <c r="AA9" s="75"/>
      <c r="AB9" s="75"/>
      <c r="AC9" s="78"/>
    </row>
    <row r="10" spans="1:29" s="3" customFormat="1" ht="9.9" customHeight="1">
      <c r="A10" s="77"/>
      <c r="B10" s="75"/>
      <c r="C10" s="75"/>
      <c r="D10" s="75"/>
      <c r="E10" s="75"/>
      <c r="F10" s="108"/>
      <c r="G10" s="75"/>
      <c r="H10" s="75"/>
      <c r="I10" s="75"/>
      <c r="J10" s="75"/>
      <c r="K10" s="75"/>
      <c r="L10" s="75"/>
      <c r="M10" s="75"/>
      <c r="N10" s="78"/>
      <c r="P10" s="77"/>
      <c r="Q10" s="75"/>
      <c r="R10" s="75"/>
      <c r="S10" s="75"/>
      <c r="T10" s="75"/>
      <c r="U10" s="108"/>
      <c r="V10" s="75"/>
      <c r="W10" s="75"/>
      <c r="X10" s="75"/>
      <c r="Y10" s="75"/>
      <c r="Z10" s="75"/>
      <c r="AA10" s="75"/>
      <c r="AB10" s="75"/>
      <c r="AC10" s="78"/>
    </row>
    <row r="11" spans="1:29" s="3" customFormat="1" ht="25.2">
      <c r="A11" s="77" t="s">
        <v>188</v>
      </c>
      <c r="B11" s="75"/>
      <c r="C11" s="75"/>
      <c r="D11" s="75"/>
      <c r="E11" s="75"/>
      <c r="F11" s="108" t="s">
        <v>189</v>
      </c>
      <c r="G11" s="108" t="str">
        <f>CI!V8</f>
        <v>PGU-DE-0219</v>
      </c>
      <c r="H11" s="75"/>
      <c r="I11" s="75"/>
      <c r="J11" s="75"/>
      <c r="K11" s="75"/>
      <c r="L11" s="75"/>
      <c r="M11" s="75"/>
      <c r="N11" s="78"/>
      <c r="P11" s="77" t="s">
        <v>188</v>
      </c>
      <c r="Q11" s="75"/>
      <c r="R11" s="75"/>
      <c r="S11" s="75"/>
      <c r="T11" s="75"/>
      <c r="U11" s="108" t="s">
        <v>189</v>
      </c>
      <c r="V11" s="108" t="str">
        <f>CI!V8</f>
        <v>PGU-DE-0219</v>
      </c>
      <c r="W11" s="75"/>
      <c r="X11" s="75"/>
      <c r="Y11" s="75"/>
      <c r="Z11" s="75"/>
      <c r="AA11" s="75"/>
      <c r="AB11" s="75"/>
      <c r="AC11" s="78"/>
    </row>
    <row r="12" spans="1:29" s="3" customFormat="1" ht="25.2">
      <c r="A12" s="77" t="s">
        <v>190</v>
      </c>
      <c r="B12" s="75"/>
      <c r="C12" s="75"/>
      <c r="D12" s="75"/>
      <c r="E12" s="75"/>
      <c r="F12" s="108"/>
      <c r="G12" s="75"/>
      <c r="H12" s="75"/>
      <c r="I12" s="75"/>
      <c r="J12" s="75"/>
      <c r="K12" s="75"/>
      <c r="L12" s="75"/>
      <c r="M12" s="75"/>
      <c r="N12" s="78"/>
      <c r="P12" s="77" t="s">
        <v>190</v>
      </c>
      <c r="Q12" s="75"/>
      <c r="R12" s="75"/>
      <c r="S12" s="75"/>
      <c r="T12" s="75"/>
      <c r="U12" s="108"/>
      <c r="V12" s="75"/>
      <c r="W12" s="75"/>
      <c r="X12" s="75"/>
      <c r="Y12" s="75"/>
      <c r="Z12" s="75"/>
      <c r="AA12" s="75"/>
      <c r="AB12" s="75"/>
      <c r="AC12" s="78"/>
    </row>
    <row r="13" spans="1:29" s="3" customFormat="1" ht="9.9" customHeight="1">
      <c r="A13" s="77"/>
      <c r="B13" s="75"/>
      <c r="C13" s="75"/>
      <c r="D13" s="75"/>
      <c r="E13" s="75"/>
      <c r="F13" s="108"/>
      <c r="G13" s="75"/>
      <c r="H13" s="75"/>
      <c r="I13" s="75"/>
      <c r="J13" s="75"/>
      <c r="K13" s="75"/>
      <c r="L13" s="75"/>
      <c r="M13" s="75"/>
      <c r="N13" s="78"/>
      <c r="P13" s="77"/>
      <c r="Q13" s="75"/>
      <c r="R13" s="75"/>
      <c r="S13" s="75"/>
      <c r="T13" s="75"/>
      <c r="U13" s="108"/>
      <c r="V13" s="75"/>
      <c r="W13" s="75"/>
      <c r="X13" s="75"/>
      <c r="Y13" s="75"/>
      <c r="Z13" s="75"/>
      <c r="AA13" s="75"/>
      <c r="AB13" s="75"/>
      <c r="AC13" s="78"/>
    </row>
    <row r="14" spans="1:29" s="3" customFormat="1" ht="25.2">
      <c r="A14" s="79" t="s">
        <v>191</v>
      </c>
      <c r="B14" s="110"/>
      <c r="C14" s="110"/>
      <c r="D14" s="110"/>
      <c r="E14" s="110"/>
      <c r="F14" s="111" t="s">
        <v>178</v>
      </c>
      <c r="G14" s="112" t="str">
        <f>'Summary PL'!D14</f>
        <v>Operation Console</v>
      </c>
      <c r="H14" s="110"/>
      <c r="I14" s="110"/>
      <c r="J14" s="110"/>
      <c r="K14" s="110"/>
      <c r="L14" s="110"/>
      <c r="M14" s="110"/>
      <c r="N14" s="80"/>
      <c r="P14" s="79" t="s">
        <v>191</v>
      </c>
      <c r="Q14" s="110"/>
      <c r="R14" s="110"/>
      <c r="S14" s="110"/>
      <c r="T14" s="110"/>
      <c r="U14" s="111" t="s">
        <v>178</v>
      </c>
      <c r="V14" s="112"/>
      <c r="W14" s="110"/>
      <c r="X14" s="110"/>
      <c r="Y14" s="110"/>
      <c r="Z14" s="110"/>
      <c r="AA14" s="110"/>
      <c r="AB14" s="110"/>
      <c r="AC14" s="80"/>
    </row>
    <row r="15" spans="1:29" s="3" customFormat="1" ht="25.2">
      <c r="A15" s="79" t="s">
        <v>192</v>
      </c>
      <c r="B15" s="110"/>
      <c r="C15" s="110"/>
      <c r="D15" s="110"/>
      <c r="E15" s="110"/>
      <c r="F15" s="111"/>
      <c r="G15" s="110"/>
      <c r="H15" s="110"/>
      <c r="I15" s="110"/>
      <c r="J15" s="110"/>
      <c r="K15" s="110"/>
      <c r="L15" s="110"/>
      <c r="M15" s="110"/>
      <c r="N15" s="80"/>
      <c r="P15" s="79" t="s">
        <v>192</v>
      </c>
      <c r="Q15" s="110"/>
      <c r="R15" s="110"/>
      <c r="S15" s="110"/>
      <c r="T15" s="110"/>
      <c r="U15" s="111"/>
      <c r="V15" s="110"/>
      <c r="W15" s="110"/>
      <c r="X15" s="110"/>
      <c r="Y15" s="110"/>
      <c r="Z15" s="110"/>
      <c r="AA15" s="110"/>
      <c r="AB15" s="110"/>
      <c r="AC15" s="80"/>
    </row>
    <row r="16" spans="1:29" s="3" customFormat="1" ht="9.9" customHeight="1">
      <c r="A16" s="77"/>
      <c r="B16" s="75"/>
      <c r="C16" s="75"/>
      <c r="D16" s="75"/>
      <c r="E16" s="75"/>
      <c r="F16" s="108"/>
      <c r="G16" s="75"/>
      <c r="H16" s="75"/>
      <c r="I16" s="75"/>
      <c r="J16" s="75"/>
      <c r="K16" s="75"/>
      <c r="L16" s="75"/>
      <c r="M16" s="75"/>
      <c r="N16" s="78"/>
      <c r="P16" s="77"/>
      <c r="Q16" s="75"/>
      <c r="R16" s="75"/>
      <c r="S16" s="75"/>
      <c r="T16" s="75"/>
      <c r="U16" s="108"/>
      <c r="V16" s="75"/>
      <c r="W16" s="75"/>
      <c r="X16" s="75"/>
      <c r="Y16" s="75"/>
      <c r="Z16" s="75"/>
      <c r="AA16" s="75"/>
      <c r="AB16" s="75"/>
      <c r="AC16" s="78"/>
    </row>
    <row r="17" spans="1:29" s="3" customFormat="1" ht="25.2">
      <c r="A17" s="77" t="s">
        <v>193</v>
      </c>
      <c r="B17" s="75"/>
      <c r="C17" s="75"/>
      <c r="D17" s="75"/>
      <c r="E17" s="75"/>
      <c r="F17" s="111" t="s">
        <v>194</v>
      </c>
      <c r="G17" s="108" t="str">
        <f>'Summary PL'!C14</f>
        <v>PGU-DE-0219-DCS-FNT-001</v>
      </c>
      <c r="H17" s="75"/>
      <c r="I17" s="75"/>
      <c r="J17" s="75"/>
      <c r="K17" s="75"/>
      <c r="L17" s="75"/>
      <c r="M17" s="75"/>
      <c r="N17" s="78"/>
      <c r="P17" s="77" t="s">
        <v>193</v>
      </c>
      <c r="Q17" s="75"/>
      <c r="R17" s="75"/>
      <c r="S17" s="75"/>
      <c r="T17" s="75"/>
      <c r="U17" s="111" t="s">
        <v>194</v>
      </c>
      <c r="V17" s="108" t="str">
        <f>'Summary PL'!C15</f>
        <v>PGU-DE-0219-DCS-FNT-002</v>
      </c>
      <c r="W17" s="75"/>
      <c r="X17" s="75"/>
      <c r="Y17" s="75"/>
      <c r="Z17" s="75"/>
      <c r="AA17" s="75"/>
      <c r="AB17" s="75"/>
      <c r="AC17" s="78"/>
    </row>
    <row r="18" spans="1:29" s="4" customFormat="1" ht="25.2">
      <c r="A18" s="77" t="s">
        <v>195</v>
      </c>
      <c r="B18" s="75"/>
      <c r="C18" s="75"/>
      <c r="D18" s="75"/>
      <c r="E18" s="75"/>
      <c r="F18" s="108"/>
      <c r="G18" s="108"/>
      <c r="H18" s="75"/>
      <c r="I18" s="75"/>
      <c r="J18" s="75"/>
      <c r="K18" s="75"/>
      <c r="L18" s="75"/>
      <c r="M18" s="75"/>
      <c r="N18" s="78"/>
      <c r="P18" s="77" t="s">
        <v>195</v>
      </c>
      <c r="Q18" s="75"/>
      <c r="R18" s="75"/>
      <c r="S18" s="75"/>
      <c r="T18" s="75"/>
      <c r="U18" s="108"/>
      <c r="V18" s="108"/>
      <c r="W18" s="75"/>
      <c r="X18" s="75"/>
      <c r="Y18" s="75"/>
      <c r="Z18" s="75"/>
      <c r="AA18" s="75"/>
      <c r="AB18" s="75"/>
      <c r="AC18" s="78"/>
    </row>
    <row r="19" spans="1:29" s="3" customFormat="1" ht="9.9" customHeight="1">
      <c r="A19" s="77"/>
      <c r="B19" s="75"/>
      <c r="C19" s="75"/>
      <c r="D19" s="75"/>
      <c r="E19" s="75"/>
      <c r="F19" s="108"/>
      <c r="G19" s="108"/>
      <c r="H19" s="75"/>
      <c r="I19" s="75"/>
      <c r="J19" s="75"/>
      <c r="K19" s="75"/>
      <c r="L19" s="75"/>
      <c r="M19" s="75"/>
      <c r="N19" s="78"/>
      <c r="P19" s="77"/>
      <c r="Q19" s="75"/>
      <c r="R19" s="75"/>
      <c r="S19" s="75"/>
      <c r="T19" s="75"/>
      <c r="U19" s="108"/>
      <c r="V19" s="108"/>
      <c r="W19" s="75"/>
      <c r="X19" s="75"/>
      <c r="Y19" s="75"/>
      <c r="Z19" s="75"/>
      <c r="AA19" s="75"/>
      <c r="AB19" s="75"/>
      <c r="AC19" s="78"/>
    </row>
    <row r="20" spans="1:29" s="3" customFormat="1" ht="25.2">
      <c r="A20" s="77" t="s">
        <v>196</v>
      </c>
      <c r="B20" s="75"/>
      <c r="C20" s="75"/>
      <c r="D20" s="75"/>
      <c r="E20" s="75"/>
      <c r="F20" s="108" t="s">
        <v>189</v>
      </c>
      <c r="G20" s="113">
        <f>'Summary PL'!L14</f>
        <v>440</v>
      </c>
      <c r="H20" s="108" t="s">
        <v>197</v>
      </c>
      <c r="I20" s="75"/>
      <c r="J20" s="75"/>
      <c r="K20" s="75"/>
      <c r="L20" s="75"/>
      <c r="M20" s="75"/>
      <c r="N20" s="78"/>
      <c r="P20" s="77" t="s">
        <v>196</v>
      </c>
      <c r="Q20" s="75"/>
      <c r="R20" s="75"/>
      <c r="S20" s="75"/>
      <c r="T20" s="75"/>
      <c r="U20" s="108" t="s">
        <v>189</v>
      </c>
      <c r="V20" s="113" t="e">
        <f>#REF!</f>
        <v>#REF!</v>
      </c>
      <c r="W20" s="108" t="s">
        <v>197</v>
      </c>
      <c r="X20" s="75"/>
      <c r="Y20" s="75"/>
      <c r="Z20" s="75"/>
      <c r="AA20" s="75"/>
      <c r="AB20" s="75"/>
      <c r="AC20" s="78"/>
    </row>
    <row r="21" spans="1:29" s="4" customFormat="1" ht="25.2">
      <c r="A21" s="77" t="s">
        <v>198</v>
      </c>
      <c r="B21" s="75"/>
      <c r="C21" s="75"/>
      <c r="D21" s="75"/>
      <c r="E21" s="75"/>
      <c r="F21" s="108"/>
      <c r="G21" s="108"/>
      <c r="H21" s="108"/>
      <c r="I21" s="75"/>
      <c r="J21" s="75"/>
      <c r="K21" s="75"/>
      <c r="L21" s="75"/>
      <c r="M21" s="75"/>
      <c r="N21" s="78"/>
      <c r="P21" s="77" t="s">
        <v>198</v>
      </c>
      <c r="Q21" s="75"/>
      <c r="R21" s="75"/>
      <c r="S21" s="75"/>
      <c r="T21" s="75"/>
      <c r="U21" s="108"/>
      <c r="V21" s="108"/>
      <c r="W21" s="108"/>
      <c r="X21" s="75"/>
      <c r="Y21" s="75"/>
      <c r="Z21" s="75"/>
      <c r="AA21" s="75"/>
      <c r="AB21" s="75"/>
      <c r="AC21" s="78"/>
    </row>
    <row r="22" spans="1:29" s="3" customFormat="1" ht="9.9" customHeight="1">
      <c r="A22" s="77"/>
      <c r="B22" s="75"/>
      <c r="C22" s="75"/>
      <c r="D22" s="75"/>
      <c r="E22" s="75"/>
      <c r="F22" s="108"/>
      <c r="G22" s="108"/>
      <c r="H22" s="108"/>
      <c r="I22" s="75"/>
      <c r="J22" s="75"/>
      <c r="K22" s="75"/>
      <c r="L22" s="75"/>
      <c r="M22" s="75"/>
      <c r="N22" s="78"/>
      <c r="P22" s="77"/>
      <c r="Q22" s="75"/>
      <c r="R22" s="75"/>
      <c r="S22" s="75"/>
      <c r="T22" s="75"/>
      <c r="U22" s="108"/>
      <c r="V22" s="108"/>
      <c r="W22" s="108"/>
      <c r="X22" s="75"/>
      <c r="Y22" s="75"/>
      <c r="Z22" s="75"/>
      <c r="AA22" s="75"/>
      <c r="AB22" s="75"/>
      <c r="AC22" s="78"/>
    </row>
    <row r="23" spans="1:29" s="3" customFormat="1" ht="25.2">
      <c r="A23" s="77" t="s">
        <v>199</v>
      </c>
      <c r="B23" s="75"/>
      <c r="C23" s="75"/>
      <c r="D23" s="75"/>
      <c r="E23" s="75"/>
      <c r="F23" s="108" t="s">
        <v>189</v>
      </c>
      <c r="G23" s="113">
        <f>'Summary PL'!M14</f>
        <v>680</v>
      </c>
      <c r="H23" s="108" t="s">
        <v>197</v>
      </c>
      <c r="I23" s="75"/>
      <c r="J23" s="75"/>
      <c r="K23" s="75"/>
      <c r="L23" s="75"/>
      <c r="M23" s="75"/>
      <c r="N23" s="78"/>
      <c r="P23" s="77" t="s">
        <v>199</v>
      </c>
      <c r="Q23" s="75"/>
      <c r="R23" s="75"/>
      <c r="S23" s="75"/>
      <c r="T23" s="75"/>
      <c r="U23" s="108" t="s">
        <v>189</v>
      </c>
      <c r="V23" s="113" t="e">
        <f>#REF!</f>
        <v>#REF!</v>
      </c>
      <c r="W23" s="108" t="s">
        <v>197</v>
      </c>
      <c r="X23" s="75"/>
      <c r="Y23" s="75"/>
      <c r="Z23" s="75"/>
      <c r="AA23" s="75"/>
      <c r="AB23" s="75"/>
      <c r="AC23" s="78"/>
    </row>
    <row r="24" spans="1:29" s="4" customFormat="1" ht="25.2">
      <c r="A24" s="77" t="s">
        <v>200</v>
      </c>
      <c r="B24" s="75"/>
      <c r="C24" s="75"/>
      <c r="D24" s="75"/>
      <c r="E24" s="75"/>
      <c r="F24" s="108"/>
      <c r="G24" s="108"/>
      <c r="H24" s="75"/>
      <c r="I24" s="75"/>
      <c r="J24" s="75"/>
      <c r="K24" s="75"/>
      <c r="L24" s="75"/>
      <c r="M24" s="75"/>
      <c r="N24" s="78"/>
      <c r="P24" s="77" t="s">
        <v>200</v>
      </c>
      <c r="Q24" s="75"/>
      <c r="R24" s="75"/>
      <c r="S24" s="75"/>
      <c r="T24" s="75"/>
      <c r="U24" s="108"/>
      <c r="V24" s="108"/>
      <c r="W24" s="75"/>
      <c r="X24" s="75"/>
      <c r="Y24" s="75"/>
      <c r="Z24" s="75"/>
      <c r="AA24" s="75"/>
      <c r="AB24" s="75"/>
      <c r="AC24" s="78"/>
    </row>
    <row r="25" spans="1:29" s="3" customFormat="1" ht="9.9" customHeight="1">
      <c r="A25" s="77"/>
      <c r="B25" s="75"/>
      <c r="C25" s="75"/>
      <c r="D25" s="75"/>
      <c r="E25" s="75"/>
      <c r="F25" s="108"/>
      <c r="G25" s="108"/>
      <c r="H25" s="75"/>
      <c r="I25" s="75"/>
      <c r="J25" s="75"/>
      <c r="K25" s="75"/>
      <c r="L25" s="75"/>
      <c r="M25" s="75"/>
      <c r="N25" s="78"/>
      <c r="P25" s="77"/>
      <c r="Q25" s="75"/>
      <c r="R25" s="75"/>
      <c r="S25" s="75"/>
      <c r="T25" s="75"/>
      <c r="U25" s="108"/>
      <c r="V25" s="108"/>
      <c r="W25" s="75"/>
      <c r="X25" s="75"/>
      <c r="Y25" s="75"/>
      <c r="Z25" s="75"/>
      <c r="AA25" s="75"/>
      <c r="AB25" s="75"/>
      <c r="AC25" s="78"/>
    </row>
    <row r="26" spans="1:29" s="3" customFormat="1" ht="25.2">
      <c r="A26" s="81" t="s">
        <v>201</v>
      </c>
      <c r="B26" s="75"/>
      <c r="C26" s="75"/>
      <c r="D26" s="75"/>
      <c r="E26" s="75"/>
      <c r="F26" s="108" t="s">
        <v>189</v>
      </c>
      <c r="G26" s="114" t="e">
        <f>#REF!</f>
        <v>#REF!</v>
      </c>
      <c r="H26" s="115" t="s">
        <v>202</v>
      </c>
      <c r="I26" s="115"/>
      <c r="J26" s="115"/>
      <c r="K26" s="115"/>
      <c r="L26" s="75"/>
      <c r="M26" s="75"/>
      <c r="N26" s="78"/>
      <c r="P26" s="81" t="s">
        <v>201</v>
      </c>
      <c r="Q26" s="75"/>
      <c r="R26" s="75"/>
      <c r="S26" s="75"/>
      <c r="T26" s="75"/>
      <c r="U26" s="108" t="s">
        <v>189</v>
      </c>
      <c r="V26" s="114" t="e">
        <f>#REF!</f>
        <v>#REF!</v>
      </c>
      <c r="W26" s="115" t="s">
        <v>202</v>
      </c>
      <c r="X26" s="115"/>
      <c r="Y26" s="115"/>
      <c r="Z26" s="115"/>
      <c r="AA26" s="75"/>
      <c r="AB26" s="75"/>
      <c r="AC26" s="78"/>
    </row>
    <row r="27" spans="1:29" s="4" customFormat="1" ht="25.2">
      <c r="A27" s="77" t="s">
        <v>203</v>
      </c>
      <c r="B27" s="75"/>
      <c r="C27" s="75"/>
      <c r="D27" s="75"/>
      <c r="E27" s="75"/>
      <c r="F27" s="108"/>
      <c r="G27" s="108"/>
      <c r="H27" s="75"/>
      <c r="I27" s="75"/>
      <c r="J27" s="75"/>
      <c r="K27" s="75"/>
      <c r="L27" s="75"/>
      <c r="M27" s="75"/>
      <c r="N27" s="78"/>
      <c r="P27" s="77" t="s">
        <v>203</v>
      </c>
      <c r="Q27" s="75"/>
      <c r="R27" s="75"/>
      <c r="S27" s="75"/>
      <c r="T27" s="75"/>
      <c r="U27" s="108"/>
      <c r="V27" s="108"/>
      <c r="W27" s="75"/>
      <c r="X27" s="75"/>
      <c r="Y27" s="75"/>
      <c r="Z27" s="75"/>
      <c r="AA27" s="75"/>
      <c r="AB27" s="75"/>
      <c r="AC27" s="78"/>
    </row>
    <row r="28" spans="1:29" s="3" customFormat="1" ht="9.9" customHeight="1">
      <c r="A28" s="77"/>
      <c r="B28" s="75"/>
      <c r="C28" s="75"/>
      <c r="D28" s="75"/>
      <c r="E28" s="75"/>
      <c r="F28" s="108"/>
      <c r="G28" s="108"/>
      <c r="H28" s="75"/>
      <c r="I28" s="75"/>
      <c r="J28" s="75"/>
      <c r="K28" s="75"/>
      <c r="L28" s="75"/>
      <c r="M28" s="75"/>
      <c r="N28" s="78"/>
      <c r="P28" s="77"/>
      <c r="Q28" s="75"/>
      <c r="R28" s="75"/>
      <c r="S28" s="75"/>
      <c r="T28" s="75"/>
      <c r="U28" s="108"/>
      <c r="V28" s="108"/>
      <c r="W28" s="75"/>
      <c r="X28" s="75"/>
      <c r="Y28" s="75"/>
      <c r="Z28" s="75"/>
      <c r="AA28" s="75"/>
      <c r="AB28" s="75"/>
      <c r="AC28" s="78"/>
    </row>
    <row r="29" spans="1:29" s="204" customFormat="1" ht="42">
      <c r="A29" s="200" t="s">
        <v>204</v>
      </c>
      <c r="B29" s="201"/>
      <c r="C29" s="201"/>
      <c r="D29" s="201"/>
      <c r="E29" s="201"/>
      <c r="F29" s="207" t="s">
        <v>205</v>
      </c>
      <c r="G29" s="496" t="s">
        <v>206</v>
      </c>
      <c r="H29" s="496"/>
      <c r="I29" s="496"/>
      <c r="J29" s="496"/>
      <c r="K29" s="496"/>
      <c r="L29" s="496"/>
      <c r="M29" s="496"/>
      <c r="N29" s="203"/>
      <c r="P29" s="200" t="s">
        <v>204</v>
      </c>
      <c r="Q29" s="201"/>
      <c r="R29" s="201"/>
      <c r="S29" s="201"/>
      <c r="T29" s="201"/>
      <c r="U29" s="207" t="s">
        <v>205</v>
      </c>
      <c r="V29" s="496" t="str">
        <f>G29</f>
        <v xml:space="preserve">Turkestan Oblast, Sairam district, Karamurt rural district, quarter 171, Republic of Kazakhstan </v>
      </c>
      <c r="W29" s="496"/>
      <c r="X29" s="496"/>
      <c r="Y29" s="496"/>
      <c r="Z29" s="496"/>
      <c r="AA29" s="496"/>
      <c r="AB29" s="496"/>
      <c r="AC29" s="498"/>
    </row>
    <row r="30" spans="1:29" s="206" customFormat="1" ht="25.8" thickBot="1">
      <c r="A30" s="200" t="s">
        <v>207</v>
      </c>
      <c r="B30" s="201"/>
      <c r="C30" s="201"/>
      <c r="D30" s="201"/>
      <c r="E30" s="201"/>
      <c r="F30" s="202"/>
      <c r="G30" s="497"/>
      <c r="H30" s="497"/>
      <c r="I30" s="497"/>
      <c r="J30" s="497"/>
      <c r="K30" s="497"/>
      <c r="L30" s="497"/>
      <c r="M30" s="497"/>
      <c r="N30" s="203"/>
      <c r="P30" s="200" t="s">
        <v>207</v>
      </c>
      <c r="Q30" s="201"/>
      <c r="R30" s="201"/>
      <c r="S30" s="201"/>
      <c r="T30" s="201"/>
      <c r="U30" s="202"/>
      <c r="V30" s="202"/>
      <c r="W30" s="201"/>
      <c r="X30" s="201"/>
      <c r="Y30" s="201"/>
      <c r="Z30" s="201"/>
      <c r="AA30" s="201"/>
      <c r="AB30" s="201"/>
      <c r="AC30" s="203"/>
    </row>
    <row r="31" spans="1:29">
      <c r="A31" s="71"/>
      <c r="B31" s="72"/>
      <c r="C31" s="72"/>
      <c r="D31" s="72"/>
      <c r="E31" s="493" t="s">
        <v>208</v>
      </c>
      <c r="F31" s="494"/>
      <c r="G31" s="494"/>
      <c r="H31" s="494"/>
      <c r="I31" s="494"/>
      <c r="J31" s="494"/>
      <c r="K31" s="494"/>
      <c r="L31" s="73"/>
      <c r="M31" s="73"/>
      <c r="N31" s="74"/>
      <c r="P31" s="71"/>
      <c r="Q31" s="72"/>
      <c r="R31" s="72"/>
      <c r="S31" s="72"/>
      <c r="T31" s="493" t="s">
        <v>208</v>
      </c>
      <c r="U31" s="494"/>
      <c r="V31" s="494"/>
      <c r="W31" s="494"/>
      <c r="X31" s="494"/>
      <c r="Y31" s="494"/>
      <c r="Z31" s="494"/>
      <c r="AA31" s="73"/>
      <c r="AB31" s="73"/>
      <c r="AC31" s="74"/>
    </row>
    <row r="32" spans="1:29" ht="25.5" customHeight="1" thickBot="1">
      <c r="A32" s="82"/>
      <c r="B32" s="83"/>
      <c r="C32" s="83"/>
      <c r="D32" s="83"/>
      <c r="E32" s="495"/>
      <c r="F32" s="495"/>
      <c r="G32" s="495"/>
      <c r="H32" s="495"/>
      <c r="I32" s="495"/>
      <c r="J32" s="495"/>
      <c r="K32" s="495"/>
      <c r="L32" s="84"/>
      <c r="M32" s="84"/>
      <c r="N32" s="85"/>
      <c r="P32" s="82"/>
      <c r="Q32" s="83"/>
      <c r="R32" s="83"/>
      <c r="S32" s="83"/>
      <c r="T32" s="495"/>
      <c r="U32" s="495"/>
      <c r="V32" s="495"/>
      <c r="W32" s="495"/>
      <c r="X32" s="495"/>
      <c r="Y32" s="495"/>
      <c r="Z32" s="495"/>
      <c r="AA32" s="84"/>
      <c r="AB32" s="84"/>
      <c r="AC32" s="85"/>
    </row>
  </sheetData>
  <mergeCells count="6">
    <mergeCell ref="A1:N1"/>
    <mergeCell ref="E31:K32"/>
    <mergeCell ref="P1:AC1"/>
    <mergeCell ref="T31:Z32"/>
    <mergeCell ref="G29:M30"/>
    <mergeCell ref="V29:AC29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colBreaks count="1" manualBreakCount="1">
    <brk id="14" max="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fe03ea-8b69-4947-9101-36aab1225da6">
      <Terms xmlns="http://schemas.microsoft.com/office/infopath/2007/PartnerControls"/>
    </lcf76f155ced4ddcb4097134ff3c332f>
    <TaxCatchAll xmlns="0fd7f0fd-4562-4143-a7f1-276269a5d384" xsi:nil="true"/>
    <User xmlns="fafe03ea-8b69-4947-9101-36aab1225da6">
      <UserInfo>
        <DisplayName/>
        <AccountId xsi:nil="true"/>
        <AccountType/>
      </UserInfo>
    </User>
    <Description xmlns="fafe03ea-8b69-4947-9101-36aab1225da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DD28EF1209DEC48A970DDDB93544B7D" ma:contentTypeVersion="17" ma:contentTypeDescription="새 문서를 만듭니다." ma:contentTypeScope="" ma:versionID="74046605fe204a0752e4bfa5bc1570bb">
  <xsd:schema xmlns:xsd="http://www.w3.org/2001/XMLSchema" xmlns:xs="http://www.w3.org/2001/XMLSchema" xmlns:p="http://schemas.microsoft.com/office/2006/metadata/properties" xmlns:ns2="fafe03ea-8b69-4947-9101-36aab1225da6" xmlns:ns3="0fd7f0fd-4562-4143-a7f1-276269a5d384" targetNamespace="http://schemas.microsoft.com/office/2006/metadata/properties" ma:root="true" ma:fieldsID="af3551d98b6fc785585459350e49d0b4" ns2:_="" ns3:_="">
    <xsd:import namespace="fafe03ea-8b69-4947-9101-36aab1225da6"/>
    <xsd:import namespace="0fd7f0fd-4562-4143-a7f1-276269a5d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User" minOccurs="0"/>
                <xsd:element ref="ns2: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e03ea-8b69-4947-9101-36aab1225d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User" ma:index="23" nillable="true" ma:displayName="User" ma:format="Dropdown" ma:list="UserInfo" ma:SharePointGroup="0" ma:internalName="Us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scription" ma:index="24" nillable="true" ma:displayName="Description" ma:format="Dropdown" ma:internalName="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d7f0fd-4562-4143-a7f1-276269a5d38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98e606e-d84f-4495-a3cd-5e3f37618732}" ma:internalName="TaxCatchAll" ma:showField="CatchAllData" ma:web="0fd7f0fd-4562-4143-a7f1-276269a5d3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22461D-902A-416E-9DA2-3663A258DF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B4D1C2-B3EB-4841-99C1-DE89D6CFBB09}">
  <ds:schemaRefs>
    <ds:schemaRef ds:uri="http://purl.org/dc/terms/"/>
    <ds:schemaRef ds:uri="http://schemas.openxmlformats.org/package/2006/metadata/core-properties"/>
    <ds:schemaRef ds:uri="fafe03ea-8b69-4947-9101-36aab1225da6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0fd7f0fd-4562-4143-a7f1-276269a5d384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276ACDA-A70B-4B5C-97CB-5C3DED5658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fe03ea-8b69-4947-9101-36aab1225da6"/>
    <ds:schemaRef ds:uri="0fd7f0fd-4562-4143-a7f1-276269a5d3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8</vt:i4>
      </vt:variant>
    </vt:vector>
  </HeadingPairs>
  <TitlesOfParts>
    <vt:vector size="14" baseType="lpstr">
      <vt:lpstr>CI</vt:lpstr>
      <vt:lpstr>CI_BD</vt:lpstr>
      <vt:lpstr>PL</vt:lpstr>
      <vt:lpstr>Summary PL</vt:lpstr>
      <vt:lpstr>Detail PL</vt:lpstr>
      <vt:lpstr>Marking</vt:lpstr>
      <vt:lpstr>CI!Print_Area</vt:lpstr>
      <vt:lpstr>CI_BD!Print_Area</vt:lpstr>
      <vt:lpstr>'Detail PL'!Print_Area</vt:lpstr>
      <vt:lpstr>Marking!Print_Area</vt:lpstr>
      <vt:lpstr>PL!Print_Area</vt:lpstr>
      <vt:lpstr>'Summary PL'!Print_Area</vt:lpstr>
      <vt:lpstr>'Detail PL'!Print_Titles</vt:lpstr>
      <vt:lpstr>'Summary PL'!Print_Titles</vt:lpstr>
    </vt:vector>
  </TitlesOfParts>
  <Manager/>
  <Company>DHI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PL008564</dc:creator>
  <cp:keywords/>
  <dc:description/>
  <cp:lastModifiedBy>우재상(Jaesang Woo) 수석 두산에너빌리티</cp:lastModifiedBy>
  <cp:revision/>
  <cp:lastPrinted>2025-08-31T23:57:55Z</cp:lastPrinted>
  <dcterms:created xsi:type="dcterms:W3CDTF">2016-03-15T11:01:58Z</dcterms:created>
  <dcterms:modified xsi:type="dcterms:W3CDTF">2026-06-26T06:41:20Z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0x010100CDD28EF1209DEC48A970DDDB93544B7D</vt:lpwstr>
  </property>
  <property fmtid="{D5CDD505-2E9C-101B-9397-08002B2CF9AE}" pid="3" name="MediaServiceImageTags">
    <vt:lpwstr/>
  </property>
</Properties>
</file>