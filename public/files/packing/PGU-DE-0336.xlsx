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urkistan\15. Cable\Packing List\"/>
    </mc:Choice>
  </mc:AlternateContent>
  <xr:revisionPtr revIDLastSave="0" documentId="8_{9919BE6E-FB4E-4982-ACBC-411A1CD6595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I" sheetId="29" r:id="rId1"/>
    <sheet name="CI_BD" sheetId="31" r:id="rId2"/>
    <sheet name="PL" sheetId="30" r:id="rId3"/>
    <sheet name="Summary PL" sheetId="28" r:id="rId4"/>
    <sheet name="Detail PL " sheetId="22" r:id="rId5"/>
    <sheet name="Marking" sheetId="21" r:id="rId6"/>
  </sheets>
  <definedNames>
    <definedName name="_xlnm._FilterDatabase" localSheetId="1" hidden="1">CI_BD!$B$8:$K$138</definedName>
    <definedName name="_xlnm._FilterDatabase" localSheetId="4" hidden="1">'Detail PL '!$A$14:$V$982</definedName>
    <definedName name="_xlnm._FilterDatabase" localSheetId="3" hidden="1">'Summary PL'!$A$13:$P$144</definedName>
    <definedName name="AnnullaInseriscidata" localSheetId="1">#REF!</definedName>
    <definedName name="AnnullaInseriscidata">#REF!</definedName>
    <definedName name="InserisciData" localSheetId="1">#REF!</definedName>
    <definedName name="InserisciData">#REF!</definedName>
    <definedName name="_xlnm.Print_Area" localSheetId="0">CI!$A$1:$AC$58</definedName>
    <definedName name="_xlnm.Print_Area" localSheetId="1">CI_BD!$A$1:$K$138</definedName>
    <definedName name="_xlnm.Print_Area" localSheetId="4">'Detail PL '!$A$1:$Q$983</definedName>
    <definedName name="_xlnm.Print_Area" localSheetId="5">Marking!$A$1:$AD$96</definedName>
    <definedName name="_xlnm.Print_Area" localSheetId="2">PL!$A$1:$AC$58</definedName>
    <definedName name="_xlnm.Print_Area" localSheetId="3">'Summary PL'!$A$1:$P$144</definedName>
    <definedName name="_xlnm.Print_Titles" localSheetId="4">'Detail PL '!$13:$13</definedName>
    <definedName name="_xlnm.Print_Titles" localSheetId="3">'Summary PL'!$10:$13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7" i="31" l="1"/>
  <c r="I136" i="31"/>
  <c r="I135" i="31"/>
  <c r="I134" i="31"/>
  <c r="I133" i="31"/>
  <c r="I132" i="31"/>
  <c r="I131" i="31"/>
  <c r="I130" i="31"/>
  <c r="I129" i="31"/>
  <c r="I128" i="31"/>
  <c r="I127" i="31"/>
  <c r="I126" i="31"/>
  <c r="I125" i="31"/>
  <c r="I124" i="31"/>
  <c r="I123" i="31"/>
  <c r="I122" i="31"/>
  <c r="I121" i="31"/>
  <c r="I120" i="31"/>
  <c r="I119" i="31"/>
  <c r="I118" i="31"/>
  <c r="I117" i="31"/>
  <c r="I116" i="31"/>
  <c r="I115" i="31"/>
  <c r="I114" i="31"/>
  <c r="I113" i="31"/>
  <c r="I112" i="31"/>
  <c r="I111" i="31"/>
  <c r="I110" i="31"/>
  <c r="I109" i="31"/>
  <c r="I108" i="31"/>
  <c r="I107" i="31"/>
  <c r="I106" i="31"/>
  <c r="I105" i="31"/>
  <c r="I104" i="31"/>
  <c r="I103" i="31"/>
  <c r="I102" i="31"/>
  <c r="I101" i="31"/>
  <c r="I100" i="31"/>
  <c r="I99" i="31"/>
  <c r="I98" i="31"/>
  <c r="I97" i="31"/>
  <c r="I96" i="31"/>
  <c r="I95" i="31"/>
  <c r="I94" i="31"/>
  <c r="I93" i="31"/>
  <c r="I92" i="31"/>
  <c r="I91" i="31"/>
  <c r="I90" i="31"/>
  <c r="I89" i="31"/>
  <c r="I88" i="31"/>
  <c r="I87" i="31"/>
  <c r="I86" i="31"/>
  <c r="I85" i="31"/>
  <c r="I84" i="31"/>
  <c r="I83" i="31"/>
  <c r="I82" i="31"/>
  <c r="I81" i="31"/>
  <c r="I80" i="31"/>
  <c r="I79" i="31"/>
  <c r="I78" i="31"/>
  <c r="I77" i="31"/>
  <c r="I76" i="31"/>
  <c r="I75" i="31"/>
  <c r="I74" i="31"/>
  <c r="I73" i="31"/>
  <c r="I72" i="31"/>
  <c r="I71" i="31"/>
  <c r="I70" i="31"/>
  <c r="I69" i="31"/>
  <c r="I68" i="31"/>
  <c r="I67" i="31"/>
  <c r="I66" i="31"/>
  <c r="I65" i="31"/>
  <c r="I64" i="31"/>
  <c r="I63" i="31"/>
  <c r="I62" i="31"/>
  <c r="I61" i="31"/>
  <c r="I60" i="31"/>
  <c r="I59" i="31"/>
  <c r="I58" i="31"/>
  <c r="I57" i="31"/>
  <c r="I56" i="31"/>
  <c r="I55" i="31"/>
  <c r="I54" i="31"/>
  <c r="I53" i="31"/>
  <c r="I52" i="31"/>
  <c r="I51" i="31"/>
  <c r="I50" i="31"/>
  <c r="I49" i="31"/>
  <c r="I48" i="31"/>
  <c r="I47" i="31"/>
  <c r="I46" i="31"/>
  <c r="I45" i="31"/>
  <c r="I44" i="31"/>
  <c r="I43" i="31"/>
  <c r="I42" i="31"/>
  <c r="I41" i="31"/>
  <c r="I40" i="31"/>
  <c r="I39" i="31"/>
  <c r="I38" i="31"/>
  <c r="I37" i="31"/>
  <c r="I36" i="31"/>
  <c r="I35" i="31"/>
  <c r="I34" i="31"/>
  <c r="I33" i="31"/>
  <c r="I32" i="31"/>
  <c r="I31" i="31"/>
  <c r="I30" i="31"/>
  <c r="I29" i="31"/>
  <c r="I28" i="31"/>
  <c r="I27" i="31"/>
  <c r="I26" i="31"/>
  <c r="I25" i="31"/>
  <c r="I24" i="31"/>
  <c r="I23" i="31"/>
  <c r="I22" i="31"/>
  <c r="I21" i="31"/>
  <c r="I20" i="31"/>
  <c r="I19" i="31"/>
  <c r="I18" i="31"/>
  <c r="I17" i="31"/>
  <c r="I16" i="31"/>
  <c r="I15" i="31"/>
  <c r="I14" i="31"/>
  <c r="I13" i="31"/>
  <c r="I12" i="31"/>
  <c r="I11" i="31"/>
  <c r="I10" i="31"/>
  <c r="I9" i="31"/>
  <c r="I138" i="31" l="1"/>
  <c r="AC41" i="29" s="1"/>
  <c r="B41" i="30"/>
  <c r="J979" i="22" l="1"/>
  <c r="J978" i="22"/>
  <c r="K144" i="28"/>
  <c r="AC41" i="30" l="1"/>
  <c r="AC44" i="30" s="1"/>
  <c r="Y34" i="30"/>
  <c r="J982" i="22"/>
  <c r="J18" i="22"/>
  <c r="J20" i="22"/>
  <c r="J22" i="22"/>
  <c r="J24" i="22"/>
  <c r="J26" i="22"/>
  <c r="J28" i="22"/>
  <c r="J30" i="22"/>
  <c r="J32" i="22"/>
  <c r="J34" i="22"/>
  <c r="J36" i="22"/>
  <c r="J38" i="22"/>
  <c r="J40" i="22"/>
  <c r="J42" i="22"/>
  <c r="J44" i="22"/>
  <c r="J46" i="22"/>
  <c r="J53" i="22"/>
  <c r="J47" i="22"/>
  <c r="J48" i="22"/>
  <c r="J49" i="22"/>
  <c r="J50" i="22"/>
  <c r="J51" i="22"/>
  <c r="J52" i="22"/>
  <c r="J58" i="22"/>
  <c r="J54" i="22"/>
  <c r="J55" i="22"/>
  <c r="J56" i="22"/>
  <c r="J57" i="22"/>
  <c r="J64" i="22"/>
  <c r="J59" i="22"/>
  <c r="J60" i="22"/>
  <c r="J61" i="22"/>
  <c r="J62" i="22"/>
  <c r="J63" i="22"/>
  <c r="J66" i="22"/>
  <c r="J68" i="22"/>
  <c r="J70" i="22"/>
  <c r="J72" i="22"/>
  <c r="J79" i="22"/>
  <c r="J73" i="22"/>
  <c r="J74" i="22"/>
  <c r="J75" i="22"/>
  <c r="J76" i="22"/>
  <c r="J77" i="22"/>
  <c r="J78" i="22"/>
  <c r="J86" i="22"/>
  <c r="J80" i="22"/>
  <c r="J81" i="22"/>
  <c r="J82" i="22"/>
  <c r="J83" i="22"/>
  <c r="J84" i="22"/>
  <c r="J85" i="22"/>
  <c r="J98" i="22"/>
  <c r="J87" i="22"/>
  <c r="J88" i="22"/>
  <c r="J89" i="22"/>
  <c r="J90" i="22"/>
  <c r="J91" i="22"/>
  <c r="J92" i="22"/>
  <c r="J93" i="22"/>
  <c r="J94" i="22"/>
  <c r="J95" i="22"/>
  <c r="J96" i="22"/>
  <c r="J97" i="22"/>
  <c r="J107" i="22"/>
  <c r="J99" i="22"/>
  <c r="J100" i="22"/>
  <c r="J101" i="22"/>
  <c r="J102" i="22"/>
  <c r="J103" i="22"/>
  <c r="J104" i="22"/>
  <c r="J105" i="22"/>
  <c r="J106" i="22"/>
  <c r="J118" i="22"/>
  <c r="J108" i="22"/>
  <c r="J109" i="22"/>
  <c r="J110" i="22"/>
  <c r="J111" i="22"/>
  <c r="J112" i="22"/>
  <c r="J113" i="22"/>
  <c r="J114" i="22"/>
  <c r="J115" i="22"/>
  <c r="J116" i="22"/>
  <c r="J117" i="22"/>
  <c r="J128" i="22"/>
  <c r="J119" i="22"/>
  <c r="J120" i="22"/>
  <c r="J121" i="22"/>
  <c r="J122" i="22"/>
  <c r="J123" i="22"/>
  <c r="J124" i="22"/>
  <c r="J125" i="22"/>
  <c r="J126" i="22"/>
  <c r="J127" i="22"/>
  <c r="J139" i="22"/>
  <c r="J129" i="22"/>
  <c r="J130" i="22"/>
  <c r="J131" i="22"/>
  <c r="J132" i="22"/>
  <c r="J133" i="22"/>
  <c r="J134" i="22"/>
  <c r="J135" i="22"/>
  <c r="J136" i="22"/>
  <c r="J137" i="22"/>
  <c r="J138" i="22"/>
  <c r="J149" i="22"/>
  <c r="J140" i="22"/>
  <c r="J141" i="22"/>
  <c r="J142" i="22"/>
  <c r="J143" i="22"/>
  <c r="J144" i="22"/>
  <c r="J145" i="22"/>
  <c r="J146" i="22"/>
  <c r="J147" i="22"/>
  <c r="J148" i="22"/>
  <c r="J163" i="22"/>
  <c r="J150" i="22"/>
  <c r="J151" i="22"/>
  <c r="J152" i="22"/>
  <c r="J153" i="22"/>
  <c r="J154" i="22"/>
  <c r="J155" i="22"/>
  <c r="J156" i="22"/>
  <c r="J157" i="22"/>
  <c r="J158" i="22"/>
  <c r="J159" i="22"/>
  <c r="J160" i="22"/>
  <c r="J161" i="22"/>
  <c r="J162" i="22"/>
  <c r="J174" i="22"/>
  <c r="J164" i="22"/>
  <c r="J165" i="22"/>
  <c r="J166" i="22"/>
  <c r="J167" i="22"/>
  <c r="J168" i="22"/>
  <c r="J169" i="22"/>
  <c r="J170" i="22"/>
  <c r="J171" i="22"/>
  <c r="J172" i="22"/>
  <c r="J173" i="22"/>
  <c r="J209" i="22"/>
  <c r="J175" i="22"/>
  <c r="J176" i="22"/>
  <c r="J177" i="22"/>
  <c r="J178" i="22"/>
  <c r="J179" i="22"/>
  <c r="J180" i="22"/>
  <c r="J181" i="22"/>
  <c r="J182" i="22"/>
  <c r="J183" i="22"/>
  <c r="J184" i="22"/>
  <c r="J185" i="22"/>
  <c r="J186" i="22"/>
  <c r="J187" i="22"/>
  <c r="J188" i="22"/>
  <c r="J189" i="22"/>
  <c r="J190" i="22"/>
  <c r="J191" i="22"/>
  <c r="J192" i="22"/>
  <c r="J193" i="22"/>
  <c r="J194" i="22"/>
  <c r="J195" i="22"/>
  <c r="J196" i="22"/>
  <c r="J197" i="22"/>
  <c r="J198" i="22"/>
  <c r="J199" i="22"/>
  <c r="J200" i="22"/>
  <c r="J201" i="22"/>
  <c r="J202" i="22"/>
  <c r="J203" i="22"/>
  <c r="J204" i="22"/>
  <c r="J205" i="22"/>
  <c r="J206" i="22"/>
  <c r="J207" i="22"/>
  <c r="J208" i="22"/>
  <c r="J243" i="22"/>
  <c r="J210" i="22"/>
  <c r="J211" i="22"/>
  <c r="J212" i="22"/>
  <c r="J213" i="22"/>
  <c r="J214" i="22"/>
  <c r="J215" i="22"/>
  <c r="J216" i="22"/>
  <c r="J217" i="22"/>
  <c r="J218" i="22"/>
  <c r="J219" i="22"/>
  <c r="J220" i="22"/>
  <c r="J221" i="22"/>
  <c r="J222" i="22"/>
  <c r="J223" i="22"/>
  <c r="J224" i="22"/>
  <c r="J225" i="22"/>
  <c r="J226" i="22"/>
  <c r="J227" i="22"/>
  <c r="J228" i="22"/>
  <c r="J229" i="22"/>
  <c r="J230" i="22"/>
  <c r="J231" i="22"/>
  <c r="J232" i="22"/>
  <c r="J233" i="22"/>
  <c r="J234" i="22"/>
  <c r="J235" i="22"/>
  <c r="J236" i="22"/>
  <c r="J237" i="22"/>
  <c r="J238" i="22"/>
  <c r="J239" i="22"/>
  <c r="J240" i="22"/>
  <c r="J241" i="22"/>
  <c r="J242" i="22"/>
  <c r="J288" i="22"/>
  <c r="J244" i="22"/>
  <c r="J245" i="22"/>
  <c r="J246" i="22"/>
  <c r="J247" i="22"/>
  <c r="J248" i="22"/>
  <c r="J249" i="22"/>
  <c r="J250" i="22"/>
  <c r="J251" i="22"/>
  <c r="J252" i="22"/>
  <c r="J253" i="22"/>
  <c r="J254" i="22"/>
  <c r="J255" i="22"/>
  <c r="J256" i="22"/>
  <c r="J257" i="22"/>
  <c r="J258" i="22"/>
  <c r="J259" i="22"/>
  <c r="J260" i="22"/>
  <c r="J261" i="22"/>
  <c r="J262" i="22"/>
  <c r="J263" i="22"/>
  <c r="J264" i="22"/>
  <c r="J265" i="22"/>
  <c r="J266" i="22"/>
  <c r="J267" i="22"/>
  <c r="J268" i="22"/>
  <c r="J269" i="22"/>
  <c r="J270" i="22"/>
  <c r="J271" i="22"/>
  <c r="J272" i="22"/>
  <c r="J273" i="22"/>
  <c r="J274" i="22"/>
  <c r="J275" i="22"/>
  <c r="J276" i="22"/>
  <c r="J277" i="22"/>
  <c r="J278" i="22"/>
  <c r="J279" i="22"/>
  <c r="J280" i="22"/>
  <c r="J281" i="22"/>
  <c r="J282" i="22"/>
  <c r="J283" i="22"/>
  <c r="J284" i="22"/>
  <c r="J285" i="22"/>
  <c r="J286" i="22"/>
  <c r="J287" i="22"/>
  <c r="J317" i="22"/>
  <c r="J289" i="22"/>
  <c r="J290" i="22"/>
  <c r="J291" i="22"/>
  <c r="J292" i="22"/>
  <c r="J293" i="22"/>
  <c r="J294" i="22"/>
  <c r="J295" i="22"/>
  <c r="J296" i="22"/>
  <c r="J297" i="22"/>
  <c r="J298" i="22"/>
  <c r="J299" i="22"/>
  <c r="J300" i="22"/>
  <c r="J301" i="22"/>
  <c r="J302" i="22"/>
  <c r="J303" i="22"/>
  <c r="J304" i="22"/>
  <c r="J305" i="22"/>
  <c r="J306" i="22"/>
  <c r="J307" i="22"/>
  <c r="J308" i="22"/>
  <c r="J309" i="22"/>
  <c r="J310" i="22"/>
  <c r="J311" i="22"/>
  <c r="J312" i="22"/>
  <c r="J313" i="22"/>
  <c r="J314" i="22"/>
  <c r="J315" i="22"/>
  <c r="J316" i="22"/>
  <c r="J353" i="22"/>
  <c r="J318" i="22"/>
  <c r="J319" i="22"/>
  <c r="J320" i="22"/>
  <c r="J321" i="22"/>
  <c r="J322" i="22"/>
  <c r="J323" i="22"/>
  <c r="J324" i="22"/>
  <c r="J325" i="22"/>
  <c r="J326" i="22"/>
  <c r="J327" i="22"/>
  <c r="J328" i="22"/>
  <c r="J329" i="22"/>
  <c r="J330" i="22"/>
  <c r="J331" i="22"/>
  <c r="J332" i="22"/>
  <c r="J333" i="22"/>
  <c r="J334" i="22"/>
  <c r="J335" i="22"/>
  <c r="J336" i="22"/>
  <c r="J337" i="22"/>
  <c r="J338" i="22"/>
  <c r="J339" i="22"/>
  <c r="J340" i="22"/>
  <c r="J341" i="22"/>
  <c r="J342" i="22"/>
  <c r="J343" i="22"/>
  <c r="J344" i="22"/>
  <c r="J345" i="22"/>
  <c r="J346" i="22"/>
  <c r="J347" i="22"/>
  <c r="J348" i="22"/>
  <c r="J349" i="22"/>
  <c r="J350" i="22"/>
  <c r="J351" i="22"/>
  <c r="J352" i="22"/>
  <c r="J375" i="22"/>
  <c r="J354" i="22"/>
  <c r="J355" i="22"/>
  <c r="J356" i="22"/>
  <c r="J357" i="22"/>
  <c r="J358" i="22"/>
  <c r="J359" i="22"/>
  <c r="J360" i="22"/>
  <c r="J361" i="22"/>
  <c r="J362" i="22"/>
  <c r="J363" i="22"/>
  <c r="J364" i="22"/>
  <c r="J365" i="22"/>
  <c r="J366" i="22"/>
  <c r="J367" i="22"/>
  <c r="J368" i="22"/>
  <c r="J369" i="22"/>
  <c r="J370" i="22"/>
  <c r="J371" i="22"/>
  <c r="J372" i="22"/>
  <c r="J373" i="22"/>
  <c r="J374" i="22"/>
  <c r="J407" i="22"/>
  <c r="J376" i="22"/>
  <c r="J377" i="22"/>
  <c r="J378" i="22"/>
  <c r="J379" i="22"/>
  <c r="J380" i="22"/>
  <c r="J381" i="22"/>
  <c r="J382" i="22"/>
  <c r="J383" i="22"/>
  <c r="J384" i="22"/>
  <c r="J385" i="22"/>
  <c r="J386" i="22"/>
  <c r="J387" i="22"/>
  <c r="J388" i="22"/>
  <c r="J389" i="22"/>
  <c r="J390" i="22"/>
  <c r="J391" i="22"/>
  <c r="J392" i="22"/>
  <c r="J393" i="22"/>
  <c r="J394" i="22"/>
  <c r="J395" i="22"/>
  <c r="J396" i="22"/>
  <c r="J397" i="22"/>
  <c r="J398" i="22"/>
  <c r="J399" i="22"/>
  <c r="J400" i="22"/>
  <c r="J401" i="22"/>
  <c r="J402" i="22"/>
  <c r="J403" i="22"/>
  <c r="J404" i="22"/>
  <c r="J405" i="22"/>
  <c r="J406" i="22"/>
  <c r="J425" i="22"/>
  <c r="J408" i="22"/>
  <c r="J409" i="22"/>
  <c r="J410" i="22"/>
  <c r="J411" i="22"/>
  <c r="J412" i="22"/>
  <c r="J413" i="22"/>
  <c r="J414" i="22"/>
  <c r="J415" i="22"/>
  <c r="J416" i="22"/>
  <c r="J417" i="22"/>
  <c r="J418" i="22"/>
  <c r="J419" i="22"/>
  <c r="J420" i="22"/>
  <c r="J421" i="22"/>
  <c r="J422" i="22"/>
  <c r="J423" i="22"/>
  <c r="J424" i="22"/>
  <c r="J440" i="22"/>
  <c r="J426" i="22"/>
  <c r="J427" i="22"/>
  <c r="J428" i="22"/>
  <c r="J429" i="22"/>
  <c r="J430" i="22"/>
  <c r="J431" i="22"/>
  <c r="J432" i="22"/>
  <c r="J433" i="22"/>
  <c r="J434" i="22"/>
  <c r="J435" i="22"/>
  <c r="J436" i="22"/>
  <c r="J437" i="22"/>
  <c r="J438" i="22"/>
  <c r="J439" i="22"/>
  <c r="J487" i="22"/>
  <c r="J441" i="22"/>
  <c r="J442" i="22"/>
  <c r="J443" i="22"/>
  <c r="J444" i="22"/>
  <c r="J445" i="22"/>
  <c r="J446" i="22"/>
  <c r="J447" i="22"/>
  <c r="J448" i="22"/>
  <c r="J449" i="22"/>
  <c r="J450" i="22"/>
  <c r="J451" i="22"/>
  <c r="J452" i="22"/>
  <c r="J453" i="22"/>
  <c r="J454" i="22"/>
  <c r="J455" i="22"/>
  <c r="J456" i="22"/>
  <c r="J457" i="22"/>
  <c r="J458" i="22"/>
  <c r="J459" i="22"/>
  <c r="J460" i="22"/>
  <c r="J461" i="22"/>
  <c r="J462" i="22"/>
  <c r="J463" i="22"/>
  <c r="J464" i="22"/>
  <c r="J465" i="22"/>
  <c r="J466" i="22"/>
  <c r="J467" i="22"/>
  <c r="J468" i="22"/>
  <c r="J469" i="22"/>
  <c r="J470" i="22"/>
  <c r="J471" i="22"/>
  <c r="J472" i="22"/>
  <c r="J473" i="22"/>
  <c r="J474" i="22"/>
  <c r="J475" i="22"/>
  <c r="J476" i="22"/>
  <c r="J477" i="22"/>
  <c r="J478" i="22"/>
  <c r="J479" i="22"/>
  <c r="J480" i="22"/>
  <c r="J481" i="22"/>
  <c r="J482" i="22"/>
  <c r="J483" i="22"/>
  <c r="J484" i="22"/>
  <c r="J485" i="22"/>
  <c r="J486" i="22"/>
  <c r="J490" i="22"/>
  <c r="J488" i="22"/>
  <c r="J489" i="22"/>
  <c r="J495" i="22"/>
  <c r="J491" i="22"/>
  <c r="J492" i="22"/>
  <c r="J493" i="22"/>
  <c r="J494" i="22"/>
  <c r="J500" i="22"/>
  <c r="J496" i="22"/>
  <c r="J497" i="22"/>
  <c r="J498" i="22"/>
  <c r="J499" i="22"/>
  <c r="J502" i="22"/>
  <c r="J513" i="22"/>
  <c r="J503" i="22"/>
  <c r="J504" i="22"/>
  <c r="J505" i="22"/>
  <c r="J506" i="22"/>
  <c r="J507" i="22"/>
  <c r="J508" i="22"/>
  <c r="J509" i="22"/>
  <c r="J510" i="22"/>
  <c r="J511" i="22"/>
  <c r="J512" i="22"/>
  <c r="J515" i="22"/>
  <c r="J517" i="22"/>
  <c r="J519" i="22"/>
  <c r="J537" i="22"/>
  <c r="J520" i="22"/>
  <c r="J521" i="22"/>
  <c r="J522" i="22"/>
  <c r="J523" i="22"/>
  <c r="J524" i="22"/>
  <c r="J525" i="22"/>
  <c r="J526" i="22"/>
  <c r="J527" i="22"/>
  <c r="J528" i="22"/>
  <c r="J529" i="22"/>
  <c r="J530" i="22"/>
  <c r="J531" i="22"/>
  <c r="J532" i="22"/>
  <c r="J533" i="22"/>
  <c r="J534" i="22"/>
  <c r="J535" i="22"/>
  <c r="J536" i="22"/>
  <c r="J540" i="22"/>
  <c r="J538" i="22"/>
  <c r="J539" i="22"/>
  <c r="J546" i="22"/>
  <c r="J541" i="22"/>
  <c r="J542" i="22"/>
  <c r="J543" i="22"/>
  <c r="J544" i="22"/>
  <c r="J545" i="22"/>
  <c r="J551" i="22"/>
  <c r="J547" i="22"/>
  <c r="J548" i="22"/>
  <c r="J549" i="22"/>
  <c r="J550" i="22"/>
  <c r="J553" i="22"/>
  <c r="J555" i="22"/>
  <c r="J557" i="22"/>
  <c r="J559" i="22"/>
  <c r="J561" i="22"/>
  <c r="J563" i="22"/>
  <c r="J565" i="22"/>
  <c r="J567" i="22"/>
  <c r="J569" i="22"/>
  <c r="J571" i="22"/>
  <c r="J573" i="22"/>
  <c r="J575" i="22"/>
  <c r="J577" i="22"/>
  <c r="J579" i="22"/>
  <c r="J581" i="22"/>
  <c r="J583" i="22"/>
  <c r="J585" i="22"/>
  <c r="J587" i="22"/>
  <c r="J589" i="22"/>
  <c r="J591" i="22"/>
  <c r="J593" i="22"/>
  <c r="J595" i="22"/>
  <c r="J598" i="22"/>
  <c r="J596" i="22"/>
  <c r="J597" i="22"/>
  <c r="J643" i="22"/>
  <c r="J599" i="22"/>
  <c r="J600" i="22"/>
  <c r="J601" i="22"/>
  <c r="J602" i="22"/>
  <c r="J603" i="22"/>
  <c r="J604" i="22"/>
  <c r="J605" i="22"/>
  <c r="J606" i="22"/>
  <c r="J607" i="22"/>
  <c r="J608" i="22"/>
  <c r="J609" i="22"/>
  <c r="J610" i="22"/>
  <c r="J611" i="22"/>
  <c r="J612" i="22"/>
  <c r="J613" i="22"/>
  <c r="J614" i="22"/>
  <c r="J615" i="22"/>
  <c r="J616" i="22"/>
  <c r="J617" i="22"/>
  <c r="J618" i="22"/>
  <c r="J619" i="22"/>
  <c r="J620" i="22"/>
  <c r="J621" i="22"/>
  <c r="J622" i="22"/>
  <c r="J623" i="22"/>
  <c r="J624" i="22"/>
  <c r="J625" i="22"/>
  <c r="J626" i="22"/>
  <c r="J627" i="22"/>
  <c r="J628" i="22"/>
  <c r="J629" i="22"/>
  <c r="J630" i="22"/>
  <c r="J631" i="22"/>
  <c r="J632" i="22"/>
  <c r="J633" i="22"/>
  <c r="J634" i="22"/>
  <c r="J635" i="22"/>
  <c r="J636" i="22"/>
  <c r="J637" i="22"/>
  <c r="J638" i="22"/>
  <c r="J639" i="22"/>
  <c r="J640" i="22"/>
  <c r="J641" i="22"/>
  <c r="J642" i="22"/>
  <c r="J659" i="22"/>
  <c r="J644" i="22"/>
  <c r="J645" i="22"/>
  <c r="J646" i="22"/>
  <c r="J647" i="22"/>
  <c r="J648" i="22"/>
  <c r="J649" i="22"/>
  <c r="J650" i="22"/>
  <c r="J651" i="22"/>
  <c r="J652" i="22"/>
  <c r="J653" i="22"/>
  <c r="J654" i="22"/>
  <c r="J655" i="22"/>
  <c r="J656" i="22"/>
  <c r="J657" i="22"/>
  <c r="J658" i="22"/>
  <c r="J670" i="22"/>
  <c r="J660" i="22"/>
  <c r="J661" i="22"/>
  <c r="J662" i="22"/>
  <c r="J663" i="22"/>
  <c r="J664" i="22"/>
  <c r="J665" i="22"/>
  <c r="J666" i="22"/>
  <c r="J667" i="22"/>
  <c r="J668" i="22"/>
  <c r="J669" i="22"/>
  <c r="J681" i="22"/>
  <c r="J671" i="22"/>
  <c r="J672" i="22"/>
  <c r="J673" i="22"/>
  <c r="J674" i="22"/>
  <c r="J675" i="22"/>
  <c r="J676" i="22"/>
  <c r="J677" i="22"/>
  <c r="J678" i="22"/>
  <c r="J679" i="22"/>
  <c r="J680" i="22"/>
  <c r="J685" i="22"/>
  <c r="J682" i="22"/>
  <c r="J683" i="22"/>
  <c r="J684" i="22"/>
  <c r="J688" i="22"/>
  <c r="J686" i="22"/>
  <c r="J687" i="22"/>
  <c r="J694" i="22"/>
  <c r="J689" i="22"/>
  <c r="J690" i="22"/>
  <c r="J691" i="22"/>
  <c r="J692" i="22"/>
  <c r="J693" i="22"/>
  <c r="J702" i="22"/>
  <c r="J695" i="22"/>
  <c r="J696" i="22"/>
  <c r="J697" i="22"/>
  <c r="J698" i="22"/>
  <c r="J699" i="22"/>
  <c r="J700" i="22"/>
  <c r="J701" i="22"/>
  <c r="J712" i="22"/>
  <c r="J703" i="22"/>
  <c r="J704" i="22"/>
  <c r="J705" i="22"/>
  <c r="J706" i="22"/>
  <c r="J707" i="22"/>
  <c r="J708" i="22"/>
  <c r="J709" i="22"/>
  <c r="J710" i="22"/>
  <c r="J711" i="22"/>
  <c r="J714" i="22"/>
  <c r="J713" i="22"/>
  <c r="J717" i="22"/>
  <c r="J715" i="22"/>
  <c r="J716" i="22"/>
  <c r="J719" i="22"/>
  <c r="J718" i="22"/>
  <c r="J721" i="22"/>
  <c r="J720" i="22"/>
  <c r="J723" i="22"/>
  <c r="J722" i="22"/>
  <c r="J725" i="22"/>
  <c r="J724" i="22"/>
  <c r="J727" i="22"/>
  <c r="J726" i="22"/>
  <c r="J729" i="22"/>
  <c r="J728" i="22"/>
  <c r="J731" i="22"/>
  <c r="J730" i="22"/>
  <c r="J733" i="22"/>
  <c r="J732" i="22"/>
  <c r="J742" i="22"/>
  <c r="J734" i="22"/>
  <c r="J735" i="22"/>
  <c r="J736" i="22"/>
  <c r="J737" i="22"/>
  <c r="J738" i="22"/>
  <c r="J739" i="22"/>
  <c r="J740" i="22"/>
  <c r="J741" i="22"/>
  <c r="J748" i="22"/>
  <c r="J743" i="22"/>
  <c r="J744" i="22"/>
  <c r="J745" i="22"/>
  <c r="J746" i="22"/>
  <c r="J747" i="22"/>
  <c r="J754" i="22"/>
  <c r="J749" i="22"/>
  <c r="J750" i="22"/>
  <c r="J751" i="22"/>
  <c r="J752" i="22"/>
  <c r="J753" i="22"/>
  <c r="J756" i="22"/>
  <c r="J755" i="22"/>
  <c r="J768" i="22"/>
  <c r="J757" i="22"/>
  <c r="J758" i="22"/>
  <c r="J759" i="22"/>
  <c r="J760" i="22"/>
  <c r="J761" i="22"/>
  <c r="J762" i="22"/>
  <c r="J763" i="22"/>
  <c r="J764" i="22"/>
  <c r="J765" i="22"/>
  <c r="J766" i="22"/>
  <c r="J767" i="22"/>
  <c r="J770" i="22"/>
  <c r="J769" i="22"/>
  <c r="J772" i="22"/>
  <c r="J771" i="22"/>
  <c r="J776" i="22"/>
  <c r="J773" i="22"/>
  <c r="J774" i="22"/>
  <c r="J775" i="22"/>
  <c r="J782" i="22"/>
  <c r="J777" i="22"/>
  <c r="J778" i="22"/>
  <c r="J779" i="22"/>
  <c r="J780" i="22"/>
  <c r="J781" i="22"/>
  <c r="J788" i="22"/>
  <c r="J783" i="22"/>
  <c r="J784" i="22"/>
  <c r="J785" i="22"/>
  <c r="J786" i="22"/>
  <c r="J787" i="22"/>
  <c r="J794" i="22"/>
  <c r="J789" i="22"/>
  <c r="J790" i="22"/>
  <c r="J791" i="22"/>
  <c r="J792" i="22"/>
  <c r="J793" i="22"/>
  <c r="J804" i="22"/>
  <c r="J795" i="22"/>
  <c r="J796" i="22"/>
  <c r="J797" i="22"/>
  <c r="J798" i="22"/>
  <c r="J799" i="22"/>
  <c r="J800" i="22"/>
  <c r="J801" i="22"/>
  <c r="J802" i="22"/>
  <c r="J803" i="22"/>
  <c r="J814" i="22"/>
  <c r="J805" i="22"/>
  <c r="J806" i="22"/>
  <c r="J807" i="22"/>
  <c r="J808" i="22"/>
  <c r="J809" i="22"/>
  <c r="J810" i="22"/>
  <c r="J811" i="22"/>
  <c r="J812" i="22"/>
  <c r="J813" i="22"/>
  <c r="J823" i="22"/>
  <c r="J815" i="22"/>
  <c r="J816" i="22"/>
  <c r="J817" i="22"/>
  <c r="J818" i="22"/>
  <c r="J819" i="22"/>
  <c r="J820" i="22"/>
  <c r="J821" i="22"/>
  <c r="J822" i="22"/>
  <c r="J832" i="22"/>
  <c r="J824" i="22"/>
  <c r="J825" i="22"/>
  <c r="J826" i="22"/>
  <c r="J827" i="22"/>
  <c r="J828" i="22"/>
  <c r="J829" i="22"/>
  <c r="J830" i="22"/>
  <c r="J831" i="22"/>
  <c r="J843" i="22"/>
  <c r="J833" i="22"/>
  <c r="J834" i="22"/>
  <c r="J835" i="22"/>
  <c r="J836" i="22"/>
  <c r="J837" i="22"/>
  <c r="J838" i="22"/>
  <c r="J839" i="22"/>
  <c r="J840" i="22"/>
  <c r="J841" i="22"/>
  <c r="J842" i="22"/>
  <c r="J857" i="22"/>
  <c r="J844" i="22"/>
  <c r="J845" i="22"/>
  <c r="J846" i="22"/>
  <c r="J847" i="22"/>
  <c r="J848" i="22"/>
  <c r="J849" i="22"/>
  <c r="J850" i="22"/>
  <c r="J851" i="22"/>
  <c r="J852" i="22"/>
  <c r="J853" i="22"/>
  <c r="J854" i="22"/>
  <c r="J855" i="22"/>
  <c r="J856" i="22"/>
  <c r="J871" i="22"/>
  <c r="J858" i="22"/>
  <c r="J859" i="22"/>
  <c r="J860" i="22"/>
  <c r="J861" i="22"/>
  <c r="J862" i="22"/>
  <c r="J863" i="22"/>
  <c r="J864" i="22"/>
  <c r="J865" i="22"/>
  <c r="J866" i="22"/>
  <c r="J867" i="22"/>
  <c r="J868" i="22"/>
  <c r="J869" i="22"/>
  <c r="J870" i="22"/>
  <c r="J878" i="22"/>
  <c r="J872" i="22"/>
  <c r="J873" i="22"/>
  <c r="J874" i="22"/>
  <c r="J875" i="22"/>
  <c r="J876" i="22"/>
  <c r="J877" i="22"/>
  <c r="J886" i="22"/>
  <c r="J879" i="22"/>
  <c r="J880" i="22"/>
  <c r="J881" i="22"/>
  <c r="J882" i="22"/>
  <c r="J883" i="22"/>
  <c r="J884" i="22"/>
  <c r="J885" i="22"/>
  <c r="J894" i="22"/>
  <c r="J887" i="22"/>
  <c r="J888" i="22"/>
  <c r="J889" i="22"/>
  <c r="J890" i="22"/>
  <c r="J891" i="22"/>
  <c r="J892" i="22"/>
  <c r="J893" i="22"/>
  <c r="J905" i="22"/>
  <c r="J895" i="22"/>
  <c r="J896" i="22"/>
  <c r="J897" i="22"/>
  <c r="J898" i="22"/>
  <c r="J899" i="22"/>
  <c r="J900" i="22"/>
  <c r="J901" i="22"/>
  <c r="J902" i="22"/>
  <c r="J903" i="22"/>
  <c r="J904" i="22"/>
  <c r="J917" i="22"/>
  <c r="J906" i="22"/>
  <c r="J907" i="22"/>
  <c r="J908" i="22"/>
  <c r="J909" i="22"/>
  <c r="J910" i="22"/>
  <c r="J911" i="22"/>
  <c r="J912" i="22"/>
  <c r="J913" i="22"/>
  <c r="J914" i="22"/>
  <c r="J915" i="22"/>
  <c r="J916" i="22"/>
  <c r="J925" i="22"/>
  <c r="J918" i="22"/>
  <c r="J919" i="22"/>
  <c r="J920" i="22"/>
  <c r="J921" i="22"/>
  <c r="J922" i="22"/>
  <c r="J923" i="22"/>
  <c r="J924" i="22"/>
  <c r="J932" i="22"/>
  <c r="J926" i="22"/>
  <c r="J927" i="22"/>
  <c r="J928" i="22"/>
  <c r="J929" i="22"/>
  <c r="J930" i="22"/>
  <c r="J931" i="22"/>
  <c r="J943" i="22"/>
  <c r="J933" i="22"/>
  <c r="J934" i="22"/>
  <c r="J935" i="22"/>
  <c r="J936" i="22"/>
  <c r="J937" i="22"/>
  <c r="J938" i="22"/>
  <c r="J939" i="22"/>
  <c r="J940" i="22"/>
  <c r="J941" i="22"/>
  <c r="J942" i="22"/>
  <c r="J959" i="22"/>
  <c r="J944" i="22"/>
  <c r="J945" i="22"/>
  <c r="J946" i="22"/>
  <c r="J947" i="22"/>
  <c r="J948" i="22"/>
  <c r="J949" i="22"/>
  <c r="J950" i="22"/>
  <c r="J951" i="22"/>
  <c r="J952" i="22"/>
  <c r="J953" i="22"/>
  <c r="J954" i="22"/>
  <c r="J955" i="22"/>
  <c r="J956" i="22"/>
  <c r="J957" i="22"/>
  <c r="J958" i="22"/>
  <c r="J966" i="22"/>
  <c r="J960" i="22"/>
  <c r="J961" i="22"/>
  <c r="J962" i="22"/>
  <c r="J963" i="22"/>
  <c r="J964" i="22"/>
  <c r="J965" i="22"/>
  <c r="J969" i="22"/>
  <c r="J967" i="22"/>
  <c r="J968" i="22"/>
  <c r="J971" i="22"/>
  <c r="J970" i="22"/>
  <c r="J972" i="22"/>
  <c r="J973" i="22"/>
  <c r="J974" i="22"/>
  <c r="J975" i="22"/>
  <c r="J976" i="22"/>
  <c r="J977" i="22"/>
  <c r="J981" i="22"/>
  <c r="J980" i="22"/>
  <c r="J16" i="22"/>
  <c r="Y31" i="30"/>
  <c r="K768" i="22" l="1"/>
  <c r="K685" i="22"/>
  <c r="K551" i="22"/>
  <c r="K513" i="22"/>
  <c r="K487" i="22"/>
  <c r="K440" i="22"/>
  <c r="K425" i="22"/>
  <c r="K407" i="22"/>
  <c r="K375" i="22"/>
  <c r="K353" i="22"/>
  <c r="K317" i="22"/>
  <c r="K288" i="22"/>
  <c r="K243" i="22"/>
  <c r="L487" i="22" l="1"/>
  <c r="K733" i="22" l="1"/>
  <c r="K742" i="22"/>
  <c r="K731" i="22"/>
  <c r="K729" i="22"/>
  <c r="K727" i="22"/>
  <c r="K723" i="22"/>
  <c r="K721" i="22"/>
  <c r="K719" i="22"/>
  <c r="K717" i="22"/>
  <c r="K714" i="22"/>
  <c r="K712" i="22"/>
  <c r="K681" i="22"/>
  <c r="K670" i="22"/>
  <c r="K659" i="22"/>
  <c r="K557" i="22"/>
  <c r="K559" i="22"/>
  <c r="K561" i="22"/>
  <c r="K563" i="22"/>
  <c r="K565" i="22"/>
  <c r="K567" i="22"/>
  <c r="K569" i="22"/>
  <c r="K571" i="22"/>
  <c r="K573" i="22"/>
  <c r="K575" i="22"/>
  <c r="K577" i="22"/>
  <c r="K579" i="22"/>
  <c r="K581" i="22"/>
  <c r="K583" i="22"/>
  <c r="K585" i="22"/>
  <c r="K587" i="22"/>
  <c r="K589" i="22"/>
  <c r="K591" i="22"/>
  <c r="K593" i="22"/>
  <c r="K595" i="22"/>
  <c r="K555" i="22"/>
  <c r="K641" i="22"/>
  <c r="K629" i="22"/>
  <c r="K628" i="22"/>
  <c r="K627" i="22"/>
  <c r="K209" i="22"/>
  <c r="K174" i="22"/>
  <c r="K163" i="22"/>
  <c r="K149" i="22"/>
  <c r="K139" i="22"/>
  <c r="K128" i="22"/>
  <c r="K118" i="22"/>
  <c r="K107" i="22"/>
  <c r="K98" i="22"/>
  <c r="K86" i="22"/>
  <c r="K79" i="22"/>
  <c r="K643" i="22" l="1"/>
  <c r="E707" i="22"/>
  <c r="V87" i="21" l="1"/>
  <c r="V84" i="21"/>
  <c r="V81" i="21"/>
  <c r="V78" i="21"/>
  <c r="G81" i="21"/>
  <c r="G78" i="21"/>
  <c r="V55" i="21"/>
  <c r="V52" i="21"/>
  <c r="V49" i="21"/>
  <c r="V46" i="21"/>
  <c r="G55" i="21"/>
  <c r="G52" i="21"/>
  <c r="G49" i="21"/>
  <c r="G46" i="21"/>
  <c r="V23" i="21"/>
  <c r="V20" i="21"/>
  <c r="V17" i="21"/>
  <c r="V14" i="21"/>
  <c r="G14" i="21"/>
  <c r="G17" i="21"/>
  <c r="G23" i="21"/>
  <c r="G20" i="21"/>
  <c r="L537" i="22"/>
  <c r="L519" i="22"/>
  <c r="G84" i="21" l="1"/>
  <c r="L288" i="22"/>
  <c r="V90" i="21" l="1"/>
  <c r="G90" i="21"/>
  <c r="G58" i="21"/>
  <c r="V26" i="21"/>
  <c r="V58" i="21"/>
  <c r="G26" i="21"/>
  <c r="L425" i="22"/>
  <c r="L407" i="22"/>
  <c r="L375" i="22"/>
  <c r="L353" i="22"/>
  <c r="L317" i="22"/>
  <c r="L243" i="22"/>
  <c r="L209" i="22"/>
  <c r="L174" i="22"/>
  <c r="L163" i="22"/>
  <c r="L149" i="22"/>
  <c r="L139" i="22"/>
  <c r="L128" i="22"/>
  <c r="L107" i="22"/>
  <c r="L98" i="22"/>
  <c r="L86" i="22"/>
  <c r="L79" i="22"/>
  <c r="G87" i="21" l="1"/>
  <c r="L118" i="22"/>
  <c r="Y34" i="29" l="1"/>
  <c r="M144" i="28"/>
  <c r="L144" i="28"/>
  <c r="U41" i="30" l="1"/>
  <c r="U44" i="30" s="1"/>
  <c r="Y32" i="29"/>
  <c r="Y32" i="30"/>
  <c r="K982" i="22"/>
  <c r="Y41" i="30"/>
  <c r="Y44" i="30" s="1"/>
  <c r="Y33" i="29"/>
  <c r="Y33" i="30"/>
  <c r="L982" i="22"/>
  <c r="S24" i="30"/>
  <c r="B21" i="29" l="1"/>
  <c r="B21" i="30"/>
  <c r="B19" i="30"/>
  <c r="B19" i="29"/>
  <c r="B20" i="30"/>
  <c r="B20" i="29"/>
  <c r="B22" i="30"/>
  <c r="B22" i="29"/>
</calcChain>
</file>

<file path=xl/sharedStrings.xml><?xml version="1.0" encoding="utf-8"?>
<sst xmlns="http://schemas.openxmlformats.org/spreadsheetml/2006/main" count="5561" uniqueCount="2079">
  <si>
    <t>HEAD OFFICE &amp; CHANGWON PLANT</t>
  </si>
  <si>
    <t>22, DoosanVolvo-ro, Seongsan-gu, Changwon-Si,</t>
    <phoneticPr fontId="9" type="noConversion"/>
  </si>
  <si>
    <t>Gyeongsangnam-do, Korea</t>
    <phoneticPr fontId="9" type="noConversion"/>
  </si>
  <si>
    <t>(P.O.BOX 77, Changwon, Korea)</t>
    <phoneticPr fontId="9" type="noConversion"/>
  </si>
  <si>
    <t>TEL:(055)278-6114,7114 FAX:(055)264-5551/2</t>
  </si>
  <si>
    <t>1. Shipper / Грузоотправитель</t>
    <phoneticPr fontId="9" type="noConversion"/>
  </si>
  <si>
    <r>
      <t xml:space="preserve">11. Invoice </t>
    </r>
    <r>
      <rPr>
        <b/>
        <sz val="10"/>
        <rFont val="Calibri"/>
        <family val="2"/>
      </rPr>
      <t>№</t>
    </r>
    <r>
      <rPr>
        <b/>
        <sz val="11"/>
        <rFont val="Calibri"/>
        <family val="2"/>
      </rPr>
      <t xml:space="preserve"> :  </t>
    </r>
    <phoneticPr fontId="9" type="noConversion"/>
  </si>
  <si>
    <t>PGU-DE-0336</t>
    <phoneticPr fontId="9" type="noConversion"/>
  </si>
  <si>
    <t>Doosan Enerbility Co., Ltd (DOOSAN)</t>
    <phoneticPr fontId="9" type="noConversion"/>
  </si>
  <si>
    <r>
      <t xml:space="preserve">Инвойс </t>
    </r>
    <r>
      <rPr>
        <b/>
        <sz val="9"/>
        <rFont val="Calibri"/>
        <family val="2"/>
      </rPr>
      <t>№</t>
    </r>
    <phoneticPr fontId="9" type="noConversion"/>
  </si>
  <si>
    <t>22, DoosanVolvo-ro, Seongsan-gu, Changwon-si, Gyeongsangnam-do</t>
    <phoneticPr fontId="9" type="noConversion"/>
  </si>
  <si>
    <t xml:space="preserve">12. Date : </t>
    <phoneticPr fontId="9" type="noConversion"/>
  </si>
  <si>
    <t>Republic of Korea</t>
    <phoneticPr fontId="9" type="noConversion"/>
  </si>
  <si>
    <t xml:space="preserve">Дата </t>
    <phoneticPr fontId="9" type="noConversion"/>
  </si>
  <si>
    <t>2. Consignee / Грузополучатель</t>
    <phoneticPr fontId="9" type="noConversion"/>
  </si>
  <si>
    <t>13. Remarks / Примечания</t>
    <phoneticPr fontId="9" type="noConversion"/>
  </si>
  <si>
    <t>Turkestan Oblast, Sairam district, Karamurt rural district, quarter 171</t>
    <phoneticPr fontId="9" type="noConversion"/>
  </si>
  <si>
    <t>*Project Name / Название Проекта</t>
    <phoneticPr fontId="9" type="noConversion"/>
  </si>
  <si>
    <t xml:space="preserve">Construction of a 1000 MW CCGT Power Plant in the Sairam District of Turkistan Region, Main Site. Without External Engineering Networks
</t>
    <phoneticPr fontId="9" type="noConversion"/>
  </si>
  <si>
    <t>*MANUFACTURER'S NAME / НАЗВАНИЕ ПРОИЗВОДИТЕЛЯ</t>
    <phoneticPr fontId="9" type="noConversion"/>
  </si>
  <si>
    <t>3. Notify party / Уведомляемая сторона</t>
    <phoneticPr fontId="9" type="noConversion"/>
  </si>
  <si>
    <t>*MANUFACTURE YEAR / ГОД ИЗГОТОВЛЕНИЯ</t>
    <phoneticPr fontId="9" type="noConversion"/>
  </si>
  <si>
    <t>*COUNTRY OF ORIGIN / СТРАНА ПРОИСХОЖДЕНИЯ</t>
    <phoneticPr fontId="9" type="noConversion"/>
  </si>
  <si>
    <t>*INCOTERMS / УСЛОВИЯ ПОСТАВКИ СОГЛАСНО ИНКОТЕРМС</t>
    <phoneticPr fontId="9" type="noConversion"/>
  </si>
  <si>
    <t>4. Port of Loading / Порт погрузки</t>
    <phoneticPr fontId="9" type="noConversion"/>
  </si>
  <si>
    <t>5. Carrier / Перевозчик</t>
    <phoneticPr fontId="9" type="noConversion"/>
  </si>
  <si>
    <t>Later</t>
    <phoneticPr fontId="3" type="noConversion"/>
  </si>
  <si>
    <t>6. Port of Unloading / Порт разгрузки</t>
    <phoneticPr fontId="9" type="noConversion"/>
  </si>
  <si>
    <t>7. Final Destination / Конечный пункт назначения</t>
    <phoneticPr fontId="9" type="noConversion"/>
  </si>
  <si>
    <t>14. Mark and Numbers of PKGS / Маркировка и количество упаковок</t>
    <phoneticPr fontId="9" type="noConversion"/>
  </si>
  <si>
    <t>PKG No.</t>
    <phoneticPr fontId="9" type="noConversion"/>
  </si>
  <si>
    <t>:</t>
    <phoneticPr fontId="9" type="noConversion"/>
  </si>
  <si>
    <t>PGU-DE-0336-FGSS-001~187</t>
    <phoneticPr fontId="9" type="noConversion"/>
  </si>
  <si>
    <t>Q-ty of Package</t>
    <phoneticPr fontId="9" type="noConversion"/>
  </si>
  <si>
    <t>PKGS</t>
    <phoneticPr fontId="9" type="noConversion"/>
  </si>
  <si>
    <r>
      <t xml:space="preserve">8. Voyage No / Рейс </t>
    </r>
    <r>
      <rPr>
        <b/>
        <sz val="10"/>
        <rFont val="Calibri"/>
        <family val="2"/>
      </rPr>
      <t>№</t>
    </r>
    <phoneticPr fontId="9" type="noConversion"/>
  </si>
  <si>
    <t>9. Sailing on or about / Дата или
ожидаемая дата</t>
    <phoneticPr fontId="9" type="noConversion"/>
  </si>
  <si>
    <t>Net Weight (kg)</t>
    <phoneticPr fontId="9" type="noConversion"/>
  </si>
  <si>
    <t>KG</t>
    <phoneticPr fontId="9" type="noConversion"/>
  </si>
  <si>
    <t>Gross Weight (kg)</t>
    <phoneticPr fontId="9" type="noConversion"/>
  </si>
  <si>
    <t>Dimension (m3)</t>
    <phoneticPr fontId="9" type="noConversion"/>
  </si>
  <si>
    <r>
      <t>m</t>
    </r>
    <r>
      <rPr>
        <vertAlign val="superscript"/>
        <sz val="11"/>
        <rFont val="Calibri"/>
        <family val="2"/>
      </rPr>
      <t>3</t>
    </r>
    <phoneticPr fontId="9" type="noConversion"/>
  </si>
  <si>
    <t>10. Customs Place / Место таможенного оформления</t>
    <phoneticPr fontId="3" type="noConversion"/>
  </si>
  <si>
    <t>15. Description of Goods / Описание товара</t>
    <phoneticPr fontId="9" type="noConversion"/>
  </si>
  <si>
    <t>16. HS CODE /</t>
    <phoneticPr fontId="9" type="noConversion"/>
  </si>
  <si>
    <t>17. Quantity /</t>
    <phoneticPr fontId="9" type="noConversion"/>
  </si>
  <si>
    <t>18. Total Price (USD)</t>
    <phoneticPr fontId="9" type="noConversion"/>
  </si>
  <si>
    <t>Код ТН ВЭД</t>
    <phoneticPr fontId="9" type="noConversion"/>
  </si>
  <si>
    <t>Количество</t>
    <phoneticPr fontId="9" type="noConversion"/>
  </si>
  <si>
    <t>Общая сумма (Дол. США)</t>
    <phoneticPr fontId="9" type="noConversion"/>
  </si>
  <si>
    <t>Fuel Gas Supply System</t>
    <phoneticPr fontId="3" type="noConversion"/>
  </si>
  <si>
    <t>Signed by</t>
  </si>
  <si>
    <t>Doosan Enerbility Co., Ltd</t>
    <phoneticPr fontId="9" type="noConversion"/>
  </si>
  <si>
    <t>155, Jeongjail-ro, Bundang-gu, Seongnam-si, Gyeonggi-do, Korea</t>
    <phoneticPr fontId="9" type="noConversion"/>
  </si>
  <si>
    <t>Tel. +82 31 5179 2045</t>
    <phoneticPr fontId="9" type="noConversion"/>
  </si>
  <si>
    <t xml:space="preserve"> Gihun Bek / Project Director</t>
    <phoneticPr fontId="33" type="noConversion"/>
  </si>
  <si>
    <t>Fax. +82 31 5179 2197</t>
    <phoneticPr fontId="9" type="noConversion"/>
  </si>
  <si>
    <t>Doosan Enerbility Co., Ltd.</t>
    <phoneticPr fontId="9" type="noConversion"/>
  </si>
  <si>
    <t>PACKING LIST
УПАКОВОЧНЫЙ ЛИСТ</t>
    <phoneticPr fontId="9" type="noConversion"/>
  </si>
  <si>
    <t xml:space="preserve">22, DoosanVolvo-ro, Seongsan-gu, Changwon-si, Gyeongsangnam-do, </t>
    <phoneticPr fontId="9" type="noConversion"/>
  </si>
  <si>
    <t>16. Q-ty</t>
    <phoneticPr fontId="3" type="noConversion"/>
  </si>
  <si>
    <t>17. Net Weight</t>
    <phoneticPr fontId="3" type="noConversion"/>
  </si>
  <si>
    <t>18. Gross Weight</t>
    <phoneticPr fontId="3" type="noConversion"/>
  </si>
  <si>
    <t>19. Measurement</t>
    <phoneticPr fontId="3" type="noConversion"/>
  </si>
  <si>
    <t>(EA)</t>
    <phoneticPr fontId="3" type="noConversion"/>
  </si>
  <si>
    <t>(kg)</t>
    <phoneticPr fontId="3" type="noConversion"/>
  </si>
  <si>
    <t>(CBM)</t>
    <phoneticPr fontId="3" type="noConversion"/>
  </si>
  <si>
    <t>Tel. +82 31 5179 2041</t>
    <phoneticPr fontId="9" type="noConversion"/>
  </si>
  <si>
    <t>Storage Classification "A" :</t>
    <phoneticPr fontId="9" type="noConversion"/>
  </si>
  <si>
    <t>Indoor with Air-conditioning</t>
    <phoneticPr fontId="9" type="noConversion"/>
  </si>
  <si>
    <t>Note&gt;</t>
    <phoneticPr fontId="3" type="noConversion"/>
  </si>
  <si>
    <t>Storage Classification "B" :</t>
    <phoneticPr fontId="9" type="noConversion"/>
  </si>
  <si>
    <t>Indoor without Air-conditioning</t>
    <phoneticPr fontId="9" type="noConversion"/>
  </si>
  <si>
    <t>Storage Classification "C" :</t>
    <phoneticPr fontId="9" type="noConversion"/>
  </si>
  <si>
    <t>Outdoor with Waterproofing</t>
    <phoneticPr fontId="9" type="noConversion"/>
  </si>
  <si>
    <t>Storage Classification "D" :</t>
    <phoneticPr fontId="9" type="noConversion"/>
  </si>
  <si>
    <t>Outdoor without Waterproofing</t>
    <phoneticPr fontId="9" type="noConversion"/>
  </si>
  <si>
    <t>SUMMARY PACKING LIST
CВОДНЫЙ УПАКОВОЧНЫЙ ЛИСТ</t>
    <phoneticPr fontId="9" type="noConversion"/>
  </si>
  <si>
    <t>Project Name:</t>
    <phoneticPr fontId="9" type="noConversion"/>
  </si>
  <si>
    <t>Construction of a 1000 MW CCGT Power Plant in the Sairam District of the Turkistan Region</t>
    <phoneticPr fontId="3" type="noConversion"/>
  </si>
  <si>
    <t>Main Site. Without External Engineering Networks</t>
    <phoneticPr fontId="3" type="noConversion"/>
  </si>
  <si>
    <t xml:space="preserve">Invoice №: </t>
    <phoneticPr fontId="9" type="noConversion"/>
  </si>
  <si>
    <t>PGU-DE-0336</t>
    <phoneticPr fontId="3" type="noConversion"/>
  </si>
  <si>
    <t>Name of Consignee: Branch of JSC "Doosan Enerbility" in the Turkistan region</t>
    <phoneticPr fontId="3" type="noConversion"/>
  </si>
  <si>
    <t>Consignee address: 321 Tauke Khan Avenue, Turkistan region, Turkistan, Kazakhstan, 161200</t>
    <phoneticPr fontId="3" type="noConversion"/>
  </si>
  <si>
    <t>№</t>
  </si>
  <si>
    <r>
      <t xml:space="preserve">CNTR No. / Seal No. / 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 xml:space="preserve">контейнера / 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>пломбы</t>
    </r>
    <phoneticPr fontId="3" type="noConversion"/>
  </si>
  <si>
    <r>
      <t xml:space="preserve">Package No. / </t>
    </r>
    <r>
      <rPr>
        <sz val="12"/>
        <rFont val="Segoe UI Symbol"/>
        <family val="2"/>
      </rPr>
      <t>№</t>
    </r>
    <r>
      <rPr>
        <sz val="12"/>
        <rFont val="Calibri"/>
        <family val="2"/>
      </rPr>
      <t xml:space="preserve"> упаковки</t>
    </r>
    <phoneticPr fontId="9" type="noConversion"/>
  </si>
  <si>
    <t>Description / Описание</t>
    <phoneticPr fontId="9" type="noConversion"/>
  </si>
  <si>
    <t>Packing Style / Вид упаковки</t>
    <phoneticPr fontId="9" type="noConversion"/>
  </si>
  <si>
    <t>Quantity / Количество</t>
    <phoneticPr fontId="9" type="noConversion"/>
  </si>
  <si>
    <t>Shipping Dimension / Отгрузочные параметры</t>
    <phoneticPr fontId="3" type="noConversion"/>
  </si>
  <si>
    <t>Net Weight (kg) / Вес нетто (кг)</t>
    <phoneticPr fontId="9" type="noConversion"/>
  </si>
  <si>
    <t>Gross Weight (kg) / Вес брутто (кг)</t>
    <phoneticPr fontId="9" type="noConversion"/>
  </si>
  <si>
    <t xml:space="preserve">Hazardous Material 
(UN Number) </t>
    <phoneticPr fontId="9" type="noConversion"/>
  </si>
  <si>
    <t>Storage Class /
Класс хранения</t>
    <phoneticPr fontId="9" type="noConversion"/>
  </si>
  <si>
    <t>Stackable / 
Штабелируемый</t>
    <phoneticPr fontId="9" type="noConversion"/>
  </si>
  <si>
    <t>Q'ty / Количество</t>
    <phoneticPr fontId="9" type="noConversion"/>
  </si>
  <si>
    <t>Unit / Ед.
изм.</t>
    <phoneticPr fontId="9" type="noConversion"/>
  </si>
  <si>
    <t>L (cm) /
Д (см)</t>
    <phoneticPr fontId="3" type="noConversion"/>
  </si>
  <si>
    <t>W (cm) / 
Ш (см)</t>
    <phoneticPr fontId="9" type="noConversion"/>
  </si>
  <si>
    <t>H (cm) / 
В (см)</t>
    <phoneticPr fontId="9" type="noConversion"/>
  </si>
  <si>
    <t>CBM (m3) /
Объем (м3)</t>
    <phoneticPr fontId="9" type="noConversion"/>
  </si>
  <si>
    <t>PGU-DE-0336-FGSS-001</t>
  </si>
  <si>
    <t>Skid</t>
  </si>
  <si>
    <t>LOT</t>
  </si>
  <si>
    <t>PGU-DE-0336-FGSS-002</t>
  </si>
  <si>
    <t>Filter Separator Skid_2</t>
  </si>
  <si>
    <t>PGU-DE-0336-FGSS-003</t>
  </si>
  <si>
    <t>Filter Separator Skid_3</t>
  </si>
  <si>
    <t>PGU-DE-0336-FGSS-004</t>
  </si>
  <si>
    <t>PGU-DE-0336-FGSS-005</t>
  </si>
  <si>
    <t>PGU-DE-0336-FGSS-006</t>
  </si>
  <si>
    <t>PGU-DE-0336-FGSS-007</t>
  </si>
  <si>
    <t>PGU-DE-0336-FGSS-008</t>
  </si>
  <si>
    <t>PRV Skid_8</t>
  </si>
  <si>
    <t>PGU-DE-0336-FGSS-009</t>
  </si>
  <si>
    <t>PGU-DE-0336-FGSS-010</t>
  </si>
  <si>
    <t>PGU-DE-0336-FGSS-011</t>
  </si>
  <si>
    <t>PGU-DE-0336-FGSS-012</t>
  </si>
  <si>
    <t>Performance Heater Skid_17</t>
  </si>
  <si>
    <t>PGU-DE-0336-FGSS-013</t>
  </si>
  <si>
    <t>PGU-DE-0336-FGSS-014</t>
  </si>
  <si>
    <t>Final Filter &amp; Drain Tank Skid_14</t>
  </si>
  <si>
    <t>PGU-DE-0336-FGSS-015</t>
  </si>
  <si>
    <t>Final Filter &amp; Drain Tank Skid_16</t>
  </si>
  <si>
    <t>PGU-DE-0336-FGSS-016</t>
  </si>
  <si>
    <t>Final Filter &amp; Drain Tank Skid_18</t>
  </si>
  <si>
    <t>PGU-DE-0336-FGSS-017</t>
  </si>
  <si>
    <t>Pallet</t>
  </si>
  <si>
    <t>PGU-DE-0336-FGSS-020</t>
  </si>
  <si>
    <t>Final Filter &amp; Drain Tank Skid Ladder Access</t>
  </si>
  <si>
    <t>PGU-DE-0336-FGSS-021</t>
  </si>
  <si>
    <t>Filter Separator Skid Ladder Access</t>
  </si>
  <si>
    <t>PGU-DE-0336-FGSS-022</t>
  </si>
  <si>
    <t>Wooden</t>
  </si>
  <si>
    <t>PGU-DE-0336-FGSS-023</t>
  </si>
  <si>
    <t>POV_2 (B0-XV-44061)</t>
  </si>
  <si>
    <t>PGU-DE-0336-FGSS-024</t>
  </si>
  <si>
    <t>POV_3 (B0-XV-44062)</t>
  </si>
  <si>
    <t>PGU-DE-0336-FGSS-025</t>
  </si>
  <si>
    <t>PGU-DE-0336-FGSS-026</t>
  </si>
  <si>
    <t>Pallet</t>
    <phoneticPr fontId="3" type="noConversion"/>
  </si>
  <si>
    <t>PGU-DE-0336-FGSS-027</t>
  </si>
  <si>
    <t>PGU-DE-0336-FGSS-028</t>
  </si>
  <si>
    <t>PGU-DE-0336-FGSS-029</t>
  </si>
  <si>
    <t>PGU-DE-0336-FGSS-030</t>
  </si>
  <si>
    <t>PGU-DE-0336-FGSS-031</t>
  </si>
  <si>
    <t>PGU-DE-0336-FGSS-032</t>
  </si>
  <si>
    <t>PGU-DE-0336-FGSS-033</t>
  </si>
  <si>
    <t>PGU-DE-0336-FGSS-034</t>
  </si>
  <si>
    <t>PGU-DE-0336-FGSS-035</t>
  </si>
  <si>
    <t>PGU-DE-0336-FGSS-036</t>
  </si>
  <si>
    <t>PGU-DE-0336-FGSS-037</t>
  </si>
  <si>
    <t>PGU-DE-0336-FGSS-038</t>
  </si>
  <si>
    <t>PGU-DE-0336-FGSS-039</t>
  </si>
  <si>
    <t>PGU-DE-0336-FGSS-040</t>
  </si>
  <si>
    <t>PGU-DE-0336-FGSS-041</t>
  </si>
  <si>
    <t>PGU-DE-0336-FGSS-042</t>
  </si>
  <si>
    <t>PGU-DE-0336-FGSS-047</t>
  </si>
  <si>
    <t>PGU-DE-0336-FGSS-048</t>
  </si>
  <si>
    <t>PGU-DE-0336-FGSS-049</t>
  </si>
  <si>
    <t>PGU-DE-0336-FGSS-051</t>
  </si>
  <si>
    <t>PGU-DE-0336-FGSS-052</t>
  </si>
  <si>
    <t>PGU-DE-0336-FGSS-053</t>
  </si>
  <si>
    <t>PGU-DE-0336-FGSS-061</t>
  </si>
  <si>
    <t>PGU-DE-0336-FGSS-062</t>
  </si>
  <si>
    <t>PGU-DE-0336-FGSS-063</t>
  </si>
  <si>
    <t>PLC PANEL</t>
  </si>
  <si>
    <t>PGU-DE-0336-FGSS-064</t>
  </si>
  <si>
    <t>GDS PANEL</t>
  </si>
  <si>
    <t>PGU-DE-0336-FGSS-065</t>
  </si>
  <si>
    <t>EHT PANEL</t>
  </si>
  <si>
    <t>Wooden Box</t>
  </si>
  <si>
    <t>PGU-DE-0336-FGSS-066</t>
  </si>
  <si>
    <t>EHT Accessories</t>
  </si>
  <si>
    <t>PGU-DE-0336-FGSS-067</t>
  </si>
  <si>
    <t>MCC &amp; UPS PANEL</t>
  </si>
  <si>
    <t>PGU-DE-0336-FGSS-069</t>
  </si>
  <si>
    <t>PUMP LCP PANEL</t>
  </si>
  <si>
    <t>PGU-DE-0336-FGSS-070</t>
  </si>
  <si>
    <t>PGU-DE-0336-FGSS-071</t>
  </si>
  <si>
    <t>PGU-DE-0336-FGSS-072</t>
  </si>
  <si>
    <t>PGU-DE-0336-FGSS-073</t>
  </si>
  <si>
    <t>PGU-DE-0336-FGSS-074</t>
  </si>
  <si>
    <t>PGU-DE-0336-FGSS-075</t>
  </si>
  <si>
    <t>PGU-DE-0336-FGSS-076</t>
  </si>
  <si>
    <t>PGU-DE-0336-FGSS-077</t>
  </si>
  <si>
    <t>PGU-DE-0336-FGSS-078</t>
  </si>
  <si>
    <t>CABLE WOODEN ROLLS (4C x 1.5 mm2)</t>
  </si>
  <si>
    <t>PGU-DE-0336-FGSS-079</t>
  </si>
  <si>
    <t>PGU-DE-0336-FGSS-080</t>
  </si>
  <si>
    <t>PGU-DE-0336-FGSS-081</t>
  </si>
  <si>
    <t>PGU-DE-0336-FGSS-082</t>
  </si>
  <si>
    <t>PGU-DE-0336-FGSS-083</t>
  </si>
  <si>
    <t>PGU-DE-0336-FGSS-084</t>
  </si>
  <si>
    <t>PGU-DE-0336-FGSS-085</t>
  </si>
  <si>
    <t>PGU-DE-0336-FGSS-086</t>
  </si>
  <si>
    <t>PGU-DE-0336-FGSS-087</t>
  </si>
  <si>
    <t>PGU-DE-0336-FGSS-088</t>
  </si>
  <si>
    <t>PGU-DE-0336-FGSS-089</t>
  </si>
  <si>
    <t>PGU-DE-0336-FGSS-090</t>
  </si>
  <si>
    <t>PGU-DE-0336-FGSS-091</t>
  </si>
  <si>
    <t>PGU-DE-0336-FGSS-092</t>
  </si>
  <si>
    <t>PGU-DE-0336-FGSS-093</t>
  </si>
  <si>
    <t>PGU-DE-0336-FGSS-094</t>
  </si>
  <si>
    <t>PGU-DE-0336-FGSS-095</t>
  </si>
  <si>
    <t>PGU-DE-0336-FGSS-096</t>
  </si>
  <si>
    <t>PGU-DE-0336-FGSS-097</t>
  </si>
  <si>
    <t>PGU-DE-0336-FGSS-098</t>
  </si>
  <si>
    <t>PGU-DE-0336-FGSS-101</t>
  </si>
  <si>
    <t>PGU-DE-0336-FGSS-102</t>
  </si>
  <si>
    <t>PGU-DE-0336-FGSS-106</t>
  </si>
  <si>
    <t>PGU-DE-0336-FGSS-107</t>
  </si>
  <si>
    <t>PGU-DE-0336-FGSS-108</t>
  </si>
  <si>
    <t>PGU-DE-0336-FGSS-109</t>
  </si>
  <si>
    <t>PGU-DE-0336-FGSS-110</t>
  </si>
  <si>
    <t>PGU-DE-0336-FGSS-111</t>
  </si>
  <si>
    <t>PGU-DE-0336-FGSS-112</t>
  </si>
  <si>
    <t>PGU-DE-0336-FGSS-113</t>
  </si>
  <si>
    <t>PGU-DE-0336-FGSS-114</t>
  </si>
  <si>
    <t>PGU-DE-0336-FGSS-115</t>
  </si>
  <si>
    <t>PGU-DE-0336-FGSS-116</t>
  </si>
  <si>
    <t>PGU-DE-0336-FGSS-117</t>
  </si>
  <si>
    <t>PGU-DE-0336-FGSS-118</t>
  </si>
  <si>
    <t>PGU-DE-0336-FGSS-119</t>
  </si>
  <si>
    <t>PGU-DE-0336-FGSS-120</t>
  </si>
  <si>
    <t>PGU-DE-0336-FGSS-151</t>
  </si>
  <si>
    <t>COLD VENT STACK</t>
  </si>
  <si>
    <t>N</t>
  </si>
  <si>
    <t>B</t>
  </si>
  <si>
    <t>PGU-DE-0336-FGSS-152</t>
  </si>
  <si>
    <t>PGU-DE-0336-FGSS-161</t>
  </si>
  <si>
    <t>Water Bath Heater</t>
  </si>
  <si>
    <t>PGU-DE-0336-FGSS-162</t>
  </si>
  <si>
    <t>PGU-DE-0336-FGSS-163</t>
  </si>
  <si>
    <t>Expansion Tank</t>
  </si>
  <si>
    <t>PGU-DE-0336-FGSS-164</t>
  </si>
  <si>
    <t>Stack</t>
  </si>
  <si>
    <t>PGU-DE-0336-FGSS-165</t>
  </si>
  <si>
    <t>Valve Box</t>
  </si>
  <si>
    <t>PGU-DE-0336-FGSS-166</t>
  </si>
  <si>
    <t>PGU-DE-0336-FGSS-167</t>
  </si>
  <si>
    <t>Burner Box</t>
  </si>
  <si>
    <t>PGU-DE-0336-FGSS-168</t>
  </si>
  <si>
    <t>PGU-DE-0336-FGSS-169</t>
  </si>
  <si>
    <t>Blower Box</t>
  </si>
  <si>
    <t>PGU-DE-0336-FGSS-170</t>
  </si>
  <si>
    <t>PGU-DE-0336-FGSS-171</t>
  </si>
  <si>
    <t>PGU-DE-0336-FGSS-172</t>
  </si>
  <si>
    <t>PGU-DE-0336-FGSS-173</t>
  </si>
  <si>
    <t>PGU-DE-0336-FGSS-174</t>
  </si>
  <si>
    <t>Landing Platform-2</t>
  </si>
  <si>
    <t>PGU-DE-0336-FGSS-175</t>
  </si>
  <si>
    <t>Stairway</t>
  </si>
  <si>
    <t>PGU-DE-0336-FGSS-176</t>
  </si>
  <si>
    <t>PGU-DE-0336-FGSS-177</t>
  </si>
  <si>
    <t>Air Duct</t>
  </si>
  <si>
    <t>PGU-DE-0336-FGSS-178</t>
  </si>
  <si>
    <t>Burner Train</t>
  </si>
  <si>
    <t>PGU-DE-0336-FGSS-179</t>
  </si>
  <si>
    <t>Blower &amp; Motor</t>
  </si>
  <si>
    <t>PGU-DE-0336-FGSS-180</t>
  </si>
  <si>
    <t>Control Panel</t>
  </si>
  <si>
    <t>PGU-DE-0336-FGSS-181</t>
  </si>
  <si>
    <t>Instrument</t>
  </si>
  <si>
    <t>PGU-DE-0336-FGSS-182</t>
  </si>
  <si>
    <t>Sliding &amp; Fixed Plate</t>
  </si>
  <si>
    <t>PGU-DE-0336-FGSS-183</t>
  </si>
  <si>
    <t>Spool</t>
  </si>
  <si>
    <t>PGU-DE-0336-FGSS-184</t>
  </si>
  <si>
    <t>PGU-DE-0336-FGSS-185</t>
  </si>
  <si>
    <t>PGU-DE-0336-FGSS-186</t>
  </si>
  <si>
    <t>PGU-DE-0336-FGSS-187</t>
  </si>
  <si>
    <t>Burner</t>
  </si>
  <si>
    <t>TOTAL / ИТОГО</t>
    <phoneticPr fontId="9" type="noConversion"/>
  </si>
  <si>
    <t>HEAD OFFICE &amp; CHANGWON PLANT</t>
    <phoneticPr fontId="3" type="noConversion"/>
  </si>
  <si>
    <t>DETAILED PACKING LIST 
ПОДРОБНЫЙ УПАКОВОЧНЫЙ ЛИСТ</t>
    <phoneticPr fontId="9" type="noConversion"/>
  </si>
  <si>
    <t>PGU-DE-0336</t>
  </si>
  <si>
    <r>
      <t>Package No./ 
Номер</t>
    </r>
    <r>
      <rPr>
        <sz val="12"/>
        <rFont val="맑은 고딕"/>
        <family val="2"/>
        <charset val="129"/>
      </rPr>
      <t xml:space="preserve"> </t>
    </r>
    <r>
      <rPr>
        <sz val="12"/>
        <rFont val="Calibri"/>
        <family val="2"/>
      </rPr>
      <t>упаковки</t>
    </r>
    <phoneticPr fontId="9" type="noConversion"/>
  </si>
  <si>
    <t>Description / 
Описание</t>
    <phoneticPr fontId="9" type="noConversion"/>
  </si>
  <si>
    <t>HS Code / 
Код ТН ВЭД</t>
    <phoneticPr fontId="3" type="noConversion"/>
  </si>
  <si>
    <t>Drawing No. / 
№ чертежа</t>
    <phoneticPr fontId="3" type="noConversion"/>
  </si>
  <si>
    <t>Tag No. / 
№ Тег</t>
    <phoneticPr fontId="3" type="noConversion"/>
  </si>
  <si>
    <t>Unit Price (US$) / цена заединицу</t>
    <phoneticPr fontId="9" type="noConversion"/>
  </si>
  <si>
    <t>Total Price (US$) / Общая цена</t>
    <phoneticPr fontId="9" type="noConversion"/>
  </si>
  <si>
    <t>Remark / 
Примечания</t>
    <phoneticPr fontId="9" type="noConversion"/>
  </si>
  <si>
    <t>Q'ty / 
Кол-во</t>
    <phoneticPr fontId="9" type="noConversion"/>
  </si>
  <si>
    <t>Unit / 
Ед. изм.</t>
    <phoneticPr fontId="9" type="noConversion"/>
  </si>
  <si>
    <t>EA</t>
  </si>
  <si>
    <t>Metering Skid_4</t>
    <phoneticPr fontId="3" type="noConversion"/>
  </si>
  <si>
    <t>Metering Skid_5</t>
    <phoneticPr fontId="3" type="noConversion"/>
  </si>
  <si>
    <t>Gas Pre-Heater Piping Skid_6</t>
    <phoneticPr fontId="3" type="noConversion"/>
  </si>
  <si>
    <t>PRV Skid_7</t>
    <phoneticPr fontId="3" type="noConversion"/>
  </si>
  <si>
    <t>Performance Heater Skid_11</t>
    <phoneticPr fontId="3" type="noConversion"/>
  </si>
  <si>
    <t>Performance Heater Skid_13</t>
    <phoneticPr fontId="3" type="noConversion"/>
  </si>
  <si>
    <t>Performance Heater Skid_15</t>
    <phoneticPr fontId="3" type="noConversion"/>
  </si>
  <si>
    <t>Final Filter &amp; Drain Tank Skid_12</t>
    <phoneticPr fontId="3" type="noConversion"/>
  </si>
  <si>
    <t>Drain Tank (B0-TK-44001)</t>
    <phoneticPr fontId="3" type="noConversion"/>
  </si>
  <si>
    <t>017-0001</t>
  </si>
  <si>
    <t>Pump</t>
    <phoneticPr fontId="3" type="noConversion"/>
  </si>
  <si>
    <t>017-0002</t>
  </si>
  <si>
    <t>Drain Tank Anchor Bolt - M24 x 700L</t>
    <phoneticPr fontId="3" type="noConversion"/>
  </si>
  <si>
    <t>SET</t>
  </si>
  <si>
    <t>017-0003</t>
  </si>
  <si>
    <t>SLIDING PLATE FOR CONDENSATE DRAIN TANK FGSS 3M3</t>
    <phoneticPr fontId="3" type="noConversion"/>
  </si>
  <si>
    <t>017-0004</t>
  </si>
  <si>
    <t>TEFLON PLATE FOR CONDENSATE DRAIN TANK FGSS 3M3</t>
    <phoneticPr fontId="3" type="noConversion"/>
  </si>
  <si>
    <t>017-0005</t>
  </si>
  <si>
    <t xml:space="preserve"> Pump Anchor Bolt - M12 x 200L</t>
    <phoneticPr fontId="3" type="noConversion"/>
  </si>
  <si>
    <t>017-0006</t>
  </si>
  <si>
    <t xml:space="preserve">LADDER(SKID-12) </t>
  </si>
  <si>
    <t>020-0001</t>
  </si>
  <si>
    <t xml:space="preserve">LADDER(SKID-14) </t>
  </si>
  <si>
    <t>020-0002</t>
  </si>
  <si>
    <t xml:space="preserve">LADDER(SKID-16) </t>
  </si>
  <si>
    <t>020-0003</t>
  </si>
  <si>
    <t xml:space="preserve">LADDER(SKID-18) </t>
  </si>
  <si>
    <t>020-0004</t>
  </si>
  <si>
    <t>PLATFORM</t>
    <phoneticPr fontId="3" type="noConversion"/>
  </si>
  <si>
    <t>021-0001</t>
  </si>
  <si>
    <t>LADDER</t>
    <phoneticPr fontId="3" type="noConversion"/>
  </si>
  <si>
    <t>021-0002</t>
  </si>
  <si>
    <t>HAND RAIL_1</t>
    <phoneticPr fontId="3" type="noConversion"/>
  </si>
  <si>
    <t>021-0003</t>
  </si>
  <si>
    <t>HAND RAIL_2</t>
    <phoneticPr fontId="3" type="noConversion"/>
  </si>
  <si>
    <t>021-0004</t>
  </si>
  <si>
    <t>HAND RAIL_3</t>
    <phoneticPr fontId="3" type="noConversion"/>
  </si>
  <si>
    <t>021-0005</t>
  </si>
  <si>
    <t>POV_1 (B0-XV-44060)</t>
    <phoneticPr fontId="3" type="noConversion"/>
  </si>
  <si>
    <t>POV_4 (B0-XV-44063)</t>
    <phoneticPr fontId="3" type="noConversion"/>
  </si>
  <si>
    <t>16"-FG-BO-44/101-FB2-002</t>
    <phoneticPr fontId="3" type="noConversion"/>
  </si>
  <si>
    <t>CCP-W-B044-25-ME-P01-0003(1/59)</t>
  </si>
  <si>
    <t>026-0001</t>
  </si>
  <si>
    <t>16"-FG-BO-44/101-FB2-003</t>
    <phoneticPr fontId="3" type="noConversion"/>
  </si>
  <si>
    <t>026-0002</t>
  </si>
  <si>
    <t>16"-FG-BO-44/101-FB2-004</t>
  </si>
  <si>
    <t>026-0003</t>
  </si>
  <si>
    <t>16"-FG-BO-44/101-FB2-005</t>
  </si>
  <si>
    <t>026-0004</t>
  </si>
  <si>
    <t>16"-FG-BO-44/109-FB2-006</t>
    <phoneticPr fontId="3" type="noConversion"/>
  </si>
  <si>
    <t>CCP-W-B044-25-ME-P01-0003(14/59)</t>
  </si>
  <si>
    <t>026-0005</t>
  </si>
  <si>
    <t>16"-FG-BO-44/110-FB2-005</t>
    <phoneticPr fontId="3" type="noConversion"/>
  </si>
  <si>
    <t>CCP-W-B044-25-ME-P01-0003(16/59)</t>
  </si>
  <si>
    <t>026-0006</t>
  </si>
  <si>
    <t>16"-FG-BO-44/108-FB2-001</t>
    <phoneticPr fontId="3" type="noConversion"/>
  </si>
  <si>
    <t>CCP-W-B044-25-ME-P01-0003(12/59)</t>
  </si>
  <si>
    <t>027-0001</t>
  </si>
  <si>
    <t>16"-FG-BO-44/117-FB2-003</t>
    <phoneticPr fontId="3" type="noConversion"/>
  </si>
  <si>
    <t>CCP-W-B044-25-ME-P01-0003(25/59)</t>
  </si>
  <si>
    <t>027-0002</t>
  </si>
  <si>
    <t>16"-FG-BO-44/117-FB2-004</t>
  </si>
  <si>
    <t>027-0003</t>
  </si>
  <si>
    <t>16"-FG-BO-44/117-FB2-005</t>
  </si>
  <si>
    <t>027-0004</t>
  </si>
  <si>
    <t>16"-FG-BO-44/117-FB2-006</t>
  </si>
  <si>
    <t>027-0005</t>
  </si>
  <si>
    <t>16"-FG-BO-44/117-FB2-007</t>
  </si>
  <si>
    <t>027-0006</t>
  </si>
  <si>
    <t>6"-SV-BO-44/525-GB1-001</t>
    <phoneticPr fontId="3" type="noConversion"/>
  </si>
  <si>
    <t>CCP-W-B044-25-ME-P01-0003(30/59)</t>
  </si>
  <si>
    <t>028-0001</t>
  </si>
  <si>
    <t>6"-SV-BO-44/525-GB1-002</t>
    <phoneticPr fontId="3" type="noConversion"/>
  </si>
  <si>
    <t>028-0002</t>
  </si>
  <si>
    <t>6"-AV-BO-44/530-GB1-001</t>
    <phoneticPr fontId="3" type="noConversion"/>
  </si>
  <si>
    <t>CCP-W-B044-25-ME-P01-0003(32/59)</t>
  </si>
  <si>
    <t>028-0003</t>
  </si>
  <si>
    <t>6"-AV-BO-44/530-GB1-008</t>
  </si>
  <si>
    <t>CCP-W-B044-25-ME-P01-0003(33/59)</t>
  </si>
  <si>
    <t>028-0004</t>
  </si>
  <si>
    <t>6"-AV-BO-44/530-GB1-011</t>
  </si>
  <si>
    <t>028-0005</t>
  </si>
  <si>
    <t>6"-AV-BO-44/530-GB1-012</t>
  </si>
  <si>
    <t>028-0006</t>
  </si>
  <si>
    <t>2"-AV-BO-44/517-GB1-001</t>
    <phoneticPr fontId="3" type="noConversion"/>
  </si>
  <si>
    <t>CCP-W-B044-25-ME-P01-0003(36/59)</t>
  </si>
  <si>
    <t>028-0007</t>
  </si>
  <si>
    <t>2"-AV-BO-44/517-GB1-002</t>
  </si>
  <si>
    <t>028-0008</t>
  </si>
  <si>
    <t>2"-LN-BO-44/501-GB1-005</t>
    <phoneticPr fontId="3" type="noConversion"/>
  </si>
  <si>
    <t>CCP-W-B044-25-ME-P01-0003(34/59)</t>
  </si>
  <si>
    <t>028-0009</t>
  </si>
  <si>
    <t>2"-LN-BO-44/501-GB1-021</t>
    <phoneticPr fontId="3" type="noConversion"/>
  </si>
  <si>
    <t>CCP-W-B044-25-ME-P01-0003(40/59)</t>
  </si>
  <si>
    <t>028-00010</t>
  </si>
  <si>
    <t>2"-LN-BO-44/501-GB1-020</t>
    <phoneticPr fontId="3" type="noConversion"/>
  </si>
  <si>
    <t>028-00011</t>
  </si>
  <si>
    <t>16"-FG-BO-44/101-FB2-001</t>
    <phoneticPr fontId="3" type="noConversion"/>
  </si>
  <si>
    <t>029-0001</t>
  </si>
  <si>
    <t>16"-FG-BO-44/101-FB2-006</t>
    <phoneticPr fontId="3" type="noConversion"/>
  </si>
  <si>
    <t>029-0002</t>
  </si>
  <si>
    <t>16"-FG-BO-44/101-FB2-007</t>
    <phoneticPr fontId="3" type="noConversion"/>
  </si>
  <si>
    <t>029-0003</t>
  </si>
  <si>
    <t>16"-FG-BO-44/101-FB2-008</t>
    <phoneticPr fontId="3" type="noConversion"/>
  </si>
  <si>
    <t>CCP-W-B044-25-ME-P01-0003(2/59)</t>
  </si>
  <si>
    <t>029-0004</t>
  </si>
  <si>
    <t>16"-FG-BO-44/101-FB2-009</t>
    <phoneticPr fontId="3" type="noConversion"/>
  </si>
  <si>
    <t>029-0005</t>
  </si>
  <si>
    <t>16"-FG-BO-44/101-FB2-010</t>
    <phoneticPr fontId="3" type="noConversion"/>
  </si>
  <si>
    <t>029-0006</t>
  </si>
  <si>
    <t>16"-FG-BO-44/101-FB2-011</t>
    <phoneticPr fontId="3" type="noConversion"/>
  </si>
  <si>
    <t>029-0007</t>
  </si>
  <si>
    <t>16"-FG-BO-44/101-FB2-012</t>
    <phoneticPr fontId="3" type="noConversion"/>
  </si>
  <si>
    <t>029-0008</t>
  </si>
  <si>
    <t>16"-FG-BO-44/102-FB2-001</t>
    <phoneticPr fontId="3" type="noConversion"/>
  </si>
  <si>
    <t>CCP-W-B044-25-ME-P01-0003(3/59)</t>
  </si>
  <si>
    <t>030-0001</t>
  </si>
  <si>
    <t>16"-FG-BO-44/102-FB2-002</t>
    <phoneticPr fontId="3" type="noConversion"/>
  </si>
  <si>
    <t>030-0002</t>
  </si>
  <si>
    <t>16"-FG-BO-44/102-FB2-003</t>
    <phoneticPr fontId="3" type="noConversion"/>
  </si>
  <si>
    <t>030-0003</t>
  </si>
  <si>
    <t>16"-FG-BO-44/103-FB2-001</t>
    <phoneticPr fontId="3" type="noConversion"/>
  </si>
  <si>
    <t>CCP-W-B044-25-ME-P01-0003(4/59)</t>
  </si>
  <si>
    <t>030-0004</t>
  </si>
  <si>
    <t>16"-FG-BO-44/103-FB2-002</t>
    <phoneticPr fontId="3" type="noConversion"/>
  </si>
  <si>
    <t>030-0005</t>
  </si>
  <si>
    <t>16"-FG-BO-44/103-FB2-003</t>
    <phoneticPr fontId="3" type="noConversion"/>
  </si>
  <si>
    <t>030-0006</t>
  </si>
  <si>
    <t>16"-FG-BO-44/104-FB2-001</t>
    <phoneticPr fontId="3" type="noConversion"/>
  </si>
  <si>
    <t>CCP-W-B044-25-ME-P01-0003(5/59)</t>
  </si>
  <si>
    <t>030-0007</t>
  </si>
  <si>
    <t>16"-FG-BO-44/104-FB2-002</t>
    <phoneticPr fontId="3" type="noConversion"/>
  </si>
  <si>
    <t>030-0008</t>
  </si>
  <si>
    <t>16"-FG-BO-44/104-FB2-003</t>
    <phoneticPr fontId="3" type="noConversion"/>
  </si>
  <si>
    <t>030-0009</t>
  </si>
  <si>
    <t>16"-FG-BO-44/104-FB2-004</t>
    <phoneticPr fontId="3" type="noConversion"/>
  </si>
  <si>
    <t>030-0010</t>
  </si>
  <si>
    <t>16"-FG-BO-44/106-FB2-001</t>
    <phoneticPr fontId="3" type="noConversion"/>
  </si>
  <si>
    <t>CCP-W-B044-25-ME-P01-0003(9/59)</t>
  </si>
  <si>
    <t>031-0001</t>
  </si>
  <si>
    <t>16"-FG-BO-44/106-FB2-002</t>
    <phoneticPr fontId="3" type="noConversion"/>
  </si>
  <si>
    <t>031-0002</t>
  </si>
  <si>
    <t>16"-FG-BO-44/106-FB2-003</t>
    <phoneticPr fontId="3" type="noConversion"/>
  </si>
  <si>
    <t>031-0003</t>
  </si>
  <si>
    <t>16"-FG-BO-44/106-FB2-004</t>
    <phoneticPr fontId="3" type="noConversion"/>
  </si>
  <si>
    <t>CCP-W-B044-25-ME-P01-0003(10/59)</t>
  </si>
  <si>
    <t>031-0004</t>
  </si>
  <si>
    <t>16"-FG-BO-44/107-FB2-001</t>
    <phoneticPr fontId="3" type="noConversion"/>
  </si>
  <si>
    <t>CCP-W-B044-25-ME-P01-0003(11/59)</t>
  </si>
  <si>
    <t>031-0005</t>
  </si>
  <si>
    <t>16"-FG-BO-44/107-FB2-002</t>
    <phoneticPr fontId="3" type="noConversion"/>
  </si>
  <si>
    <t>031-0006</t>
  </si>
  <si>
    <t>16"-FG-BO-44/107-FB2-003</t>
    <phoneticPr fontId="3" type="noConversion"/>
  </si>
  <si>
    <t>031-0007</t>
  </si>
  <si>
    <t>16"-FG-BO-44/107-FB2-004</t>
    <phoneticPr fontId="3" type="noConversion"/>
  </si>
  <si>
    <t>031-0008</t>
  </si>
  <si>
    <t>16"-FG-BO-44/107-FB2-005</t>
    <phoneticPr fontId="3" type="noConversion"/>
  </si>
  <si>
    <t>031-0009</t>
  </si>
  <si>
    <t>16"-FG-BO-44/108-FB2-002</t>
    <phoneticPr fontId="3" type="noConversion"/>
  </si>
  <si>
    <t>032-0001</t>
  </si>
  <si>
    <t>16"-FG-BO-44/108-FB2-003</t>
    <phoneticPr fontId="3" type="noConversion"/>
  </si>
  <si>
    <t>032-0002</t>
  </si>
  <si>
    <t>16"-FG-BO-44/108-FB2-004</t>
    <phoneticPr fontId="3" type="noConversion"/>
  </si>
  <si>
    <t>032-0003</t>
  </si>
  <si>
    <t>16"-FG-BO-44/108-FB2-005</t>
    <phoneticPr fontId="3" type="noConversion"/>
  </si>
  <si>
    <t>032-0004</t>
  </si>
  <si>
    <t>16"-FG-BO-44/109-FB2-001</t>
    <phoneticPr fontId="3" type="noConversion"/>
  </si>
  <si>
    <t>CCP-W-B044-25-ME-P01-0003(13/59)</t>
  </si>
  <si>
    <t>032-0005</t>
  </si>
  <si>
    <t>16"-FG-BO-44/109-FB2-002</t>
    <phoneticPr fontId="3" type="noConversion"/>
  </si>
  <si>
    <t>032-0006</t>
  </si>
  <si>
    <t>16"-FG-BO-44/109-FB2-003</t>
    <phoneticPr fontId="3" type="noConversion"/>
  </si>
  <si>
    <t>032-0007</t>
  </si>
  <si>
    <t>16"-FG-BO-44/104-FB2-005</t>
    <phoneticPr fontId="3" type="noConversion"/>
  </si>
  <si>
    <t>032-0008</t>
  </si>
  <si>
    <t>2"-FG-BO-44/104-FB2-006</t>
    <phoneticPr fontId="3" type="noConversion"/>
  </si>
  <si>
    <t>032-0009</t>
  </si>
  <si>
    <t>16"-FG-BO-44/105-FB2-001</t>
    <phoneticPr fontId="3" type="noConversion"/>
  </si>
  <si>
    <t>CCP-W-B044-25-ME-P01-0003(6/59)</t>
  </si>
  <si>
    <t>032-0010</t>
  </si>
  <si>
    <t>16"-FG-BO-44/109-FB2-004</t>
    <phoneticPr fontId="3" type="noConversion"/>
  </si>
  <si>
    <t>033-0001</t>
  </si>
  <si>
    <t>16"-FG-BO-44/109-FB2-005</t>
    <phoneticPr fontId="3" type="noConversion"/>
  </si>
  <si>
    <t>033-0002</t>
  </si>
  <si>
    <t>16"-FG-BO-44/110-FB2-001</t>
    <phoneticPr fontId="3" type="noConversion"/>
  </si>
  <si>
    <t>CCP-W-B044-25-ME-P01-0003(15/59)</t>
  </si>
  <si>
    <t>033-0003</t>
  </si>
  <si>
    <t>16"-FG-BO-44/110-FB2-002</t>
    <phoneticPr fontId="3" type="noConversion"/>
  </si>
  <si>
    <t>033-0004</t>
  </si>
  <si>
    <t>16"-FG-BO-44/110-FB2-003</t>
    <phoneticPr fontId="3" type="noConversion"/>
  </si>
  <si>
    <t>033-0005</t>
  </si>
  <si>
    <t>16"-FG-BO-44/110-FB2-004</t>
    <phoneticPr fontId="3" type="noConversion"/>
  </si>
  <si>
    <t>033-0006</t>
  </si>
  <si>
    <t>16"-FG-BO-44/110-FB2-006</t>
    <phoneticPr fontId="3" type="noConversion"/>
  </si>
  <si>
    <t>033-0007</t>
  </si>
  <si>
    <t>16"-FG-BO-44/110-FB2-007</t>
    <phoneticPr fontId="3" type="noConversion"/>
  </si>
  <si>
    <t>033-0008</t>
  </si>
  <si>
    <t>16"-FG-BO-44/110-FB2-008</t>
    <phoneticPr fontId="3" type="noConversion"/>
  </si>
  <si>
    <t>033-0009</t>
  </si>
  <si>
    <t>16"-FG-BO-44/110-FB2-009</t>
    <phoneticPr fontId="3" type="noConversion"/>
  </si>
  <si>
    <t>CCP-W-B044-25-ME-P01-0003(17/59)</t>
  </si>
  <si>
    <t>034-0001</t>
  </si>
  <si>
    <t>16"-FG-BO-44/110-FB2-010</t>
    <phoneticPr fontId="3" type="noConversion"/>
  </si>
  <si>
    <t>034-0002</t>
  </si>
  <si>
    <t>1"-FG-BO-44/110-FB2-011</t>
    <phoneticPr fontId="3" type="noConversion"/>
  </si>
  <si>
    <t>034-0003</t>
  </si>
  <si>
    <t>1"-FG-BO-44/110-FB2-012</t>
    <phoneticPr fontId="3" type="noConversion"/>
  </si>
  <si>
    <t>034-0004</t>
  </si>
  <si>
    <t>16"-FG-BO-44/111-FB2-001</t>
    <phoneticPr fontId="3" type="noConversion"/>
  </si>
  <si>
    <t>CCP-W-B044-25-ME-P01-0003(18/59)</t>
  </si>
  <si>
    <t>034-0005</t>
  </si>
  <si>
    <t>16"-FG-BO-44/111-FB2-002</t>
    <phoneticPr fontId="3" type="noConversion"/>
  </si>
  <si>
    <t>034-0006</t>
  </si>
  <si>
    <t>16"-FG-BO-44/111-FB2-003</t>
    <phoneticPr fontId="3" type="noConversion"/>
  </si>
  <si>
    <t>034-0007</t>
  </si>
  <si>
    <t>16"-FG-BO-44/111-FB2-004</t>
    <phoneticPr fontId="3" type="noConversion"/>
  </si>
  <si>
    <t>034-0008</t>
  </si>
  <si>
    <t>16"-FG-BO-44/114-FB2-001</t>
    <phoneticPr fontId="3" type="noConversion"/>
  </si>
  <si>
    <t>CCP-W-B044-25-ME-P01-0003(22/59)</t>
  </si>
  <si>
    <t>034-0009</t>
  </si>
  <si>
    <t>16"-FG-BO-44/115-FB2-001</t>
    <phoneticPr fontId="3" type="noConversion"/>
  </si>
  <si>
    <t>CCP-W-B044-25-ME-P01-0003(23/59)</t>
  </si>
  <si>
    <t>034-0010</t>
  </si>
  <si>
    <t>16"-FG-BO-44/116-FB2-001</t>
    <phoneticPr fontId="3" type="noConversion"/>
  </si>
  <si>
    <t>CCP-W-B044-25-ME-P01-0003(24/59)</t>
  </si>
  <si>
    <t>034-0011</t>
  </si>
  <si>
    <t>16"-FG-BO-44/117-FB2-001</t>
    <phoneticPr fontId="3" type="noConversion"/>
  </si>
  <si>
    <t>034-0012</t>
  </si>
  <si>
    <t>16"-FG-BO-44/117-FB2-002</t>
    <phoneticPr fontId="3" type="noConversion"/>
  </si>
  <si>
    <t>034-0013</t>
  </si>
  <si>
    <t>6"-AV-BO-44/530-GB1-002</t>
    <phoneticPr fontId="3" type="noConversion"/>
  </si>
  <si>
    <t>035-0001</t>
  </si>
  <si>
    <t>6"-AV-BO-44/530-GB1-003</t>
    <phoneticPr fontId="3" type="noConversion"/>
  </si>
  <si>
    <t>035-0002</t>
  </si>
  <si>
    <t>6"-AV-BO-44/530-GB1-004</t>
    <phoneticPr fontId="3" type="noConversion"/>
  </si>
  <si>
    <t>035-0003</t>
  </si>
  <si>
    <t>6"-AV-BO-44/530-GB1-005</t>
    <phoneticPr fontId="3" type="noConversion"/>
  </si>
  <si>
    <t>035-0004</t>
  </si>
  <si>
    <t>6"-AV-BO-44/530-GB1-006</t>
    <phoneticPr fontId="3" type="noConversion"/>
  </si>
  <si>
    <t>035-0005</t>
  </si>
  <si>
    <t>6"-AV-BO-44/530-GB1-007</t>
    <phoneticPr fontId="3" type="noConversion"/>
  </si>
  <si>
    <t>035-0006</t>
  </si>
  <si>
    <t>6"-AV-BO-44/530-GB1-009</t>
    <phoneticPr fontId="3" type="noConversion"/>
  </si>
  <si>
    <t>035-0007</t>
  </si>
  <si>
    <t>6"-AV-BO-44/530-GB1-010</t>
    <phoneticPr fontId="3" type="noConversion"/>
  </si>
  <si>
    <t>035-0008</t>
  </si>
  <si>
    <t>6"-AV-BO-44/530-GB1-013</t>
    <phoneticPr fontId="3" type="noConversion"/>
  </si>
  <si>
    <t>035-0009</t>
  </si>
  <si>
    <t>6"-AV-BO-44/530-GB1-014</t>
    <phoneticPr fontId="3" type="noConversion"/>
  </si>
  <si>
    <t>035-0010</t>
  </si>
  <si>
    <t>2"-FG-BO-44/112-FB2-001</t>
    <phoneticPr fontId="3" type="noConversion"/>
  </si>
  <si>
    <t>CCP-W-B044-25-ME-P01-0003(21/59)</t>
  </si>
  <si>
    <t>036-0001</t>
  </si>
  <si>
    <t>2"-FG-BO-44/112-FB2-002</t>
    <phoneticPr fontId="3" type="noConversion"/>
  </si>
  <si>
    <t>CCP-W-B044-25-ME-P01-0003(19/59)</t>
  </si>
  <si>
    <t>036-0002</t>
  </si>
  <si>
    <t>2"-FG-BO-44/112-FB2-003</t>
    <phoneticPr fontId="3" type="noConversion"/>
  </si>
  <si>
    <t>036-0003</t>
  </si>
  <si>
    <t>2"-FG-BO-44/112-FB2-004</t>
    <phoneticPr fontId="3" type="noConversion"/>
  </si>
  <si>
    <t>036-0004</t>
  </si>
  <si>
    <t>2"-FG-BO-44/112-FB2-005</t>
    <phoneticPr fontId="3" type="noConversion"/>
  </si>
  <si>
    <t>036-0005</t>
  </si>
  <si>
    <t>2"-FG-BO-44/113-FB2-001</t>
    <phoneticPr fontId="3" type="noConversion"/>
  </si>
  <si>
    <t>036-0006</t>
  </si>
  <si>
    <t>2"-FG-BO-44/113-FB2-002</t>
    <phoneticPr fontId="3" type="noConversion"/>
  </si>
  <si>
    <t>036-0007</t>
  </si>
  <si>
    <t>2"-FG-BO-44/113-FB2-003</t>
    <phoneticPr fontId="3" type="noConversion"/>
  </si>
  <si>
    <t>CCP-W-B044-25-ME-P01-0003(20/59)</t>
  </si>
  <si>
    <t>036-0008</t>
  </si>
  <si>
    <t>2"-FG-BO-44/113-FB2-004</t>
    <phoneticPr fontId="3" type="noConversion"/>
  </si>
  <si>
    <t>036-0009</t>
  </si>
  <si>
    <t>2"-FG-BO-44/113-FB2-005</t>
    <phoneticPr fontId="3" type="noConversion"/>
  </si>
  <si>
    <t>036-0010</t>
  </si>
  <si>
    <t>2"-FG-BO-44/113-FB2-006</t>
    <phoneticPr fontId="3" type="noConversion"/>
  </si>
  <si>
    <t>036-0011</t>
  </si>
  <si>
    <t>2"-AV-BO-44/521-GB1-001</t>
    <phoneticPr fontId="3" type="noConversion"/>
  </si>
  <si>
    <t>CCP-W-B044-25-ME-P01-0003(27/59)</t>
  </si>
  <si>
    <t>036-0012</t>
  </si>
  <si>
    <t>1"-AV-BO-44/523-GB1-001</t>
    <phoneticPr fontId="3" type="noConversion"/>
  </si>
  <si>
    <t>CCP-W-B044-25-ME-P01-0003(28/59)</t>
  </si>
  <si>
    <t>036-0013</t>
  </si>
  <si>
    <t>2"-AV-BO-44/523-GB1-002</t>
    <phoneticPr fontId="3" type="noConversion"/>
  </si>
  <si>
    <t>036-0014</t>
  </si>
  <si>
    <t>2"-AV-BO-44/523-GB1-003</t>
    <phoneticPr fontId="3" type="noConversion"/>
  </si>
  <si>
    <t>036-0015</t>
  </si>
  <si>
    <t>2"-AV-BO-44/523-GB1-004</t>
    <phoneticPr fontId="3" type="noConversion"/>
  </si>
  <si>
    <t>036-0016</t>
  </si>
  <si>
    <t>1"-AV-BO-44/524-GB1-001</t>
    <phoneticPr fontId="3" type="noConversion"/>
  </si>
  <si>
    <t>CCP-W-B044-25-ME-P01-0003(29/59)</t>
  </si>
  <si>
    <t>036-0017</t>
  </si>
  <si>
    <t>2"-AV-BO-44/524-GB1-002</t>
    <phoneticPr fontId="3" type="noConversion"/>
  </si>
  <si>
    <t>036-0018</t>
  </si>
  <si>
    <t>2"-AV-BO-44/524-GB1-003</t>
    <phoneticPr fontId="3" type="noConversion"/>
  </si>
  <si>
    <t>036-0019</t>
  </si>
  <si>
    <t>2"-AV-BO-44/524-GB1-004</t>
    <phoneticPr fontId="3" type="noConversion"/>
  </si>
  <si>
    <t>036-0020</t>
  </si>
  <si>
    <t>2"-AV-BO-44/529-GB1-001</t>
    <phoneticPr fontId="3" type="noConversion"/>
  </si>
  <si>
    <t>CCP-W-B044-25-ME-P01-0003(31/59)</t>
  </si>
  <si>
    <t>036-0021</t>
  </si>
  <si>
    <t>2"-LN-BO-44/501-GB1-001</t>
    <phoneticPr fontId="3" type="noConversion"/>
  </si>
  <si>
    <t>036-0022</t>
  </si>
  <si>
    <t>2"-LN-BO-44/501-GB1-001-1</t>
    <phoneticPr fontId="3" type="noConversion"/>
  </si>
  <si>
    <t>036-0023</t>
  </si>
  <si>
    <t>2"-LN-BO-44/501-GB1-002</t>
  </si>
  <si>
    <t>036-0024</t>
  </si>
  <si>
    <t>2"-LN-BO-44/501-GB1-003</t>
  </si>
  <si>
    <t>036-0025</t>
  </si>
  <si>
    <t>2"-LN-BO-44/501-GB1-004</t>
  </si>
  <si>
    <t>036-0026</t>
  </si>
  <si>
    <t>2"-LN-BO-44/501-GB1-005-1</t>
  </si>
  <si>
    <t>036-0027</t>
  </si>
  <si>
    <t>2"-LN-BO-44/501-GB1-006</t>
  </si>
  <si>
    <t>036-0028</t>
  </si>
  <si>
    <t>2"-LN-BO-44/501-GB1-007</t>
    <phoneticPr fontId="3" type="noConversion"/>
  </si>
  <si>
    <t>CCP-W-B044-25-ME-P01-0003(35/59)</t>
  </si>
  <si>
    <t>036-0029</t>
  </si>
  <si>
    <t>2"-LN-BO-44/501-GB1-008</t>
    <phoneticPr fontId="3" type="noConversion"/>
  </si>
  <si>
    <t>036-0030</t>
  </si>
  <si>
    <t>2"-LN-BO-44/501-GB1-009</t>
    <phoneticPr fontId="3" type="noConversion"/>
  </si>
  <si>
    <t>036-0031</t>
  </si>
  <si>
    <t>2"-LN-BO-44/501-GB1-010</t>
  </si>
  <si>
    <t>036-0032</t>
  </si>
  <si>
    <t>2"-LN-BO-44/501-GB1-011</t>
  </si>
  <si>
    <t>036-0033</t>
  </si>
  <si>
    <t>2"-LN-BO-44/501-GB1-012</t>
  </si>
  <si>
    <t>036-0034</t>
  </si>
  <si>
    <t>2"-LN-BO-44/501-GB1-013</t>
    <phoneticPr fontId="3" type="noConversion"/>
  </si>
  <si>
    <t>CCP-W-B044-25-ME-P01-0003(37/59)</t>
  </si>
  <si>
    <t>037-0001</t>
  </si>
  <si>
    <t>2"-LN-BO-44/501-GB1-014</t>
    <phoneticPr fontId="3" type="noConversion"/>
  </si>
  <si>
    <t>037-0002</t>
  </si>
  <si>
    <t>2"-LN-BO-44/501-GB1-015</t>
    <phoneticPr fontId="3" type="noConversion"/>
  </si>
  <si>
    <t>037-0003</t>
  </si>
  <si>
    <t>2"-LN-BO-44/501-GB1-016</t>
    <phoneticPr fontId="3" type="noConversion"/>
  </si>
  <si>
    <t>CCP-W-B044-25-ME-P01-0003(38/59)</t>
  </si>
  <si>
    <t>037-0004</t>
  </si>
  <si>
    <t>2"-LN-BO-44/501-GB1-017</t>
    <phoneticPr fontId="3" type="noConversion"/>
  </si>
  <si>
    <t>037-0005</t>
  </si>
  <si>
    <t>2"-LN-BO-44/501-GB1-018</t>
    <phoneticPr fontId="3" type="noConversion"/>
  </si>
  <si>
    <t>037-0006</t>
  </si>
  <si>
    <t>2"-LN-BO-44/501-GB1-019</t>
    <phoneticPr fontId="3" type="noConversion"/>
  </si>
  <si>
    <t>CCP-W-B044-25-ME-P01-0003(39/59)</t>
  </si>
  <si>
    <t>037-0007</t>
  </si>
  <si>
    <t>1"-LN-BO-44/504-GB1-001</t>
    <phoneticPr fontId="3" type="noConversion"/>
  </si>
  <si>
    <t>CCP-W-B044-25-ME-P01-0003(41/59)</t>
  </si>
  <si>
    <t>037-0008</t>
  </si>
  <si>
    <t>1"-LN-BO-44/504-GB1-002</t>
    <phoneticPr fontId="3" type="noConversion"/>
  </si>
  <si>
    <t>037-0009</t>
  </si>
  <si>
    <t>1"-LN-BO-44/504-GB1-003</t>
    <phoneticPr fontId="3" type="noConversion"/>
  </si>
  <si>
    <t>037-0010</t>
  </si>
  <si>
    <t>1"-LN-BO-44/505-GB1-001</t>
    <phoneticPr fontId="3" type="noConversion"/>
  </si>
  <si>
    <t>CCP-W-B044-25-ME-P01-0003(42/59)</t>
  </si>
  <si>
    <t>037-0011</t>
  </si>
  <si>
    <t>1"-LN-BO-44/505-GB1-002</t>
    <phoneticPr fontId="3" type="noConversion"/>
  </si>
  <si>
    <t>037-0012</t>
  </si>
  <si>
    <t>1"-LN-BO-44/505-FB2-003</t>
    <phoneticPr fontId="3" type="noConversion"/>
  </si>
  <si>
    <t>037-0013</t>
  </si>
  <si>
    <t>1"-LN-BO-44/512-GB1-001</t>
    <phoneticPr fontId="3" type="noConversion"/>
  </si>
  <si>
    <t>CCP-W-B044-25-ME-P01-0003(43/59)</t>
  </si>
  <si>
    <t>037-0014</t>
  </si>
  <si>
    <t>1"-LN-BO-44/512-GB1-002</t>
    <phoneticPr fontId="3" type="noConversion"/>
  </si>
  <si>
    <t>037-0015</t>
  </si>
  <si>
    <t>1"-CDS-BO-44/405-GB1-001</t>
    <phoneticPr fontId="3" type="noConversion"/>
  </si>
  <si>
    <t>CCP-W-B044-25-ME-P01-0003(56/59)</t>
  </si>
  <si>
    <t>037-0016</t>
  </si>
  <si>
    <t>1"-CDS-BO-44/405-GB1-002</t>
    <phoneticPr fontId="3" type="noConversion"/>
  </si>
  <si>
    <t>037-0017</t>
  </si>
  <si>
    <t>1"-CDS-BO-44/405-GB1-003</t>
    <phoneticPr fontId="3" type="noConversion"/>
  </si>
  <si>
    <t>037-0018</t>
  </si>
  <si>
    <t>1"-CDS-BO-44/405-GB1-004</t>
    <phoneticPr fontId="3" type="noConversion"/>
  </si>
  <si>
    <t>037-0019</t>
  </si>
  <si>
    <t>1"-CDS-BO-44/405-GB1-005</t>
    <phoneticPr fontId="3" type="noConversion"/>
  </si>
  <si>
    <t>037-0020</t>
  </si>
  <si>
    <t>1"-CDS-BO-44/405-GB1-006</t>
    <phoneticPr fontId="3" type="noConversion"/>
  </si>
  <si>
    <t>037-0021</t>
  </si>
  <si>
    <t>1"-CDS-BO-44/405-GB1-007</t>
    <phoneticPr fontId="3" type="noConversion"/>
  </si>
  <si>
    <t>037-0022</t>
  </si>
  <si>
    <t>2"-CDS-BO-44/406-GB1-001</t>
    <phoneticPr fontId="3" type="noConversion"/>
  </si>
  <si>
    <t>CCP-W-B044-25-ME-P01-0003(57/59)</t>
  </si>
  <si>
    <t>037-0023</t>
  </si>
  <si>
    <t>2"-CDS-BO-44/406-GB1-002</t>
    <phoneticPr fontId="3" type="noConversion"/>
  </si>
  <si>
    <t>037-0024</t>
  </si>
  <si>
    <t>2"-CDS-BO-44/406-GB1-003</t>
    <phoneticPr fontId="3" type="noConversion"/>
  </si>
  <si>
    <t>037-0025</t>
  </si>
  <si>
    <t>2"-CDS-BO-44/406-GB1-004</t>
    <phoneticPr fontId="3" type="noConversion"/>
  </si>
  <si>
    <t>037-0026</t>
  </si>
  <si>
    <t>2"-CDS-BO-44/407-GB1-001</t>
    <phoneticPr fontId="3" type="noConversion"/>
  </si>
  <si>
    <t>CCP-W-B044-25-ME-P01-0003(58/59)</t>
  </si>
  <si>
    <t>037-0027</t>
  </si>
  <si>
    <t>2"-CDS-BO-44/407-GB1-002</t>
    <phoneticPr fontId="3" type="noConversion"/>
  </si>
  <si>
    <t>037-0028</t>
  </si>
  <si>
    <t>TRIM-BO-TK-44001-GB1-001</t>
    <phoneticPr fontId="3" type="noConversion"/>
  </si>
  <si>
    <t>CCP-W-B044-25-ME-P01-0003(59/59)</t>
  </si>
  <si>
    <t>037-0029</t>
  </si>
  <si>
    <t>TRIM-BO-TK-44001-GB1-002</t>
    <phoneticPr fontId="3" type="noConversion"/>
  </si>
  <si>
    <t>037-0030</t>
  </si>
  <si>
    <t>TRIM-BO-TK-44001-GB1-003</t>
    <phoneticPr fontId="3" type="noConversion"/>
  </si>
  <si>
    <t>037-0031</t>
  </si>
  <si>
    <t>TRIM-BO-TK-44001-GB1-004</t>
    <phoneticPr fontId="3" type="noConversion"/>
  </si>
  <si>
    <t>037-0032</t>
  </si>
  <si>
    <t>1"-LN-BO-44/504-GB1-004</t>
    <phoneticPr fontId="3" type="noConversion"/>
  </si>
  <si>
    <t>037-0033</t>
  </si>
  <si>
    <t>2"-IA-BO-44/543-GK1-001</t>
    <phoneticPr fontId="3" type="noConversion"/>
  </si>
  <si>
    <t>CCP-W-B044-25-ME-P01-0003(44/59)</t>
  </si>
  <si>
    <t>038-0001</t>
  </si>
  <si>
    <t>2"-IA-BO-44/543-GK1-002</t>
    <phoneticPr fontId="3" type="noConversion"/>
  </si>
  <si>
    <t>038-0002</t>
  </si>
  <si>
    <t>2"-IA-BO-44/543-GK1-003</t>
  </si>
  <si>
    <t>038-0003</t>
  </si>
  <si>
    <t>2"-IA-BO-44/543-GK1-004</t>
    <phoneticPr fontId="3" type="noConversion"/>
  </si>
  <si>
    <t>038-0004</t>
  </si>
  <si>
    <t>2"-IA-BO-44/543-GK1-005</t>
    <phoneticPr fontId="3" type="noConversion"/>
  </si>
  <si>
    <t>038-0005</t>
  </si>
  <si>
    <t>2"-IA-BO-44/543-GK1-006</t>
    <phoneticPr fontId="3" type="noConversion"/>
  </si>
  <si>
    <t>038-0006</t>
  </si>
  <si>
    <t>2"-IA-BO-44/543-GK1-006-1</t>
  </si>
  <si>
    <t>038-0007</t>
  </si>
  <si>
    <t>2"-IA-BO-44/543-GK1-007</t>
    <phoneticPr fontId="3" type="noConversion"/>
  </si>
  <si>
    <t>CCP-W-B044-25-ME-P01-0003(45/59)</t>
  </si>
  <si>
    <t>038-0008</t>
  </si>
  <si>
    <t>2"-IA-BO-44/543-GK1-008</t>
  </si>
  <si>
    <t>CCP-W-B044-25-ME-P01-0003(46/59)</t>
  </si>
  <si>
    <t>038-0009</t>
  </si>
  <si>
    <t>2"-IA-BO-44/543-GK1-009</t>
  </si>
  <si>
    <t>038-0010</t>
  </si>
  <si>
    <t>2"-IA-BO-44/543-GK1-010</t>
  </si>
  <si>
    <t>038-0011</t>
  </si>
  <si>
    <t>2"-IA-BO-44/543-GK1-011</t>
  </si>
  <si>
    <t>038-0012</t>
  </si>
  <si>
    <t>2"-IA-BO-44/543-GK1-012</t>
    <phoneticPr fontId="3" type="noConversion"/>
  </si>
  <si>
    <t>038-0013</t>
  </si>
  <si>
    <t>2"-IA-BO-44/543-GK1-013</t>
  </si>
  <si>
    <t>CCP-W-B044-25-ME-P01-0003(47/59)</t>
  </si>
  <si>
    <t>038-0014</t>
  </si>
  <si>
    <t>2"-IA-BO-44/543-GK1-014</t>
    <phoneticPr fontId="3" type="noConversion"/>
  </si>
  <si>
    <t>038-0015</t>
  </si>
  <si>
    <t>2"-IA-BO-44/543-GK1-015</t>
    <phoneticPr fontId="3" type="noConversion"/>
  </si>
  <si>
    <t>CCP-W-B044-25-ME-P01-0003(48/59)</t>
  </si>
  <si>
    <t>038-0016</t>
  </si>
  <si>
    <t>2"-IA-BO-44/543-GK1-016</t>
    <phoneticPr fontId="3" type="noConversion"/>
  </si>
  <si>
    <t>038-0017</t>
  </si>
  <si>
    <t>2"-IA-BO-44/543-GK1-017</t>
  </si>
  <si>
    <t>038-0018</t>
  </si>
  <si>
    <t>2"-IA-BO-44/543-GK1-018</t>
    <phoneticPr fontId="3" type="noConversion"/>
  </si>
  <si>
    <t>CCP-W-B044-25-ME-P01-0003(49/59)</t>
  </si>
  <si>
    <t>038-0019</t>
  </si>
  <si>
    <t>2"-IA-BO-44/543-GK1-019</t>
    <phoneticPr fontId="3" type="noConversion"/>
  </si>
  <si>
    <t>038-0020</t>
  </si>
  <si>
    <t>2"-IA-BO-44/543-GK1-020</t>
  </si>
  <si>
    <t>038-0021</t>
  </si>
  <si>
    <t>2"-IA-BO-44/543-GK1-021</t>
    <phoneticPr fontId="3" type="noConversion"/>
  </si>
  <si>
    <t>CCP-W-B044-25-ME-P01-0003(50/59)</t>
  </si>
  <si>
    <t>038-0022</t>
  </si>
  <si>
    <t>2"-IA-BO-44/543-GK1-022</t>
    <phoneticPr fontId="3" type="noConversion"/>
  </si>
  <si>
    <t>038-0023</t>
  </si>
  <si>
    <t>1"-IA-BO-44/544-GK1-001</t>
    <phoneticPr fontId="3" type="noConversion"/>
  </si>
  <si>
    <t>CCP-W-B044-25-ME-P01-0003(51/59)</t>
  </si>
  <si>
    <t>038-0024</t>
  </si>
  <si>
    <t>1"-IA-BO-44/545-GK1-001</t>
    <phoneticPr fontId="3" type="noConversion"/>
  </si>
  <si>
    <t>CCP-W-B044-25-ME-P01-0003(52/59)</t>
  </si>
  <si>
    <t>038-0025</t>
  </si>
  <si>
    <t>1"-IA-BO-44/545-GK1-002</t>
    <phoneticPr fontId="3" type="noConversion"/>
  </si>
  <si>
    <t>038-0026</t>
  </si>
  <si>
    <t>1"-IA-BO-44/546-GK1-001</t>
    <phoneticPr fontId="3" type="noConversion"/>
  </si>
  <si>
    <t>CCP-W-B044-25-ME-P01-0003(53/59)</t>
  </si>
  <si>
    <t>038-0027</t>
  </si>
  <si>
    <t>1"-IA-BO-44/546-GK1-002</t>
    <phoneticPr fontId="3" type="noConversion"/>
  </si>
  <si>
    <t>038-0028</t>
  </si>
  <si>
    <t>1"-IA-BO-44/547-GK1-001</t>
    <phoneticPr fontId="3" type="noConversion"/>
  </si>
  <si>
    <t>CCP-W-B044-25-ME-P01-0003(54/59)</t>
  </si>
  <si>
    <t>038-0029</t>
  </si>
  <si>
    <t>1"-IA-BO-44/547-GK1-002</t>
    <phoneticPr fontId="3" type="noConversion"/>
  </si>
  <si>
    <t>038-0030</t>
  </si>
  <si>
    <t>1"-IA-BO-44/548-GK1-001</t>
    <phoneticPr fontId="3" type="noConversion"/>
  </si>
  <si>
    <t>CCP-W-B044-25-ME-P01-0003(55/59)</t>
  </si>
  <si>
    <t>038-0031</t>
  </si>
  <si>
    <t>1"-IA-BO-44/548-GK1-002</t>
    <phoneticPr fontId="3" type="noConversion"/>
  </si>
  <si>
    <t>038-0032</t>
  </si>
  <si>
    <t>1"-IA-B1-44/551-GK1-001</t>
    <phoneticPr fontId="3" type="noConversion"/>
  </si>
  <si>
    <t>CCP-W-B044-25-ME-P01-0004(2/12)</t>
  </si>
  <si>
    <t>038-0033</t>
  </si>
  <si>
    <t>1"-IA-B1-44/551-GK1-002</t>
  </si>
  <si>
    <t>038-0034</t>
  </si>
  <si>
    <t>1"-IA-B1-44/551-GK1-003</t>
    <phoneticPr fontId="3" type="noConversion"/>
  </si>
  <si>
    <t>038-0035</t>
  </si>
  <si>
    <t>1"-IA-B1-44/552-GK1-001</t>
    <phoneticPr fontId="3" type="noConversion"/>
  </si>
  <si>
    <t>CCP-W-B044-25-ME-P01-0004(5/12)</t>
  </si>
  <si>
    <t>038-0036</t>
  </si>
  <si>
    <t>1"-IA-B1-44/552-GK1-002</t>
    <phoneticPr fontId="3" type="noConversion"/>
  </si>
  <si>
    <t>038-0037</t>
  </si>
  <si>
    <t>1"-IA-B1-44/552-GK1-003</t>
  </si>
  <si>
    <t>038-0038</t>
  </si>
  <si>
    <t>1"-IA-B1-44/553-GK1-001</t>
    <phoneticPr fontId="3" type="noConversion"/>
  </si>
  <si>
    <t>CCP-W-B044-25-ME-P01-0004(8/12)</t>
  </si>
  <si>
    <t>038-0039</t>
  </si>
  <si>
    <t>1"-IA-B1-44/553-GK1-002</t>
    <phoneticPr fontId="3" type="noConversion"/>
  </si>
  <si>
    <t>038-0040</t>
  </si>
  <si>
    <t>1"-IA-B1-44/553-GK1-003</t>
  </si>
  <si>
    <t>038-0041</t>
  </si>
  <si>
    <t>1"-IA-B2-44/554-GK1-001</t>
    <phoneticPr fontId="3" type="noConversion"/>
  </si>
  <si>
    <t>CCP-W-B044-25-ME-P01-0004(11/12)</t>
  </si>
  <si>
    <t>038-0042</t>
  </si>
  <si>
    <t>1"-IA-B2-44/554-GK1-002</t>
    <phoneticPr fontId="3" type="noConversion"/>
  </si>
  <si>
    <t>038-0043</t>
  </si>
  <si>
    <t>1"-IA-B2-44/554-GK1-003</t>
  </si>
  <si>
    <t>038-0044</t>
  </si>
  <si>
    <t>8"-FG-BI-44/123-FB2-001</t>
    <phoneticPr fontId="3" type="noConversion"/>
  </si>
  <si>
    <t>CCP-W-B044-25-ME-P01-0004(1/12)</t>
  </si>
  <si>
    <t>039-0001</t>
  </si>
  <si>
    <t>8"-FG-BI-44/123-FB2-002</t>
    <phoneticPr fontId="3" type="noConversion"/>
  </si>
  <si>
    <t>039-0002</t>
  </si>
  <si>
    <t>8"-FG-BI-44/123-FB2-003</t>
    <phoneticPr fontId="3" type="noConversion"/>
  </si>
  <si>
    <t>039-0003</t>
  </si>
  <si>
    <t>8"-FG-BI-44/123-FB2-004</t>
    <phoneticPr fontId="3" type="noConversion"/>
  </si>
  <si>
    <t>039-0004</t>
  </si>
  <si>
    <t>8"-FG-BI-44/127-FB2-001</t>
    <phoneticPr fontId="3" type="noConversion"/>
  </si>
  <si>
    <t>CCP-W-B044-25-ME-P01-0004(4/12)</t>
  </si>
  <si>
    <t>039-0005</t>
  </si>
  <si>
    <t>8"-FG-BI-44/127-FB2-002</t>
    <phoneticPr fontId="3" type="noConversion"/>
  </si>
  <si>
    <t>039-0006</t>
  </si>
  <si>
    <t>8"-FG-BI-44/127-FB2-003</t>
    <phoneticPr fontId="3" type="noConversion"/>
  </si>
  <si>
    <t>039-0007</t>
  </si>
  <si>
    <t>8"-FG-BI-44/127-FB2-004</t>
    <phoneticPr fontId="3" type="noConversion"/>
  </si>
  <si>
    <t>039-0008</t>
  </si>
  <si>
    <t>8"-FG-BI-44/131-FB2-001</t>
    <phoneticPr fontId="3" type="noConversion"/>
  </si>
  <si>
    <t>CCP-W-B044-25-ME-P01-0004(7/12)</t>
  </si>
  <si>
    <t>039-0009</t>
  </si>
  <si>
    <t>8"-FG-BI-44/131-FB2-002</t>
    <phoneticPr fontId="3" type="noConversion"/>
  </si>
  <si>
    <t>039-0010</t>
  </si>
  <si>
    <t>8"-FG-BI-44/131-FB2-003</t>
    <phoneticPr fontId="3" type="noConversion"/>
  </si>
  <si>
    <t>039-0011</t>
  </si>
  <si>
    <t>8"-FG-BI-44/131-FB2-004</t>
    <phoneticPr fontId="3" type="noConversion"/>
  </si>
  <si>
    <t>039-0012</t>
  </si>
  <si>
    <t>8"-FG-BI-44/135-FB2-001</t>
    <phoneticPr fontId="3" type="noConversion"/>
  </si>
  <si>
    <t>CCP-W-B044-25-ME-P01-0004(10/12)</t>
  </si>
  <si>
    <t>039-0013</t>
  </si>
  <si>
    <t>8"-FG-BI-44/135-FB2-002</t>
    <phoneticPr fontId="3" type="noConversion"/>
  </si>
  <si>
    <t>039-0014</t>
  </si>
  <si>
    <t>8"-FG-BI-44/135-FB2-003</t>
    <phoneticPr fontId="3" type="noConversion"/>
  </si>
  <si>
    <t>039-0015</t>
  </si>
  <si>
    <t>8"-FG-BI-44/135-FB2-004</t>
    <phoneticPr fontId="3" type="noConversion"/>
  </si>
  <si>
    <t>039-0016</t>
  </si>
  <si>
    <t>1"-CDS-BI-44/408-GB1-001</t>
    <phoneticPr fontId="3" type="noConversion"/>
  </si>
  <si>
    <t>CCP-W-B044-25-ME-P01-0004(3/12)</t>
  </si>
  <si>
    <t>039-0017</t>
  </si>
  <si>
    <t>1"-CDS-BI-44/408-GB1-002</t>
    <phoneticPr fontId="3" type="noConversion"/>
  </si>
  <si>
    <t>039-0018</t>
  </si>
  <si>
    <t>1"-CDS-BI-44/408-GB1-003</t>
    <phoneticPr fontId="3" type="noConversion"/>
  </si>
  <si>
    <t>039-0019</t>
  </si>
  <si>
    <t>1"-CDS-BI-44/413-GB1-001</t>
    <phoneticPr fontId="3" type="noConversion"/>
  </si>
  <si>
    <t>CCP-W-B044-25-ME-P01-0004(6/12)</t>
  </si>
  <si>
    <t>039-0020</t>
  </si>
  <si>
    <t>1"-CDS-BI-44/413-GB1-002</t>
    <phoneticPr fontId="3" type="noConversion"/>
  </si>
  <si>
    <t>039-0021</t>
  </si>
  <si>
    <t>1"-CDS-BI-44/413-GB1-003</t>
    <phoneticPr fontId="3" type="noConversion"/>
  </si>
  <si>
    <t>039-0022</t>
  </si>
  <si>
    <t>1"-CDS-BI-44/418-GB1-001</t>
    <phoneticPr fontId="3" type="noConversion"/>
  </si>
  <si>
    <t>CCP-W-B044-25-ME-P01-0004(9/12)</t>
  </si>
  <si>
    <t>039-0023</t>
  </si>
  <si>
    <t>1"-CDS-BI-44/418-GB1-002</t>
    <phoneticPr fontId="3" type="noConversion"/>
  </si>
  <si>
    <t>039-0024</t>
  </si>
  <si>
    <t>1"-CDS-BI-44/418-GB1-003</t>
    <phoneticPr fontId="3" type="noConversion"/>
  </si>
  <si>
    <t>039-0025</t>
  </si>
  <si>
    <t>1"-CDS-BI-44/423-GB1-001</t>
    <phoneticPr fontId="3" type="noConversion"/>
  </si>
  <si>
    <t>CCP-W-B044-25-ME-P01-0004(12/12)</t>
  </si>
  <si>
    <t>039-0026</t>
  </si>
  <si>
    <t>1"-CDS-BI-44/423-GB1-002</t>
    <phoneticPr fontId="3" type="noConversion"/>
  </si>
  <si>
    <t>039-0027</t>
  </si>
  <si>
    <t>1"-CDS-BI-44/423-GB1-003</t>
    <phoneticPr fontId="3" type="noConversion"/>
  </si>
  <si>
    <t>039-0028</t>
  </si>
  <si>
    <t>PS-001</t>
    <phoneticPr fontId="3" type="noConversion"/>
  </si>
  <si>
    <t>CCP-W-B044-25-ME-P02-0002(3/81)</t>
  </si>
  <si>
    <t>040-0001</t>
  </si>
  <si>
    <t>PS-002</t>
  </si>
  <si>
    <t>CCP-W-B044-25-ME-P02-0002(4/81)</t>
  </si>
  <si>
    <t>040-0002</t>
  </si>
  <si>
    <t>PS-003</t>
  </si>
  <si>
    <t>CCP-W-B044-25-ME-P02-0002(5/81)</t>
  </si>
  <si>
    <t>040-0003</t>
  </si>
  <si>
    <t>PS-004</t>
  </si>
  <si>
    <t>CCP-W-B044-25-ME-P02-0002(6/81)</t>
  </si>
  <si>
    <t>040-0004</t>
  </si>
  <si>
    <t>PS-008</t>
  </si>
  <si>
    <t>CCP-W-B044-25-ME-P02-0002(10/81)</t>
  </si>
  <si>
    <t>040-0005</t>
  </si>
  <si>
    <t>PS-011</t>
    <phoneticPr fontId="3" type="noConversion"/>
  </si>
  <si>
    <t>CCP-W-B044-25-ME-P02-0002(13/81)</t>
  </si>
  <si>
    <t>040-0006</t>
  </si>
  <si>
    <t>PS-015</t>
    <phoneticPr fontId="3" type="noConversion"/>
  </si>
  <si>
    <t>CCP-W-B044-25-ME-P02-0002(17/81)</t>
  </si>
  <si>
    <t>040-0007</t>
  </si>
  <si>
    <t>PS-016</t>
    <phoneticPr fontId="3" type="noConversion"/>
  </si>
  <si>
    <t>CCP-W-B044-25-ME-P02-0002(18/81)</t>
  </si>
  <si>
    <t>040-0008</t>
  </si>
  <si>
    <t>PS-101</t>
    <phoneticPr fontId="3" type="noConversion"/>
  </si>
  <si>
    <t>CCP-W-B044-25-ME-P02-0002(19/81)</t>
  </si>
  <si>
    <t>040-0009</t>
  </si>
  <si>
    <t>PS-104</t>
    <phoneticPr fontId="3" type="noConversion"/>
  </si>
  <si>
    <t>CCP-W-B044-25-ME-P02-0002(22/81)</t>
  </si>
  <si>
    <t>040-0010</t>
  </si>
  <si>
    <t>PS-106</t>
  </si>
  <si>
    <t>CCP-W-B044-25-ME-P02-0002(24/81)</t>
  </si>
  <si>
    <t>040-0011</t>
  </si>
  <si>
    <t>PS-108</t>
  </si>
  <si>
    <t>CCP-W-B044-25-ME-P02-0002(26/81)</t>
  </si>
  <si>
    <t>040-0012</t>
  </si>
  <si>
    <t>PS-110</t>
  </si>
  <si>
    <t>CCP-W-B044-25-ME-P02-0002(29/81)</t>
  </si>
  <si>
    <t>040-0013</t>
  </si>
  <si>
    <t>PS-111</t>
    <phoneticPr fontId="3" type="noConversion"/>
  </si>
  <si>
    <t>CCP-W-B044-25-ME-P02-0002(30/81)</t>
  </si>
  <si>
    <t>040-0014</t>
  </si>
  <si>
    <t>PS-112</t>
    <phoneticPr fontId="3" type="noConversion"/>
  </si>
  <si>
    <t>CCP-W-B044-25-ME-P02-0002(31/81)</t>
  </si>
  <si>
    <t>040-0015</t>
  </si>
  <si>
    <t>PS-116</t>
  </si>
  <si>
    <t>CCP-W-B044-25-ME-P02-0002(35/81)</t>
  </si>
  <si>
    <t>040-0016</t>
  </si>
  <si>
    <t>PS-117</t>
  </si>
  <si>
    <t>CCP-W-B044-25-ME-P02-0002(36/81)</t>
  </si>
  <si>
    <t>040-0017</t>
  </si>
  <si>
    <t>PS-124</t>
  </si>
  <si>
    <t>CCP-W-B044-25-ME-P02-0002(43/81)</t>
  </si>
  <si>
    <t>040-0018</t>
  </si>
  <si>
    <t>PS-125</t>
  </si>
  <si>
    <t>CCP-W-B044-25-ME-P02-0002(44/81)</t>
  </si>
  <si>
    <t>040-0019</t>
  </si>
  <si>
    <t>PS-130</t>
  </si>
  <si>
    <t>CCP-W-B044-25-ME-P02-0002(49/81)</t>
  </si>
  <si>
    <t>040-0020</t>
  </si>
  <si>
    <t>PS-131</t>
  </si>
  <si>
    <t>CCP-W-B044-25-ME-P02-0002(50/81)</t>
  </si>
  <si>
    <t>040-0021</t>
  </si>
  <si>
    <t>PS-202</t>
  </si>
  <si>
    <t>CCP-W-B044-25-ME-P02-0002(62/81)</t>
  </si>
  <si>
    <t>040-0022</t>
  </si>
  <si>
    <t>PS-208</t>
    <phoneticPr fontId="3" type="noConversion"/>
  </si>
  <si>
    <t>CCP-W-B044-25-ME-P02-0002(68/81)</t>
  </si>
  <si>
    <t>040-0023</t>
  </si>
  <si>
    <t>PS-210</t>
    <phoneticPr fontId="3" type="noConversion"/>
  </si>
  <si>
    <t>CCP-W-B044-25-ME-P02-0002(70/81)</t>
  </si>
  <si>
    <t>040-0024</t>
  </si>
  <si>
    <t>PS-211</t>
  </si>
  <si>
    <t>CCP-W-B044-25-ME-P02-0002(71/81)</t>
  </si>
  <si>
    <t>040-0025</t>
  </si>
  <si>
    <t>PS-301</t>
  </si>
  <si>
    <t>CCP-W-B044-25-ME-P02-0002(72/81)</t>
  </si>
  <si>
    <t>040-0026</t>
  </si>
  <si>
    <t>PS-303</t>
  </si>
  <si>
    <t>CCP-W-B044-25-ME-P02-0002(74/81)</t>
  </si>
  <si>
    <t>040-0027</t>
  </si>
  <si>
    <t>PS-304</t>
  </si>
  <si>
    <t>CCP-W-B044-25-ME-P02-0002(75/81)</t>
  </si>
  <si>
    <t>040-0028</t>
  </si>
  <si>
    <t>PS-306</t>
  </si>
  <si>
    <t>CCP-W-B044-25-ME-P02-0002(77/81)</t>
  </si>
  <si>
    <t>040-0029</t>
  </si>
  <si>
    <t>PS-307</t>
  </si>
  <si>
    <t>CCP-W-B044-25-ME-P02-0002(78/81)</t>
  </si>
  <si>
    <t>040-0030</t>
  </si>
  <si>
    <t>PS-309</t>
  </si>
  <si>
    <t>CCP-W-B044-25-ME-P02-0002(80/81)</t>
  </si>
  <si>
    <t>040-0031</t>
  </si>
  <si>
    <t>PS-502</t>
    <phoneticPr fontId="3" type="noConversion"/>
  </si>
  <si>
    <t>CCP-W-B044-25-ME-P02-0003(3/9)</t>
  </si>
  <si>
    <t>040-0032</t>
  </si>
  <si>
    <t>PS-512</t>
    <phoneticPr fontId="3" type="noConversion"/>
  </si>
  <si>
    <t>CCP-W-B044-25-ME-P02-0003(5/9)</t>
  </si>
  <si>
    <t>040-0033</t>
  </si>
  <si>
    <t>PS-522</t>
  </si>
  <si>
    <t>CCP-W-B044-25-ME-P02-0003(7/9)</t>
  </si>
  <si>
    <t>040-0034</t>
  </si>
  <si>
    <t>PS-532</t>
  </si>
  <si>
    <t>CCP-W-B044-25-ME-P02-0003(9/9)</t>
  </si>
  <si>
    <t>040-0035</t>
  </si>
  <si>
    <t>PS-005</t>
    <phoneticPr fontId="3" type="noConversion"/>
  </si>
  <si>
    <t>CCP-W-B044-25-ME-P02-0002(7/81)</t>
  </si>
  <si>
    <t>041-0001</t>
  </si>
  <si>
    <t>PS-006</t>
  </si>
  <si>
    <t>CCP-W-B044-25-ME-P02-0002(8/81)</t>
  </si>
  <si>
    <t>041-0002</t>
  </si>
  <si>
    <t>PS-007</t>
  </si>
  <si>
    <t>CCP-W-B044-25-ME-P02-0002(9/81)</t>
  </si>
  <si>
    <t>041-0003</t>
  </si>
  <si>
    <t>PS-103</t>
  </si>
  <si>
    <t>CCP-W-B044-25-ME-P02-0002(21/81)</t>
  </si>
  <si>
    <t>041-0004</t>
  </si>
  <si>
    <t>PS-105</t>
  </si>
  <si>
    <t>CCP-W-B044-25-ME-P02-0002(23/81)</t>
  </si>
  <si>
    <t>041-0005</t>
  </si>
  <si>
    <t>PS-107</t>
    <phoneticPr fontId="3" type="noConversion"/>
  </si>
  <si>
    <t>CCP-W-B044-25-ME-P02-0002(25/81)</t>
  </si>
  <si>
    <t>041-0006</t>
  </si>
  <si>
    <t>PS-109</t>
    <phoneticPr fontId="3" type="noConversion"/>
  </si>
  <si>
    <t>CCP-W-B044-25-ME-P02-0002(27/81)</t>
  </si>
  <si>
    <t>041-0007</t>
  </si>
  <si>
    <t>PS-138</t>
    <phoneticPr fontId="3" type="noConversion"/>
  </si>
  <si>
    <t>CCP-W-B044-25-ME-P02-0002(57/81)</t>
  </si>
  <si>
    <t>041-0008</t>
  </si>
  <si>
    <t>PS-139</t>
    <phoneticPr fontId="3" type="noConversion"/>
  </si>
  <si>
    <t>CCP-W-B044-25-ME-P02-0002(58/81)</t>
  </si>
  <si>
    <t>041-0009</t>
  </si>
  <si>
    <t>PS-140</t>
    <phoneticPr fontId="3" type="noConversion"/>
  </si>
  <si>
    <t>CCP-W-B044-25-ME-P02-0002(59/81)</t>
  </si>
  <si>
    <t>041-0010</t>
  </si>
  <si>
    <t>PS-141</t>
    <phoneticPr fontId="3" type="noConversion"/>
  </si>
  <si>
    <t>CCP-W-B044-25-ME-P02-0002(60/81)</t>
  </si>
  <si>
    <t>041-0011</t>
  </si>
  <si>
    <t>PS-201</t>
    <phoneticPr fontId="3" type="noConversion"/>
  </si>
  <si>
    <t>CCP-W-B044-25-ME-P02-0002(61/81)</t>
  </si>
  <si>
    <t>041-0012</t>
  </si>
  <si>
    <t>PS-203</t>
    <phoneticPr fontId="3" type="noConversion"/>
  </si>
  <si>
    <t>CCP-W-B044-25-ME-P02-0002(63/81)</t>
  </si>
  <si>
    <t>041-0013</t>
  </si>
  <si>
    <t>PS-302</t>
  </si>
  <si>
    <t>CCP-W-B044-25-ME-P02-0002(73/81)</t>
  </si>
  <si>
    <t>041-0014</t>
  </si>
  <si>
    <t>PS-305</t>
  </si>
  <si>
    <t>CCP-W-B044-25-ME-P02-0002(76/81)</t>
  </si>
  <si>
    <t>041-0015</t>
  </si>
  <si>
    <t>PS-308</t>
  </si>
  <si>
    <t>CCP-W-B044-25-ME-P02-0002(79/81)</t>
  </si>
  <si>
    <t>041-0016</t>
  </si>
  <si>
    <t>PS-310</t>
  </si>
  <si>
    <t>CCP-W-B044-25-ME-P02-0002(81/81)</t>
  </si>
  <si>
    <t>041-0017</t>
  </si>
  <si>
    <t>PS-501</t>
  </si>
  <si>
    <t>CCP-W-B044-25-ME-P02-0003(2/9)</t>
  </si>
  <si>
    <t>041-0018</t>
  </si>
  <si>
    <t>PS-511</t>
  </si>
  <si>
    <t>CCP-W-B044-25-ME-P02-0003(4/9)</t>
  </si>
  <si>
    <t>041-0019</t>
  </si>
  <si>
    <t>PS-521</t>
  </si>
  <si>
    <t>CCP-W-B044-25-ME-P02-0003(6/9)</t>
  </si>
  <si>
    <t>041-0020</t>
  </si>
  <si>
    <t>PS-531</t>
  </si>
  <si>
    <t>CCP-W-B044-25-ME-P02-0003(8/9)</t>
  </si>
  <si>
    <t>041-0021</t>
  </si>
  <si>
    <t>PS-009</t>
    <phoneticPr fontId="3" type="noConversion"/>
  </si>
  <si>
    <t>CCP-W-B044-25-ME-P02-0002(11/81)</t>
  </si>
  <si>
    <t>042-0001</t>
  </si>
  <si>
    <t>PS-010</t>
  </si>
  <si>
    <t>CCP-W-B044-25-ME-P02-0002(12/81)</t>
  </si>
  <si>
    <t>042-0002</t>
  </si>
  <si>
    <t>PS-012</t>
    <phoneticPr fontId="3" type="noConversion"/>
  </si>
  <si>
    <t>CCP-W-B044-25-ME-P02-0002(14/81)</t>
  </si>
  <si>
    <t>042-0003</t>
  </si>
  <si>
    <t>PS-013</t>
  </si>
  <si>
    <t>CCP-W-B044-25-ME-P02-0002(15/81)</t>
  </si>
  <si>
    <t>042-0004</t>
  </si>
  <si>
    <t>PS-014</t>
    <phoneticPr fontId="3" type="noConversion"/>
  </si>
  <si>
    <t>CCP-W-B044-25-ME-P02-0002(16/81)</t>
  </si>
  <si>
    <t>042-0005</t>
  </si>
  <si>
    <t>PS-017</t>
    <phoneticPr fontId="3" type="noConversion"/>
  </si>
  <si>
    <t>042-0006</t>
  </si>
  <si>
    <t>PS-102</t>
    <phoneticPr fontId="3" type="noConversion"/>
  </si>
  <si>
    <t>CCP-W-B044-25-ME-P02-0002(20/81)</t>
  </si>
  <si>
    <t>042-0007</t>
  </si>
  <si>
    <t>PS-113</t>
    <phoneticPr fontId="3" type="noConversion"/>
  </si>
  <si>
    <t>CCP-W-B044-25-ME-P02-0002(32/81)</t>
  </si>
  <si>
    <t>042-0008</t>
  </si>
  <si>
    <t>PS-114</t>
  </si>
  <si>
    <t>CCP-W-B044-25-ME-P02-0002(33/81)</t>
  </si>
  <si>
    <t>042-0009</t>
  </si>
  <si>
    <t>PS-115</t>
  </si>
  <si>
    <t>CCP-W-B044-25-ME-P02-0002(34/81)</t>
  </si>
  <si>
    <t>042-0010</t>
  </si>
  <si>
    <t>PS-118</t>
    <phoneticPr fontId="3" type="noConversion"/>
  </si>
  <si>
    <t>CCP-W-B044-25-ME-P02-0002(37/81)</t>
  </si>
  <si>
    <t>042-0011</t>
  </si>
  <si>
    <t>PS-119</t>
  </si>
  <si>
    <t>CCP-W-B044-25-ME-P02-0002(38/81)</t>
  </si>
  <si>
    <t>042-0012</t>
  </si>
  <si>
    <t>PS-120</t>
  </si>
  <si>
    <t>CCP-W-B044-25-ME-P02-0002(39/81)</t>
  </si>
  <si>
    <t>042-0013</t>
  </si>
  <si>
    <t>PS-121</t>
  </si>
  <si>
    <t>CCP-W-B044-25-ME-P02-0002(40/81)</t>
  </si>
  <si>
    <t>042-0014</t>
  </si>
  <si>
    <t>PS-122</t>
  </si>
  <si>
    <t>CCP-W-B044-25-ME-P02-0002(41/81)</t>
  </si>
  <si>
    <t>042-0015</t>
  </si>
  <si>
    <t>PS-123</t>
  </si>
  <si>
    <t>CCP-W-B044-25-ME-P02-0002(42/81)</t>
  </si>
  <si>
    <t>042-0016</t>
  </si>
  <si>
    <t>PS-126</t>
    <phoneticPr fontId="3" type="noConversion"/>
  </si>
  <si>
    <t>CCP-W-B044-25-ME-P02-0002(45/81)</t>
  </si>
  <si>
    <t>042-0017</t>
  </si>
  <si>
    <t>PS-127</t>
  </si>
  <si>
    <t>CCP-W-B044-25-ME-P02-0002(46/81)</t>
  </si>
  <si>
    <t>042-0018</t>
  </si>
  <si>
    <t>PS-128</t>
  </si>
  <si>
    <t>CCP-W-B044-25-ME-P02-0002(47/81)</t>
  </si>
  <si>
    <t>042-0019</t>
  </si>
  <si>
    <t>PS-129</t>
  </si>
  <si>
    <t>CCP-W-B044-25-ME-P02-0002(48/81)</t>
  </si>
  <si>
    <t>042-0020</t>
  </si>
  <si>
    <t>PS-132</t>
    <phoneticPr fontId="3" type="noConversion"/>
  </si>
  <si>
    <t>CCP-W-B044-25-ME-P02-0002(51/81)</t>
  </si>
  <si>
    <t>042-0021</t>
  </si>
  <si>
    <t>PS-133</t>
  </si>
  <si>
    <t>CCP-W-B044-25-ME-P02-0002(52/81)</t>
  </si>
  <si>
    <t>042-0022</t>
  </si>
  <si>
    <t>PS-134</t>
  </si>
  <si>
    <t>CCP-W-B044-25-ME-P02-0002(53/81)</t>
  </si>
  <si>
    <t>042-0023</t>
  </si>
  <si>
    <t>PS-135</t>
  </si>
  <si>
    <t>CCP-W-B044-25-ME-P02-0002(54/81)</t>
  </si>
  <si>
    <t>042-0024</t>
  </si>
  <si>
    <t>PS-136</t>
  </si>
  <si>
    <t>CCP-W-B044-25-ME-P02-0002(55/81)</t>
  </si>
  <si>
    <t>042-0025</t>
  </si>
  <si>
    <t>PS-137</t>
  </si>
  <si>
    <t>CCP-W-B044-25-ME-P02-0002(56/81)</t>
  </si>
  <si>
    <t>042-0026</t>
  </si>
  <si>
    <t>PS-204</t>
  </si>
  <si>
    <t>CCP-W-B044-25-ME-P02-0002(64/81)</t>
  </si>
  <si>
    <t>042-0027</t>
  </si>
  <si>
    <t>PS-205</t>
  </si>
  <si>
    <t>CCP-W-B044-25-ME-P02-0002(65/81)</t>
  </si>
  <si>
    <t>042-0028</t>
  </si>
  <si>
    <t>PS-206</t>
  </si>
  <si>
    <t>CCP-W-B044-25-ME-P02-0002(66/81)</t>
  </si>
  <si>
    <t>042-0029</t>
  </si>
  <si>
    <t>PS-207</t>
  </si>
  <si>
    <t>CCP-W-B044-25-ME-P02-0002(67/81)</t>
  </si>
  <si>
    <t>042-0030</t>
  </si>
  <si>
    <t>PS-209</t>
    <phoneticPr fontId="3" type="noConversion"/>
  </si>
  <si>
    <t>CCP-W-B044-25-ME-P02-0002(69/81)</t>
  </si>
  <si>
    <t>042-0031</t>
  </si>
  <si>
    <t>U 1/2*85L</t>
    <phoneticPr fontId="3" type="noConversion"/>
  </si>
  <si>
    <t>CCP-W-B044-25-ME-P01-0002(6/100, 31/100, 56/100, 81/100),
CCP-W-B044-25-ME-P01-0003(28/59, 29/59, 43/59, 56/59, 57/59, 58/59, 59/59, )</t>
    <phoneticPr fontId="3" type="noConversion"/>
  </si>
  <si>
    <t>047-0001</t>
  </si>
  <si>
    <t>U 1/2*85L(SUS304)</t>
    <phoneticPr fontId="3" type="noConversion"/>
  </si>
  <si>
    <t>CCP-W-B044-25-ME-P01-0002(7/100, 32/100, 57/100, 82/100)</t>
  </si>
  <si>
    <t>047-0002</t>
  </si>
  <si>
    <t>U 1/2*90L</t>
    <phoneticPr fontId="3" type="noConversion"/>
  </si>
  <si>
    <t>047-0003</t>
  </si>
  <si>
    <t>U 1-1/4*220L</t>
    <phoneticPr fontId="3" type="noConversion"/>
  </si>
  <si>
    <t>CCP-W-B044-25-ME-P01-0003(1/59, 2/59, 3/59, 4/59, 5/59, 6/59, 7/59, 8/59, 9/59, 10/59, 11/59, 12/59, 13/59, 14/59, 15/59, 17/59, 18/59, 22/59, 23/59, 24/59, 25/59)</t>
  </si>
  <si>
    <t>047-0004</t>
  </si>
  <si>
    <t>U 3/4*125L</t>
    <phoneticPr fontId="3" type="noConversion"/>
  </si>
  <si>
    <t>047-0005</t>
  </si>
  <si>
    <t>U 5/8*100L</t>
    <phoneticPr fontId="3" type="noConversion"/>
  </si>
  <si>
    <t>CCP-W-B044-25-ME-P01-0002(3/100, 13/100, 15/100, 28/100, 38/100, 40/100, 53/100, 63/100, 65/100, 78/100, 88/100, 90/100),
CCP-W-B044-25-ME-P01-0003(31/59, 41/59, 42/59, 44/59, 57/59)</t>
    <phoneticPr fontId="3" type="noConversion"/>
  </si>
  <si>
    <t>047-0006</t>
  </si>
  <si>
    <t>U 5/8*110L</t>
    <phoneticPr fontId="3" type="noConversion"/>
  </si>
  <si>
    <t>CCP-W-B044-25-ME-P01-0001(9/53, 20/53),                                  CCP-W-B044-25-ME-P01-0003(5/59, 19/59, 20/59 )</t>
  </si>
  <si>
    <t>047-0007</t>
  </si>
  <si>
    <t>U 5/8*120L</t>
    <phoneticPr fontId="3" type="noConversion"/>
  </si>
  <si>
    <t>CCP-W-B044-25-ME-P01-0001(9/53, 20/53),              CCP-W-B044-25-ME-P01-0002(14/100, 39/100, 64/100, 89/100)</t>
  </si>
  <si>
    <t>047-0008</t>
  </si>
  <si>
    <t>U 5/8*125L</t>
    <phoneticPr fontId="3" type="noConversion"/>
  </si>
  <si>
    <t>CCP-W-B044-25-ME-P01-0002(14/100, 5/100, 29/100, 30/100, 54/100, 55/100, 79/100, 80/100)</t>
  </si>
  <si>
    <t>047-0009</t>
  </si>
  <si>
    <t>U 7/8*165L</t>
    <phoneticPr fontId="3" type="noConversion"/>
  </si>
  <si>
    <t>CCP-W-B044-25-ME-P01-0002(1/100, 26/100, 51/100, 76/100),
CCP-W-B044-25-ME-P01-0004(1/12, 4/12, 7/12, 10/12)</t>
    <phoneticPr fontId="3" type="noConversion"/>
  </si>
  <si>
    <t>047-0010</t>
  </si>
  <si>
    <t>U 7/8*165L(SUS304)</t>
    <phoneticPr fontId="3" type="noConversion"/>
  </si>
  <si>
    <t>CCP-W-B044-25-ME-P01-0002(12/100, 37/100, 62/100, 87/100)</t>
  </si>
  <si>
    <t>047-0011</t>
  </si>
  <si>
    <t>U-BOLT  1"(UB-AA1)</t>
    <phoneticPr fontId="3" type="noConversion"/>
  </si>
  <si>
    <t>CCP-W-B044-25-ME-P02-0002(33/81, 39/81, 47/81, 53/81)</t>
  </si>
  <si>
    <t>047-0012</t>
  </si>
  <si>
    <t>U-BOLT  1"(UB-AG1)</t>
    <phoneticPr fontId="3" type="noConversion"/>
  </si>
  <si>
    <t>CCP-W-B044-25-ME-P02-0002(19/81, 32/81, 33/81, 34/81, 45/81, 46/81, 47/81, 48/81, 78/81)</t>
  </si>
  <si>
    <t>047-0013</t>
  </si>
  <si>
    <t>U-BOLT  2"(UB-AG1)</t>
    <phoneticPr fontId="3" type="noConversion"/>
  </si>
  <si>
    <t>CCP-W-B044-25-ME-P02-0002(18/81, 21/81)</t>
  </si>
  <si>
    <t>047-0014</t>
  </si>
  <si>
    <t>U-BOLT  6"(UB-AA1)</t>
    <phoneticPr fontId="3" type="noConversion"/>
  </si>
  <si>
    <t>047-0015</t>
  </si>
  <si>
    <t>SET ANCHOR+WASHER(M16*200L)</t>
    <phoneticPr fontId="3" type="noConversion"/>
  </si>
  <si>
    <t>CCP-W-B044-25-ME-P02-0002(3, 4, 5, 6, 7, 8, 9, 10, 11, 12, 14, 15, 16, 17, 18, 19, 20, 21, 22, 23, 24, 25 26, 27, 28, 29, 30, 31, 32, 33, 34, 35, 36, 37, 38, 39, 40, 41, 42, 43, 44, 45, 46, 47, 48, 49, 50, 51, 52, 53, 54, 55, 56, 57, 58, 59, 60, 61, 62, 63, 64, 65, 66, 67, 68, 69, 70, 71, 72, 73, 74, 75, 76, 77, 78, 79, 80, 81/81), 
 CCP-W-B044-25-ME-P02-0003(2/9, 4/9, 6/9, 8/9)</t>
    <phoneticPr fontId="3" type="noConversion"/>
  </si>
  <si>
    <t>047-0016</t>
  </si>
  <si>
    <t>CHEMICAL ANCHOR BOLT(M20*260L)</t>
    <phoneticPr fontId="3" type="noConversion"/>
  </si>
  <si>
    <t xml:space="preserve">CCP-W-B044-25-ME-D07-0001(1/2)                                            CCP-W-B044-25-ME-D07-0003(1, 2/5)                                        CCP-W-B044-25-ME-D07-0002(1, 2/3)                                             CCP-W-B044-25-ME-D07-0005(1/2)                                         CCP-W-B044-25-ME-D07-0004(1, 2/3)                                         CCP-W-B044-25-ME-D07-0006(2, 4, 6, 8/8)                                            CCP-W-B044-25-ME-D07-0007(1, 4, 7, 10/12)                                  </t>
    <phoneticPr fontId="3" type="noConversion"/>
  </si>
  <si>
    <t>047-0017</t>
  </si>
  <si>
    <t>BLIND FLANGE 1" 150#</t>
    <phoneticPr fontId="3" type="noConversion"/>
  </si>
  <si>
    <t>048-0001</t>
  </si>
  <si>
    <r>
      <t>FLANGE 16" 300# (16"-FG-B0-44</t>
    </r>
    <r>
      <rPr>
        <sz val="12"/>
        <rFont val="맑은 고딕"/>
        <family val="3"/>
        <charset val="129"/>
      </rPr>
      <t>＼</t>
    </r>
    <r>
      <rPr>
        <sz val="12"/>
        <rFont val="Calibri"/>
        <family val="2"/>
      </rPr>
      <t>117-FB2-007)</t>
    </r>
    <phoneticPr fontId="3" type="noConversion"/>
  </si>
  <si>
    <t>048-0002</t>
  </si>
  <si>
    <t>HAMMER BLIND 16" 300#</t>
    <phoneticPr fontId="3" type="noConversion"/>
  </si>
  <si>
    <t>CCP-W-B044-25-ME-P01-0001(7, 8, 18, 19, 31, 32, 35, 36/53)</t>
  </si>
  <si>
    <t>048-0003</t>
  </si>
  <si>
    <t>GASKET   1 1/2" * 150#</t>
    <phoneticPr fontId="3" type="noConversion"/>
  </si>
  <si>
    <t>048-0004</t>
  </si>
  <si>
    <t>GASKET   1" * 150#</t>
    <phoneticPr fontId="3" type="noConversion"/>
  </si>
  <si>
    <t>CCP-W-B044-25-ME-P01-0002(6/100, 7/100, 31/100, 32/100, 56/100, 57/100, 81/100, 82/100),                                             CCP-W-B044-25-ME-P01-0003(28/59, 29/59, 43/59, 56/59, 57/59, 58/59, 59/59)</t>
  </si>
  <si>
    <t>048-0005</t>
  </si>
  <si>
    <t>GASKET   1" * 300#</t>
    <phoneticPr fontId="3" type="noConversion"/>
  </si>
  <si>
    <t>CCP-W-B044-25-ME-P01-0001(9/53, 20/53), 
CCP-W-B044-25-ME-P01-0002(14/100, 39/100, 64/100, 89/100), 
 CCP-W-B044-25-ME-P01-0003(41/59, 42/59)</t>
    <phoneticPr fontId="3" type="noConversion"/>
  </si>
  <si>
    <t>048-0006</t>
  </si>
  <si>
    <t>GASKET 16" 300#</t>
    <phoneticPr fontId="3" type="noConversion"/>
  </si>
  <si>
    <t>048-0007</t>
  </si>
  <si>
    <t>GASKET 2" 150#</t>
    <phoneticPr fontId="3" type="noConversion"/>
  </si>
  <si>
    <t>CCP-W-B044-25-ME-P01-0001(9/53, 20/53),        CCP-W-B044-25-ME-P01-0002(3/100, 13/100, 15/100, 28/100, 38/100, 40/100, 53/100, 63/100, 65/100, 78/100, 88/100, 90/100),
 CCP-W-B044-25-ME-P01-0003(31/59, 57/59)</t>
    <phoneticPr fontId="3" type="noConversion"/>
  </si>
  <si>
    <t>048-0008</t>
  </si>
  <si>
    <t>GASKET 2" 300#</t>
    <phoneticPr fontId="3" type="noConversion"/>
  </si>
  <si>
    <t>CCP-W-B044-25-ME-P01-0003(5/59, 19/59, 20/59)</t>
  </si>
  <si>
    <t>048-0009</t>
  </si>
  <si>
    <t>GASKET 2" 600#</t>
    <phoneticPr fontId="3" type="noConversion"/>
  </si>
  <si>
    <t>CCP-W-B044-25-ME-P01-0002(4/100, 5/100, 29/100, 30/100, 55/100, 79/100, 80/100)</t>
  </si>
  <si>
    <t>048-0010</t>
  </si>
  <si>
    <t>GASKET 2" 150#(SUS304)</t>
    <phoneticPr fontId="3" type="noConversion"/>
  </si>
  <si>
    <t>048-0011</t>
  </si>
  <si>
    <t>GASKET 6" 150#</t>
    <phoneticPr fontId="3" type="noConversion"/>
  </si>
  <si>
    <t>048-0012</t>
  </si>
  <si>
    <t>GASKET 8" 300"</t>
    <phoneticPr fontId="3" type="noConversion"/>
  </si>
  <si>
    <t>CCP-W-B044-25-ME-P01-0002(12/100, 37/100, 62/100, 87/100),
CCP-W-B044-25-ME-P01-0004(1/12, 4/12, 7/12, 10/12)</t>
    <phoneticPr fontId="3" type="noConversion"/>
  </si>
  <si>
    <t>048-0013</t>
  </si>
  <si>
    <t>GASKET 8" 300"(SUS304)</t>
    <phoneticPr fontId="3" type="noConversion"/>
  </si>
  <si>
    <t>048-0014</t>
  </si>
  <si>
    <t>WELDED SHOE  SA-C16</t>
    <phoneticPr fontId="3" type="noConversion"/>
  </si>
  <si>
    <t>CCP-W-B044-25-ME-P02-0002(3, 81/81)</t>
  </si>
  <si>
    <t>049-0001</t>
  </si>
  <si>
    <t>WELDED SHOE  SG-C1</t>
    <phoneticPr fontId="3" type="noConversion"/>
  </si>
  <si>
    <t>CCP-W-B044-25-ME-P02-0002(8, 12, 13, 14/81)</t>
  </si>
  <si>
    <t>049-0002</t>
  </si>
  <si>
    <t>WELDED SHOE  SG-C16</t>
    <phoneticPr fontId="3" type="noConversion"/>
  </si>
  <si>
    <t>CCP-W-B044-25-ME-P02-0002(28, 35, 49, 61, 63, 70, 71, 73, 76, 79/81)</t>
  </si>
  <si>
    <t>049-0003</t>
  </si>
  <si>
    <t>WELDED SHOE  SG-C2</t>
    <phoneticPr fontId="3" type="noConversion"/>
  </si>
  <si>
    <t>CCP-W-B044-25-ME-P02-0002(26, 28, 37, 38,  40, 42, 51, 52, 54,  56/81)</t>
  </si>
  <si>
    <t>049-0004</t>
  </si>
  <si>
    <t>WELDED SHOE  SG-S2B</t>
    <phoneticPr fontId="3" type="noConversion"/>
  </si>
  <si>
    <t>CCP-W-B044-25-ME-P02-0002(14, 15, 16, 22, 23, 24, 25, 27, 29,62, 72/81)</t>
  </si>
  <si>
    <t>049-0005</t>
  </si>
  <si>
    <t>WELDED SHOE  SH-C16</t>
    <phoneticPr fontId="3" type="noConversion"/>
  </si>
  <si>
    <t>CCP-W-B044-25-ME-P02-0002(22, 24, 26, 57,  59,  61/81)</t>
  </si>
  <si>
    <t>049-0006</t>
  </si>
  <si>
    <t>WELDED SHOE  SH-C1B</t>
    <phoneticPr fontId="3" type="noConversion"/>
  </si>
  <si>
    <t>CCP-W-B044-25-ME-P02-0003(2, 3, 4, 5, 6, 7, 8, 9/9)</t>
  </si>
  <si>
    <t>049-0007</t>
  </si>
  <si>
    <t>WELDED SHOE  SH-C2</t>
    <phoneticPr fontId="3" type="noConversion"/>
  </si>
  <si>
    <t>CCP-W-B044-25-ME-P02-0002(17, 27, 29, 39, 41, 53, 55/81)</t>
  </si>
  <si>
    <t>049-0008</t>
  </si>
  <si>
    <t>WELDED SHOE  SH-C8-203</t>
    <phoneticPr fontId="3" type="noConversion"/>
  </si>
  <si>
    <t>CCP-W-B044-25-ME-P02-0003(3, 5, 7, 9/9)</t>
  </si>
  <si>
    <t>049-0009</t>
  </si>
  <si>
    <t>WELDED SHOE  SH-C8-C</t>
    <phoneticPr fontId="3" type="noConversion"/>
  </si>
  <si>
    <t>CCP-W-B044-25-ME-P02-0003(2, 4, 6, 8/9)</t>
  </si>
  <si>
    <t>049-0010</t>
  </si>
  <si>
    <t>WELDED SHOE  SH-S1B</t>
    <phoneticPr fontId="3" type="noConversion"/>
  </si>
  <si>
    <t>CCP-W-B044-25-ME-P02-0002(32, 33, 37, 38, 39, 45, 46, 47, 51, 52, 53, 68/81)                                                      CCP-W-B044-25-ME-P02-0003(2, 3, 4, 5, 6, 7, 8, 9/9)</t>
  </si>
  <si>
    <t>049-0011</t>
  </si>
  <si>
    <t>WELDED SHOE  SH-S2B</t>
    <phoneticPr fontId="3" type="noConversion"/>
  </si>
  <si>
    <t>CCP-W-B044-25-ME-P02-0002(12, 26, 28, 61, 63, 69,  73, 74, 75, 76, 77, 78, 79, 80, 81/81)</t>
  </si>
  <si>
    <t>049-0012</t>
  </si>
  <si>
    <t>WELDED SHOE  SS-C16</t>
    <phoneticPr fontId="3" type="noConversion"/>
  </si>
  <si>
    <t>CCP-W-B044-25-ME-P02-0002(26, 28/81)</t>
  </si>
  <si>
    <t>049-0013</t>
  </si>
  <si>
    <t>WELDED SHOE  ST-C6</t>
    <phoneticPr fontId="3" type="noConversion"/>
  </si>
  <si>
    <t>CCP-W-B044-25-ME-P02-0002(12, 28/81)</t>
  </si>
  <si>
    <t>049-0014</t>
  </si>
  <si>
    <t>TEFLON PLATE  100*100*3T</t>
    <phoneticPr fontId="3" type="noConversion"/>
  </si>
  <si>
    <t>049-0015</t>
  </si>
  <si>
    <t>TEFLON PLATE  100*150*3T</t>
    <phoneticPr fontId="3" type="noConversion"/>
  </si>
  <si>
    <t>CCP-W-B044-25-ME-P02-0002(12/81, 14/81, 15/81, 16/81, 23/81, 25/81, 27/81, 29/81, 62/81, 64/81, 65/81, 66/81, 67/81, 69/81)</t>
  </si>
  <si>
    <t>049-0016</t>
  </si>
  <si>
    <t>TEFLON PLATE  100*200*3T</t>
    <phoneticPr fontId="3" type="noConversion"/>
  </si>
  <si>
    <t>CCP-W-B044-25-ME-P02-0002(22/81, 24/81, 26/81, 28/81, 61/81, 63/81)</t>
  </si>
  <si>
    <t>049-0017</t>
  </si>
  <si>
    <t>TEFLON PLATE  100*50*3T</t>
    <phoneticPr fontId="3" type="noConversion"/>
  </si>
  <si>
    <t>CCP-W-B044-25-ME-P02-0002(57/81, 59/81, 60/81)</t>
  </si>
  <si>
    <t>049-0018</t>
  </si>
  <si>
    <t>TEFLON PLATE  110*200*3T</t>
    <phoneticPr fontId="3" type="noConversion"/>
  </si>
  <si>
    <t>CCP-W-B044-25-ME-P02-0003(2/9, 4/9, 6/9, 8/9)</t>
  </si>
  <si>
    <t>049-0019</t>
  </si>
  <si>
    <t>TEFLON PLATE  150*100*3T</t>
    <phoneticPr fontId="3" type="noConversion"/>
  </si>
  <si>
    <t>049-0020</t>
  </si>
  <si>
    <t>TEFLON PLATE  25*100*3T</t>
    <phoneticPr fontId="3" type="noConversion"/>
  </si>
  <si>
    <t>CCP-W-B044-25-ME-P02-0002(32/81, 33/81, 34/81, 39/81, 45/81, 46/81, 47/81, 48/81, 53/81)</t>
  </si>
  <si>
    <t>049-0021</t>
  </si>
  <si>
    <t>TEFLON PLATE  25*75*3T</t>
    <phoneticPr fontId="3" type="noConversion"/>
  </si>
  <si>
    <t>049-0022</t>
  </si>
  <si>
    <t>TEFLON PLATE  280*200*3T</t>
    <phoneticPr fontId="3" type="noConversion"/>
  </si>
  <si>
    <t>CCP-W-B044-25-ME-P02-0002(3/81, 4/81, 5/81, 6/81, 7/81, 8/81, 9/81, 22/81, 24/81, 26/81, 28/81, 35/81, 49/81, 61/81, 63/81, 70/81, 71/81, 73/81, 76/81, 79/81, 81/81)</t>
  </si>
  <si>
    <t>049-0023</t>
  </si>
  <si>
    <t>TEFLON PLATE  290*190*3T</t>
    <phoneticPr fontId="3" type="noConversion"/>
  </si>
  <si>
    <t>CCP-W-B044-25-ME-P02-0002(31/81, 36/81, 44/81, 50/81)</t>
  </si>
  <si>
    <t>049-0024</t>
  </si>
  <si>
    <t>TEFLON PLATE  300*300*3T</t>
    <phoneticPr fontId="3" type="noConversion"/>
  </si>
  <si>
    <t>CCP-W-B044-25-ME-P02-0002(20/81, 30/81, 43/81)</t>
  </si>
  <si>
    <t>049-0025</t>
  </si>
  <si>
    <t>TEFLON PLATE  380*200*3T</t>
    <phoneticPr fontId="3" type="noConversion"/>
  </si>
  <si>
    <t>CCP-W-B044-25-ME-P02-0002(57/81, 58/81, 59/81, 60/81)</t>
  </si>
  <si>
    <t>049-0026</t>
  </si>
  <si>
    <t>TEFLON PLATE  40*100*3T</t>
    <phoneticPr fontId="3" type="noConversion"/>
  </si>
  <si>
    <t>CCP-W-B044-25-ME-P02-0002(18, 21/81, 37/81, 38/81, 39/81, 40/81, 41/81, 42/81, 51/81, 52/81, 53/81, 54/81, 55/81, 56/81)</t>
  </si>
  <si>
    <t>049-0027</t>
  </si>
  <si>
    <t>TEFLON PLATE  40*150*3T</t>
    <phoneticPr fontId="3" type="noConversion"/>
  </si>
  <si>
    <t>CCP-W-B044-25-ME-P02-0002(12/81, 14/81, 15/81, 16/81, 23/81, 25/81, 27/81, 29/81, 62/81)</t>
  </si>
  <si>
    <t>049-0028</t>
  </si>
  <si>
    <t>TEFLON PLATE  40*200*3T</t>
    <phoneticPr fontId="3" type="noConversion"/>
  </si>
  <si>
    <t>CCP-W-B044-25-ME-P02-0002(22/81, 24/81, 26/81, 28/81, 61/81, 63/81, 73/81, 76/81, 77/81, 78/81, 79/81, 81/81)</t>
  </si>
  <si>
    <t>049-0029</t>
  </si>
  <si>
    <t>TEFLON PLATE  40*75*3T</t>
    <phoneticPr fontId="3" type="noConversion"/>
  </si>
  <si>
    <t>CCP-W-B044-25-ME-P02-0002(69/81, 72/81, 74/81, 75/81, 80/81)</t>
  </si>
  <si>
    <t>049-0030</t>
  </si>
  <si>
    <t>TEFLON PLATE  80*100*3T</t>
    <phoneticPr fontId="3" type="noConversion"/>
  </si>
  <si>
    <t>CCP-W-B044-25-ME-P02-0002(11/81, 13/81, 37/81, 38/81, 39/81, 40/81, 41/81, 42/81, 51/81, 52/81, 53/81, 54/81, 55/81, 56/81)</t>
  </si>
  <si>
    <t>049-0031</t>
  </si>
  <si>
    <t>TEFLON PLATE  80*150*3T</t>
    <phoneticPr fontId="3" type="noConversion"/>
  </si>
  <si>
    <t>CCP-W-B044-25-ME-P02-0002(12/81, 14/81, 27/81, 29/81)</t>
  </si>
  <si>
    <t>049-0032</t>
  </si>
  <si>
    <t>TEFLON PLATE  80*200*3T</t>
    <phoneticPr fontId="3" type="noConversion"/>
  </si>
  <si>
    <t>CCP-W-B044-25-ME-P02-0002(8, 12, 14, 15, 16, 22, 23, 24, 25, 26, 27, 28, 29, 32, 33, 37, 38, 39, 45, 46/, 47, 51, 52, 53, 61, 62, 63, 68, 69, 72, 73, 74, 75, 77, 78, 79, 80, 81/81),
 CCP-W-B044-25-ME-P02-0003(2, 3, 4, 5, 6, 7, 8, 9/9)</t>
    <phoneticPr fontId="3" type="noConversion"/>
  </si>
  <si>
    <t>049-0033</t>
  </si>
  <si>
    <t>TEFLON PLATE  80*50*3T</t>
    <phoneticPr fontId="3" type="noConversion"/>
  </si>
  <si>
    <t>049-0034</t>
  </si>
  <si>
    <t>TEFLON PLATE  80*75*3T</t>
    <phoneticPr fontId="3" type="noConversion"/>
  </si>
  <si>
    <t>049-0035</t>
  </si>
  <si>
    <t>GUIDE  GUB-A1-G</t>
    <phoneticPr fontId="3" type="noConversion"/>
  </si>
  <si>
    <t>CCP-W-B044-25-ME-P02-0002(33, 37, 39, 45, 47, 51, 53/81)</t>
  </si>
  <si>
    <t>049-0036</t>
  </si>
  <si>
    <t>GUIDE  GU-C16</t>
    <phoneticPr fontId="3" type="noConversion"/>
  </si>
  <si>
    <t>CCP-W-B044-25-ME-P02-0002(57, 59, 60/81)</t>
  </si>
  <si>
    <t>049-0037</t>
  </si>
  <si>
    <t>GUIDE  GU-C2</t>
    <phoneticPr fontId="3" type="noConversion"/>
  </si>
  <si>
    <t>CCP-W-B044-25-ME-P02-0002(14, 23, 25, 27, 29, 37, 38, 40, 42, 51, 52, 54, 56, 62, 69, 73, 76, 79, 81/81)</t>
  </si>
  <si>
    <t>049-0038</t>
  </si>
  <si>
    <t>GUIDE  GU-C6</t>
    <phoneticPr fontId="3" type="noConversion"/>
  </si>
  <si>
    <t>CCP-W-B044-25-ME-P02-0002(14, 23, 26, 29, 63, 65, 67/81)</t>
  </si>
  <si>
    <t>049-0039</t>
  </si>
  <si>
    <t>STOPPER</t>
    <phoneticPr fontId="3" type="noConversion"/>
  </si>
  <si>
    <t>049-0040</t>
  </si>
  <si>
    <t>PSV(SV44192/44193/44196/44197/44198/44199)</t>
    <phoneticPr fontId="3" type="noConversion"/>
  </si>
  <si>
    <t>CCP-W-B044-25-ME-B01-1003(1/2, 2/2),                          CCP-W-B044-25-ME-B01-1007(1/4, 2/4, 3/4, 4/4)</t>
  </si>
  <si>
    <t>049-0041</t>
  </si>
  <si>
    <t>DAVIT(2-1/2")</t>
    <phoneticPr fontId="3" type="noConversion"/>
  </si>
  <si>
    <t>CCP-W-B044-25-ME-B01-1007(1/4, 2/4, 3/4, 4/4)</t>
  </si>
  <si>
    <t>049-0042</t>
  </si>
  <si>
    <t>DAVIT(6")</t>
    <phoneticPr fontId="3" type="noConversion"/>
  </si>
  <si>
    <t>CCP-W-B044-25-ME-B01-1003(1/2, 2/2)</t>
  </si>
  <si>
    <t>049-0043</t>
  </si>
  <si>
    <t>QUICK COUPLING 2"</t>
    <phoneticPr fontId="3" type="noConversion"/>
  </si>
  <si>
    <t>CCP-W-B044-25-ME-P01-0002(21, 46, 71, 96/100)                                                                                               CCP-W-B044-25-ME-P01-0003(58/59)</t>
  </si>
  <si>
    <t>049-0044</t>
  </si>
  <si>
    <t>Chemical anchor bolt injection</t>
    <phoneticPr fontId="3" type="noConversion"/>
  </si>
  <si>
    <t>049-0045</t>
  </si>
  <si>
    <t>WELDED SHOE GUIDE(50*50*6*30L)</t>
    <phoneticPr fontId="3" type="noConversion"/>
  </si>
  <si>
    <t>CCP-W-B044-25-ME-P02-0002(8, 12, 13, 14, 15, 16, 22, 23, 24, 25, 26,  27, 28, 29, 38, 40, 42, 51, 52, 54, 56, 62, 72/81)</t>
  </si>
  <si>
    <t>049-0046</t>
  </si>
  <si>
    <t>Gasket (for Girth Flange)  
40" ASME 300# RF, t4.5 (Filler -Graphite, Inner Ring/Outer Ring/Hoop-304 SS)</t>
    <phoneticPr fontId="3" type="noConversion"/>
  </si>
  <si>
    <t>051-0001</t>
  </si>
  <si>
    <t>Bolt/Nut (for Girth Flange)
1-1/4" 8UN x 285L (A193-B7/A194-2H, H.D.G)</t>
    <phoneticPr fontId="3" type="noConversion"/>
  </si>
  <si>
    <t>051-0002</t>
  </si>
  <si>
    <t>(Filter Separator) Gasket (for Shell Flange) 
40" ASME 300# RF, t4.5 (Filler -Graphite, Inner Ring/Outer Ring/Hoop-304 SS)</t>
    <phoneticPr fontId="3" type="noConversion"/>
  </si>
  <si>
    <t>052-0001</t>
  </si>
  <si>
    <t>Filter Separator</t>
  </si>
  <si>
    <t>(Filter Separator) Bolt/Nut (for Shell Flange) 
1-5/8" 8UNC x 350L (A193-B7/A194-2H, H.D.G)</t>
    <phoneticPr fontId="3" type="noConversion"/>
  </si>
  <si>
    <t>052-0002</t>
  </si>
  <si>
    <t>(Final Chance Filter) Gasket (for Shell Flange)
24" ASME 300# RF, t4.5 (Filler -Graphite, Inner Ring/Outer Ring/Hoop-304 SS)</t>
    <phoneticPr fontId="3" type="noConversion"/>
  </si>
  <si>
    <t>052-0003</t>
  </si>
  <si>
    <t>Final Filter</t>
    <phoneticPr fontId="3" type="noConversion"/>
  </si>
  <si>
    <t>(Final Chance Filter) Bolt/Nut (for Shell Flange)
1-1/2" 8UNC x 245L (A193-B7/A194-2H, H.D.G)</t>
    <phoneticPr fontId="3" type="noConversion"/>
  </si>
  <si>
    <t>052-0004</t>
  </si>
  <si>
    <t>Gasket (for M/H) 
20" ASME 150# RF, t4.5 (Filler -Graphite, Inner Ring/Outer Ring/Hoop-304 SS)</t>
    <phoneticPr fontId="3" type="noConversion"/>
  </si>
  <si>
    <t>053-0001</t>
  </si>
  <si>
    <t>Drain Tank (FGSS)</t>
  </si>
  <si>
    <t>Bolt/Nut (for M/H) 
1-1/8" 8UNC x 175L (A193-B7/A194-2H, H.D.G)</t>
    <phoneticPr fontId="3" type="noConversion"/>
  </si>
  <si>
    <t>053-0002</t>
  </si>
  <si>
    <t>Gasket (for M/H) 
20" ASME 150# RF, t4.5 (Filler -Graphite, Inner Ring/Outer Ring/Hoop-304 SS)</t>
  </si>
  <si>
    <t>053-0003</t>
  </si>
  <si>
    <t>Drain Tank (GT)</t>
  </si>
  <si>
    <t>Bolt/Nut (for M/H)
1-1/8" 8UNC x 175L (A193-B7/A194-2H, H.D.G)</t>
  </si>
  <si>
    <t>053-0004</t>
  </si>
  <si>
    <t>Analyzer cabinet with Vent</t>
    <phoneticPr fontId="3" type="noConversion"/>
  </si>
  <si>
    <t>B0-A-4401</t>
  </si>
  <si>
    <t>Sample probes</t>
    <phoneticPr fontId="3" type="noConversion"/>
  </si>
  <si>
    <t>062-0001</t>
  </si>
  <si>
    <t>Probes manifold with gauge &amp; valve</t>
    <phoneticPr fontId="3" type="noConversion"/>
  </si>
  <si>
    <t>062-0002</t>
  </si>
  <si>
    <t>Sample probes counter flange</t>
    <phoneticPr fontId="3" type="noConversion"/>
  </si>
  <si>
    <t>062-0003</t>
  </si>
  <si>
    <t>Cylinder regulators with gauge</t>
    <phoneticPr fontId="3" type="noConversion"/>
  </si>
  <si>
    <t>062-0004</t>
  </si>
  <si>
    <t>Cylinder flexible hose</t>
    <phoneticPr fontId="3" type="noConversion"/>
  </si>
  <si>
    <t>062-0005</t>
  </si>
  <si>
    <t>Electric heat tracing line</t>
    <phoneticPr fontId="3" type="noConversion"/>
  </si>
  <si>
    <t>M</t>
  </si>
  <si>
    <t>062-0006</t>
  </si>
  <si>
    <t>1/4" OD x 0.035" WT A269 TP316(L) Seamless, P/N : ETF-2-D143511-B</t>
  </si>
  <si>
    <t>Anchor Bolts</t>
    <phoneticPr fontId="3" type="noConversion"/>
  </si>
  <si>
    <t>062-0007</t>
  </si>
  <si>
    <t>for Analyzer cabinet</t>
  </si>
  <si>
    <t>Heat shrinkable boots</t>
    <phoneticPr fontId="3" type="noConversion"/>
  </si>
  <si>
    <t>062-0008</t>
  </si>
  <si>
    <t>P/N : CM-ESS-02</t>
  </si>
  <si>
    <t>End kit</t>
    <phoneticPr fontId="3" type="noConversion"/>
  </si>
  <si>
    <t>062-0009</t>
  </si>
  <si>
    <t>P/N : E-150</t>
  </si>
  <si>
    <t>Bulk head connector</t>
    <phoneticPr fontId="3" type="noConversion"/>
  </si>
  <si>
    <t>062-0010</t>
  </si>
  <si>
    <t>P/N : CM-BHC</t>
  </si>
  <si>
    <t>B0-P-4401</t>
  </si>
  <si>
    <t>B0-FG-4401</t>
  </si>
  <si>
    <t>EHT PANEL</t>
    <phoneticPr fontId="3" type="noConversion"/>
  </si>
  <si>
    <t>CCP-W-B044-25-ME-E22-0001</t>
    <phoneticPr fontId="3" type="noConversion"/>
  </si>
  <si>
    <t>B0-EHT-4401</t>
  </si>
  <si>
    <t>HEATER CABLE (5BTV2-CT)</t>
    <phoneticPr fontId="3" type="noConversion"/>
  </si>
  <si>
    <t>M</t>
    <phoneticPr fontId="3" type="noConversion"/>
  </si>
  <si>
    <t>066-0001</t>
  </si>
  <si>
    <t>Carton Box No.1</t>
    <phoneticPr fontId="3" type="noConversion"/>
  </si>
  <si>
    <t>HEATER CABLE (8BTV2-CT)</t>
    <phoneticPr fontId="3" type="noConversion"/>
  </si>
  <si>
    <t>066-0002</t>
  </si>
  <si>
    <t>Carton  Box No.2</t>
    <phoneticPr fontId="3" type="noConversion"/>
  </si>
  <si>
    <t>HEATER CABLE (10QTVR2-CT)</t>
    <phoneticPr fontId="3" type="noConversion"/>
  </si>
  <si>
    <t>066-0003</t>
  </si>
  <si>
    <t>Carton Box No.2</t>
    <phoneticPr fontId="3" type="noConversion"/>
  </si>
  <si>
    <t>066-0004</t>
  </si>
  <si>
    <t>Carton  Box No.3</t>
    <phoneticPr fontId="3" type="noConversion"/>
  </si>
  <si>
    <t>066-0005</t>
  </si>
  <si>
    <t>Carton Box No.3</t>
    <phoneticPr fontId="3" type="noConversion"/>
  </si>
  <si>
    <t>POWER CONNECTION KIT (JBS-100-E)</t>
    <phoneticPr fontId="3" type="noConversion"/>
  </si>
  <si>
    <t>066-0006</t>
  </si>
  <si>
    <t>Carton  Box No.4</t>
    <phoneticPr fontId="3" type="noConversion"/>
  </si>
  <si>
    <t>066-0007</t>
  </si>
  <si>
    <t>Carton Box No.4</t>
    <phoneticPr fontId="3" type="noConversion"/>
  </si>
  <si>
    <t>END SEAL LAMP KIT (E-100-L-A)</t>
    <phoneticPr fontId="3" type="noConversion"/>
  </si>
  <si>
    <t>066-0008</t>
  </si>
  <si>
    <t>Carton  Box No.5</t>
    <phoneticPr fontId="3" type="noConversion"/>
  </si>
  <si>
    <t>066-0009</t>
  </si>
  <si>
    <t>Carton Box No.5</t>
    <phoneticPr fontId="3" type="noConversion"/>
  </si>
  <si>
    <t>GLASS TAPE (GT-66)</t>
    <phoneticPr fontId="3" type="noConversion"/>
  </si>
  <si>
    <t>EA</t>
    <phoneticPr fontId="3" type="noConversion"/>
  </si>
  <si>
    <t>066-0010</t>
  </si>
  <si>
    <t>Carton  Box No.6</t>
    <phoneticPr fontId="3" type="noConversion"/>
  </si>
  <si>
    <t>PIPE STRAP (PSE-047)</t>
    <phoneticPr fontId="3" type="noConversion"/>
  </si>
  <si>
    <t>066-0011</t>
  </si>
  <si>
    <t>Carton  Box No.7</t>
  </si>
  <si>
    <t>PIPE STRAP (PSE-090)</t>
    <phoneticPr fontId="3" type="noConversion"/>
  </si>
  <si>
    <t>066-0012</t>
  </si>
  <si>
    <t>PIPE STRAP (PSE-540)</t>
    <phoneticPr fontId="3" type="noConversion"/>
  </si>
  <si>
    <t>066-0013</t>
  </si>
  <si>
    <t>SPLICE KIT (S-20)</t>
    <phoneticPr fontId="3" type="noConversion"/>
  </si>
  <si>
    <t>066-0014</t>
  </si>
  <si>
    <t>Carton  Box No.8</t>
    <phoneticPr fontId="3" type="noConversion"/>
  </si>
  <si>
    <t>ALUMINUM TAPE (AT-180)</t>
    <phoneticPr fontId="3" type="noConversion"/>
  </si>
  <si>
    <t>066-0015</t>
  </si>
  <si>
    <t>LABEL</t>
    <phoneticPr fontId="3" type="noConversion"/>
  </si>
  <si>
    <t>066-0016</t>
  </si>
  <si>
    <t>RTD SENSOR (RTD-4AL)</t>
    <phoneticPr fontId="3" type="noConversion"/>
  </si>
  <si>
    <t>066-0017</t>
  </si>
  <si>
    <t>MCC PANEL</t>
    <phoneticPr fontId="3" type="noConversion"/>
  </si>
  <si>
    <t>CCP-W-B044-25-ME-E13-0001</t>
  </si>
  <si>
    <t>B0-PP-44601</t>
  </si>
  <si>
    <t>UPS PANEL</t>
    <phoneticPr fontId="3" type="noConversion"/>
  </si>
  <si>
    <t>B0-UPSP-44701</t>
  </si>
  <si>
    <t>FGSS Area Pump LCP Panel</t>
    <phoneticPr fontId="3" type="noConversion"/>
  </si>
  <si>
    <t>069-0001</t>
  </si>
  <si>
    <t>B0-LCP-4403</t>
  </si>
  <si>
    <t>GT Area 11 Pump LCP Panel</t>
    <phoneticPr fontId="3" type="noConversion"/>
  </si>
  <si>
    <t>069-0002</t>
  </si>
  <si>
    <t>B1-LCP-4404</t>
  </si>
  <si>
    <t>GT Area 12 Pump LCP Panel</t>
    <phoneticPr fontId="3" type="noConversion"/>
  </si>
  <si>
    <t>069-0003</t>
  </si>
  <si>
    <t>B1-LCP-4405</t>
  </si>
  <si>
    <t>GT Area 21 Pump LCP Panel</t>
    <phoneticPr fontId="3" type="noConversion"/>
  </si>
  <si>
    <t>069-0004</t>
  </si>
  <si>
    <t>B2-LCP-4406</t>
  </si>
  <si>
    <t>GT Area 22 Pump LCP Panel</t>
    <phoneticPr fontId="3" type="noConversion"/>
  </si>
  <si>
    <t>069-0005</t>
  </si>
  <si>
    <t>B2-LCP-4407</t>
  </si>
  <si>
    <t>Workstation</t>
    <phoneticPr fontId="3" type="noConversion"/>
  </si>
  <si>
    <t>070-0001</t>
  </si>
  <si>
    <t>Monitor</t>
    <phoneticPr fontId="3" type="noConversion"/>
  </si>
  <si>
    <t>070-0002</t>
  </si>
  <si>
    <t>Printer</t>
    <phoneticPr fontId="3" type="noConversion"/>
  </si>
  <si>
    <t>070-0003</t>
  </si>
  <si>
    <t>Laptop</t>
    <phoneticPr fontId="3" type="noConversion"/>
  </si>
  <si>
    <t>070-0004</t>
  </si>
  <si>
    <t>JUNCTION BOX WITH RACK</t>
    <phoneticPr fontId="3" type="noConversion"/>
  </si>
  <si>
    <t>B0-JB-4405</t>
  </si>
  <si>
    <t>CABLE WOODEN ROLLS (1P x 1.5 mm2)</t>
    <phoneticPr fontId="3" type="noConversion"/>
  </si>
  <si>
    <t>FGSS AREA</t>
  </si>
  <si>
    <t>CABLE WOODEN ROLLS (2P x 1.5 mm2)</t>
    <phoneticPr fontId="3" type="noConversion"/>
  </si>
  <si>
    <t>FGSS + GT 11/12/21/22 AREA</t>
  </si>
  <si>
    <t>CABLE WOODEN ROLLS (5P x 1.5 mm2)</t>
    <phoneticPr fontId="3" type="noConversion"/>
  </si>
  <si>
    <t>GT 11/12/21/22 AREA</t>
  </si>
  <si>
    <t>CABLE WOODEN ROLLS (10P x 1.5 mm2)</t>
    <phoneticPr fontId="3" type="noConversion"/>
  </si>
  <si>
    <t>CABLE WOODEN ROLLS (2C x 1.5 mm2)</t>
    <phoneticPr fontId="3" type="noConversion"/>
  </si>
  <si>
    <t>CABLE WOODEN ROLLS (12C x 1.5 mm2)</t>
    <phoneticPr fontId="3" type="noConversion"/>
  </si>
  <si>
    <t>GT 11/12 AREA</t>
  </si>
  <si>
    <t>GT 21/22 AREA</t>
  </si>
  <si>
    <t>CABLE WOODEN ROLLS (20C x 1.5 mm2)</t>
    <phoneticPr fontId="3" type="noConversion"/>
  </si>
  <si>
    <t>CABLE WOODEN ROLLS (4C x 2.5 mm2)</t>
    <phoneticPr fontId="3" type="noConversion"/>
  </si>
  <si>
    <t>FGSS + GT 11/12 AREA</t>
  </si>
  <si>
    <t>CABLE WOODEN ROLLS (12C x 2.5 mm2)</t>
    <phoneticPr fontId="3" type="noConversion"/>
  </si>
  <si>
    <t>CABLE WOODEN ROLLS (1T x 1.5 mm2)</t>
    <phoneticPr fontId="3" type="noConversion"/>
  </si>
  <si>
    <t>CABLE WOODEN ROLLS (2C x 4 mm2 + PE x 4 mm2)</t>
    <phoneticPr fontId="3" type="noConversion"/>
  </si>
  <si>
    <t>CABLE WOODEN ROLLS (2C x 6 mm2 + PE x 6 mm2)</t>
    <phoneticPr fontId="3" type="noConversion"/>
  </si>
  <si>
    <t>CABLE WOODEN ROLLS (3C x 35 mm2 + PE x 25 mm2)</t>
    <phoneticPr fontId="3" type="noConversion"/>
  </si>
  <si>
    <t>CABLE WOODEN ROLLS (4C  x 6 mm2 + PE x 6 mm2)</t>
    <phoneticPr fontId="3" type="noConversion"/>
  </si>
  <si>
    <t>CABLE WOODEN ROLLS (4C x 25 mm2 + PE x 16 mm2)</t>
    <phoneticPr fontId="3" type="noConversion"/>
  </si>
  <si>
    <t>Pre-Insualtion Tube 1/2" OD x 0.049"</t>
    <phoneticPr fontId="3" type="noConversion"/>
  </si>
  <si>
    <t>093-0001</t>
  </si>
  <si>
    <t>for B0-PIT-44005 / 444006</t>
  </si>
  <si>
    <t>Male Connector 1/2" NPT(M) x 1/2" OD</t>
    <phoneticPr fontId="3" type="noConversion"/>
  </si>
  <si>
    <t>093-0002</t>
  </si>
  <si>
    <t>Reducer</t>
    <phoneticPr fontId="3" type="noConversion"/>
  </si>
  <si>
    <t>094-0001</t>
  </si>
  <si>
    <t xml:space="preserve">1/2"NPT(M) x 3/4"NPT(F) </t>
  </si>
  <si>
    <t>094-0002</t>
  </si>
  <si>
    <t>For pump LCP-4403/4404/4405/4406/4407</t>
  </si>
  <si>
    <t>Anchor Bolts</t>
  </si>
  <si>
    <t>094-0003</t>
  </si>
  <si>
    <t>for B0-JB-4405 rack</t>
  </si>
  <si>
    <t>Anchor bolts</t>
  </si>
  <si>
    <t>094-0004</t>
  </si>
  <si>
    <t>for EHT Panel (B0-EHT-4401)</t>
  </si>
  <si>
    <t>094-0005</t>
  </si>
  <si>
    <t>for WBH LCP  (B0-LCP-4401 / 4402)</t>
  </si>
  <si>
    <t>Temperature Transmitter with RTD</t>
    <phoneticPr fontId="3" type="noConversion"/>
  </si>
  <si>
    <t>094-0006</t>
  </si>
  <si>
    <t>B0-TT-44002</t>
  </si>
  <si>
    <t>FGSS Drain Tank Pump Pressure Gauge</t>
    <phoneticPr fontId="3" type="noConversion"/>
  </si>
  <si>
    <t>094-0007</t>
  </si>
  <si>
    <t>B0-PG-44007</t>
  </si>
  <si>
    <t>FGSS Drain Tank Level Gauge</t>
    <phoneticPr fontId="3" type="noConversion"/>
  </si>
  <si>
    <t>094-0008</t>
  </si>
  <si>
    <t>B0-LG-44005</t>
  </si>
  <si>
    <t>FGSS Drain Tank Level Switch</t>
    <phoneticPr fontId="3" type="noConversion"/>
  </si>
  <si>
    <t>094-0009</t>
  </si>
  <si>
    <t>B0-LS-44005</t>
  </si>
  <si>
    <t>2" pipe stanchion for EHT RTD</t>
    <phoneticPr fontId="3" type="noConversion"/>
  </si>
  <si>
    <t>094-0010</t>
  </si>
  <si>
    <t>Cable 2C x 2.5 mm2</t>
    <phoneticPr fontId="3" type="noConversion"/>
  </si>
  <si>
    <t>094-0011</t>
  </si>
  <si>
    <t>B0-XV-44060 / 44061 / 44062 / 44063 to B0-JB-4405</t>
  </si>
  <si>
    <t>Cable 4C x 1.5 mm2</t>
    <phoneticPr fontId="3" type="noConversion"/>
  </si>
  <si>
    <t>094-0012</t>
  </si>
  <si>
    <t>Cable glands - Type 3</t>
    <phoneticPr fontId="3" type="noConversion"/>
  </si>
  <si>
    <t>094-0013</t>
  </si>
  <si>
    <t>DQM-III NPT1/2"(M) x NPT1/2"(F) B</t>
  </si>
  <si>
    <t>Cable glands - Type 2</t>
    <phoneticPr fontId="3" type="noConversion"/>
  </si>
  <si>
    <t>094-0014</t>
  </si>
  <si>
    <t>DQM-III NPT3/4"(M) x NPT3/4"(F) A</t>
  </si>
  <si>
    <t>Cable glands - Type 4</t>
    <phoneticPr fontId="3" type="noConversion"/>
  </si>
  <si>
    <t>094-0015</t>
  </si>
  <si>
    <t>DQM-III NPT3/4"(M) x NPT3/4"(F) B</t>
  </si>
  <si>
    <t>Cable glands - Type 5</t>
    <phoneticPr fontId="3" type="noConversion"/>
  </si>
  <si>
    <t>094-0016</t>
  </si>
  <si>
    <t>DQM-III NPT1"(M) x NPT1"(F) B</t>
  </si>
  <si>
    <t>Flexible Hose (1200mm)</t>
    <phoneticPr fontId="3" type="noConversion"/>
  </si>
  <si>
    <t>094-0017</t>
  </si>
  <si>
    <t>3/4"(M) x 3/4"(M)</t>
  </si>
  <si>
    <t>094-0018</t>
  </si>
  <si>
    <t>1"(M) x 1"(M)</t>
  </si>
  <si>
    <t>Cable glands lock nut</t>
    <phoneticPr fontId="3" type="noConversion"/>
  </si>
  <si>
    <t>094-0019</t>
  </si>
  <si>
    <t>3/4"</t>
  </si>
  <si>
    <t>094-0020</t>
  </si>
  <si>
    <t>1"</t>
  </si>
  <si>
    <t>Pull Box</t>
    <phoneticPr fontId="3" type="noConversion"/>
  </si>
  <si>
    <t>094-0021</t>
  </si>
  <si>
    <t>250 x 250 x 150mm -- FGSS: 3 EA &amp; GT: 8 EA</t>
  </si>
  <si>
    <t>Pull Box</t>
  </si>
  <si>
    <t>094-0022</t>
  </si>
  <si>
    <t>200 x 200 x 150mm -- FGSS: 14 EA</t>
  </si>
  <si>
    <t>C-channel</t>
    <phoneticPr fontId="3" type="noConversion"/>
  </si>
  <si>
    <t>094-0023</t>
  </si>
  <si>
    <t>42 x 42 mm</t>
  </si>
  <si>
    <t>Pipe Connectior Reducer</t>
    <phoneticPr fontId="3" type="noConversion"/>
  </si>
  <si>
    <t>094-0024</t>
  </si>
  <si>
    <t>1" NPT (M) x 3/4" NPT (F)</t>
  </si>
  <si>
    <t>Nipple</t>
    <phoneticPr fontId="3" type="noConversion"/>
  </si>
  <si>
    <t>094-0025</t>
  </si>
  <si>
    <t>2" NPT (M) x 2" NPT (M)</t>
  </si>
  <si>
    <t>Union Coupling</t>
    <phoneticPr fontId="3" type="noConversion"/>
  </si>
  <si>
    <t>094-0026</t>
  </si>
  <si>
    <t>3/4"(F) x 3/4"(F)</t>
  </si>
  <si>
    <t>Conduit Lock / Nut</t>
    <phoneticPr fontId="3" type="noConversion"/>
  </si>
  <si>
    <t>094-0027</t>
  </si>
  <si>
    <t>Conduit Lock / Nut</t>
  </si>
  <si>
    <t>094-0028</t>
  </si>
  <si>
    <t>2"</t>
  </si>
  <si>
    <t>Conduit Elbows</t>
    <phoneticPr fontId="3" type="noConversion"/>
  </si>
  <si>
    <t>094-0029</t>
  </si>
  <si>
    <t>Conduit Elbows</t>
  </si>
  <si>
    <t>094-0030</t>
  </si>
  <si>
    <t>094-0031</t>
  </si>
  <si>
    <t>Reducing Coupling</t>
    <phoneticPr fontId="3" type="noConversion"/>
  </si>
  <si>
    <t>094-0032</t>
  </si>
  <si>
    <t>1" NPT(F) x 3/4" NPT (F)</t>
  </si>
  <si>
    <t>PE Pipe connector</t>
    <phoneticPr fontId="3" type="noConversion"/>
  </si>
  <si>
    <t>094-0033</t>
  </si>
  <si>
    <t>1"PIPE x 1" NPT (F)</t>
  </si>
  <si>
    <t>094-0034</t>
  </si>
  <si>
    <t>2"PIPE x 2" NPT (F)</t>
  </si>
  <si>
    <t xml:space="preserve">PE Pipe Lock/Nut </t>
    <phoneticPr fontId="3" type="noConversion"/>
  </si>
  <si>
    <t>094-0035</t>
  </si>
  <si>
    <t>3/4" Conduit for TT-44002</t>
    <phoneticPr fontId="3" type="noConversion"/>
  </si>
  <si>
    <t>094-0036</t>
  </si>
  <si>
    <t>For B0-TT-44002</t>
  </si>
  <si>
    <t>Filter Separator A Pressure Gauge</t>
    <phoneticPr fontId="3" type="noConversion"/>
  </si>
  <si>
    <t>094-0037</t>
  </si>
  <si>
    <t>B0-PG-44001</t>
  </si>
  <si>
    <t>Filter Separator B Pressure Gauge</t>
  </si>
  <si>
    <t>094-0038</t>
  </si>
  <si>
    <t>B0-PG-44002</t>
  </si>
  <si>
    <t>Final Filter # 11 Pressure Gauge</t>
    <phoneticPr fontId="3" type="noConversion"/>
  </si>
  <si>
    <t>094-0039</t>
  </si>
  <si>
    <t>B1-PG-44008</t>
  </si>
  <si>
    <t>Final Filter # 12 Pressure Gauge</t>
    <phoneticPr fontId="3" type="noConversion"/>
  </si>
  <si>
    <t>094-0040</t>
  </si>
  <si>
    <t>B1-PG-44010</t>
  </si>
  <si>
    <t>Final Filter # 21 Pressure Gauge</t>
  </si>
  <si>
    <t>094-0041</t>
  </si>
  <si>
    <t>B2-PG-44012</t>
  </si>
  <si>
    <t>Final Filter # 22 Pressure Gauge</t>
  </si>
  <si>
    <t>094-0042</t>
  </si>
  <si>
    <t>B2-PG-44014</t>
  </si>
  <si>
    <t>Flexible Hose (700mm)</t>
    <phoneticPr fontId="3" type="noConversion"/>
  </si>
  <si>
    <t>094-0043</t>
  </si>
  <si>
    <t>094-0044</t>
  </si>
  <si>
    <t>PE pipe 1"</t>
    <phoneticPr fontId="3" type="noConversion"/>
  </si>
  <si>
    <t>095-0001</t>
  </si>
  <si>
    <t>095-0002</t>
  </si>
  <si>
    <t>095-0003</t>
  </si>
  <si>
    <t>095-0004</t>
  </si>
  <si>
    <t>095-0005</t>
  </si>
  <si>
    <t>PE pipe 2"</t>
    <phoneticPr fontId="3" type="noConversion"/>
  </si>
  <si>
    <t>095-0006</t>
  </si>
  <si>
    <t>095-0007</t>
  </si>
  <si>
    <t>095-0008</t>
  </si>
  <si>
    <t>095-0009</t>
  </si>
  <si>
    <t>095-0010</t>
  </si>
  <si>
    <t>095-0011</t>
  </si>
  <si>
    <t>095-0012</t>
  </si>
  <si>
    <t>095-0013</t>
  </si>
  <si>
    <t>095-0014</t>
  </si>
  <si>
    <t>095-0015</t>
  </si>
  <si>
    <t>096-0001</t>
  </si>
  <si>
    <t>096-0002</t>
  </si>
  <si>
    <t>096-0003</t>
  </si>
  <si>
    <t>096-0004</t>
  </si>
  <si>
    <t>096-0005</t>
  </si>
  <si>
    <t>096-0006</t>
  </si>
  <si>
    <t>096-0007</t>
  </si>
  <si>
    <t>096-0008</t>
  </si>
  <si>
    <t>096-0009</t>
  </si>
  <si>
    <t>096-0010</t>
  </si>
  <si>
    <t>097-0001</t>
  </si>
  <si>
    <t>097-0002</t>
  </si>
  <si>
    <t>097-0003</t>
  </si>
  <si>
    <t>097-0004</t>
  </si>
  <si>
    <t>097-0005</t>
  </si>
  <si>
    <t>097-0006</t>
  </si>
  <si>
    <t>097-0007</t>
  </si>
  <si>
    <t>097-0008</t>
  </si>
  <si>
    <t>097-0009</t>
  </si>
  <si>
    <t>097-0010</t>
  </si>
  <si>
    <t>Conduit pipe</t>
    <phoneticPr fontId="3" type="noConversion"/>
  </si>
  <si>
    <t>098-0001</t>
  </si>
  <si>
    <t>Conduit pipe</t>
  </si>
  <si>
    <t>098-0002</t>
  </si>
  <si>
    <t>098-0003</t>
  </si>
  <si>
    <t>Mineral Fiber Blanket (50T / W1,000 x L5,000)</t>
    <phoneticPr fontId="3" type="noConversion"/>
  </si>
  <si>
    <t>ROLL</t>
  </si>
  <si>
    <t>Mineral Fiber Blanket (25T / W1,000 x L10,000)</t>
    <phoneticPr fontId="3" type="noConversion"/>
  </si>
  <si>
    <t>Aluminum (0.8t)</t>
    <phoneticPr fontId="3" type="noConversion"/>
  </si>
  <si>
    <t>SUS Band (12.7mm x 0.4t)</t>
    <phoneticPr fontId="3" type="noConversion"/>
  </si>
  <si>
    <t>Sus Band Clip (0.5t)</t>
    <phoneticPr fontId="3" type="noConversion"/>
  </si>
  <si>
    <t>SUS Wire (1t)</t>
    <phoneticPr fontId="3" type="noConversion"/>
  </si>
  <si>
    <t>Self-Tapping Screw with Neoprene Waher (4Ф)</t>
    <phoneticPr fontId="3" type="noConversion"/>
  </si>
  <si>
    <t>Filter Separator (MW-50t(120k) / 1000 x 5000)</t>
    <phoneticPr fontId="3" type="noConversion"/>
  </si>
  <si>
    <t>106-0001</t>
  </si>
  <si>
    <t>Final Chance Filter (MW-25t(120k) 1000 x 10000)</t>
    <phoneticPr fontId="3" type="noConversion"/>
  </si>
  <si>
    <t>106-0002</t>
  </si>
  <si>
    <t>(Filter Separator &amp; Final Chance Filter) SUS band (13mm/(0.4t))</t>
    <phoneticPr fontId="3" type="noConversion"/>
  </si>
  <si>
    <t>106-0003</t>
  </si>
  <si>
    <t>(Filter Separator &amp; Final Chance Filter) SUS band clip (0.5t)</t>
    <phoneticPr fontId="3" type="noConversion"/>
  </si>
  <si>
    <t>106-0004</t>
  </si>
  <si>
    <t>(Filter Separator &amp; Final Chance Filter) Steel wire (1.0mm)</t>
    <phoneticPr fontId="3" type="noConversion"/>
  </si>
  <si>
    <t>106-0005</t>
  </si>
  <si>
    <t>(Filter Separator &amp; Final Chance Filter) Self tapping screw with neoprene washer (4ø x 14mm)</t>
    <phoneticPr fontId="3" type="noConversion"/>
  </si>
  <si>
    <t>106-0006</t>
  </si>
  <si>
    <t>(Filter Separator &amp; Final Chance Filter) (AL 1000 x 100000/(0.8t))</t>
    <phoneticPr fontId="3" type="noConversion"/>
  </si>
  <si>
    <t>106-0007</t>
  </si>
  <si>
    <t>Mineral wool pipe cover(1inch x 30T)</t>
    <phoneticPr fontId="3" type="noConversion"/>
  </si>
  <si>
    <t>Mineral wool pipe cover(1inch x 50T)</t>
    <phoneticPr fontId="3" type="noConversion"/>
  </si>
  <si>
    <t>Mineral wool pipe cover(1.5inch x 30T)</t>
    <phoneticPr fontId="3" type="noConversion"/>
  </si>
  <si>
    <t>Mineral wool pipe cover(1.5inch x 50T)</t>
    <phoneticPr fontId="3" type="noConversion"/>
  </si>
  <si>
    <t>Mineral wool pipe cover(2inch x 30T)</t>
    <phoneticPr fontId="3" type="noConversion"/>
  </si>
  <si>
    <t>Mineral wool pipe cover(2.5inch x 30T)</t>
    <phoneticPr fontId="3" type="noConversion"/>
  </si>
  <si>
    <t>Mineral wool pipe cover(2.5inch x 50T)</t>
    <phoneticPr fontId="3" type="noConversion"/>
  </si>
  <si>
    <t>Mineral wool pipe cover(3inch x 30T)</t>
    <phoneticPr fontId="3" type="noConversion"/>
  </si>
  <si>
    <t>Mineral wool pipe cover(3inch x 50T)</t>
  </si>
  <si>
    <t>Mineral wool pipe cover(8inch x 30T)</t>
    <phoneticPr fontId="3" type="noConversion"/>
  </si>
  <si>
    <t>Mineral wool pipe cover(8inch x 30T)</t>
  </si>
  <si>
    <t>Mineral wool wired blanket (G.I mesh attached)(25T)</t>
    <phoneticPr fontId="3" type="noConversion"/>
  </si>
  <si>
    <t>Mineral wool wired blanket (G.I mesh attached)(25T)</t>
  </si>
  <si>
    <t>Mineral wool wired blanket (G.I mesh attached)(50T)</t>
    <phoneticPr fontId="3" type="noConversion"/>
  </si>
  <si>
    <t>Mineral wool wired blanket (G.I mesh attached)(50T)</t>
  </si>
  <si>
    <t>Aluminum A3003 H14 with V/B</t>
    <phoneticPr fontId="3" type="noConversion"/>
  </si>
  <si>
    <t>118-0001</t>
  </si>
  <si>
    <t>STS304 wire</t>
    <phoneticPr fontId="3" type="noConversion"/>
  </si>
  <si>
    <t>118-0002</t>
  </si>
  <si>
    <t>STS304 Band</t>
    <phoneticPr fontId="3" type="noConversion"/>
  </si>
  <si>
    <t>118-0003</t>
  </si>
  <si>
    <t>STS304 Band Clip</t>
    <phoneticPr fontId="3" type="noConversion"/>
  </si>
  <si>
    <t>118-0004</t>
  </si>
  <si>
    <t>STS304 Self Tapping screw with washer</t>
    <phoneticPr fontId="3" type="noConversion"/>
  </si>
  <si>
    <t>118-0005</t>
  </si>
  <si>
    <t>STS304 Toggle &amp; Catch</t>
    <phoneticPr fontId="3" type="noConversion"/>
  </si>
  <si>
    <t>118-0006</t>
  </si>
  <si>
    <t>STS304 Blind Rivet</t>
    <phoneticPr fontId="3" type="noConversion"/>
  </si>
  <si>
    <t>118-0007</t>
  </si>
  <si>
    <t>Metal Sealant</t>
    <phoneticPr fontId="3" type="noConversion"/>
  </si>
  <si>
    <t>118-0008</t>
  </si>
  <si>
    <t>Drain Tank (3m³) Mineral Fiber Blanket 50T (W1,000 x L5,000)</t>
    <phoneticPr fontId="3" type="noConversion"/>
  </si>
  <si>
    <t>ROLL</t>
    <phoneticPr fontId="3" type="noConversion"/>
  </si>
  <si>
    <t>Drain Tank (1m³) Mineral Fiber Blanket 25T (W1,000 x L10,000)</t>
    <phoneticPr fontId="3" type="noConversion"/>
  </si>
  <si>
    <t>SUS Band (13mm x 0.5t)</t>
    <phoneticPr fontId="3" type="noConversion"/>
  </si>
  <si>
    <t>120-0001</t>
    <phoneticPr fontId="3" type="noConversion"/>
  </si>
  <si>
    <t>120-0002</t>
  </si>
  <si>
    <t>Steel Wire (1.2mm)</t>
    <phoneticPr fontId="3" type="noConversion"/>
  </si>
  <si>
    <t>120-0003</t>
  </si>
  <si>
    <t>Self-Tapping Screw with washer (4Ф x 12mm)</t>
    <phoneticPr fontId="3" type="noConversion"/>
  </si>
  <si>
    <t>120-0004</t>
  </si>
  <si>
    <t>Al sheet (0.8t)</t>
    <phoneticPr fontId="3" type="noConversion"/>
  </si>
  <si>
    <t>m</t>
    <phoneticPr fontId="3" type="noConversion"/>
  </si>
  <si>
    <t>120-0005</t>
  </si>
  <si>
    <t>CCP-W-B044-25-ME-B01-0008</t>
  </si>
  <si>
    <t>Main Column Support</t>
  </si>
  <si>
    <t>TEMPLATE 9t O.D800*I.D600</t>
    <phoneticPr fontId="3" type="noConversion"/>
  </si>
  <si>
    <t>152-0001</t>
  </si>
  <si>
    <t>I-ANCHOR BOLT M30*1200L</t>
    <phoneticPr fontId="3" type="noConversion"/>
  </si>
  <si>
    <t>152-0002</t>
  </si>
  <si>
    <t>HEVEY HEX. NUT M30</t>
    <phoneticPr fontId="3" type="noConversion"/>
  </si>
  <si>
    <t>152-0003</t>
  </si>
  <si>
    <t>PLATE WASHER 16t O.D100*I.D33</t>
    <phoneticPr fontId="3" type="noConversion"/>
  </si>
  <si>
    <t>152-0004</t>
  </si>
  <si>
    <t>FLANGE_A105 ANSI #150 WN RF (S40)_6"</t>
    <phoneticPr fontId="3" type="noConversion"/>
  </si>
  <si>
    <t>152-0005</t>
  </si>
  <si>
    <t>FLANGE_A105 ANSI #150 SW RF (S80)_2"</t>
    <phoneticPr fontId="3" type="noConversion"/>
  </si>
  <si>
    <t>152-0006</t>
  </si>
  <si>
    <t>BLIND FLANGE_A105 ANSI #150 BL RF_2"</t>
    <phoneticPr fontId="3" type="noConversion"/>
  </si>
  <si>
    <t>152-0007</t>
  </si>
  <si>
    <t>GASKET_SPIRAL WOUND IN&amp;OUT 304_6"</t>
    <phoneticPr fontId="3" type="noConversion"/>
  </si>
  <si>
    <t>152-0008</t>
  </si>
  <si>
    <t>GASKET_SPIRAL WOUND IN&amp;OUT 304_2"</t>
    <phoneticPr fontId="3" type="noConversion"/>
  </si>
  <si>
    <t>152-0009</t>
  </si>
  <si>
    <t>STUD B,2N (B7,2H)  3/4"*100L</t>
    <phoneticPr fontId="3" type="noConversion"/>
  </si>
  <si>
    <t>152-00010</t>
  </si>
  <si>
    <t>STUD B,2N (B7,2H)  5/8"*85L</t>
    <phoneticPr fontId="3" type="noConversion"/>
  </si>
  <si>
    <t>152-00011</t>
  </si>
  <si>
    <t>CPP-W-BO44-25-ME-B01-0004-02</t>
  </si>
  <si>
    <t>BO-HT-44001</t>
  </si>
  <si>
    <t>BO-HT-44002</t>
  </si>
  <si>
    <t>Expansion Tank</t>
    <phoneticPr fontId="3" type="noConversion"/>
  </si>
  <si>
    <t>CPP-W-B044-25-ME-B01-0005-15</t>
  </si>
  <si>
    <t>BO-HT-44001/2</t>
  </si>
  <si>
    <t>Stud Bolt/2Nut/2PW (A193-B7/A194-2H, 3/4" x 130L)</t>
  </si>
  <si>
    <t>BO-HT-44001/2 - B1,B2(Item No.5)</t>
  </si>
  <si>
    <t>Gasket (Non-Asbestos, 3t x 6" CL150 RF)</t>
  </si>
  <si>
    <t>BO-HT-44001/2 - B1,B2(Item No.4)</t>
  </si>
  <si>
    <t>CPP-W-B044-25-ME-B01-0004-17</t>
  </si>
  <si>
    <t>Hex Bolt/Nut/PW (A193-B7/A194-2H, 1-1/4" x 100L)</t>
  </si>
  <si>
    <t>BO-HT-44001/2 - Item No.8</t>
  </si>
  <si>
    <t>Gasket (Non-Asbestos, 3t x OD1014 x ID814)</t>
  </si>
  <si>
    <t>BO-HT-44001/2 - Item No.7</t>
  </si>
  <si>
    <t>Spool  (SP-13)</t>
  </si>
  <si>
    <t>M240206OD-020-13</t>
  </si>
  <si>
    <t>BO-HT-44001/2 - Item No.12</t>
  </si>
  <si>
    <t>Tube (1/2" x 6m)</t>
  </si>
  <si>
    <t>ID-M240206OD-805</t>
  </si>
  <si>
    <t>Teflon Plate (3t x 160 x 140 x Ф22 Hole)</t>
  </si>
  <si>
    <t>BO-HT-44001 - Item No.24</t>
  </si>
  <si>
    <t>Set Anchor Bolt/1Nut/1PW (A36/SS400, M20 x 150L)</t>
  </si>
  <si>
    <t>BO-HT-44001 - Item No.25</t>
  </si>
  <si>
    <t>Isolwasher (3t x 50 x 50 x Ф22 Hole)</t>
  </si>
  <si>
    <t>BO-HT-44001 - Item No.26</t>
  </si>
  <si>
    <t>Isolwasher (12t x OD28 x ID22)</t>
  </si>
  <si>
    <t>BO-HT-44001 - Item No.27</t>
  </si>
  <si>
    <t>BO-HT-44002 - Item No.24</t>
  </si>
  <si>
    <t>BO-HT-44002 - Item No.25</t>
  </si>
  <si>
    <t>BO-HT-44002 - Item No.26</t>
  </si>
  <si>
    <t>BO-HT-44002 - Item No.27</t>
  </si>
  <si>
    <t>ID-M240206OD-803</t>
  </si>
  <si>
    <t>Teflon Plate (3t x 100 x 100 x Ф22 Hole)</t>
  </si>
  <si>
    <t>BO-HT-44001 - Item No.1</t>
  </si>
  <si>
    <t>Set Anchor Bolt/1Nut/1PW (A36/SS400, M20 x 150L)</t>
    <phoneticPr fontId="3" type="noConversion"/>
  </si>
  <si>
    <t>BO-HT-44001 - Item No.2</t>
  </si>
  <si>
    <t>Isolwasher (3t x 50 x 50 x Ф22 Hole)</t>
    <phoneticPr fontId="3" type="noConversion"/>
  </si>
  <si>
    <t>BO-HT-44001 - Item No.3</t>
  </si>
  <si>
    <t>Isolwasher (19t x OD28 x ID22)</t>
    <phoneticPr fontId="3" type="noConversion"/>
  </si>
  <si>
    <t>BO-HT-44001 - Item No.4</t>
  </si>
  <si>
    <t>Teflon Sheet (3t x 25W x 2700L)</t>
    <phoneticPr fontId="3" type="noConversion"/>
  </si>
  <si>
    <t>Teflon Sheet (3t x 25W x 2000L)</t>
    <phoneticPr fontId="3" type="noConversion"/>
  </si>
  <si>
    <t>Hole Cover (3")</t>
    <phoneticPr fontId="3" type="noConversion"/>
  </si>
  <si>
    <t>Hole Cover (18")</t>
    <phoneticPr fontId="3" type="noConversion"/>
  </si>
  <si>
    <t>Teflon Plate (3t x 100 x 100 x Ф22 Hole)</t>
    <phoneticPr fontId="3" type="noConversion"/>
  </si>
  <si>
    <t>BO-HT-44002 - Item No.1</t>
  </si>
  <si>
    <t>BO-HT-44002 - Item No.2</t>
  </si>
  <si>
    <t>BO-HT-44002 - Item No.3</t>
  </si>
  <si>
    <t>BO-HT-44002 - Item No.4</t>
  </si>
  <si>
    <t>Blower Box</t>
    <phoneticPr fontId="3" type="noConversion"/>
  </si>
  <si>
    <t>ID-M240206OD-802</t>
  </si>
  <si>
    <t>BO-C-44101</t>
  </si>
  <si>
    <t>Teflon Plate (3t x 150 x 150)</t>
    <phoneticPr fontId="3" type="noConversion"/>
  </si>
  <si>
    <t>BO-C-44101 - Item No.5</t>
  </si>
  <si>
    <t>Set Anchor Bolt/1Nut/1PW (A36/SS400, M16 x 100L)</t>
    <phoneticPr fontId="3" type="noConversion"/>
  </si>
  <si>
    <t>BO-C-44101 - Item No.6</t>
  </si>
  <si>
    <t>Isolwasher (3t x 50 x 50)</t>
    <phoneticPr fontId="3" type="noConversion"/>
  </si>
  <si>
    <t>BO-C-44101 - Item No.7</t>
  </si>
  <si>
    <t>Isolwasher (12t x OD22 x ID18)</t>
    <phoneticPr fontId="3" type="noConversion"/>
  </si>
  <si>
    <t>BO-C-44101 - Item No.8</t>
  </si>
  <si>
    <t>Teflon Plate (3t x 100 x 90)</t>
    <phoneticPr fontId="3" type="noConversion"/>
  </si>
  <si>
    <t>BO-C-44101 - Item No.9</t>
  </si>
  <si>
    <t>Teflon Plate (3t x 25W x 2000L)</t>
    <phoneticPr fontId="3" type="noConversion"/>
  </si>
  <si>
    <t>Teflon Plate (3t x 25W x 1620L)</t>
    <phoneticPr fontId="3" type="noConversion"/>
  </si>
  <si>
    <t>BO-C-44201</t>
  </si>
  <si>
    <t>BO-C-44201 - Item No.5</t>
  </si>
  <si>
    <t>BO-C-44201 - Item No.6</t>
  </si>
  <si>
    <t>BO-C-44201 - Item No.7</t>
  </si>
  <si>
    <t>BO-C-44201 - Item No.8</t>
  </si>
  <si>
    <t>BO-C-44201 - Item No.9</t>
  </si>
  <si>
    <t>BO-C-44201 - Item No.10</t>
  </si>
  <si>
    <t>BO-C-44201 - Item No.11</t>
  </si>
  <si>
    <t>Platform-1 (4,600L x 1,100W)</t>
    <phoneticPr fontId="3" type="noConversion"/>
  </si>
  <si>
    <t>CPP-W-B044-25-ME-B01-0005-19</t>
  </si>
  <si>
    <t>Platform Support-1 (125 x 65 x 3,775L)</t>
    <phoneticPr fontId="3" type="noConversion"/>
  </si>
  <si>
    <t>Hex. Bolt/1Nut/1PW (A193-B7/A194-2H, M20 x 55L)</t>
    <phoneticPr fontId="3" type="noConversion"/>
  </si>
  <si>
    <t>BO-HT-44001/2 - Item No.B2</t>
  </si>
  <si>
    <t>Platform Support-1 Angel  (75 x 75 x 1,580L)</t>
    <phoneticPr fontId="3" type="noConversion"/>
  </si>
  <si>
    <t>Hex. Bolt/1Nut/1PW (A193-B7/A194-2H, M16 x 45L)</t>
    <phoneticPr fontId="3" type="noConversion"/>
  </si>
  <si>
    <t>BO-HT-44001/2 - Item No.B3</t>
  </si>
  <si>
    <t>Teflon Plate (3t x 215 x 240 x Ф18)</t>
    <phoneticPr fontId="3" type="noConversion"/>
  </si>
  <si>
    <t>BO-HT-44001/2 - Item No.3</t>
  </si>
  <si>
    <t>Teflon Plate (20t x OD22 x ID18)</t>
    <phoneticPr fontId="3" type="noConversion"/>
  </si>
  <si>
    <t>BO-HT-44001/2 - Item No.4</t>
  </si>
  <si>
    <t>Teflon Plate (3t x 50 x 50 x Ф18)</t>
    <phoneticPr fontId="3" type="noConversion"/>
  </si>
  <si>
    <t>BO-HT-44001/2 - Item No.5</t>
  </si>
  <si>
    <t>Set Anchor Bolt/1Nut/1PW (A193-B7/A194-2H, M16 x 100L)</t>
    <phoneticPr fontId="3" type="noConversion"/>
  </si>
  <si>
    <t>BO-HT-44001/2 - Item No.B1</t>
  </si>
  <si>
    <t>Landing Platform-2 Support (125 x 65 x 1,798L)</t>
    <phoneticPr fontId="3" type="noConversion"/>
  </si>
  <si>
    <t>BO-HT-44001/2 - Item No.14</t>
  </si>
  <si>
    <t>Platform-3 (2,810L x 2,700W)</t>
    <phoneticPr fontId="3" type="noConversion"/>
  </si>
  <si>
    <t>Platform-3 Support (125 x 65 x 1,438L)</t>
    <phoneticPr fontId="3" type="noConversion"/>
  </si>
  <si>
    <t>BO-HT-44001 - Item No.15</t>
  </si>
  <si>
    <t>BO-HT-44001 - Item No.B2</t>
  </si>
  <si>
    <t>Isolwasher (20t x OD22 x ID18)</t>
    <phoneticPr fontId="3" type="noConversion"/>
  </si>
  <si>
    <t>Isolwasher (3t x 50 x 50 Ф18)</t>
    <phoneticPr fontId="3" type="noConversion"/>
  </si>
  <si>
    <t>BO-HT-44001 - Item No.5</t>
  </si>
  <si>
    <t>BO-HT-44001 - Item No.B1</t>
  </si>
  <si>
    <t>Stair-3 (3,000L)</t>
    <phoneticPr fontId="3" type="noConversion"/>
  </si>
  <si>
    <t>CPP-W-B044-25-ME-B01-0005-26</t>
  </si>
  <si>
    <t>BO-HT-44001</t>
    <phoneticPr fontId="3" type="noConversion"/>
  </si>
  <si>
    <t>BO-HT-44001 - Item No.B3</t>
  </si>
  <si>
    <t>Teflon Plate (3t x 290 x 267.5 x Ф18)</t>
    <phoneticPr fontId="3" type="noConversion"/>
  </si>
  <si>
    <t>Isolwasher (3t x 50 x 50 x Ф18)</t>
    <phoneticPr fontId="3" type="noConversion"/>
  </si>
  <si>
    <t>BO-HT-44002 - Item No.15</t>
  </si>
  <si>
    <t>BO-HT-44002 - Item No.B2</t>
  </si>
  <si>
    <t>BO-HT-44002 - Item No.5</t>
  </si>
  <si>
    <t>BO-HT-44002 - Item No.B1</t>
  </si>
  <si>
    <t>BO-HT-44002 - Item No.B3</t>
  </si>
  <si>
    <t>Stair-1 (3,330L)</t>
    <phoneticPr fontId="3" type="noConversion"/>
  </si>
  <si>
    <t>CPP-W-B044-25-ME-B01-0005-24/25</t>
  </si>
  <si>
    <t>Stair-2 (3,800L)</t>
    <phoneticPr fontId="3" type="noConversion"/>
  </si>
  <si>
    <t>Stair-1 (3,330L)</t>
  </si>
  <si>
    <t>Stair-2 (3,800L)</t>
  </si>
  <si>
    <t>Teflon Plate (3t x 290 x 267.5 x Ф18)</t>
  </si>
  <si>
    <t>Isolwasher (20t x OD22 x ID18)</t>
  </si>
  <si>
    <t>Isolwasher (3t x 50 x 50 x Ф18)</t>
  </si>
  <si>
    <t>Set Anchor Bolt/1Nut/1PW (A193-B7/A194-2H, M16 x 100L)</t>
  </si>
  <si>
    <t>Hex. Bolt/1Nut/1PW (A193-B7/A194-2H, M20 x 55L)</t>
  </si>
  <si>
    <t>M240206OD-807</t>
  </si>
  <si>
    <t>Pipe support</t>
  </si>
  <si>
    <t>BO-HT-44001/2 - Item No.15,16</t>
  </si>
  <si>
    <t>Canvas</t>
  </si>
  <si>
    <t>BO-HT-44001/2 - Item No.10</t>
  </si>
  <si>
    <t>Duct Flange (9t x 732 x 464)</t>
  </si>
  <si>
    <t>BO-HT-44001/2 - Item No.9</t>
  </si>
  <si>
    <t>Gasket (Rubber, 3t x 18" 150# RF)</t>
  </si>
  <si>
    <t>BO-HT-44001/2 - Item No.11</t>
  </si>
  <si>
    <t>Gasket (Rubber, 3t x 732 x 464)</t>
  </si>
  <si>
    <t>Hex. Bolt/Nut/2PW/SW (A193-B7/A194-2H, M12 x 55L)</t>
  </si>
  <si>
    <t>BO-HT-44001/2 - Item No.13</t>
  </si>
  <si>
    <t>Stud Bolt/2Nut/2PW (A193-B7/A194-2H, 1-1/8" x 150L)</t>
  </si>
  <si>
    <t>U-Bolt/4Nut (A193-B7/A194-2H, M24,18")</t>
  </si>
  <si>
    <t>BO-HT-44001/2 - Item No.17</t>
  </si>
  <si>
    <t>Teflon Plate (3t x 50 x 400)</t>
  </si>
  <si>
    <t>BO-HT-44001/2 - Item No.18</t>
  </si>
  <si>
    <t>ED224-224</t>
  </si>
  <si>
    <t>Flame Arrester</t>
  </si>
  <si>
    <t>Set Anchor Bolt/1Nut/1PW (A193-B7/A194-2H, M20 x 150L)</t>
  </si>
  <si>
    <t>Isolwasher (3t x 150 x 150 x Ф22)</t>
  </si>
  <si>
    <t>Burner Train Bolt/Nut (M16 x 70L)</t>
  </si>
  <si>
    <t>Burner Train Teflon Gasket (DIN 65A PN16)</t>
  </si>
  <si>
    <t>Bulk Head Union (316SS, 1/2" Tube)</t>
  </si>
  <si>
    <t>Union Elbow (316SS, 1/2" Tube)</t>
  </si>
  <si>
    <t>Union Tee (316SS, 1/2" Tube)</t>
  </si>
  <si>
    <t>Male Conector (316SS, 1" NPT x 1/2" Tube)</t>
  </si>
  <si>
    <t>FA2402700A0</t>
  </si>
  <si>
    <t>Outlet Flange (18" 150# RF)</t>
  </si>
  <si>
    <t>Teflon Plate (3t x 65W x 1170L)</t>
  </si>
  <si>
    <t>BO-HT-44001 - Item No.18</t>
  </si>
  <si>
    <t>Teflon Plate (3t x 65W x 850L)</t>
  </si>
  <si>
    <t>Set Anchor Bolt/1Nut/1PW (A193-B7/A194-2H, M16 x 150L)</t>
  </si>
  <si>
    <t>Isolwasher (12t x OD22 x ID18)</t>
  </si>
  <si>
    <t>Item No.4</t>
  </si>
  <si>
    <t>CCP-W-B044-25-ME-E04-0003</t>
  </si>
  <si>
    <t>Set Anchor Bolt/1Nut/1PW (SUS, 3/8" x 75L)</t>
  </si>
  <si>
    <t>Isolwasher (6t x OD13 x ID11)</t>
  </si>
  <si>
    <t>Teflon Plate (3t x 50W x 1200L)</t>
  </si>
  <si>
    <t>Teflon Plate (3t x 50W x 700L)</t>
  </si>
  <si>
    <t>Teflon Plate (3t x 50 x 50 x Ф12)</t>
  </si>
  <si>
    <t>Steel Conduit (22C x 3.6m)</t>
  </si>
  <si>
    <t>CCP-PW-B044-PR-007-0001-0004</t>
  </si>
  <si>
    <t>Steel Conduit (36C x 3.6m)</t>
  </si>
  <si>
    <t>Explosion-proof Cable Gland &amp; Flexible (3/4"NPT(M) x 3/4"NPT(F) 700L)</t>
  </si>
  <si>
    <t>Explosion-proof Cable Gland &amp; Flexible (1-1/4"NPT(M) x 1-1/4"NPT(F) 700L)</t>
  </si>
  <si>
    <t>Conduit Fitting (22C)</t>
  </si>
  <si>
    <t>Conduit Fitting (36C)</t>
  </si>
  <si>
    <t>Conduit Clamp (22C)</t>
  </si>
  <si>
    <t>Conduit Clamp (36C)</t>
  </si>
  <si>
    <t>C-Channel (3m)</t>
  </si>
  <si>
    <t>Electrical Heat Tracing</t>
  </si>
  <si>
    <t>Sliding &amp; Fixed Plate (A283-C, 8t x 320 x 2880)</t>
  </si>
  <si>
    <t>CPP-W-BO44-25-ME-B01-0004-03</t>
  </si>
  <si>
    <t>BO-HT-44001/2 - Item No.1,2</t>
  </si>
  <si>
    <t>Sliding &amp; Fixed Teflon Plate (Teflon, 3t x 300 x 2860)</t>
  </si>
  <si>
    <t>BO-HT-44001/2 - Item No.6,7</t>
  </si>
  <si>
    <t>Isolation Washer (36t x OD46 x ID40)</t>
  </si>
  <si>
    <t>Isolation Washer (3t x 150 x 150)</t>
  </si>
  <si>
    <t>Stud Bolt/2Nut/1PW (A36/SS400, M36 x 1290L)</t>
  </si>
  <si>
    <t>Level Switch (4")</t>
  </si>
  <si>
    <t>Level Switch Pipe (A106-B, 4" SCH.40 x 1370L)</t>
  </si>
  <si>
    <t>CPP-W-BO44-25-ME-B01-0005-07</t>
  </si>
  <si>
    <t>BO-HT-44001/2 - LS, Item No.4</t>
  </si>
  <si>
    <t>Gasket (Non-Asbestos, 4" CL150 RF)</t>
  </si>
  <si>
    <t>BO-HT-44001/2 - LS, Item No.5</t>
  </si>
  <si>
    <t>Stud Bolt/2H-Nuts/2PW (A193-B7/A194-2H, 5/8" x 105L)</t>
  </si>
  <si>
    <t>BO-HT-44001/2 - LS, Item No.7</t>
  </si>
  <si>
    <t>Level Transmitter (3")</t>
  </si>
  <si>
    <t>CPP-W-BO44-25-ME-B01-0005-06</t>
  </si>
  <si>
    <t>BO-HT-44001/2 - LT1</t>
  </si>
  <si>
    <t>Gasket (Non-Asbestos, 3" CL150 RF)</t>
  </si>
  <si>
    <t>BO-HT-44001/2 - LT1, Item No.4</t>
  </si>
  <si>
    <t>BO-HT-44001/2 - LT1, Item No.5</t>
  </si>
  <si>
    <t>Level Gauge (Maker STD., 1/2" CL150 RF)</t>
  </si>
  <si>
    <t>BO-HT-44001/2 - LG, Item No.6</t>
  </si>
  <si>
    <t>Gasket (Non-Asbestos, 1/2" CL150 RF)</t>
  </si>
  <si>
    <t>BO-HT-44001/2 - LG, Item No.4</t>
  </si>
  <si>
    <t>Stud Bolt/2H-Nuts/2PW (A193-B7/A194-2H, 1/2" x 70L)</t>
  </si>
  <si>
    <t>BO-HT-44001/2 - LG, Item No.5</t>
  </si>
  <si>
    <t>Spool (SP-01)</t>
  </si>
  <si>
    <t>M240206OD-020-01</t>
  </si>
  <si>
    <t>Gasket (Spiral wound, 4.5t x 2" CL300 RF)</t>
  </si>
  <si>
    <t>BO-HT-44001/2 - Item No.2</t>
  </si>
  <si>
    <t>Stud Bolt/2Nuts/2PW (A193-B7/A194-2H, 5/8" x 110L)</t>
  </si>
  <si>
    <t>BO-HT-44001/2 - Item No.7</t>
    <phoneticPr fontId="3" type="noConversion"/>
  </si>
  <si>
    <t>Spool (SP-12)</t>
  </si>
  <si>
    <t>M240206OD-020-12</t>
  </si>
  <si>
    <t>Gasket (Spiral wound, 4.5t x 3" CL300 RF)</t>
  </si>
  <si>
    <t>BO-HT-44001/2 - M240206OD-020-11, Item No.2</t>
  </si>
  <si>
    <t>Stud Bolt/2Nuts/2PW (A193-B7/A194-2H, 3/4" x 120L)</t>
  </si>
  <si>
    <t>BO-HT-44001/2 - M240206OD-020-11, Item No.4</t>
  </si>
  <si>
    <t>Manhole O-Ring (Rubber, Ф5.7 x ID653.6)</t>
  </si>
  <si>
    <t>CCP-W-BO44-25-ME-N03-0001</t>
  </si>
  <si>
    <t>Manhole Hex Bolt/Nut/PW (A193-B7/A194-2H, M16 x 90L)</t>
  </si>
  <si>
    <t>Mineral Board (120K / 50t)</t>
  </si>
  <si>
    <t>Mineral Blanket / Metal Meshed (120K / 50t)</t>
  </si>
  <si>
    <t>Aluminum (0.8t)</t>
  </si>
  <si>
    <t>SUS Band (12.7mm x 0.4t)</t>
  </si>
  <si>
    <t>Sus Band Clip (0.5t)</t>
  </si>
  <si>
    <t>SUS Wire (1t)</t>
  </si>
  <si>
    <t>Self-Tapping Screw with Neoprene Waher (4Ф)</t>
  </si>
  <si>
    <t>Burner Flange Gasket (Gass Fiber, Ф10)</t>
  </si>
  <si>
    <t>TOTAL/ ИТОГО</t>
    <phoneticPr fontId="9" type="noConversion"/>
  </si>
  <si>
    <t>SHIPPING MARK
ГРУЗОВАЯ МАРКИРОВКА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</si>
  <si>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NAME OF THE PROJECT</t>
    </r>
    <phoneticPr fontId="5" type="noConversion"/>
  </si>
  <si>
    <t xml:space="preserve">: </t>
    <phoneticPr fontId="5" type="noConversion"/>
  </si>
  <si>
    <t xml:space="preserve">Construction of a 1000 MW CCGT Power Plant in the Sairam District of the </t>
    <phoneticPr fontId="3" type="noConversion"/>
  </si>
  <si>
    <t xml:space="preserve">    НАЗВАНИЕ ПРОЕКТА</t>
    <phoneticPr fontId="5" type="noConversion"/>
  </si>
  <si>
    <t>Turkistan Region, Main Site. Without External Engineering Networks</t>
    <phoneticPr fontId="3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</si>
  <si>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CONSIGNEE</t>
    </r>
    <phoneticPr fontId="5" type="noConversion"/>
  </si>
  <si>
    <t>CCGT Turkestan LLP</t>
  </si>
  <si>
    <t xml:space="preserve">    ГРУЗОПОЛУЧАТЕЛЬ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</si>
  <si>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Shipper/Exporter</t>
    </r>
    <phoneticPr fontId="5" type="noConversion"/>
  </si>
  <si>
    <t>: Doosan Enerbility Co., LTD</t>
    <phoneticPr fontId="5" type="noConversion"/>
  </si>
  <si>
    <t xml:space="preserve">     Грузоотправитель/Экспортер</t>
    <phoneticPr fontId="5" type="noConversion"/>
  </si>
  <si>
    <t xml:space="preserve">  22, Doosan Volvo-ro, Sengsan-gu, Changwon, Gyeongnam, South Korea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</si>
  <si>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Number of Invoice</t>
    </r>
    <phoneticPr fontId="5" type="noConversion"/>
  </si>
  <si>
    <t>:</t>
    <phoneticPr fontId="5" type="noConversion"/>
  </si>
  <si>
    <t xml:space="preserve">    № инвойса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</si>
  <si>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CARGO DESCRIPTION</t>
    </r>
    <phoneticPr fontId="3" type="noConversion"/>
  </si>
  <si>
    <t xml:space="preserve">    ОПИСАНИЕ ГРУЗА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</si>
  <si>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PACKAGE NO.</t>
    </r>
  </si>
  <si>
    <t>:</t>
    <phoneticPr fontId="3" type="noConversion"/>
  </si>
  <si>
    <t xml:space="preserve">    УПАКОВОЧНЫЙ НОМЕР 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</si>
  <si>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NET WEIGHT</t>
    </r>
    <phoneticPr fontId="5" type="noConversion"/>
  </si>
  <si>
    <t>Kg</t>
    <phoneticPr fontId="5" type="noConversion"/>
  </si>
  <si>
    <t xml:space="preserve">    ВЕС НЕТТО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</si>
  <si>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GROSS WEIGHT</t>
    </r>
    <phoneticPr fontId="5" type="noConversion"/>
  </si>
  <si>
    <t xml:space="preserve">    ВЕС БРУТТО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</si>
  <si>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 CBM(m3)</t>
    </r>
    <phoneticPr fontId="5" type="noConversion"/>
  </si>
  <si>
    <t>m3</t>
    <phoneticPr fontId="3" type="noConversion"/>
  </si>
  <si>
    <t xml:space="preserve">    РАЗМЕРЫ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</si>
  <si>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</si>
  <si>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:
</t>
    <phoneticPr fontId="5" type="noConversion"/>
  </si>
  <si>
    <t xml:space="preserve">Turkestan Oblast, Sairam district, Karamurt rural district, quarter 171, Republic of Kazakhstan </t>
    <phoneticPr fontId="3" type="noConversion"/>
  </si>
  <si>
    <t xml:space="preserve">    КОНЕЧНЫЙ ПУНКТ НАЗНАЧЕНИЯ</t>
  </si>
  <si>
    <t>Doosan Enerbility</t>
    <phoneticPr fontId="5" type="noConversion"/>
  </si>
  <si>
    <t>PROFORMA INVOICE (Break-down)
ПРОФОРМА-ИНВОЙС (Разбивка)</t>
    <phoneticPr fontId="9" type="noConversion"/>
  </si>
  <si>
    <t xml:space="preserve">Invoice № :  </t>
    <phoneticPr fontId="9" type="noConversion"/>
  </si>
  <si>
    <t>№</t>
    <phoneticPr fontId="9" type="noConversion"/>
  </si>
  <si>
    <t>№ Package</t>
    <phoneticPr fontId="9" type="noConversion"/>
  </si>
  <si>
    <t>Description of Goods Specification</t>
    <phoneticPr fontId="9" type="noConversion"/>
  </si>
  <si>
    <t>Material</t>
    <phoneticPr fontId="9" type="noConversion"/>
  </si>
  <si>
    <t>HS CODE</t>
    <phoneticPr fontId="9" type="noConversion"/>
  </si>
  <si>
    <t>Quantity</t>
    <phoneticPr fontId="9" type="noConversion"/>
  </si>
  <si>
    <t>Unit</t>
    <phoneticPr fontId="9" type="noConversion"/>
  </si>
  <si>
    <t>U/Price
(USD)</t>
    <phoneticPr fontId="3" type="noConversion"/>
  </si>
  <si>
    <t>Amount
(USD)</t>
    <phoneticPr fontId="3" type="noConversion"/>
  </si>
  <si>
    <t>Country of
Origin</t>
    <phoneticPr fontId="9" type="noConversion"/>
  </si>
  <si>
    <t>Remark</t>
    <phoneticPr fontId="9" type="noConversion"/>
  </si>
  <si>
    <t>EA / ШТ.</t>
  </si>
  <si>
    <t>TOTAL</t>
    <phoneticPr fontId="9" type="noConversion"/>
  </si>
  <si>
    <t>PGU-DE-0XX</t>
  </si>
  <si>
    <t>PGU-DE-0336-FGSS-001</t>
    <phoneticPr fontId="3" type="noConversion"/>
  </si>
  <si>
    <t>DDP Turkistan</t>
    <phoneticPr fontId="3" type="noConversion"/>
  </si>
  <si>
    <t>Branch of JSC "Doosan Enerbility" in the Turkestan region</t>
    <phoneticPr fontId="9" type="noConversion"/>
  </si>
  <si>
    <t>321 Tauke Khan Avenue, Turkestan region, Turkestan, Kazakhstan, 161200</t>
    <phoneticPr fontId="9" type="noConversion"/>
  </si>
  <si>
    <t>BIN: 230741006561</t>
    <phoneticPr fontId="9" type="noConversion"/>
  </si>
  <si>
    <t>Construction of a 1000 MW CCGT Power Plant in the Sairam District of</t>
    <phoneticPr fontId="9" type="noConversion"/>
  </si>
  <si>
    <t>Turkistan Region, Main Site. Without External Engineering Networks</t>
    <phoneticPr fontId="9" type="noConversion"/>
  </si>
  <si>
    <t>Turkestan region, Sairam district, Karamurt rural district, quarter 171</t>
  </si>
  <si>
    <t>Turkestan region, Sairam district, Karamurt rural district, quarter 171</t>
    <phoneticPr fontId="3" type="noConversion"/>
  </si>
  <si>
    <t>Пункт подготовки газа</t>
    <phoneticPr fontId="3" type="noConversion"/>
  </si>
  <si>
    <t>CD #5 Item 6.1</t>
    <phoneticPr fontId="3" type="noConversion"/>
  </si>
  <si>
    <t>Total (DDP Value)</t>
    <phoneticPr fontId="9" type="noConversion"/>
  </si>
  <si>
    <t>Dasan DTS</t>
    <phoneticPr fontId="3" type="noConversion"/>
  </si>
  <si>
    <t>Republic of Korea</t>
    <phoneticPr fontId="3" type="noConversion"/>
  </si>
  <si>
    <r>
      <t>PROFORMA INVOICE
ПРОФОРМА</t>
    </r>
    <r>
      <rPr>
        <b/>
        <sz val="16"/>
        <rFont val="Arial Unicode MS"/>
        <family val="2"/>
        <charset val="129"/>
      </rPr>
      <t xml:space="preserve"> </t>
    </r>
    <r>
      <rPr>
        <b/>
        <sz val="16"/>
        <rFont val="Calibri"/>
        <family val="2"/>
      </rPr>
      <t>ИНВОЙС</t>
    </r>
    <phoneticPr fontId="9" type="noConversion"/>
  </si>
  <si>
    <t>1 SET</t>
    <phoneticPr fontId="3" type="noConversion"/>
  </si>
  <si>
    <t>ESDV Skid</t>
  </si>
  <si>
    <t>ESDV Skid</t>
    <phoneticPr fontId="3" type="noConversion"/>
  </si>
  <si>
    <t>Filter Separator Skid</t>
  </si>
  <si>
    <t>Filter Separator Skid</t>
    <phoneticPr fontId="3" type="noConversion"/>
  </si>
  <si>
    <t>Metering Skid</t>
  </si>
  <si>
    <t>Metering Skid</t>
    <phoneticPr fontId="3" type="noConversion"/>
  </si>
  <si>
    <t>Gas Pre-Heater Piping Skid</t>
  </si>
  <si>
    <t>Gas Pre-Heater Piping Skid</t>
    <phoneticPr fontId="3" type="noConversion"/>
  </si>
  <si>
    <t>PRV Skid</t>
  </si>
  <si>
    <t>PRV Skid</t>
    <phoneticPr fontId="3" type="noConversion"/>
  </si>
  <si>
    <t>Performance Heater Skid</t>
  </si>
  <si>
    <t>Performance Heater Skid</t>
    <phoneticPr fontId="3" type="noConversion"/>
  </si>
  <si>
    <t>Final Filter &amp; Drain Tank Skid</t>
  </si>
  <si>
    <t>Final Filter &amp; Drain Tank Skid</t>
    <phoneticPr fontId="3" type="noConversion"/>
  </si>
  <si>
    <t>Drain Tank + Pump</t>
  </si>
  <si>
    <t>Drain Tank + Pump</t>
    <phoneticPr fontId="3" type="noConversion"/>
  </si>
  <si>
    <t>POV</t>
  </si>
  <si>
    <t>POV</t>
    <phoneticPr fontId="3" type="noConversion"/>
  </si>
  <si>
    <t>Pipe spool</t>
  </si>
  <si>
    <t>Pipe spool</t>
    <phoneticPr fontId="3" type="noConversion"/>
  </si>
  <si>
    <t>Pipe support</t>
    <phoneticPr fontId="3" type="noConversion"/>
  </si>
  <si>
    <t>Bolt &amp; Nut</t>
  </si>
  <si>
    <t>Bolt &amp; Nut</t>
    <phoneticPr fontId="3" type="noConversion"/>
  </si>
  <si>
    <t>Flange &amp; Gasket</t>
  </si>
  <si>
    <t>Flange &amp; Gasket</t>
    <phoneticPr fontId="3" type="noConversion"/>
  </si>
  <si>
    <t>Commissioining Parts</t>
  </si>
  <si>
    <t>Analyzer Cabinet</t>
  </si>
  <si>
    <t>Analyzer Cabinet Bulk &amp; Loose</t>
  </si>
  <si>
    <t>Control System</t>
  </si>
  <si>
    <t>Junction Box with Rack</t>
  </si>
  <si>
    <t>Cable Wooden Rolls</t>
  </si>
  <si>
    <t>Tubing Bulk Material</t>
  </si>
  <si>
    <t>Electrical Bulk Material &amp; Loose Supply Instruments</t>
  </si>
  <si>
    <t>Insulation Material</t>
  </si>
  <si>
    <t>Cold Vent Stack</t>
  </si>
  <si>
    <t>Loose part for Cold Vent Stack</t>
  </si>
  <si>
    <t>Platform</t>
  </si>
  <si>
    <t>Platform</t>
    <phoneticPr fontId="3" type="noConversion"/>
  </si>
  <si>
    <t>Landing Platform</t>
  </si>
  <si>
    <t>Landing Platform</t>
    <phoneticPr fontId="3" type="noConversion"/>
  </si>
  <si>
    <t>Construction Parts</t>
  </si>
  <si>
    <t>Insulation</t>
  </si>
  <si>
    <t>Insulation</t>
    <phoneticPr fontId="3" type="noConversion"/>
  </si>
  <si>
    <t>SET</t>
    <phoneticPr fontId="3" type="noConversion"/>
  </si>
  <si>
    <t>Masan, Korea</t>
    <phoneticPr fontId="3" type="noConversion"/>
  </si>
  <si>
    <t>Korea</t>
    <phoneticPr fontId="3" type="noConversion"/>
  </si>
  <si>
    <t>ESDV Skid_1</t>
    <phoneticPr fontId="3" type="noConversion"/>
  </si>
  <si>
    <t>PGU-DE-0336-FGSS-047</t>
    <phoneticPr fontId="3" type="noConversion"/>
  </si>
  <si>
    <t>PGU-DE-0336-FGSS-151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</si>
</sst>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0_);[Red]\(0\)"/>
    <numFmt numFmtId="178" formatCode="0.000_);[Red]\(0.000\)"/>
    <numFmt numFmtId="179" formatCode="#,##0_ "/>
    <numFmt numFmtId="180" formatCode="_(* #,##0_);_(* \(#,##0\);_(* &quot;-&quot;??_);_(@_)"/>
    <numFmt numFmtId="181" formatCode="_-* #,##0.000_-;\-* #,##0.000_-;_-* &quot;-&quot;_-;_-@_-"/>
    <numFmt numFmtId="182" formatCode="#,##0.000;[Red]\-#,##0.000"/>
  </numFmts>
  <fonts count="6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name val="ＭＳ Ｐゴシック"/>
      <family val="2"/>
      <charset val="128"/>
    </font>
    <font>
      <sz val="10.5"/>
      <color theme="1"/>
      <name val="Calibri"/>
      <family val="2"/>
    </font>
    <font>
      <sz val="8"/>
      <name val="돋움"/>
      <family val="3"/>
      <charset val="129"/>
    </font>
    <font>
      <sz val="11"/>
      <name val="Calibri"/>
      <family val="2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9"/>
      <name val="Arial"/>
      <family val="2"/>
    </font>
    <font>
      <sz val="10"/>
      <name val="Calibri"/>
      <family val="2"/>
    </font>
    <font>
      <sz val="11"/>
      <name val="Arial"/>
      <family val="2"/>
    </font>
    <font>
      <sz val="13"/>
      <name val="Calibri"/>
      <family val="2"/>
    </font>
    <font>
      <b/>
      <sz val="13"/>
      <color theme="0"/>
      <name val="Calibri"/>
      <family val="2"/>
    </font>
    <font>
      <sz val="12"/>
      <name val="Calibri"/>
      <family val="2"/>
    </font>
    <font>
      <sz val="11"/>
      <name val="굴림체"/>
      <family val="3"/>
      <charset val="129"/>
    </font>
    <font>
      <i/>
      <sz val="12"/>
      <name val="Calibri"/>
      <family val="2"/>
    </font>
    <font>
      <b/>
      <sz val="12"/>
      <color theme="0"/>
      <name val="Calibri"/>
      <family val="2"/>
    </font>
    <font>
      <b/>
      <sz val="9"/>
      <name val="Calibri"/>
      <family val="2"/>
    </font>
    <font>
      <b/>
      <sz val="10"/>
      <name val="Arial"/>
      <family val="2"/>
    </font>
    <font>
      <sz val="9"/>
      <color indexed="8"/>
      <name val="Calibri"/>
      <family val="2"/>
    </font>
    <font>
      <sz val="1"/>
      <color indexed="8"/>
      <name val="Courier"/>
      <family val="3"/>
    </font>
    <font>
      <b/>
      <i/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trike/>
      <sz val="11"/>
      <name val="Calibri"/>
      <family val="2"/>
    </font>
    <font>
      <sz val="8"/>
      <name val="돋움"/>
      <family val="3"/>
    </font>
    <font>
      <b/>
      <sz val="12"/>
      <name val="Calibri"/>
      <family val="2"/>
    </font>
    <font>
      <sz val="10"/>
      <name val="Arial"/>
      <family val="2"/>
    </font>
    <font>
      <sz val="14"/>
      <name val="Calibri"/>
      <family val="2"/>
    </font>
    <font>
      <sz val="16"/>
      <name val="Calibri"/>
      <family val="2"/>
    </font>
    <font>
      <b/>
      <sz val="24"/>
      <name val="Calibri"/>
      <family val="2"/>
    </font>
    <font>
      <b/>
      <sz val="16"/>
      <name val="맑은 고딕"/>
      <family val="3"/>
      <charset val="129"/>
    </font>
    <font>
      <sz val="16"/>
      <name val="맑은 고딕"/>
      <family val="3"/>
      <charset val="129"/>
      <scheme val="minor"/>
    </font>
    <font>
      <sz val="16"/>
      <name val="맑은 고딕"/>
      <family val="2"/>
      <charset val="129"/>
      <scheme val="minor"/>
    </font>
    <font>
      <b/>
      <sz val="16"/>
      <name val="Calibri"/>
      <family val="3"/>
    </font>
    <font>
      <b/>
      <sz val="16"/>
      <name val="Segoe UI Symbol"/>
      <family val="3"/>
    </font>
    <font>
      <sz val="11"/>
      <color theme="1"/>
      <name val="Calibri"/>
      <family val="2"/>
    </font>
    <font>
      <sz val="8"/>
      <name val="Arial"/>
      <family val="2"/>
    </font>
    <font>
      <sz val="12"/>
      <name val="Segoe UI Symbol"/>
      <family val="2"/>
    </font>
    <font>
      <sz val="12"/>
      <name val="맑은 고딕"/>
      <family val="2"/>
      <charset val="129"/>
    </font>
    <font>
      <b/>
      <i/>
      <sz val="12"/>
      <name val="Calibri"/>
      <family val="2"/>
    </font>
    <font>
      <vertAlign val="superscript"/>
      <sz val="11"/>
      <name val="Calibri"/>
      <family val="2"/>
    </font>
    <font>
      <sz val="9"/>
      <name val="맑은 고딕"/>
      <family val="3"/>
      <charset val="129"/>
      <scheme val="minor"/>
    </font>
    <font>
      <b/>
      <sz val="11"/>
      <color theme="1"/>
      <name val="Calibri"/>
      <family val="2"/>
    </font>
    <font>
      <sz val="12"/>
      <color theme="0"/>
      <name val="Calibri"/>
      <family val="2"/>
    </font>
    <font>
      <b/>
      <i/>
      <sz val="12"/>
      <color rgb="FF0000CC"/>
      <name val="Calibri"/>
      <family val="2"/>
    </font>
    <font>
      <b/>
      <sz val="12"/>
      <name val="맑은 고딕"/>
      <family val="2"/>
      <charset val="129"/>
    </font>
    <font>
      <b/>
      <sz val="9"/>
      <color indexed="8"/>
      <name val="Calibri"/>
      <family val="2"/>
    </font>
    <font>
      <b/>
      <sz val="9"/>
      <name val="Arial"/>
      <family val="2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Calibri"/>
      <family val="2"/>
    </font>
    <font>
      <b/>
      <sz val="12"/>
      <name val="Arial"/>
      <family val="2"/>
    </font>
    <font>
      <sz val="12"/>
      <name val="맑은 고딕"/>
      <family val="3"/>
      <charset val="129"/>
    </font>
    <font>
      <b/>
      <sz val="14"/>
      <name val="Calibri"/>
      <family val="2"/>
    </font>
    <font>
      <sz val="14"/>
      <name val="Arial"/>
      <family val="2"/>
    </font>
    <font>
      <b/>
      <sz val="16"/>
      <name val="Arial Unicode MS"/>
      <family val="2"/>
      <charset val="129"/>
    </font>
    <font>
      <sz val="11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1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2" fillId="0" borderId="0"/>
    <xf numFmtId="4" fontId="28" fillId="0" borderId="0">
      <protection locked="0"/>
    </xf>
    <xf numFmtId="0" fontId="35" fillId="0" borderId="0"/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/>
    <xf numFmtId="0" fontId="57" fillId="0" borderId="0" applyNumberFormat="0" applyFill="0" applyBorder="0" applyAlignment="0" applyProtection="0">
      <alignment vertical="center"/>
    </xf>
  </cellStyleXfs>
  <cellXfs count="464">
    <xf numFmtId="0" fontId="0" fillId="0" borderId="0" xfId="0">
      <alignment vertical="center"/>
    </xf>
    <xf numFmtId="0" fontId="8" fillId="0" borderId="0" xfId="0" applyFont="1">
      <alignment vertical="center"/>
    </xf>
    <xf numFmtId="0" fontId="0" fillId="2" borderId="0" xfId="0" applyFill="1">
      <alignment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4" fillId="0" borderId="0" xfId="13" applyFont="1">
      <alignment vertical="center"/>
    </xf>
    <xf numFmtId="0" fontId="14" fillId="0" borderId="0" xfId="13" applyFont="1" applyAlignment="1">
      <alignment vertical="center" wrapText="1"/>
    </xf>
    <xf numFmtId="41" fontId="14" fillId="0" borderId="0" xfId="14" applyFont="1">
      <alignment vertical="center"/>
    </xf>
    <xf numFmtId="0" fontId="14" fillId="0" borderId="0" xfId="13" applyFont="1" applyAlignment="1">
      <alignment horizontal="center" vertical="center"/>
    </xf>
    <xf numFmtId="0" fontId="16" fillId="0" borderId="0" xfId="13" applyFont="1">
      <alignment vertical="center"/>
    </xf>
    <xf numFmtId="0" fontId="14" fillId="0" borderId="0" xfId="13" applyFont="1" applyAlignment="1">
      <alignment horizontal="left" vertical="center"/>
    </xf>
    <xf numFmtId="0" fontId="16" fillId="0" borderId="0" xfId="13" applyFont="1" applyAlignment="1">
      <alignment vertical="center" wrapText="1"/>
    </xf>
    <xf numFmtId="0" fontId="17" fillId="0" borderId="0" xfId="13" applyFont="1" applyAlignment="1">
      <alignment vertical="center" wrapText="1"/>
    </xf>
    <xf numFmtId="0" fontId="4" fillId="0" borderId="0" xfId="13" applyFont="1" applyAlignment="1">
      <alignment vertical="center" wrapText="1"/>
    </xf>
    <xf numFmtId="0" fontId="4" fillId="0" borderId="0" xfId="13" applyFont="1">
      <alignment vertical="center"/>
    </xf>
    <xf numFmtId="0" fontId="10" fillId="0" borderId="0" xfId="13" applyFont="1" applyAlignment="1">
      <alignment vertical="center" wrapText="1"/>
    </xf>
    <xf numFmtId="41" fontId="10" fillId="0" borderId="0" xfId="14" applyFont="1">
      <alignment vertical="center"/>
    </xf>
    <xf numFmtId="0" fontId="10" fillId="0" borderId="0" xfId="13" applyFont="1" applyAlignment="1">
      <alignment horizontal="center" vertical="center"/>
    </xf>
    <xf numFmtId="176" fontId="10" fillId="0" borderId="0" xfId="14" applyNumberFormat="1" applyFont="1">
      <alignment vertical="center"/>
    </xf>
    <xf numFmtId="0" fontId="10" fillId="0" borderId="0" xfId="13" applyFont="1">
      <alignment vertical="center"/>
    </xf>
    <xf numFmtId="178" fontId="14" fillId="0" borderId="0" xfId="13" applyNumberFormat="1" applyFont="1" applyAlignment="1">
      <alignment horizontal="left" vertical="center"/>
    </xf>
    <xf numFmtId="0" fontId="18" fillId="0" borderId="0" xfId="13" applyFont="1" applyAlignment="1">
      <alignment vertical="center" wrapText="1"/>
    </xf>
    <xf numFmtId="0" fontId="18" fillId="0" borderId="0" xfId="13" applyFont="1">
      <alignment vertical="center"/>
    </xf>
    <xf numFmtId="0" fontId="20" fillId="0" borderId="0" xfId="13" applyFont="1">
      <alignment vertical="center"/>
    </xf>
    <xf numFmtId="0" fontId="19" fillId="0" borderId="0" xfId="13" applyFont="1" applyAlignment="1">
      <alignment vertical="center" wrapText="1"/>
    </xf>
    <xf numFmtId="0" fontId="19" fillId="0" borderId="0" xfId="13" applyFont="1">
      <alignment vertical="center"/>
    </xf>
    <xf numFmtId="0" fontId="21" fillId="2" borderId="17" xfId="13" applyFont="1" applyFill="1" applyBorder="1" applyAlignment="1">
      <alignment horizontal="center" vertical="center"/>
    </xf>
    <xf numFmtId="0" fontId="21" fillId="2" borderId="1" xfId="15" applyFont="1" applyFill="1" applyBorder="1" applyAlignment="1">
      <alignment horizontal="center" vertical="center"/>
    </xf>
    <xf numFmtId="40" fontId="21" fillId="0" borderId="1" xfId="14" applyNumberFormat="1" applyFont="1" applyFill="1" applyBorder="1" applyAlignment="1">
      <alignment horizontal="center" vertical="center"/>
    </xf>
    <xf numFmtId="41" fontId="21" fillId="2" borderId="1" xfId="14" applyFont="1" applyFill="1" applyBorder="1" applyAlignment="1">
      <alignment horizontal="center" vertical="center"/>
    </xf>
    <xf numFmtId="0" fontId="21" fillId="2" borderId="1" xfId="13" applyFont="1" applyFill="1" applyBorder="1" applyAlignment="1">
      <alignment horizontal="center" vertical="center"/>
    </xf>
    <xf numFmtId="176" fontId="21" fillId="2" borderId="1" xfId="14" applyNumberFormat="1" applyFont="1" applyFill="1" applyBorder="1" applyAlignment="1">
      <alignment horizontal="center" vertical="center"/>
    </xf>
    <xf numFmtId="0" fontId="24" fillId="0" borderId="0" xfId="13" applyFont="1">
      <alignment vertical="center"/>
    </xf>
    <xf numFmtId="0" fontId="21" fillId="0" borderId="0" xfId="13" applyFont="1" applyAlignment="1">
      <alignment vertical="center" wrapText="1"/>
    </xf>
    <xf numFmtId="0" fontId="21" fillId="0" borderId="0" xfId="13" applyFont="1" applyAlignment="1">
      <alignment horizontal="left" vertical="center" wrapText="1"/>
    </xf>
    <xf numFmtId="0" fontId="25" fillId="0" borderId="0" xfId="13" applyFont="1" applyAlignment="1">
      <alignment horizontal="left" vertical="center" wrapText="1"/>
    </xf>
    <xf numFmtId="0" fontId="26" fillId="0" borderId="0" xfId="13" applyFont="1" applyAlignment="1">
      <alignment vertical="center" wrapText="1"/>
    </xf>
    <xf numFmtId="0" fontId="26" fillId="0" borderId="0" xfId="13" applyFont="1">
      <alignment vertical="center"/>
    </xf>
    <xf numFmtId="0" fontId="27" fillId="0" borderId="0" xfId="13" applyFont="1" applyAlignment="1">
      <alignment horizontal="left" vertical="center" wrapText="1"/>
    </xf>
    <xf numFmtId="41" fontId="14" fillId="0" borderId="0" xfId="14" applyFont="1" applyBorder="1" applyAlignment="1">
      <alignment horizontal="center" vertical="center"/>
    </xf>
    <xf numFmtId="38" fontId="14" fillId="0" borderId="0" xfId="14" applyNumberFormat="1" applyFont="1" applyBorder="1" applyAlignment="1">
      <alignment horizontal="center" vertical="center"/>
    </xf>
    <xf numFmtId="179" fontId="14" fillId="0" borderId="0" xfId="13" applyNumberFormat="1" applyFont="1" applyAlignment="1">
      <alignment horizontal="center" vertical="center"/>
    </xf>
    <xf numFmtId="178" fontId="14" fillId="0" borderId="0" xfId="13" applyNumberFormat="1" applyFont="1" applyAlignment="1">
      <alignment horizontal="center" vertical="center"/>
    </xf>
    <xf numFmtId="0" fontId="14" fillId="0" borderId="0" xfId="13" applyFont="1" applyAlignment="1">
      <alignment horizontal="left" vertical="center" wrapText="1"/>
    </xf>
    <xf numFmtId="41" fontId="14" fillId="0" borderId="0" xfId="14" applyFont="1" applyFill="1" applyBorder="1" applyAlignment="1">
      <alignment horizontal="center" vertical="center"/>
    </xf>
    <xf numFmtId="180" fontId="14" fillId="0" borderId="0" xfId="16" applyNumberFormat="1" applyFont="1" applyAlignment="1">
      <alignment horizontal="center" vertical="center"/>
      <protection locked="0"/>
    </xf>
    <xf numFmtId="41" fontId="14" fillId="0" borderId="0" xfId="14" applyFont="1" applyFill="1" applyBorder="1" applyAlignment="1">
      <alignment horizontal="left" vertical="center"/>
    </xf>
    <xf numFmtId="38" fontId="14" fillId="0" borderId="0" xfId="14" applyNumberFormat="1" applyFont="1" applyBorder="1" applyAlignment="1">
      <alignment horizontal="left" vertical="center"/>
    </xf>
    <xf numFmtId="0" fontId="16" fillId="0" borderId="0" xfId="13" applyFont="1" applyAlignment="1">
      <alignment horizontal="left" vertical="center" wrapText="1"/>
    </xf>
    <xf numFmtId="0" fontId="16" fillId="0" borderId="0" xfId="13" applyFont="1" applyAlignment="1">
      <alignment horizontal="left" vertical="center"/>
    </xf>
    <xf numFmtId="178" fontId="29" fillId="0" borderId="0" xfId="13" applyNumberFormat="1" applyFont="1" applyAlignment="1">
      <alignment horizontal="center" vertical="center"/>
    </xf>
    <xf numFmtId="0" fontId="17" fillId="0" borderId="0" xfId="13" applyFont="1">
      <alignment vertical="center"/>
    </xf>
    <xf numFmtId="41" fontId="17" fillId="0" borderId="0" xfId="14" applyFont="1" applyBorder="1">
      <alignment vertical="center"/>
    </xf>
    <xf numFmtId="0" fontId="17" fillId="0" borderId="0" xfId="13" applyFont="1" applyAlignment="1">
      <alignment horizontal="center" vertical="center"/>
    </xf>
    <xf numFmtId="176" fontId="17" fillId="0" borderId="0" xfId="14" applyNumberFormat="1" applyFont="1" applyBorder="1">
      <alignment vertical="center"/>
    </xf>
    <xf numFmtId="178" fontId="17" fillId="0" borderId="0" xfId="13" applyNumberFormat="1" applyFont="1">
      <alignment vertical="center"/>
    </xf>
    <xf numFmtId="41" fontId="17" fillId="0" borderId="0" xfId="14" applyFont="1">
      <alignment vertical="center"/>
    </xf>
    <xf numFmtId="176" fontId="17" fillId="0" borderId="0" xfId="14" applyNumberFormat="1" applyFont="1">
      <alignment vertical="center"/>
    </xf>
    <xf numFmtId="176" fontId="14" fillId="0" borderId="0" xfId="1" applyNumberFormat="1" applyFont="1">
      <alignment vertical="center"/>
    </xf>
    <xf numFmtId="176" fontId="10" fillId="0" borderId="0" xfId="1" applyNumberFormat="1" applyFont="1">
      <alignment vertical="center"/>
    </xf>
    <xf numFmtId="176" fontId="21" fillId="2" borderId="1" xfId="1" applyNumberFormat="1" applyFont="1" applyFill="1" applyBorder="1" applyAlignment="1">
      <alignment horizontal="right" vertical="center"/>
    </xf>
    <xf numFmtId="176" fontId="14" fillId="0" borderId="0" xfId="1" applyNumberFormat="1" applyFont="1" applyBorder="1" applyAlignment="1">
      <alignment horizontal="center" vertical="center"/>
    </xf>
    <xf numFmtId="176" fontId="14" fillId="0" borderId="0" xfId="1" applyNumberFormat="1" applyFont="1" applyBorder="1" applyAlignment="1">
      <alignment horizontal="left" vertical="center"/>
    </xf>
    <xf numFmtId="176" fontId="14" fillId="0" borderId="0" xfId="1" applyNumberFormat="1" applyFont="1" applyAlignment="1">
      <alignment horizontal="center" vertical="center"/>
    </xf>
    <xf numFmtId="176" fontId="17" fillId="0" borderId="0" xfId="1" applyNumberFormat="1" applyFont="1" applyBorder="1">
      <alignment vertical="center"/>
    </xf>
    <xf numFmtId="176" fontId="17" fillId="0" borderId="0" xfId="1" applyNumberFormat="1" applyFont="1">
      <alignment vertical="center"/>
    </xf>
    <xf numFmtId="0" fontId="14" fillId="0" borderId="7" xfId="13" applyFont="1" applyBorder="1">
      <alignment vertical="center"/>
    </xf>
    <xf numFmtId="0" fontId="14" fillId="0" borderId="6" xfId="13" applyFont="1" applyBorder="1">
      <alignment vertical="center"/>
    </xf>
    <xf numFmtId="0" fontId="14" fillId="0" borderId="8" xfId="13" applyFont="1" applyBorder="1">
      <alignment vertical="center"/>
    </xf>
    <xf numFmtId="0" fontId="14" fillId="0" borderId="9" xfId="13" applyFont="1" applyBorder="1">
      <alignment vertical="center"/>
    </xf>
    <xf numFmtId="0" fontId="14" fillId="0" borderId="10" xfId="13" applyFont="1" applyBorder="1">
      <alignment vertical="center"/>
    </xf>
    <xf numFmtId="0" fontId="30" fillId="0" borderId="14" xfId="13" applyFont="1" applyBorder="1">
      <alignment vertical="center"/>
    </xf>
    <xf numFmtId="0" fontId="14" fillId="0" borderId="4" xfId="13" applyFont="1" applyBorder="1">
      <alignment vertical="center"/>
    </xf>
    <xf numFmtId="0" fontId="14" fillId="0" borderId="20" xfId="13" applyFont="1" applyBorder="1">
      <alignment vertical="center"/>
    </xf>
    <xf numFmtId="0" fontId="31" fillId="0" borderId="7" xfId="13" applyFont="1" applyBorder="1">
      <alignment vertical="center"/>
    </xf>
    <xf numFmtId="0" fontId="10" fillId="0" borderId="6" xfId="13" applyFont="1" applyBorder="1">
      <alignment vertical="center"/>
    </xf>
    <xf numFmtId="0" fontId="10" fillId="0" borderId="42" xfId="13" applyFont="1" applyBorder="1">
      <alignment vertical="center"/>
    </xf>
    <xf numFmtId="0" fontId="31" fillId="0" borderId="6" xfId="13" applyFont="1" applyBorder="1">
      <alignment vertical="center"/>
    </xf>
    <xf numFmtId="0" fontId="10" fillId="0" borderId="9" xfId="13" applyFont="1" applyBorder="1">
      <alignment vertical="center"/>
    </xf>
    <xf numFmtId="0" fontId="10" fillId="0" borderId="27" xfId="13" applyFont="1" applyBorder="1">
      <alignment vertical="center"/>
    </xf>
    <xf numFmtId="0" fontId="10" fillId="0" borderId="3" xfId="13" applyFont="1" applyBorder="1">
      <alignment vertical="center"/>
    </xf>
    <xf numFmtId="0" fontId="10" fillId="0" borderId="10" xfId="13" applyFont="1" applyBorder="1">
      <alignment vertical="center"/>
    </xf>
    <xf numFmtId="0" fontId="10" fillId="0" borderId="11" xfId="13" applyFont="1" applyBorder="1">
      <alignment vertical="center"/>
    </xf>
    <xf numFmtId="0" fontId="10" fillId="0" borderId="24" xfId="13" applyFont="1" applyBorder="1">
      <alignment vertical="center"/>
    </xf>
    <xf numFmtId="0" fontId="31" fillId="0" borderId="9" xfId="13" applyFont="1" applyBorder="1">
      <alignment vertical="center"/>
    </xf>
    <xf numFmtId="0" fontId="32" fillId="0" borderId="28" xfId="13" applyFont="1" applyBorder="1" applyAlignment="1"/>
    <xf numFmtId="0" fontId="32" fillId="0" borderId="28" xfId="13" applyFont="1" applyBorder="1">
      <alignment vertical="center"/>
    </xf>
    <xf numFmtId="0" fontId="31" fillId="0" borderId="21" xfId="13" applyFont="1" applyBorder="1">
      <alignment vertical="center"/>
    </xf>
    <xf numFmtId="0" fontId="10" fillId="0" borderId="22" xfId="13" applyFont="1" applyBorder="1">
      <alignment vertical="center"/>
    </xf>
    <xf numFmtId="0" fontId="10" fillId="0" borderId="25" xfId="13" applyFont="1" applyBorder="1">
      <alignment vertical="center"/>
    </xf>
    <xf numFmtId="0" fontId="31" fillId="0" borderId="3" xfId="13" applyFont="1" applyBorder="1">
      <alignment vertical="center"/>
    </xf>
    <xf numFmtId="0" fontId="31" fillId="0" borderId="2" xfId="13" applyFont="1" applyBorder="1">
      <alignment vertical="center"/>
    </xf>
    <xf numFmtId="0" fontId="31" fillId="0" borderId="27" xfId="13" applyFont="1" applyBorder="1">
      <alignment vertical="center"/>
    </xf>
    <xf numFmtId="0" fontId="10" fillId="0" borderId="19" xfId="13" applyFont="1" applyBorder="1">
      <alignment vertical="center"/>
    </xf>
    <xf numFmtId="0" fontId="10" fillId="0" borderId="15" xfId="13" applyFont="1" applyBorder="1">
      <alignment vertical="center"/>
    </xf>
    <xf numFmtId="0" fontId="14" fillId="0" borderId="3" xfId="13" applyFont="1" applyBorder="1">
      <alignment vertical="center"/>
    </xf>
    <xf numFmtId="0" fontId="14" fillId="0" borderId="14" xfId="13" applyFont="1" applyBorder="1">
      <alignment vertical="center"/>
    </xf>
    <xf numFmtId="0" fontId="31" fillId="0" borderId="14" xfId="13" applyFont="1" applyBorder="1" applyAlignment="1">
      <alignment horizontal="centerContinuous" vertical="center"/>
    </xf>
    <xf numFmtId="0" fontId="14" fillId="0" borderId="4" xfId="13" applyFont="1" applyBorder="1" applyAlignment="1">
      <alignment horizontal="centerContinuous" vertical="center"/>
    </xf>
    <xf numFmtId="0" fontId="14" fillId="0" borderId="20" xfId="13" applyFont="1" applyBorder="1" applyAlignment="1">
      <alignment horizontal="centerContinuous" vertical="center"/>
    </xf>
    <xf numFmtId="41" fontId="34" fillId="0" borderId="40" xfId="14" applyFont="1" applyBorder="1" applyAlignment="1">
      <alignment horizontal="center" vertical="center"/>
    </xf>
    <xf numFmtId="0" fontId="34" fillId="0" borderId="40" xfId="13" applyFont="1" applyBorder="1" applyAlignment="1">
      <alignment horizontal="center" vertical="center"/>
    </xf>
    <xf numFmtId="176" fontId="18" fillId="0" borderId="0" xfId="1" applyNumberFormat="1" applyFont="1">
      <alignment vertical="center"/>
    </xf>
    <xf numFmtId="43" fontId="18" fillId="0" borderId="0" xfId="13" applyNumberFormat="1" applyFont="1">
      <alignment vertical="center"/>
    </xf>
    <xf numFmtId="178" fontId="29" fillId="0" borderId="0" xfId="13" applyNumberFormat="1" applyFont="1" applyAlignment="1">
      <alignment horizontal="left" vertical="center"/>
    </xf>
    <xf numFmtId="178" fontId="17" fillId="0" borderId="0" xfId="13" applyNumberFormat="1" applyFont="1" applyAlignment="1">
      <alignment horizontal="left" vertical="center"/>
    </xf>
    <xf numFmtId="0" fontId="23" fillId="0" borderId="0" xfId="13" applyFont="1" applyAlignment="1">
      <alignment vertical="center" wrapText="1"/>
    </xf>
    <xf numFmtId="0" fontId="23" fillId="0" borderId="0" xfId="13" applyFont="1">
      <alignment vertical="center"/>
    </xf>
    <xf numFmtId="176" fontId="21" fillId="0" borderId="1" xfId="1" applyNumberFormat="1" applyFont="1" applyBorder="1">
      <alignment vertical="center"/>
    </xf>
    <xf numFmtId="176" fontId="15" fillId="0" borderId="0" xfId="1" applyNumberFormat="1" applyFont="1">
      <alignment vertical="center"/>
    </xf>
    <xf numFmtId="176" fontId="10" fillId="0" borderId="0" xfId="1" applyNumberFormat="1" applyFont="1" applyAlignment="1">
      <alignment horizontal="center" vertical="center"/>
    </xf>
    <xf numFmtId="176" fontId="21" fillId="0" borderId="1" xfId="1" applyNumberFormat="1" applyFont="1" applyBorder="1" applyAlignment="1">
      <alignment horizontal="center" vertical="center" wrapText="1"/>
    </xf>
    <xf numFmtId="176" fontId="34" fillId="0" borderId="40" xfId="1" applyNumberFormat="1" applyFont="1" applyBorder="1" applyAlignment="1">
      <alignment horizontal="right" vertical="center"/>
    </xf>
    <xf numFmtId="176" fontId="14" fillId="0" borderId="0" xfId="1" applyNumberFormat="1" applyFont="1" applyAlignment="1">
      <alignment horizontal="left" vertical="center"/>
    </xf>
    <xf numFmtId="176" fontId="29" fillId="0" borderId="0" xfId="1" applyNumberFormat="1" applyFont="1" applyAlignment="1">
      <alignment horizontal="center" vertical="center"/>
    </xf>
    <xf numFmtId="0" fontId="37" fillId="2" borderId="7" xfId="0" applyFont="1" applyFill="1" applyBorder="1">
      <alignment vertical="center"/>
    </xf>
    <xf numFmtId="0" fontId="37" fillId="2" borderId="6" xfId="0" applyFont="1" applyFill="1" applyBorder="1">
      <alignment vertical="center"/>
    </xf>
    <xf numFmtId="0" fontId="36" fillId="2" borderId="6" xfId="0" applyFont="1" applyFill="1" applyBorder="1">
      <alignment vertical="center"/>
    </xf>
    <xf numFmtId="0" fontId="36" fillId="2" borderId="8" xfId="0" applyFont="1" applyFill="1" applyBorder="1">
      <alignment vertical="center"/>
    </xf>
    <xf numFmtId="0" fontId="37" fillId="2" borderId="0" xfId="0" applyFont="1" applyFill="1">
      <alignment vertical="center"/>
    </xf>
    <xf numFmtId="0" fontId="36" fillId="2" borderId="0" xfId="0" applyFont="1" applyFill="1">
      <alignment vertical="center"/>
    </xf>
    <xf numFmtId="0" fontId="13" fillId="2" borderId="9" xfId="0" applyFont="1" applyFill="1" applyBorder="1">
      <alignment vertical="center"/>
    </xf>
    <xf numFmtId="0" fontId="37" fillId="2" borderId="10" xfId="0" applyFont="1" applyFill="1" applyBorder="1">
      <alignment vertical="center"/>
    </xf>
    <xf numFmtId="0" fontId="13" fillId="0" borderId="9" xfId="0" applyFont="1" applyBorder="1">
      <alignment vertical="center"/>
    </xf>
    <xf numFmtId="0" fontId="37" fillId="0" borderId="10" xfId="0" applyFont="1" applyBorder="1">
      <alignment vertical="center"/>
    </xf>
    <xf numFmtId="0" fontId="42" fillId="2" borderId="9" xfId="0" applyFont="1" applyFill="1" applyBorder="1">
      <alignment vertical="center"/>
    </xf>
    <xf numFmtId="0" fontId="37" fillId="2" borderId="14" xfId="0" applyFont="1" applyFill="1" applyBorder="1">
      <alignment vertical="center"/>
    </xf>
    <xf numFmtId="0" fontId="37" fillId="2" borderId="4" xfId="0" applyFont="1" applyFill="1" applyBorder="1">
      <alignment vertical="center"/>
    </xf>
    <xf numFmtId="0" fontId="36" fillId="2" borderId="4" xfId="0" applyFont="1" applyFill="1" applyBorder="1">
      <alignment vertical="center"/>
    </xf>
    <xf numFmtId="0" fontId="36" fillId="2" borderId="20" xfId="0" applyFont="1" applyFill="1" applyBorder="1">
      <alignment vertical="center"/>
    </xf>
    <xf numFmtId="0" fontId="42" fillId="2" borderId="9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4" fillId="0" borderId="0" xfId="13" applyFont="1" applyAlignment="1">
      <alignment horizontal="right" vertical="center" wrapText="1"/>
    </xf>
    <xf numFmtId="0" fontId="45" fillId="0" borderId="0" xfId="0" applyFont="1" applyAlignment="1">
      <alignment horizontal="left" vertical="center"/>
    </xf>
    <xf numFmtId="0" fontId="31" fillId="0" borderId="15" xfId="13" applyFont="1" applyBorder="1">
      <alignment vertical="center"/>
    </xf>
    <xf numFmtId="0" fontId="10" fillId="0" borderId="8" xfId="13" applyFont="1" applyBorder="1">
      <alignment vertical="center"/>
    </xf>
    <xf numFmtId="0" fontId="10" fillId="0" borderId="12" xfId="13" applyFont="1" applyBorder="1">
      <alignment vertical="center"/>
    </xf>
    <xf numFmtId="0" fontId="13" fillId="0" borderId="0" xfId="13" applyFont="1" applyAlignment="1">
      <alignment horizontal="center" vertical="center"/>
    </xf>
    <xf numFmtId="0" fontId="31" fillId="0" borderId="22" xfId="13" applyFont="1" applyBorder="1">
      <alignment vertical="center"/>
    </xf>
    <xf numFmtId="0" fontId="21" fillId="2" borderId="45" xfId="13" applyFont="1" applyFill="1" applyBorder="1" applyAlignment="1">
      <alignment horizontal="center" vertical="center"/>
    </xf>
    <xf numFmtId="0" fontId="31" fillId="0" borderId="28" xfId="13" applyFont="1" applyBorder="1" applyAlignment="1">
      <alignment vertical="top"/>
    </xf>
    <xf numFmtId="0" fontId="31" fillId="0" borderId="10" xfId="13" applyFont="1" applyBorder="1" applyAlignment="1">
      <alignment vertical="top"/>
    </xf>
    <xf numFmtId="0" fontId="18" fillId="0" borderId="2" xfId="13" applyFont="1" applyBorder="1">
      <alignment vertical="center"/>
    </xf>
    <xf numFmtId="0" fontId="18" fillId="0" borderId="3" xfId="13" applyFont="1" applyBorder="1">
      <alignment vertical="center"/>
    </xf>
    <xf numFmtId="41" fontId="21" fillId="0" borderId="24" xfId="14" applyFont="1" applyFill="1" applyBorder="1" applyAlignment="1">
      <alignment horizontal="center" vertical="center" wrapText="1"/>
    </xf>
    <xf numFmtId="41" fontId="21" fillId="2" borderId="45" xfId="14" applyFont="1" applyFill="1" applyBorder="1" applyAlignment="1">
      <alignment horizontal="center" vertical="center"/>
    </xf>
    <xf numFmtId="0" fontId="21" fillId="2" borderId="18" xfId="13" applyFont="1" applyFill="1" applyBorder="1" applyAlignment="1">
      <alignment horizontal="center" vertical="center"/>
    </xf>
    <xf numFmtId="0" fontId="13" fillId="2" borderId="10" xfId="0" applyFont="1" applyFill="1" applyBorder="1">
      <alignment vertical="center"/>
    </xf>
    <xf numFmtId="0" fontId="34" fillId="0" borderId="0" xfId="13" applyFont="1" applyAlignment="1">
      <alignment vertical="center" wrapText="1"/>
    </xf>
    <xf numFmtId="0" fontId="34" fillId="0" borderId="0" xfId="13" applyFont="1" applyAlignment="1">
      <alignment horizontal="left" vertical="center" wrapText="1"/>
    </xf>
    <xf numFmtId="0" fontId="48" fillId="0" borderId="0" xfId="13" applyFont="1" applyAlignment="1">
      <alignment vertical="center" wrapText="1"/>
    </xf>
    <xf numFmtId="0" fontId="48" fillId="0" borderId="0" xfId="13" applyFont="1">
      <alignment vertical="center"/>
    </xf>
    <xf numFmtId="181" fontId="21" fillId="0" borderId="1" xfId="1" applyNumberFormat="1" applyFont="1" applyFill="1" applyBorder="1" applyAlignment="1">
      <alignment horizontal="center" vertical="center"/>
    </xf>
    <xf numFmtId="176" fontId="21" fillId="2" borderId="18" xfId="14" applyNumberFormat="1" applyFont="1" applyFill="1" applyBorder="1" applyAlignment="1">
      <alignment horizontal="center" vertical="center"/>
    </xf>
    <xf numFmtId="41" fontId="34" fillId="4" borderId="46" xfId="14" applyFont="1" applyFill="1" applyBorder="1" applyAlignment="1">
      <alignment horizontal="center" vertical="center"/>
    </xf>
    <xf numFmtId="0" fontId="34" fillId="4" borderId="40" xfId="13" applyFont="1" applyFill="1" applyBorder="1" applyAlignment="1">
      <alignment horizontal="center" vertical="center"/>
    </xf>
    <xf numFmtId="176" fontId="34" fillId="4" borderId="40" xfId="1" applyNumberFormat="1" applyFont="1" applyFill="1" applyBorder="1" applyAlignment="1">
      <alignment horizontal="right" vertical="center"/>
    </xf>
    <xf numFmtId="0" fontId="13" fillId="0" borderId="0" xfId="13" applyFont="1" applyAlignment="1">
      <alignment horizontal="center" vertical="center" wrapText="1"/>
    </xf>
    <xf numFmtId="0" fontId="21" fillId="0" borderId="5" xfId="13" applyFont="1" applyBorder="1" applyAlignment="1">
      <alignment horizontal="center" vertical="center" wrapText="1"/>
    </xf>
    <xf numFmtId="0" fontId="50" fillId="0" borderId="0" xfId="13" applyFont="1">
      <alignment vertical="center"/>
    </xf>
    <xf numFmtId="0" fontId="52" fillId="0" borderId="0" xfId="13" applyFont="1" applyAlignment="1">
      <alignment horizontal="right" vertical="center" wrapText="1"/>
    </xf>
    <xf numFmtId="0" fontId="52" fillId="0" borderId="0" xfId="0" applyFont="1" applyAlignment="1">
      <alignment horizontal="left" vertical="center"/>
    </xf>
    <xf numFmtId="0" fontId="52" fillId="0" borderId="0" xfId="13" applyFont="1" applyAlignment="1">
      <alignment vertical="center" wrapText="1"/>
    </xf>
    <xf numFmtId="0" fontId="52" fillId="0" borderId="0" xfId="13" applyFont="1">
      <alignment vertical="center"/>
    </xf>
    <xf numFmtId="0" fontId="34" fillId="0" borderId="0" xfId="13" applyFont="1">
      <alignment vertical="center"/>
    </xf>
    <xf numFmtId="0" fontId="34" fillId="0" borderId="0" xfId="13" applyFont="1" applyAlignment="1">
      <alignment horizontal="center" vertical="center"/>
    </xf>
    <xf numFmtId="0" fontId="53" fillId="0" borderId="0" xfId="13" applyFont="1">
      <alignment vertical="center"/>
    </xf>
    <xf numFmtId="0" fontId="34" fillId="0" borderId="7" xfId="13" applyFont="1" applyBorder="1">
      <alignment vertical="center"/>
    </xf>
    <xf numFmtId="0" fontId="34" fillId="0" borderId="6" xfId="13" applyFont="1" applyBorder="1">
      <alignment vertical="center"/>
    </xf>
    <xf numFmtId="0" fontId="53" fillId="0" borderId="6" xfId="13" applyFont="1" applyBorder="1">
      <alignment vertical="center"/>
    </xf>
    <xf numFmtId="0" fontId="21" fillId="0" borderId="8" xfId="13" applyFont="1" applyBorder="1" applyAlignment="1">
      <alignment vertical="center" wrapText="1"/>
    </xf>
    <xf numFmtId="0" fontId="34" fillId="0" borderId="14" xfId="13" applyFont="1" applyBorder="1">
      <alignment vertical="center"/>
    </xf>
    <xf numFmtId="0" fontId="34" fillId="0" borderId="4" xfId="13" applyFont="1" applyBorder="1">
      <alignment vertical="center"/>
    </xf>
    <xf numFmtId="0" fontId="53" fillId="0" borderId="4" xfId="13" applyFont="1" applyBorder="1">
      <alignment vertical="center"/>
    </xf>
    <xf numFmtId="0" fontId="21" fillId="0" borderId="20" xfId="13" applyFont="1" applyBorder="1" applyAlignment="1">
      <alignment vertical="center" wrapText="1"/>
    </xf>
    <xf numFmtId="41" fontId="21" fillId="0" borderId="0" xfId="14" applyFont="1">
      <alignment vertical="center"/>
    </xf>
    <xf numFmtId="0" fontId="53" fillId="0" borderId="8" xfId="13" applyFont="1" applyBorder="1">
      <alignment vertical="center"/>
    </xf>
    <xf numFmtId="0" fontId="53" fillId="0" borderId="20" xfId="13" applyFont="1" applyBorder="1">
      <alignment vertical="center"/>
    </xf>
    <xf numFmtId="0" fontId="21" fillId="0" borderId="4" xfId="13" applyFont="1" applyBorder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>
      <alignment vertical="center"/>
    </xf>
    <xf numFmtId="0" fontId="40" fillId="2" borderId="0" xfId="0" applyFont="1" applyFill="1">
      <alignment vertical="center"/>
    </xf>
    <xf numFmtId="0" fontId="41" fillId="2" borderId="0" xfId="0" applyFont="1" applyFill="1">
      <alignment vertical="center"/>
    </xf>
    <xf numFmtId="0" fontId="37" fillId="0" borderId="0" xfId="0" applyFont="1">
      <alignment vertical="center"/>
    </xf>
    <xf numFmtId="0" fontId="13" fillId="0" borderId="0" xfId="0" applyFont="1">
      <alignment vertical="center"/>
    </xf>
    <xf numFmtId="40" fontId="13" fillId="0" borderId="0" xfId="0" applyNumberFormat="1" applyFont="1">
      <alignment vertical="center"/>
    </xf>
    <xf numFmtId="176" fontId="13" fillId="2" borderId="0" xfId="1" applyNumberFormat="1" applyFont="1" applyFill="1" applyBorder="1">
      <alignment vertical="center"/>
    </xf>
    <xf numFmtId="181" fontId="13" fillId="2" borderId="0" xfId="11" applyNumberFormat="1" applyFont="1" applyFill="1" applyBorder="1" applyAlignment="1">
      <alignment horizontal="right" vertical="center"/>
    </xf>
    <xf numFmtId="176" fontId="13" fillId="2" borderId="0" xfId="11" applyNumberFormat="1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11" fillId="2" borderId="48" xfId="0" applyFont="1" applyFill="1" applyBorder="1">
      <alignment vertical="center"/>
    </xf>
    <xf numFmtId="0" fontId="34" fillId="2" borderId="1" xfId="13" applyFont="1" applyFill="1" applyBorder="1" applyAlignment="1">
      <alignment horizontal="center" vertical="center"/>
    </xf>
    <xf numFmtId="40" fontId="21" fillId="2" borderId="1" xfId="14" applyNumberFormat="1" applyFont="1" applyFill="1" applyBorder="1" applyAlignment="1">
      <alignment horizontal="center" vertical="center"/>
    </xf>
    <xf numFmtId="176" fontId="21" fillId="2" borderId="1" xfId="1" applyNumberFormat="1" applyFont="1" applyFill="1" applyBorder="1">
      <alignment vertical="center"/>
    </xf>
    <xf numFmtId="0" fontId="24" fillId="2" borderId="0" xfId="13" applyFont="1" applyFill="1">
      <alignment vertical="center"/>
    </xf>
    <xf numFmtId="0" fontId="21" fillId="2" borderId="0" xfId="13" applyFont="1" applyFill="1" applyAlignment="1">
      <alignment vertical="center" wrapText="1"/>
    </xf>
    <xf numFmtId="0" fontId="21" fillId="2" borderId="0" xfId="13" applyFont="1" applyFill="1" applyAlignment="1">
      <alignment horizontal="left" vertical="center" wrapText="1"/>
    </xf>
    <xf numFmtId="0" fontId="23" fillId="2" borderId="0" xfId="13" applyFont="1" applyFill="1" applyAlignment="1">
      <alignment vertical="center" wrapText="1"/>
    </xf>
    <xf numFmtId="0" fontId="23" fillId="2" borderId="0" xfId="13" applyFont="1" applyFill="1">
      <alignment vertical="center"/>
    </xf>
    <xf numFmtId="176" fontId="21" fillId="2" borderId="1" xfId="1" applyNumberFormat="1" applyFont="1" applyFill="1" applyBorder="1" applyAlignment="1">
      <alignment horizontal="center" vertical="center"/>
    </xf>
    <xf numFmtId="181" fontId="21" fillId="2" borderId="1" xfId="1" applyNumberFormat="1" applyFont="1" applyFill="1" applyBorder="1" applyAlignment="1">
      <alignment horizontal="center" vertical="center"/>
    </xf>
    <xf numFmtId="0" fontId="25" fillId="0" borderId="0" xfId="13" applyFont="1" applyAlignment="1">
      <alignment vertical="center" wrapText="1"/>
    </xf>
    <xf numFmtId="0" fontId="34" fillId="4" borderId="1" xfId="13" applyFont="1" applyFill="1" applyBorder="1" applyAlignment="1">
      <alignment horizontal="center" vertical="center"/>
    </xf>
    <xf numFmtId="0" fontId="54" fillId="4" borderId="1" xfId="13" applyFont="1" applyFill="1" applyBorder="1" applyAlignment="1">
      <alignment horizontal="center" vertical="center"/>
    </xf>
    <xf numFmtId="0" fontId="54" fillId="2" borderId="1" xfId="13" applyFont="1" applyFill="1" applyBorder="1" applyAlignment="1">
      <alignment horizontal="center" vertical="center"/>
    </xf>
    <xf numFmtId="0" fontId="55" fillId="0" borderId="0" xfId="13" applyFont="1" applyAlignment="1">
      <alignment horizontal="left" vertical="center" wrapText="1"/>
    </xf>
    <xf numFmtId="0" fontId="56" fillId="0" borderId="0" xfId="13" applyFont="1">
      <alignment vertical="center"/>
    </xf>
    <xf numFmtId="0" fontId="56" fillId="0" borderId="0" xfId="13" applyFont="1" applyAlignment="1">
      <alignment horizontal="left" vertical="center"/>
    </xf>
    <xf numFmtId="0" fontId="25" fillId="0" borderId="0" xfId="13" applyFont="1">
      <alignment vertical="center"/>
    </xf>
    <xf numFmtId="0" fontId="30" fillId="0" borderId="0" xfId="13" applyFont="1" applyAlignment="1">
      <alignment vertical="center" wrapText="1"/>
    </xf>
    <xf numFmtId="0" fontId="21" fillId="0" borderId="1" xfId="13" applyFont="1" applyBorder="1" applyAlignment="1">
      <alignment horizontal="left" vertical="center"/>
    </xf>
    <xf numFmtId="41" fontId="21" fillId="0" borderId="1" xfId="14" applyFont="1" applyFill="1" applyBorder="1" applyAlignment="1">
      <alignment horizontal="center" vertical="center"/>
    </xf>
    <xf numFmtId="0" fontId="21" fillId="0" borderId="1" xfId="13" applyFont="1" applyBorder="1" applyAlignment="1">
      <alignment horizontal="center" vertical="center"/>
    </xf>
    <xf numFmtId="176" fontId="21" fillId="0" borderId="1" xfId="1" applyNumberFormat="1" applyFont="1" applyFill="1" applyBorder="1" applyAlignment="1">
      <alignment horizontal="right" vertical="center"/>
    </xf>
    <xf numFmtId="176" fontId="21" fillId="0" borderId="1" xfId="1" applyNumberFormat="1" applyFont="1" applyFill="1" applyBorder="1">
      <alignment vertical="center"/>
    </xf>
    <xf numFmtId="0" fontId="21" fillId="2" borderId="1" xfId="1" applyNumberFormat="1" applyFont="1" applyFill="1" applyBorder="1" applyAlignment="1">
      <alignment horizontal="right" vertical="center" wrapText="1"/>
    </xf>
    <xf numFmtId="0" fontId="10" fillId="0" borderId="0" xfId="13" applyFont="1" applyAlignment="1">
      <alignment vertical="top"/>
    </xf>
    <xf numFmtId="0" fontId="10" fillId="0" borderId="10" xfId="13" applyFont="1" applyBorder="1" applyAlignment="1">
      <alignment vertical="top"/>
    </xf>
    <xf numFmtId="0" fontId="31" fillId="0" borderId="10" xfId="13" applyFont="1" applyBorder="1" applyAlignment="1">
      <alignment vertical="top" wrapText="1"/>
    </xf>
    <xf numFmtId="0" fontId="18" fillId="0" borderId="10" xfId="13" applyFont="1" applyBorder="1">
      <alignment vertical="center"/>
    </xf>
    <xf numFmtId="0" fontId="10" fillId="0" borderId="9" xfId="13" applyFont="1" applyBorder="1" applyAlignment="1">
      <alignment vertical="top"/>
    </xf>
    <xf numFmtId="0" fontId="10" fillId="0" borderId="27" xfId="13" applyFont="1" applyBorder="1" applyAlignment="1">
      <alignment vertical="top"/>
    </xf>
    <xf numFmtId="0" fontId="31" fillId="0" borderId="9" xfId="13" applyFont="1" applyBorder="1" applyAlignment="1">
      <alignment vertical="top"/>
    </xf>
    <xf numFmtId="0" fontId="18" fillId="0" borderId="9" xfId="13" applyFont="1" applyBorder="1">
      <alignment vertical="center"/>
    </xf>
    <xf numFmtId="0" fontId="21" fillId="4" borderId="1" xfId="1" applyNumberFormat="1" applyFont="1" applyFill="1" applyBorder="1" applyAlignment="1">
      <alignment horizontal="right" vertical="center"/>
    </xf>
    <xf numFmtId="0" fontId="21" fillId="4" borderId="1" xfId="14" applyNumberFormat="1" applyFont="1" applyFill="1" applyBorder="1" applyAlignment="1">
      <alignment horizontal="center" vertical="center"/>
    </xf>
    <xf numFmtId="0" fontId="21" fillId="2" borderId="1" xfId="1" applyNumberFormat="1" applyFont="1" applyFill="1" applyBorder="1" applyAlignment="1">
      <alignment horizontal="right" vertical="center"/>
    </xf>
    <xf numFmtId="0" fontId="21" fillId="2" borderId="1" xfId="14" applyNumberFormat="1" applyFont="1" applyFill="1" applyBorder="1" applyAlignment="1">
      <alignment horizontal="center" vertical="center"/>
    </xf>
    <xf numFmtId="0" fontId="21" fillId="0" borderId="1" xfId="14" applyNumberFormat="1" applyFont="1" applyFill="1" applyBorder="1" applyAlignment="1">
      <alignment horizontal="center" vertical="center"/>
    </xf>
    <xf numFmtId="0" fontId="21" fillId="2" borderId="18" xfId="14" applyNumberFormat="1" applyFont="1" applyFill="1" applyBorder="1" applyAlignment="1">
      <alignment horizontal="center" vertical="center"/>
    </xf>
    <xf numFmtId="0" fontId="34" fillId="2" borderId="18" xfId="14" applyNumberFormat="1" applyFont="1" applyFill="1" applyBorder="1" applyAlignment="1">
      <alignment horizontal="left" vertical="center"/>
    </xf>
    <xf numFmtId="0" fontId="34" fillId="4" borderId="18" xfId="14" applyNumberFormat="1" applyFont="1" applyFill="1" applyBorder="1" applyAlignment="1">
      <alignment horizontal="left" vertical="center"/>
    </xf>
    <xf numFmtId="0" fontId="21" fillId="2" borderId="18" xfId="14" applyNumberFormat="1" applyFont="1" applyFill="1" applyBorder="1" applyAlignment="1">
      <alignment horizontal="left" vertical="center"/>
    </xf>
    <xf numFmtId="0" fontId="21" fillId="4" borderId="18" xfId="14" applyNumberFormat="1" applyFont="1" applyFill="1" applyBorder="1" applyAlignment="1">
      <alignment horizontal="left" vertical="center"/>
    </xf>
    <xf numFmtId="0" fontId="21" fillId="2" borderId="1" xfId="1" applyNumberFormat="1" applyFont="1" applyFill="1" applyBorder="1" applyAlignment="1">
      <alignment horizontal="center" vertical="center" shrinkToFit="1"/>
    </xf>
    <xf numFmtId="0" fontId="21" fillId="0" borderId="1" xfId="14" applyNumberFormat="1" applyFont="1" applyFill="1" applyBorder="1" applyAlignment="1">
      <alignment horizontal="center" vertical="center" shrinkToFit="1"/>
    </xf>
    <xf numFmtId="0" fontId="21" fillId="0" borderId="18" xfId="14" applyNumberFormat="1" applyFont="1" applyFill="1" applyBorder="1" applyAlignment="1">
      <alignment horizontal="left" vertical="center"/>
    </xf>
    <xf numFmtId="0" fontId="21" fillId="0" borderId="0" xfId="13" applyFont="1" applyAlignment="1">
      <alignment horizontal="left" vertical="center"/>
    </xf>
    <xf numFmtId="0" fontId="21" fillId="2" borderId="18" xfId="14" applyNumberFormat="1" applyFont="1" applyFill="1" applyBorder="1" applyAlignment="1">
      <alignment horizontal="left" vertical="center" shrinkToFit="1"/>
    </xf>
    <xf numFmtId="0" fontId="34" fillId="0" borderId="40" xfId="14" applyNumberFormat="1" applyFont="1" applyBorder="1" applyAlignment="1">
      <alignment horizontal="center" vertical="center"/>
    </xf>
    <xf numFmtId="0" fontId="34" fillId="0" borderId="40" xfId="14" applyNumberFormat="1" applyFont="1" applyFill="1" applyBorder="1" applyAlignment="1">
      <alignment horizontal="right" vertical="center"/>
    </xf>
    <xf numFmtId="0" fontId="34" fillId="0" borderId="40" xfId="14" applyNumberFormat="1" applyFont="1" applyBorder="1" applyAlignment="1">
      <alignment horizontal="right" vertical="center"/>
    </xf>
    <xf numFmtId="0" fontId="34" fillId="0" borderId="41" xfId="14" applyNumberFormat="1" applyFont="1" applyBorder="1" applyAlignment="1">
      <alignment horizontal="left" vertical="center"/>
    </xf>
    <xf numFmtId="0" fontId="54" fillId="2" borderId="1" xfId="13" applyFont="1" applyFill="1" applyBorder="1" applyAlignment="1">
      <alignment horizontal="center" vertical="center" wrapText="1"/>
    </xf>
    <xf numFmtId="0" fontId="21" fillId="2" borderId="1" xfId="14" quotePrefix="1" applyNumberFormat="1" applyFont="1" applyFill="1" applyBorder="1" applyAlignment="1">
      <alignment horizontal="center" vertical="center"/>
    </xf>
    <xf numFmtId="0" fontId="47" fillId="2" borderId="1" xfId="13" applyFont="1" applyFill="1" applyBorder="1" applyAlignment="1">
      <alignment horizontal="center" vertical="center"/>
    </xf>
    <xf numFmtId="0" fontId="21" fillId="4" borderId="1" xfId="1" applyNumberFormat="1" applyFont="1" applyFill="1" applyBorder="1" applyAlignment="1">
      <alignment horizontal="center" vertical="center"/>
    </xf>
    <xf numFmtId="0" fontId="21" fillId="4" borderId="18" xfId="1" applyNumberFormat="1" applyFont="1" applyFill="1" applyBorder="1" applyAlignment="1">
      <alignment horizontal="left" vertical="center"/>
    </xf>
    <xf numFmtId="0" fontId="21" fillId="2" borderId="1" xfId="1" quotePrefix="1" applyNumberFormat="1" applyFont="1" applyFill="1" applyBorder="1" applyAlignment="1">
      <alignment horizontal="center" vertical="center"/>
    </xf>
    <xf numFmtId="0" fontId="21" fillId="2" borderId="18" xfId="1" applyNumberFormat="1" applyFont="1" applyFill="1" applyBorder="1" applyAlignment="1">
      <alignment horizontal="left" vertical="center"/>
    </xf>
    <xf numFmtId="0" fontId="21" fillId="2" borderId="1" xfId="1" applyNumberFormat="1" applyFont="1" applyFill="1" applyBorder="1" applyAlignment="1">
      <alignment horizontal="center" vertical="center"/>
    </xf>
    <xf numFmtId="0" fontId="59" fillId="0" borderId="0" xfId="13" applyFont="1" applyAlignment="1">
      <alignment vertical="center" wrapText="1"/>
    </xf>
    <xf numFmtId="0" fontId="59" fillId="0" borderId="0" xfId="13" applyFont="1">
      <alignment vertical="center"/>
    </xf>
    <xf numFmtId="40" fontId="34" fillId="4" borderId="40" xfId="14" applyNumberFormat="1" applyFont="1" applyFill="1" applyBorder="1" applyAlignment="1">
      <alignment horizontal="right" vertical="center"/>
    </xf>
    <xf numFmtId="178" fontId="34" fillId="4" borderId="40" xfId="14" applyNumberFormat="1" applyFont="1" applyFill="1" applyBorder="1" applyAlignment="1">
      <alignment horizontal="right" vertical="center"/>
    </xf>
    <xf numFmtId="178" fontId="34" fillId="4" borderId="41" xfId="14" applyNumberFormat="1" applyFont="1" applyFill="1" applyBorder="1" applyAlignment="1">
      <alignment horizontal="left" vertical="center"/>
    </xf>
    <xf numFmtId="0" fontId="31" fillId="0" borderId="10" xfId="13" applyFont="1" applyBorder="1" applyAlignment="1">
      <alignment horizontal="center" vertical="center"/>
    </xf>
    <xf numFmtId="0" fontId="18" fillId="0" borderId="28" xfId="13" applyFont="1" applyBorder="1">
      <alignment vertical="center"/>
    </xf>
    <xf numFmtId="0" fontId="18" fillId="0" borderId="12" xfId="13" applyFont="1" applyBorder="1">
      <alignment vertical="center"/>
    </xf>
    <xf numFmtId="0" fontId="31" fillId="0" borderId="3" xfId="13" applyFont="1" applyBorder="1" applyAlignment="1">
      <alignment vertical="top" wrapText="1"/>
    </xf>
    <xf numFmtId="0" fontId="31" fillId="0" borderId="12" xfId="13" applyFont="1" applyBorder="1" applyAlignment="1">
      <alignment vertical="top" wrapText="1"/>
    </xf>
    <xf numFmtId="0" fontId="31" fillId="0" borderId="27" xfId="13" applyFont="1" applyBorder="1" applyAlignment="1">
      <alignment horizontal="left" vertical="top"/>
    </xf>
    <xf numFmtId="40" fontId="31" fillId="0" borderId="9" xfId="13" applyNumberFormat="1" applyFont="1" applyBorder="1" applyAlignment="1">
      <alignment horizontal="left" vertical="top"/>
    </xf>
    <xf numFmtId="0" fontId="21" fillId="2" borderId="17" xfId="13" quotePrefix="1" applyFont="1" applyFill="1" applyBorder="1" applyAlignment="1">
      <alignment horizontal="center" vertical="center"/>
    </xf>
    <xf numFmtId="0" fontId="34" fillId="4" borderId="17" xfId="13" applyFont="1" applyFill="1" applyBorder="1" applyAlignment="1">
      <alignment horizontal="center" vertical="center"/>
    </xf>
    <xf numFmtId="0" fontId="34" fillId="4" borderId="1" xfId="15" applyFont="1" applyFill="1" applyBorder="1" applyAlignment="1">
      <alignment horizontal="center" vertical="center"/>
    </xf>
    <xf numFmtId="41" fontId="34" fillId="4" borderId="1" xfId="14" applyFont="1" applyFill="1" applyBorder="1" applyAlignment="1">
      <alignment horizontal="center" vertical="center"/>
    </xf>
    <xf numFmtId="176" fontId="34" fillId="4" borderId="1" xfId="1" applyNumberFormat="1" applyFont="1" applyFill="1" applyBorder="1" applyAlignment="1">
      <alignment horizontal="right" vertical="center"/>
    </xf>
    <xf numFmtId="176" fontId="34" fillId="4" borderId="1" xfId="1" applyNumberFormat="1" applyFont="1" applyFill="1" applyBorder="1">
      <alignment vertical="center"/>
    </xf>
    <xf numFmtId="176" fontId="34" fillId="4" borderId="1" xfId="1" applyNumberFormat="1" applyFont="1" applyFill="1" applyBorder="1" applyAlignment="1">
      <alignment horizontal="center" vertical="center"/>
    </xf>
    <xf numFmtId="0" fontId="34" fillId="4" borderId="1" xfId="13" applyFont="1" applyFill="1" applyBorder="1" applyAlignment="1">
      <alignment horizontal="left" vertical="center"/>
    </xf>
    <xf numFmtId="0" fontId="21" fillId="0" borderId="1" xfId="13" applyFont="1" applyBorder="1" applyAlignment="1">
      <alignment horizontal="center" vertical="center" wrapText="1"/>
    </xf>
    <xf numFmtId="41" fontId="21" fillId="0" borderId="1" xfId="14" applyFont="1" applyFill="1" applyBorder="1" applyAlignment="1">
      <alignment horizontal="center" vertical="center" wrapText="1"/>
    </xf>
    <xf numFmtId="0" fontId="21" fillId="0" borderId="1" xfId="1" quotePrefix="1" applyNumberFormat="1" applyFont="1" applyFill="1" applyBorder="1" applyAlignment="1">
      <alignment horizontal="center" vertical="center"/>
    </xf>
    <xf numFmtId="0" fontId="54" fillId="0" borderId="1" xfId="13" applyFont="1" applyBorder="1" applyAlignment="1">
      <alignment horizontal="center" vertical="center"/>
    </xf>
    <xf numFmtId="0" fontId="21" fillId="0" borderId="1" xfId="1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1" fillId="0" borderId="9" xfId="13" applyFont="1" applyBorder="1" applyAlignment="1">
      <alignment horizontal="left" vertical="top"/>
    </xf>
    <xf numFmtId="176" fontId="16" fillId="0" borderId="0" xfId="1" applyNumberFormat="1" applyFont="1">
      <alignment vertical="center"/>
    </xf>
    <xf numFmtId="176" fontId="13" fillId="0" borderId="0" xfId="1" applyNumberFormat="1" applyFont="1" applyAlignment="1">
      <alignment horizontal="center" vertical="center"/>
    </xf>
    <xf numFmtId="176" fontId="34" fillId="4" borderId="32" xfId="1" applyNumberFormat="1" applyFont="1" applyFill="1" applyBorder="1" applyAlignment="1">
      <alignment horizontal="right" vertical="center"/>
    </xf>
    <xf numFmtId="176" fontId="21" fillId="0" borderId="1" xfId="1" applyNumberFormat="1" applyFont="1" applyFill="1" applyBorder="1" applyAlignment="1">
      <alignment horizontal="center" vertical="center"/>
    </xf>
    <xf numFmtId="176" fontId="34" fillId="0" borderId="40" xfId="1" applyNumberFormat="1" applyFont="1" applyBorder="1" applyAlignment="1">
      <alignment horizontal="center" vertical="center"/>
    </xf>
    <xf numFmtId="176" fontId="34" fillId="0" borderId="32" xfId="1" applyNumberFormat="1" applyFont="1" applyFill="1" applyBorder="1" applyAlignment="1">
      <alignment horizontal="right" vertical="center"/>
    </xf>
    <xf numFmtId="0" fontId="13" fillId="0" borderId="0" xfId="13" applyFont="1" applyAlignment="1">
      <alignment horizontal="left" vertical="center"/>
    </xf>
    <xf numFmtId="0" fontId="34" fillId="0" borderId="0" xfId="13" applyFont="1" applyAlignment="1">
      <alignment horizontal="left" vertical="center"/>
    </xf>
    <xf numFmtId="0" fontId="34" fillId="0" borderId="6" xfId="13" applyFont="1" applyBorder="1" applyAlignment="1">
      <alignment horizontal="left" vertical="center"/>
    </xf>
    <xf numFmtId="0" fontId="34" fillId="0" borderId="4" xfId="13" applyFont="1" applyBorder="1" applyAlignment="1">
      <alignment horizontal="left" vertical="center"/>
    </xf>
    <xf numFmtId="40" fontId="21" fillId="2" borderId="1" xfId="14" applyNumberFormat="1" applyFont="1" applyFill="1" applyBorder="1" applyAlignment="1">
      <alignment horizontal="left" vertical="center"/>
    </xf>
    <xf numFmtId="40" fontId="34" fillId="4" borderId="1" xfId="14" applyNumberFormat="1" applyFont="1" applyFill="1" applyBorder="1" applyAlignment="1">
      <alignment horizontal="left" vertical="center"/>
    </xf>
    <xf numFmtId="40" fontId="21" fillId="2" borderId="1" xfId="14" applyNumberFormat="1" applyFont="1" applyFill="1" applyBorder="1" applyAlignment="1">
      <alignment horizontal="left" vertical="center" wrapText="1"/>
    </xf>
    <xf numFmtId="0" fontId="34" fillId="4" borderId="1" xfId="15" applyFont="1" applyFill="1" applyBorder="1" applyAlignment="1">
      <alignment horizontal="left" vertical="center"/>
    </xf>
    <xf numFmtId="40" fontId="21" fillId="2" borderId="1" xfId="14" applyNumberFormat="1" applyFont="1" applyFill="1" applyBorder="1" applyAlignment="1">
      <alignment horizontal="left" vertical="center" shrinkToFit="1"/>
    </xf>
    <xf numFmtId="40" fontId="21" fillId="0" borderId="1" xfId="14" applyNumberFormat="1" applyFont="1" applyFill="1" applyBorder="1" applyAlignment="1">
      <alignment horizontal="left" vertical="center"/>
    </xf>
    <xf numFmtId="40" fontId="21" fillId="0" borderId="1" xfId="14" applyNumberFormat="1" applyFont="1" applyFill="1" applyBorder="1" applyAlignment="1">
      <alignment horizontal="left" vertical="center" shrinkToFit="1"/>
    </xf>
    <xf numFmtId="0" fontId="17" fillId="0" borderId="0" xfId="13" applyFont="1" applyAlignment="1">
      <alignment horizontal="left" vertical="center"/>
    </xf>
    <xf numFmtId="176" fontId="10" fillId="0" borderId="0" xfId="1" applyNumberFormat="1" applyFont="1" applyBorder="1" applyAlignment="1">
      <alignment horizontal="center" vertical="center"/>
    </xf>
    <xf numFmtId="0" fontId="31" fillId="0" borderId="23" xfId="13" applyFont="1" applyBorder="1" applyAlignment="1">
      <alignment horizontal="center" vertical="center"/>
    </xf>
    <xf numFmtId="0" fontId="31" fillId="0" borderId="28" xfId="13" applyFont="1" applyBorder="1" applyAlignment="1">
      <alignment horizontal="center" vertical="center"/>
    </xf>
    <xf numFmtId="0" fontId="31" fillId="0" borderId="27" xfId="13" applyFont="1" applyBorder="1" applyAlignment="1">
      <alignment horizontal="center" vertical="center"/>
    </xf>
    <xf numFmtId="0" fontId="31" fillId="0" borderId="12" xfId="13" applyFont="1" applyBorder="1" applyAlignment="1">
      <alignment horizontal="center" vertical="center"/>
    </xf>
    <xf numFmtId="41" fontId="14" fillId="0" borderId="0" xfId="1" applyFont="1">
      <alignment vertical="center"/>
    </xf>
    <xf numFmtId="0" fontId="61" fillId="0" borderId="0" xfId="13" applyFont="1">
      <alignment vertical="center"/>
    </xf>
    <xf numFmtId="0" fontId="30" fillId="0" borderId="0" xfId="13" applyFont="1">
      <alignment vertical="center"/>
    </xf>
    <xf numFmtId="41" fontId="30" fillId="0" borderId="0" xfId="1" applyFont="1">
      <alignment vertical="center"/>
    </xf>
    <xf numFmtId="0" fontId="30" fillId="0" borderId="0" xfId="13" applyFont="1" applyAlignment="1">
      <alignment horizontal="right" vertical="center"/>
    </xf>
    <xf numFmtId="0" fontId="17" fillId="0" borderId="0" xfId="13" applyFont="1" applyAlignment="1">
      <alignment horizontal="right" vertical="center"/>
    </xf>
    <xf numFmtId="0" fontId="36" fillId="0" borderId="49" xfId="13" applyFont="1" applyBorder="1" applyAlignment="1">
      <alignment horizontal="center" vertical="center"/>
    </xf>
    <xf numFmtId="0" fontId="36" fillId="0" borderId="29" xfId="13" applyFont="1" applyBorder="1" applyAlignment="1">
      <alignment horizontal="center" vertical="center" wrapText="1"/>
    </xf>
    <xf numFmtId="41" fontId="36" fillId="0" borderId="29" xfId="1" applyFont="1" applyBorder="1" applyAlignment="1">
      <alignment horizontal="center" vertical="center" wrapText="1"/>
    </xf>
    <xf numFmtId="9" fontId="36" fillId="0" borderId="29" xfId="13" applyNumberFormat="1" applyFont="1" applyBorder="1" applyAlignment="1">
      <alignment horizontal="center" vertical="center" wrapText="1"/>
    </xf>
    <xf numFmtId="0" fontId="36" fillId="0" borderId="50" xfId="13" applyFont="1" applyBorder="1" applyAlignment="1">
      <alignment horizontal="center" vertical="center" wrapText="1"/>
    </xf>
    <xf numFmtId="0" fontId="62" fillId="0" borderId="0" xfId="13" applyFont="1">
      <alignment vertical="center"/>
    </xf>
    <xf numFmtId="0" fontId="36" fillId="0" borderId="17" xfId="13" applyFont="1" applyBorder="1" applyAlignment="1">
      <alignment horizontal="center" vertical="center"/>
    </xf>
    <xf numFmtId="0" fontId="36" fillId="0" borderId="1" xfId="13" applyFont="1" applyBorder="1" applyAlignment="1">
      <alignment horizontal="center" vertical="center"/>
    </xf>
    <xf numFmtId="40" fontId="36" fillId="0" borderId="1" xfId="13" applyNumberFormat="1" applyFont="1" applyBorder="1" applyAlignment="1">
      <alignment horizontal="center" vertical="center" wrapText="1"/>
    </xf>
    <xf numFmtId="0" fontId="36" fillId="0" borderId="1" xfId="13" applyFont="1" applyBorder="1" applyAlignment="1">
      <alignment horizontal="center" vertical="center" wrapText="1"/>
    </xf>
    <xf numFmtId="41" fontId="36" fillId="0" borderId="1" xfId="13" quotePrefix="1" applyNumberFormat="1" applyFont="1" applyBorder="1" applyAlignment="1">
      <alignment horizontal="center" vertical="center" wrapText="1"/>
    </xf>
    <xf numFmtId="177" fontId="36" fillId="0" borderId="1" xfId="1" applyNumberFormat="1" applyFont="1" applyFill="1" applyBorder="1" applyAlignment="1">
      <alignment horizontal="center" vertical="center" wrapText="1"/>
    </xf>
    <xf numFmtId="176" fontId="36" fillId="0" borderId="1" xfId="14" applyNumberFormat="1" applyFont="1" applyFill="1" applyBorder="1" applyAlignment="1">
      <alignment horizontal="center" vertical="center" wrapText="1"/>
    </xf>
    <xf numFmtId="40" fontId="36" fillId="0" borderId="1" xfId="14" applyNumberFormat="1" applyFont="1" applyBorder="1" applyAlignment="1">
      <alignment horizontal="center" vertical="center"/>
    </xf>
    <xf numFmtId="182" fontId="36" fillId="0" borderId="18" xfId="14" applyNumberFormat="1" applyFont="1" applyBorder="1" applyAlignment="1">
      <alignment horizontal="center" vertical="center"/>
    </xf>
    <xf numFmtId="40" fontId="36" fillId="0" borderId="51" xfId="13" applyNumberFormat="1" applyFont="1" applyBorder="1" applyAlignment="1">
      <alignment horizontal="center" vertical="center" wrapText="1"/>
    </xf>
    <xf numFmtId="0" fontId="36" fillId="0" borderId="51" xfId="13" applyFont="1" applyBorder="1" applyAlignment="1">
      <alignment horizontal="center" vertical="center" wrapText="1"/>
    </xf>
    <xf numFmtId="41" fontId="36" fillId="0" borderId="51" xfId="13" quotePrefix="1" applyNumberFormat="1" applyFont="1" applyBorder="1" applyAlignment="1">
      <alignment horizontal="center" vertical="center" wrapText="1"/>
    </xf>
    <xf numFmtId="176" fontId="36" fillId="0" borderId="51" xfId="14" applyNumberFormat="1" applyFont="1" applyFill="1" applyBorder="1" applyAlignment="1">
      <alignment horizontal="center" vertical="center" wrapText="1"/>
    </xf>
    <xf numFmtId="182" fontId="36" fillId="0" borderId="52" xfId="14" applyNumberFormat="1" applyFont="1" applyBorder="1" applyAlignment="1">
      <alignment horizontal="center" vertical="center"/>
    </xf>
    <xf numFmtId="0" fontId="4" fillId="0" borderId="53" xfId="13" applyFont="1" applyBorder="1">
      <alignment vertical="center"/>
    </xf>
    <xf numFmtId="0" fontId="4" fillId="0" borderId="32" xfId="13" applyFont="1" applyBorder="1">
      <alignment vertical="center"/>
    </xf>
    <xf numFmtId="176" fontId="61" fillId="0" borderId="32" xfId="13" applyNumberFormat="1" applyFont="1" applyBorder="1" applyAlignment="1">
      <alignment horizontal="center" vertical="center"/>
    </xf>
    <xf numFmtId="176" fontId="61" fillId="0" borderId="32" xfId="14" applyNumberFormat="1" applyFont="1" applyFill="1" applyBorder="1" applyAlignment="1">
      <alignment horizontal="center" vertical="center"/>
    </xf>
    <xf numFmtId="40" fontId="36" fillId="0" borderId="32" xfId="14" applyNumberFormat="1" applyFont="1" applyBorder="1">
      <alignment vertical="center"/>
    </xf>
    <xf numFmtId="38" fontId="36" fillId="0" borderId="54" xfId="14" applyNumberFormat="1" applyFont="1" applyBorder="1" applyAlignment="1">
      <alignment horizontal="center" vertical="center"/>
    </xf>
    <xf numFmtId="41" fontId="17" fillId="0" borderId="0" xfId="1" applyFont="1">
      <alignment vertical="center"/>
    </xf>
    <xf numFmtId="40" fontId="10" fillId="0" borderId="0" xfId="14" applyNumberFormat="1" applyFont="1" applyBorder="1">
      <alignment vertical="center"/>
    </xf>
    <xf numFmtId="40" fontId="10" fillId="0" borderId="0" xfId="14" applyNumberFormat="1" applyFont="1">
      <alignment vertical="center"/>
    </xf>
    <xf numFmtId="0" fontId="58" fillId="0" borderId="3" xfId="21" applyFont="1" applyBorder="1">
      <alignment vertical="center"/>
    </xf>
    <xf numFmtId="0" fontId="31" fillId="0" borderId="0" xfId="13" applyFont="1">
      <alignment vertical="center"/>
    </xf>
    <xf numFmtId="0" fontId="31" fillId="0" borderId="0" xfId="13" applyFont="1" applyAlignment="1">
      <alignment vertical="top"/>
    </xf>
    <xf numFmtId="0" fontId="31" fillId="0" borderId="0" xfId="13" applyFont="1" applyAlignment="1">
      <alignment horizontal="left" vertical="center"/>
    </xf>
    <xf numFmtId="0" fontId="31" fillId="0" borderId="0" xfId="13" applyFont="1" applyAlignment="1">
      <alignment vertical="top" wrapText="1"/>
    </xf>
    <xf numFmtId="0" fontId="51" fillId="0" borderId="0" xfId="0" applyFont="1">
      <alignment vertical="center"/>
    </xf>
    <xf numFmtId="0" fontId="44" fillId="0" borderId="0" xfId="0" applyFont="1">
      <alignment vertical="center"/>
    </xf>
    <xf numFmtId="0" fontId="32" fillId="0" borderId="0" xfId="13" applyFont="1">
      <alignment vertical="center"/>
    </xf>
    <xf numFmtId="15" fontId="10" fillId="0" borderId="0" xfId="13" applyNumberFormat="1" applyFont="1">
      <alignment vertical="center"/>
    </xf>
    <xf numFmtId="0" fontId="31" fillId="0" borderId="0" xfId="13" applyFont="1" applyAlignment="1">
      <alignment horizontal="left" vertical="top"/>
    </xf>
    <xf numFmtId="0" fontId="31" fillId="0" borderId="0" xfId="13" applyFont="1" applyAlignment="1">
      <alignment horizontal="center" vertical="center"/>
    </xf>
    <xf numFmtId="0" fontId="14" fillId="0" borderId="0" xfId="13" applyFont="1" applyAlignment="1">
      <alignment horizontal="centerContinuous" vertical="center"/>
    </xf>
    <xf numFmtId="176" fontId="31" fillId="0" borderId="16" xfId="1" applyNumberFormat="1" applyFont="1" applyFill="1" applyBorder="1" applyAlignment="1">
      <alignment vertical="center"/>
    </xf>
    <xf numFmtId="176" fontId="10" fillId="0" borderId="10" xfId="1" applyNumberFormat="1" applyFont="1" applyBorder="1" applyAlignment="1">
      <alignment horizontal="center" vertical="center"/>
    </xf>
    <xf numFmtId="176" fontId="10" fillId="0" borderId="28" xfId="1" applyNumberFormat="1" applyFont="1" applyBorder="1" applyAlignment="1">
      <alignment horizontal="center" vertical="center"/>
    </xf>
    <xf numFmtId="176" fontId="10" fillId="0" borderId="27" xfId="1" applyNumberFormat="1" applyFont="1" applyBorder="1" applyAlignment="1">
      <alignment horizontal="center" vertical="center"/>
    </xf>
    <xf numFmtId="0" fontId="10" fillId="0" borderId="0" xfId="13" applyFont="1" applyAlignment="1">
      <alignment horizontal="left" vertical="top"/>
    </xf>
    <xf numFmtId="0" fontId="64" fillId="0" borderId="0" xfId="13" quotePrefix="1" applyFont="1" applyAlignment="1">
      <alignment horizontal="left" vertical="top"/>
    </xf>
    <xf numFmtId="0" fontId="64" fillId="0" borderId="0" xfId="13" applyFont="1">
      <alignment vertical="center"/>
    </xf>
    <xf numFmtId="0" fontId="10" fillId="5" borderId="0" xfId="13" applyFont="1" applyFill="1">
      <alignment vertical="center"/>
    </xf>
    <xf numFmtId="0" fontId="18" fillId="5" borderId="0" xfId="13" applyFont="1" applyFill="1">
      <alignment vertical="center"/>
    </xf>
    <xf numFmtId="0" fontId="10" fillId="5" borderId="10" xfId="13" applyFont="1" applyFill="1" applyBorder="1">
      <alignment vertical="center"/>
    </xf>
    <xf numFmtId="0" fontId="30" fillId="0" borderId="22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0" fontId="10" fillId="0" borderId="26" xfId="13" applyFont="1" applyBorder="1" applyAlignment="1">
      <alignment horizontal="center" vertical="center"/>
    </xf>
    <xf numFmtId="0" fontId="10" fillId="0" borderId="22" xfId="13" applyFont="1" applyBorder="1" applyAlignment="1">
      <alignment horizontal="center" vertical="center"/>
    </xf>
    <xf numFmtId="0" fontId="10" fillId="0" borderId="25" xfId="13" applyFont="1" applyBorder="1" applyAlignment="1">
      <alignment horizontal="center" vertical="center"/>
    </xf>
    <xf numFmtId="0" fontId="31" fillId="0" borderId="28" xfId="13" applyFont="1" applyBorder="1" applyAlignment="1">
      <alignment horizontal="center" vertical="center"/>
    </xf>
    <xf numFmtId="0" fontId="31" fillId="0" borderId="0" xfId="13" applyFont="1" applyAlignment="1">
      <alignment horizontal="center" vertical="center"/>
    </xf>
    <xf numFmtId="0" fontId="31" fillId="0" borderId="27" xfId="13" applyFont="1" applyBorder="1" applyAlignment="1">
      <alignment horizontal="center" vertical="center"/>
    </xf>
    <xf numFmtId="0" fontId="31" fillId="0" borderId="2" xfId="13" applyFont="1" applyBorder="1" applyAlignment="1">
      <alignment horizontal="center" vertical="center"/>
    </xf>
    <xf numFmtId="0" fontId="31" fillId="0" borderId="3" xfId="13" applyFont="1" applyBorder="1" applyAlignment="1">
      <alignment horizontal="center" vertical="center"/>
    </xf>
    <xf numFmtId="0" fontId="31" fillId="0" borderId="24" xfId="13" applyFont="1" applyBorder="1" applyAlignment="1">
      <alignment horizontal="center" vertical="center"/>
    </xf>
    <xf numFmtId="0" fontId="31" fillId="0" borderId="12" xfId="13" applyFont="1" applyBorder="1" applyAlignment="1">
      <alignment horizontal="center" vertical="center"/>
    </xf>
    <xf numFmtId="0" fontId="31" fillId="0" borderId="15" xfId="13" applyFont="1" applyBorder="1" applyAlignment="1">
      <alignment horizontal="center" vertical="center"/>
    </xf>
    <xf numFmtId="0" fontId="31" fillId="0" borderId="19" xfId="13" applyFont="1" applyBorder="1" applyAlignment="1">
      <alignment horizontal="center" vertical="center"/>
    </xf>
    <xf numFmtId="0" fontId="31" fillId="0" borderId="16" xfId="13" applyFont="1" applyBorder="1" applyAlignment="1">
      <alignment horizontal="center" vertical="center"/>
    </xf>
    <xf numFmtId="176" fontId="31" fillId="0" borderId="15" xfId="13" applyNumberFormat="1" applyFont="1" applyBorder="1" applyAlignment="1">
      <alignment horizontal="center" vertical="center"/>
    </xf>
    <xf numFmtId="176" fontId="31" fillId="0" borderId="16" xfId="13" applyNumberFormat="1" applyFont="1" applyBorder="1" applyAlignment="1">
      <alignment horizontal="center" vertical="center"/>
    </xf>
    <xf numFmtId="0" fontId="31" fillId="0" borderId="26" xfId="13" applyFont="1" applyBorder="1" applyAlignment="1">
      <alignment horizontal="left" vertical="center" wrapText="1"/>
    </xf>
    <xf numFmtId="0" fontId="31" fillId="0" borderId="22" xfId="13" applyFont="1" applyBorder="1" applyAlignment="1">
      <alignment horizontal="left" vertical="center" wrapText="1"/>
    </xf>
    <xf numFmtId="0" fontId="31" fillId="0" borderId="25" xfId="13" applyFont="1" applyBorder="1" applyAlignment="1">
      <alignment horizontal="left" vertical="center" wrapText="1"/>
    </xf>
    <xf numFmtId="0" fontId="31" fillId="0" borderId="28" xfId="13" applyFont="1" applyBorder="1" applyAlignment="1">
      <alignment horizontal="left" vertical="center" wrapText="1"/>
    </xf>
    <xf numFmtId="0" fontId="31" fillId="0" borderId="0" xfId="13" applyFont="1" applyAlignment="1">
      <alignment horizontal="left" vertical="center" wrapText="1"/>
    </xf>
    <xf numFmtId="0" fontId="31" fillId="0" borderId="27" xfId="13" applyFont="1" applyBorder="1" applyAlignment="1">
      <alignment horizontal="left" vertical="center" wrapText="1"/>
    </xf>
    <xf numFmtId="176" fontId="10" fillId="0" borderId="0" xfId="1" applyNumberFormat="1" applyFont="1" applyBorder="1" applyAlignment="1">
      <alignment vertical="center"/>
    </xf>
    <xf numFmtId="176" fontId="10" fillId="0" borderId="0" xfId="1" applyNumberFormat="1" applyFont="1" applyBorder="1" applyAlignment="1">
      <alignment horizontal="center" vertical="center"/>
    </xf>
    <xf numFmtId="15" fontId="10" fillId="0" borderId="0" xfId="13" applyNumberFormat="1" applyFont="1" applyAlignment="1">
      <alignment horizontal="left" vertical="center"/>
    </xf>
    <xf numFmtId="0" fontId="31" fillId="0" borderId="21" xfId="13" applyFont="1" applyBorder="1" applyAlignment="1">
      <alignment horizontal="left" vertical="top"/>
    </xf>
    <xf numFmtId="0" fontId="31" fillId="0" borderId="22" xfId="13" applyFont="1" applyBorder="1" applyAlignment="1">
      <alignment horizontal="left" vertical="top"/>
    </xf>
    <xf numFmtId="0" fontId="31" fillId="0" borderId="25" xfId="13" applyFont="1" applyBorder="1" applyAlignment="1">
      <alignment horizontal="left" vertical="top"/>
    </xf>
    <xf numFmtId="0" fontId="31" fillId="0" borderId="11" xfId="13" applyFont="1" applyBorder="1" applyAlignment="1">
      <alignment horizontal="left" vertical="top"/>
    </xf>
    <xf numFmtId="0" fontId="31" fillId="0" borderId="3" xfId="13" applyFont="1" applyBorder="1" applyAlignment="1">
      <alignment horizontal="left" vertical="top"/>
    </xf>
    <xf numFmtId="0" fontId="31" fillId="0" borderId="24" xfId="13" applyFont="1" applyBorder="1" applyAlignment="1">
      <alignment horizontal="left" vertical="top"/>
    </xf>
    <xf numFmtId="0" fontId="31" fillId="0" borderId="26" xfId="13" applyFont="1" applyBorder="1" applyAlignment="1">
      <alignment horizontal="center" vertical="center"/>
    </xf>
    <xf numFmtId="0" fontId="31" fillId="0" borderId="22" xfId="13" applyFont="1" applyBorder="1" applyAlignment="1">
      <alignment horizontal="center" vertical="center"/>
    </xf>
    <xf numFmtId="0" fontId="31" fillId="0" borderId="25" xfId="13" applyFont="1" applyBorder="1" applyAlignment="1">
      <alignment horizontal="center" vertical="center"/>
    </xf>
    <xf numFmtId="0" fontId="31" fillId="0" borderId="23" xfId="13" applyFont="1" applyBorder="1" applyAlignment="1">
      <alignment horizontal="center" vertical="center"/>
    </xf>
    <xf numFmtId="15" fontId="10" fillId="0" borderId="28" xfId="13" applyNumberFormat="1" applyFont="1" applyBorder="1" applyAlignment="1">
      <alignment horizontal="center" vertical="center" wrapText="1"/>
    </xf>
    <xf numFmtId="15" fontId="10" fillId="0" borderId="0" xfId="13" applyNumberFormat="1" applyFont="1" applyAlignment="1">
      <alignment horizontal="center" vertical="center" wrapText="1"/>
    </xf>
    <xf numFmtId="15" fontId="10" fillId="0" borderId="27" xfId="13" applyNumberFormat="1" applyFont="1" applyBorder="1" applyAlignment="1">
      <alignment horizontal="center" vertical="center" wrapText="1"/>
    </xf>
    <xf numFmtId="15" fontId="10" fillId="0" borderId="2" xfId="13" applyNumberFormat="1" applyFont="1" applyBorder="1" applyAlignment="1">
      <alignment horizontal="center" vertical="center" wrapText="1"/>
    </xf>
    <xf numFmtId="15" fontId="10" fillId="0" borderId="3" xfId="13" applyNumberFormat="1" applyFont="1" applyBorder="1" applyAlignment="1">
      <alignment horizontal="center" vertical="center" wrapText="1"/>
    </xf>
    <xf numFmtId="15" fontId="10" fillId="0" borderId="24" xfId="13" applyNumberFormat="1" applyFont="1" applyBorder="1" applyAlignment="1">
      <alignment horizontal="center" vertical="center" wrapText="1"/>
    </xf>
    <xf numFmtId="41" fontId="10" fillId="5" borderId="0" xfId="1" applyFont="1" applyFill="1" applyBorder="1" applyAlignment="1">
      <alignment horizontal="center" vertical="center"/>
    </xf>
    <xf numFmtId="0" fontId="13" fillId="0" borderId="9" xfId="13" applyFont="1" applyBorder="1" applyAlignment="1">
      <alignment horizontal="center" vertical="center" wrapText="1"/>
    </xf>
    <xf numFmtId="0" fontId="13" fillId="0" borderId="0" xfId="13" applyFont="1" applyAlignment="1">
      <alignment horizontal="center" vertical="center"/>
    </xf>
    <xf numFmtId="0" fontId="13" fillId="0" borderId="10" xfId="13" applyFont="1" applyBorder="1" applyAlignment="1">
      <alignment horizontal="center" vertical="center"/>
    </xf>
    <xf numFmtId="0" fontId="31" fillId="3" borderId="6" xfId="13" applyFont="1" applyFill="1" applyBorder="1" applyAlignment="1">
      <alignment horizontal="center" vertical="center"/>
    </xf>
    <xf numFmtId="14" fontId="31" fillId="3" borderId="22" xfId="13" applyNumberFormat="1" applyFont="1" applyFill="1" applyBorder="1" applyAlignment="1">
      <alignment horizontal="center" vertical="center"/>
    </xf>
    <xf numFmtId="0" fontId="31" fillId="3" borderId="0" xfId="13" applyFont="1" applyFill="1" applyAlignment="1">
      <alignment horizontal="left" vertical="top" wrapText="1"/>
    </xf>
    <xf numFmtId="0" fontId="31" fillId="3" borderId="10" xfId="13" applyFont="1" applyFill="1" applyBorder="1" applyAlignment="1">
      <alignment horizontal="left" vertical="top" wrapText="1"/>
    </xf>
    <xf numFmtId="0" fontId="31" fillId="3" borderId="0" xfId="13" applyFont="1" applyFill="1" applyAlignment="1">
      <alignment horizontal="center" vertical="center"/>
    </xf>
    <xf numFmtId="0" fontId="31" fillId="3" borderId="10" xfId="13" applyFont="1" applyFill="1" applyBorder="1" applyAlignment="1">
      <alignment horizontal="center" vertical="center"/>
    </xf>
    <xf numFmtId="0" fontId="13" fillId="0" borderId="0" xfId="13" applyFont="1" applyAlignment="1">
      <alignment horizontal="center" vertical="center" wrapText="1"/>
    </xf>
    <xf numFmtId="0" fontId="61" fillId="3" borderId="32" xfId="13" applyFont="1" applyFill="1" applyBorder="1" applyAlignment="1">
      <alignment horizontal="center" vertical="center"/>
    </xf>
    <xf numFmtId="0" fontId="31" fillId="0" borderId="44" xfId="13" applyFont="1" applyBorder="1" applyAlignment="1">
      <alignment horizontal="center" vertical="center"/>
    </xf>
    <xf numFmtId="177" fontId="31" fillId="0" borderId="43" xfId="13" applyNumberFormat="1" applyFont="1" applyBorder="1" applyAlignment="1">
      <alignment horizontal="center" vertical="center"/>
    </xf>
    <xf numFmtId="177" fontId="31" fillId="0" borderId="15" xfId="13" applyNumberFormat="1" applyFont="1" applyBorder="1" applyAlignment="1">
      <alignment horizontal="center" vertical="center"/>
    </xf>
    <xf numFmtId="177" fontId="31" fillId="0" borderId="44" xfId="13" applyNumberFormat="1" applyFont="1" applyBorder="1" applyAlignment="1">
      <alignment horizontal="center" vertical="center"/>
    </xf>
    <xf numFmtId="176" fontId="31" fillId="0" borderId="43" xfId="1" applyNumberFormat="1" applyFont="1" applyBorder="1" applyAlignment="1">
      <alignment horizontal="center" vertical="center"/>
    </xf>
    <xf numFmtId="176" fontId="31" fillId="0" borderId="15" xfId="1" applyNumberFormat="1" applyFont="1" applyBorder="1" applyAlignment="1">
      <alignment horizontal="center" vertical="center"/>
    </xf>
    <xf numFmtId="176" fontId="31" fillId="0" borderId="44" xfId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0" fillId="0" borderId="26" xfId="1" applyNumberFormat="1" applyFont="1" applyBorder="1" applyAlignment="1">
      <alignment horizontal="center" vertical="center"/>
    </xf>
    <xf numFmtId="176" fontId="10" fillId="0" borderId="22" xfId="1" applyNumberFormat="1" applyFont="1" applyBorder="1" applyAlignment="1">
      <alignment horizontal="center" vertical="center"/>
    </xf>
    <xf numFmtId="176" fontId="10" fillId="0" borderId="25" xfId="1" applyNumberFormat="1" applyFont="1" applyBorder="1" applyAlignment="1">
      <alignment horizontal="center" vertical="center"/>
    </xf>
    <xf numFmtId="0" fontId="31" fillId="3" borderId="0" xfId="13" applyFont="1" applyFill="1" applyAlignment="1">
      <alignment horizontal="left" vertical="center" wrapText="1"/>
    </xf>
    <xf numFmtId="0" fontId="31" fillId="3" borderId="10" xfId="13" applyFont="1" applyFill="1" applyBorder="1" applyAlignment="1">
      <alignment horizontal="left" vertical="center" wrapText="1"/>
    </xf>
    <xf numFmtId="0" fontId="31" fillId="3" borderId="0" xfId="13" applyFont="1" applyFill="1" applyAlignment="1">
      <alignment horizontal="left" vertical="center"/>
    </xf>
    <xf numFmtId="0" fontId="31" fillId="3" borderId="10" xfId="13" applyFont="1" applyFill="1" applyBorder="1" applyAlignment="1">
      <alignment horizontal="left" vertical="center"/>
    </xf>
    <xf numFmtId="41" fontId="10" fillId="0" borderId="0" xfId="1" applyFont="1" applyBorder="1" applyAlignment="1">
      <alignment horizontal="center" vertical="center"/>
    </xf>
    <xf numFmtId="178" fontId="21" fillId="0" borderId="30" xfId="13" applyNumberFormat="1" applyFont="1" applyBorder="1" applyAlignment="1">
      <alignment horizontal="center" vertical="center" wrapText="1"/>
    </xf>
    <xf numFmtId="178" fontId="21" fillId="0" borderId="5" xfId="13" applyNumberFormat="1" applyFont="1" applyBorder="1" applyAlignment="1">
      <alignment horizontal="center" vertical="center" wrapText="1"/>
    </xf>
    <xf numFmtId="178" fontId="21" fillId="0" borderId="31" xfId="13" applyNumberFormat="1" applyFont="1" applyBorder="1" applyAlignment="1">
      <alignment horizontal="center" vertical="center" wrapText="1"/>
    </xf>
    <xf numFmtId="178" fontId="21" fillId="0" borderId="13" xfId="13" applyNumberFormat="1" applyFont="1" applyBorder="1" applyAlignment="1">
      <alignment horizontal="center" vertical="center" wrapText="1"/>
    </xf>
    <xf numFmtId="0" fontId="34" fillId="4" borderId="37" xfId="13" applyFont="1" applyFill="1" applyBorder="1" applyAlignment="1">
      <alignment horizontal="center" vertical="center"/>
    </xf>
    <xf numFmtId="0" fontId="34" fillId="4" borderId="38" xfId="13" applyFont="1" applyFill="1" applyBorder="1" applyAlignment="1">
      <alignment horizontal="center" vertical="center"/>
    </xf>
    <xf numFmtId="0" fontId="34" fillId="4" borderId="47" xfId="13" applyFont="1" applyFill="1" applyBorder="1" applyAlignment="1">
      <alignment horizontal="center" vertical="center"/>
    </xf>
    <xf numFmtId="0" fontId="25" fillId="0" borderId="0" xfId="13" applyFont="1" applyAlignment="1">
      <alignment horizontal="center" vertical="center"/>
    </xf>
    <xf numFmtId="0" fontId="21" fillId="0" borderId="33" xfId="13" applyFont="1" applyBorder="1" applyAlignment="1">
      <alignment horizontal="center" vertical="center"/>
    </xf>
    <xf numFmtId="0" fontId="21" fillId="0" borderId="36" xfId="13" applyFont="1" applyBorder="1" applyAlignment="1">
      <alignment horizontal="center" vertical="center"/>
    </xf>
    <xf numFmtId="0" fontId="21" fillId="0" borderId="30" xfId="13" applyFont="1" applyBorder="1" applyAlignment="1">
      <alignment horizontal="center" vertical="center" wrapText="1"/>
    </xf>
    <xf numFmtId="0" fontId="21" fillId="0" borderId="5" xfId="13" applyFont="1" applyBorder="1" applyAlignment="1">
      <alignment horizontal="center" vertical="center" wrapText="1"/>
    </xf>
    <xf numFmtId="0" fontId="21" fillId="0" borderId="31" xfId="13" applyFont="1" applyBorder="1" applyAlignment="1">
      <alignment horizontal="center" vertical="center" wrapText="1"/>
    </xf>
    <xf numFmtId="0" fontId="21" fillId="0" borderId="13" xfId="13" applyFont="1" applyBorder="1" applyAlignment="1">
      <alignment horizontal="center" vertical="center" wrapText="1"/>
    </xf>
    <xf numFmtId="41" fontId="21" fillId="0" borderId="35" xfId="14" applyFont="1" applyFill="1" applyBorder="1" applyAlignment="1">
      <alignment horizontal="center" vertical="center" wrapText="1"/>
    </xf>
    <xf numFmtId="41" fontId="21" fillId="0" borderId="34" xfId="14" applyFont="1" applyFill="1" applyBorder="1" applyAlignment="1">
      <alignment horizontal="center" vertical="center" wrapText="1"/>
    </xf>
    <xf numFmtId="176" fontId="21" fillId="0" borderId="35" xfId="1" applyNumberFormat="1" applyFont="1" applyBorder="1" applyAlignment="1">
      <alignment horizontal="center" vertical="center" wrapText="1"/>
    </xf>
    <xf numFmtId="176" fontId="21" fillId="0" borderId="34" xfId="1" applyNumberFormat="1" applyFont="1" applyBorder="1" applyAlignment="1">
      <alignment horizontal="center" vertical="center" wrapText="1"/>
    </xf>
    <xf numFmtId="176" fontId="21" fillId="0" borderId="30" xfId="1" applyNumberFormat="1" applyFont="1" applyFill="1" applyBorder="1" applyAlignment="1">
      <alignment horizontal="center" vertical="center" wrapText="1"/>
    </xf>
    <xf numFmtId="176" fontId="21" fillId="0" borderId="5" xfId="1" applyNumberFormat="1" applyFont="1" applyFill="1" applyBorder="1" applyAlignment="1">
      <alignment horizontal="center" vertical="center" wrapText="1"/>
    </xf>
    <xf numFmtId="176" fontId="21" fillId="0" borderId="30" xfId="14" applyNumberFormat="1" applyFont="1" applyFill="1" applyBorder="1" applyAlignment="1">
      <alignment horizontal="center" vertical="center" wrapText="1"/>
    </xf>
    <xf numFmtId="176" fontId="21" fillId="0" borderId="5" xfId="14" applyNumberFormat="1" applyFont="1" applyFill="1" applyBorder="1" applyAlignment="1">
      <alignment horizontal="center" vertical="center" wrapText="1"/>
    </xf>
    <xf numFmtId="0" fontId="34" fillId="0" borderId="37" xfId="13" applyFont="1" applyBorder="1" applyAlignment="1">
      <alignment horizontal="center" vertical="center"/>
    </xf>
    <xf numFmtId="0" fontId="34" fillId="0" borderId="38" xfId="13" applyFont="1" applyBorder="1" applyAlignment="1">
      <alignment horizontal="center" vertical="center"/>
    </xf>
    <xf numFmtId="0" fontId="34" fillId="0" borderId="39" xfId="13" applyFont="1" applyBorder="1" applyAlignment="1">
      <alignment horizontal="center" vertical="center"/>
    </xf>
    <xf numFmtId="176" fontId="13" fillId="0" borderId="0" xfId="1" applyNumberFormat="1" applyFont="1" applyAlignment="1">
      <alignment horizontal="center" vertical="center"/>
    </xf>
    <xf numFmtId="41" fontId="21" fillId="0" borderId="29" xfId="14" applyFont="1" applyFill="1" applyBorder="1" applyAlignment="1">
      <alignment horizontal="center" vertical="center" wrapText="1"/>
    </xf>
    <xf numFmtId="176" fontId="21" fillId="0" borderId="29" xfId="1" applyNumberFormat="1" applyFont="1" applyBorder="1" applyAlignment="1">
      <alignment horizontal="center" vertical="center" wrapText="1"/>
    </xf>
    <xf numFmtId="0" fontId="38" fillId="2" borderId="19" xfId="0" applyFont="1" applyFill="1" applyBorder="1" applyAlignment="1">
      <alignment horizontal="center" vertical="center" wrapText="1"/>
    </xf>
    <xf numFmtId="0" fontId="38" fillId="2" borderId="15" xfId="0" applyFont="1" applyFill="1" applyBorder="1" applyAlignment="1">
      <alignment horizontal="center" vertical="center" wrapText="1"/>
    </xf>
    <xf numFmtId="0" fontId="38" fillId="2" borderId="16" xfId="0" applyFont="1" applyFill="1" applyBorder="1" applyAlignment="1">
      <alignment horizontal="center" vertical="center" wrapText="1"/>
    </xf>
    <xf numFmtId="0" fontId="38" fillId="2" borderId="6" xfId="0" applyFont="1" applyFill="1" applyBorder="1" applyAlignment="1">
      <alignment horizontal="center" vertical="center" wrapText="1"/>
    </xf>
    <xf numFmtId="0" fontId="38" fillId="2" borderId="6" xfId="0" applyFont="1" applyFill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top" wrapText="1"/>
    </xf>
    <xf numFmtId="0" fontId="13" fillId="2" borderId="4" xfId="0" applyFont="1" applyFill="1" applyBorder="1" applyAlignment="1">
      <alignment horizontal="left" vertical="top" wrapText="1"/>
    </xf>
  </cellXfs>
  <cellStyles count="22">
    <cellStyle name="Comma" xfId="16" xr:uid="{48FE13E0-BB85-44EE-BFC9-2E50576CDEA3}"/>
    <cellStyle name="Comma [0]" xfId="11" xr:uid="{DF041988-E041-453A-A8AE-3C157737AB24}"/>
    <cellStyle name="Normal 2" xfId="9" xr:uid="{00000000-0005-0000-0000-000001000000}"/>
    <cellStyle name="Standaard_Packing List(Sample for Hadjret HRSG)" xfId="4" xr:uid="{00000000-0005-0000-0000-000003000000}"/>
    <cellStyle name="쉼표 [0]" xfId="1" builtinId="6"/>
    <cellStyle name="쉼표 [0] 2" xfId="5" xr:uid="{00000000-0005-0000-0000-000004000000}"/>
    <cellStyle name="쉼표 [0] 2 2" xfId="12" xr:uid="{0E42C55F-1058-45EC-815D-B457C183F6BB}"/>
    <cellStyle name="쉼표 [0] 3" xfId="14" xr:uid="{3C09C07A-4643-4949-9916-7078E6C34789}"/>
    <cellStyle name="쉼표 [0] 4" xfId="18" xr:uid="{4152EF58-1602-4F99-881C-10298C8EB8A9}"/>
    <cellStyle name="쉼표 [0] 4 2" xfId="8" xr:uid="{00000000-0005-0000-0000-000005000000}"/>
    <cellStyle name="쉼표 2" xfId="7" xr:uid="{00000000-0005-0000-0000-000006000000}"/>
    <cellStyle name="표준" xfId="0" builtinId="0"/>
    <cellStyle name="표준 2" xfId="2" xr:uid="{00000000-0005-0000-0000-000007000000}"/>
    <cellStyle name="표준 2 2" xfId="6" xr:uid="{00000000-0005-0000-0000-000008000000}"/>
    <cellStyle name="표준 2 3" xfId="3" xr:uid="{00000000-0005-0000-0000-000009000000}"/>
    <cellStyle name="표준 2 4" xfId="19" xr:uid="{C75AE464-5571-4553-8FCE-2C5CC6A417B1}"/>
    <cellStyle name="표준 3" xfId="13" xr:uid="{6854AB22-7CAE-4A6C-A66B-7A905DB545A4}"/>
    <cellStyle name="표준 4" xfId="17" xr:uid="{234C1612-CB5E-4938-B502-427D5E60166D}"/>
    <cellStyle name="표준 4 2" xfId="20" xr:uid="{4CED8403-DA1C-46D4-A129-BDCDE0B257FD}"/>
    <cellStyle name="표준_080407 3항차 final packing List(r3)통합" xfId="15" xr:uid="{76496DC4-684C-4D0E-9683-BB9BBEC43D78}"/>
    <cellStyle name="標準_SpecSheet1" xfId="10" xr:uid="{00000000-0005-0000-0000-00000B000000}"/>
    <cellStyle name="하이퍼링크" xfId="21" builtinId="8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132842</xdr:colOff>
      <xdr:row>2</xdr:row>
      <xdr:rowOff>56245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B8ECB8-F2ED-431D-BF54-CD3A25AA6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49963" cy="306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125186</xdr:colOff>
      <xdr:row>49</xdr:row>
      <xdr:rowOff>14514</xdr:rowOff>
    </xdr:from>
    <xdr:to>
      <xdr:col>28</xdr:col>
      <xdr:colOff>400851</xdr:colOff>
      <xdr:row>53</xdr:row>
      <xdr:rowOff>57068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EDC0B13-9350-4609-9D9F-6A394FFEA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1636" y="9872889"/>
          <a:ext cx="1930294" cy="727813"/>
        </a:xfrm>
        <a:prstGeom prst="rect">
          <a:avLst/>
        </a:prstGeom>
      </xdr:spPr>
    </xdr:pic>
    <xdr:clientData/>
  </xdr:twoCellAnchor>
  <xdr:twoCellAnchor editAs="oneCell">
    <xdr:from>
      <xdr:col>28</xdr:col>
      <xdr:colOff>400050</xdr:colOff>
      <xdr:row>46</xdr:row>
      <xdr:rowOff>93436</xdr:rowOff>
    </xdr:from>
    <xdr:to>
      <xdr:col>28</xdr:col>
      <xdr:colOff>1466400</xdr:colOff>
      <xdr:row>53</xdr:row>
      <xdr:rowOff>94629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15ECDB1-3392-43FC-9B0A-CCF30A3FB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3850" y="9494611"/>
          <a:ext cx="1069071" cy="1146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2406015</xdr:colOff>
      <xdr:row>0</xdr:row>
      <xdr:rowOff>0</xdr:rowOff>
    </xdr:from>
    <xdr:to>
      <xdr:col>9</xdr:col>
      <xdr:colOff>2375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912855A-7E2A-4F67-9AA1-9A2C68404239}"/>
            </a:ext>
          </a:extLst>
        </xdr:cNvPr>
        <xdr:cNvSpPr txBox="1">
          <a:spLocks noChangeArrowheads="1"/>
        </xdr:cNvSpPr>
      </xdr:nvSpPr>
      <xdr:spPr bwMode="auto">
        <a:xfrm>
          <a:off x="6377124" y="0"/>
          <a:ext cx="845703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2</xdr:col>
      <xdr:colOff>2406015</xdr:colOff>
      <xdr:row>0</xdr:row>
      <xdr:rowOff>0</xdr:rowOff>
    </xdr:from>
    <xdr:to>
      <xdr:col>9</xdr:col>
      <xdr:colOff>2375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8D89E1A0-5C63-4CF4-BD86-6ECBD85FB584}"/>
            </a:ext>
          </a:extLst>
        </xdr:cNvPr>
        <xdr:cNvSpPr txBox="1">
          <a:spLocks noChangeArrowheads="1"/>
        </xdr:cNvSpPr>
      </xdr:nvSpPr>
      <xdr:spPr bwMode="auto">
        <a:xfrm>
          <a:off x="6377124" y="0"/>
          <a:ext cx="845703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551481</xdr:colOff>
      <xdr:row>2</xdr:row>
      <xdr:rowOff>94707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956CCADD-EC04-4C74-9353-E632F7986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52"/>
          <a:ext cx="1483299" cy="432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133931</xdr:colOff>
      <xdr:row>2</xdr:row>
      <xdr:rowOff>57334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1FAC3570-4E8A-49B3-AED7-602B5BE1E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49963" cy="306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124183</xdr:colOff>
      <xdr:row>48</xdr:row>
      <xdr:rowOff>131482</xdr:rowOff>
    </xdr:from>
    <xdr:to>
      <xdr:col>27</xdr:col>
      <xdr:colOff>170007</xdr:colOff>
      <xdr:row>53</xdr:row>
      <xdr:rowOff>54202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20F5D56-5F68-41DD-983D-9CEFA9B9A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70452" y="9486793"/>
          <a:ext cx="1958251" cy="752979"/>
        </a:xfrm>
        <a:prstGeom prst="rect">
          <a:avLst/>
        </a:prstGeom>
      </xdr:spPr>
    </xdr:pic>
    <xdr:clientData/>
  </xdr:twoCellAnchor>
  <xdr:twoCellAnchor editAs="oneCell">
    <xdr:from>
      <xdr:col>27</xdr:col>
      <xdr:colOff>166796</xdr:colOff>
      <xdr:row>46</xdr:row>
      <xdr:rowOff>62411</xdr:rowOff>
    </xdr:from>
    <xdr:to>
      <xdr:col>28</xdr:col>
      <xdr:colOff>910784</xdr:colOff>
      <xdr:row>53</xdr:row>
      <xdr:rowOff>57072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43FC20D-0902-4B50-85F5-D3836AEB7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7670" y="9110360"/>
          <a:ext cx="1087592" cy="11344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182</xdr:row>
      <xdr:rowOff>0</xdr:rowOff>
    </xdr:from>
    <xdr:to>
      <xdr:col>11</xdr:col>
      <xdr:colOff>24779</xdr:colOff>
      <xdr:row>182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4DFC49A0-C097-4C84-9165-B7F9609ED7C7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182</xdr:row>
      <xdr:rowOff>0</xdr:rowOff>
    </xdr:from>
    <xdr:to>
      <xdr:col>11</xdr:col>
      <xdr:colOff>24779</xdr:colOff>
      <xdr:row>182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121D8B76-0F16-4707-9F42-A1F32AA596CA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182</xdr:row>
      <xdr:rowOff>0</xdr:rowOff>
    </xdr:from>
    <xdr:to>
      <xdr:col>11</xdr:col>
      <xdr:colOff>24779</xdr:colOff>
      <xdr:row>182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19A9522-0C22-462C-BD71-B0C4E8376C6B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246955</xdr:colOff>
      <xdr:row>2</xdr:row>
      <xdr:rowOff>19350</xdr:rowOff>
    </xdr:to>
    <xdr:pic>
      <xdr:nvPicPr>
        <xdr:cNvPr id="6" name="그림 6">
          <a:extLst>
            <a:ext uri="{FF2B5EF4-FFF2-40B4-BE49-F238E27FC236}">
              <a16:creationId xmlns:a16="http://schemas.microsoft.com/office/drawing/2014/main" id="{F49A6F56-CD07-4288-BE55-C348C053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37905" cy="416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88900</xdr:colOff>
      <xdr:row>4</xdr:row>
      <xdr:rowOff>5334</xdr:rowOff>
    </xdr:from>
    <xdr:to>
      <xdr:col>22</xdr:col>
      <xdr:colOff>436651</xdr:colOff>
      <xdr:row>7</xdr:row>
      <xdr:rowOff>172925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14A15B5-C74B-985B-8A98-89A32B929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21550" y="792734"/>
          <a:ext cx="5801313" cy="12545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1020</xdr:row>
      <xdr:rowOff>0</xdr:rowOff>
    </xdr:from>
    <xdr:to>
      <xdr:col>10</xdr:col>
      <xdr:colOff>24779</xdr:colOff>
      <xdr:row>1020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3895725" y="19678650"/>
          <a:ext cx="751142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1020</xdr:row>
      <xdr:rowOff>0</xdr:rowOff>
    </xdr:from>
    <xdr:to>
      <xdr:col>10</xdr:col>
      <xdr:colOff>24779</xdr:colOff>
      <xdr:row>1020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895725" y="19678650"/>
          <a:ext cx="751142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1020</xdr:row>
      <xdr:rowOff>0</xdr:rowOff>
    </xdr:from>
    <xdr:to>
      <xdr:col>10</xdr:col>
      <xdr:colOff>24779</xdr:colOff>
      <xdr:row>1020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3895725" y="19678650"/>
          <a:ext cx="751142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323685</xdr:colOff>
      <xdr:row>2</xdr:row>
      <xdr:rowOff>111983</xdr:rowOff>
    </xdr:to>
    <xdr:pic>
      <xdr:nvPicPr>
        <xdr:cNvPr id="6" name="그림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34730" cy="416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145116</xdr:colOff>
      <xdr:row>5</xdr:row>
      <xdr:rowOff>14942</xdr:rowOff>
    </xdr:from>
    <xdr:to>
      <xdr:col>20</xdr:col>
      <xdr:colOff>94730</xdr:colOff>
      <xdr:row>7</xdr:row>
      <xdr:rowOff>169858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BADF152-7516-49E7-8F02-48A49B30A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23175" y="762001"/>
          <a:ext cx="4388529" cy="953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4C93-0E9E-4049-9F29-710A1B87A1AB}">
  <sheetPr>
    <tabColor rgb="FF00B0F0"/>
  </sheetPr>
  <dimension ref="A1:AV58"/>
  <sheetViews>
    <sheetView showGridLines="0" view="pageBreakPreview" zoomScale="85" zoomScaleNormal="100" zoomScaleSheetLayoutView="85" workbookViewId="0">
      <selection activeCell="AF33" sqref="AF33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6.69921875" style="5" customWidth="1"/>
    <col min="18" max="18" width="3.296875" style="5" customWidth="1"/>
    <col min="19" max="20" width="2.59765625" style="5" customWidth="1"/>
    <col min="21" max="22" width="3.296875" style="5" customWidth="1"/>
    <col min="23" max="25" width="3.796875" style="5" customWidth="1"/>
    <col min="26" max="28" width="3.296875" style="5" customWidth="1"/>
    <col min="29" max="29" width="22.19921875" style="5" customWidth="1"/>
    <col min="30" max="30" width="11.796875" style="9" bestFit="1" customWidth="1"/>
    <col min="31" max="31" width="10.796875" style="9" bestFit="1" customWidth="1"/>
    <col min="32" max="32" width="12.69921875" style="9" customWidth="1"/>
    <col min="33" max="16384" width="3" style="9"/>
  </cols>
  <sheetData>
    <row r="1" spans="1:30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 t="s">
        <v>0</v>
      </c>
      <c r="X1" s="67"/>
      <c r="Y1" s="67"/>
      <c r="Z1" s="67"/>
      <c r="AA1" s="67"/>
      <c r="AB1" s="67"/>
      <c r="AC1" s="68"/>
    </row>
    <row r="2" spans="1:30">
      <c r="A2" s="69"/>
      <c r="W2" s="5" t="s">
        <v>1</v>
      </c>
      <c r="AC2" s="70"/>
    </row>
    <row r="3" spans="1:30">
      <c r="A3" s="69"/>
      <c r="W3" s="5" t="s">
        <v>2</v>
      </c>
      <c r="AC3" s="70"/>
    </row>
    <row r="4" spans="1:30">
      <c r="A4" s="69"/>
      <c r="W4" s="5" t="s">
        <v>3</v>
      </c>
      <c r="AC4" s="70"/>
    </row>
    <row r="5" spans="1:30">
      <c r="A5" s="69"/>
      <c r="W5" s="5" t="s">
        <v>4</v>
      </c>
      <c r="AC5" s="70"/>
    </row>
    <row r="6" spans="1:30" ht="40.35" customHeight="1">
      <c r="A6" s="401" t="s">
        <v>2028</v>
      </c>
      <c r="B6" s="402"/>
      <c r="C6" s="402"/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  <c r="AA6" s="402"/>
      <c r="AB6" s="402"/>
      <c r="AC6" s="403"/>
    </row>
    <row r="7" spans="1:30" ht="14.4" thickBot="1">
      <c r="A7" s="71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3"/>
      <c r="AD7" s="159"/>
    </row>
    <row r="8" spans="1:30" s="22" customFormat="1" ht="15.6" customHeight="1">
      <c r="A8" s="74" t="s">
        <v>5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6"/>
      <c r="R8" s="77" t="s">
        <v>6</v>
      </c>
      <c r="S8" s="75"/>
      <c r="T8" s="75"/>
      <c r="U8" s="77"/>
      <c r="V8" s="404" t="s">
        <v>7</v>
      </c>
      <c r="W8" s="404"/>
      <c r="X8" s="404"/>
      <c r="Y8" s="404"/>
      <c r="Z8" s="404"/>
      <c r="AA8" s="75"/>
      <c r="AB8" s="75"/>
      <c r="AC8" s="135"/>
      <c r="AD8" s="159"/>
    </row>
    <row r="9" spans="1:30" s="22" customFormat="1" ht="15.6" customHeight="1">
      <c r="A9" s="78"/>
      <c r="B9" s="337" t="s">
        <v>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92"/>
      <c r="R9" s="91" t="s">
        <v>9</v>
      </c>
      <c r="S9" s="80"/>
      <c r="T9" s="80"/>
      <c r="U9" s="80"/>
      <c r="V9" s="80"/>
      <c r="W9" s="80"/>
      <c r="X9" s="80"/>
      <c r="Y9" s="80"/>
      <c r="Z9" s="80"/>
      <c r="AA9" s="80"/>
      <c r="AB9" s="80"/>
      <c r="AC9" s="136"/>
    </row>
    <row r="10" spans="1:30" s="22" customFormat="1" ht="15.6" customHeight="1">
      <c r="A10" s="78"/>
      <c r="B10" s="19" t="s">
        <v>10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79"/>
      <c r="R10" s="337" t="s">
        <v>11</v>
      </c>
      <c r="S10" s="19"/>
      <c r="T10" s="19"/>
      <c r="U10" s="19"/>
      <c r="V10" s="405">
        <v>45756</v>
      </c>
      <c r="W10" s="405"/>
      <c r="X10" s="405"/>
      <c r="Y10" s="405"/>
      <c r="Z10" s="405"/>
      <c r="AA10" s="19"/>
      <c r="AB10" s="19"/>
      <c r="AC10" s="81"/>
    </row>
    <row r="11" spans="1:30" s="22" customFormat="1" ht="15.6" customHeight="1">
      <c r="A11" s="82"/>
      <c r="B11" s="80" t="s">
        <v>12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3"/>
      <c r="R11" s="91" t="s">
        <v>13</v>
      </c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136"/>
    </row>
    <row r="12" spans="1:30" s="19" customFormat="1" ht="15.6" customHeight="1">
      <c r="A12" s="84" t="s">
        <v>14</v>
      </c>
      <c r="Q12" s="79"/>
      <c r="R12" s="337" t="s">
        <v>15</v>
      </c>
      <c r="AC12" s="81"/>
    </row>
    <row r="13" spans="1:30" s="216" customFormat="1" ht="15.6" customHeight="1">
      <c r="A13" s="220"/>
      <c r="B13" s="337" t="s">
        <v>2016</v>
      </c>
      <c r="Q13" s="221"/>
      <c r="AC13" s="217"/>
    </row>
    <row r="14" spans="1:30" s="216" customFormat="1" ht="15.6" customHeight="1">
      <c r="A14" s="222"/>
      <c r="B14" s="19" t="s">
        <v>2017</v>
      </c>
      <c r="Q14" s="221"/>
      <c r="R14" s="338"/>
      <c r="S14" s="339" t="s">
        <v>17</v>
      </c>
      <c r="T14" s="19"/>
      <c r="U14" s="19"/>
      <c r="V14" s="19"/>
      <c r="W14" s="19"/>
      <c r="X14" s="19"/>
      <c r="Y14" s="19"/>
      <c r="Z14" s="19"/>
      <c r="AA14" s="19"/>
      <c r="AB14" s="19"/>
      <c r="AC14" s="81"/>
    </row>
    <row r="15" spans="1:30" s="216" customFormat="1" ht="15.6" customHeight="1">
      <c r="A15" s="220"/>
      <c r="B15" s="19" t="s">
        <v>2018</v>
      </c>
      <c r="Q15" s="221"/>
      <c r="S15" s="406" t="s">
        <v>18</v>
      </c>
      <c r="T15" s="406"/>
      <c r="U15" s="406"/>
      <c r="V15" s="406"/>
      <c r="W15" s="406"/>
      <c r="X15" s="406"/>
      <c r="Y15" s="406"/>
      <c r="Z15" s="406"/>
      <c r="AA15" s="406"/>
      <c r="AB15" s="406"/>
      <c r="AC15" s="407"/>
    </row>
    <row r="16" spans="1:30" s="19" customFormat="1" ht="15.6" customHeight="1">
      <c r="A16" s="78"/>
      <c r="Q16" s="79"/>
      <c r="R16" s="337"/>
      <c r="S16" s="406"/>
      <c r="T16" s="406"/>
      <c r="U16" s="406"/>
      <c r="V16" s="406"/>
      <c r="W16" s="406"/>
      <c r="X16" s="406"/>
      <c r="Y16" s="406"/>
      <c r="Z16" s="406"/>
      <c r="AA16" s="406"/>
      <c r="AB16" s="406"/>
      <c r="AC16" s="407"/>
    </row>
    <row r="17" spans="1:48" s="19" customFormat="1" ht="15.6" customHeight="1">
      <c r="A17" s="82"/>
      <c r="B17" s="336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3"/>
      <c r="R17" s="337"/>
      <c r="S17" s="339" t="s">
        <v>19</v>
      </c>
      <c r="T17" s="340"/>
      <c r="U17" s="340"/>
      <c r="V17" s="340"/>
      <c r="W17" s="340"/>
      <c r="X17" s="340"/>
      <c r="Y17" s="340"/>
      <c r="Z17" s="340"/>
      <c r="AA17" s="340"/>
      <c r="AB17" s="340"/>
      <c r="AC17" s="218"/>
    </row>
    <row r="18" spans="1:48" s="19" customFormat="1" ht="15.6" customHeight="1">
      <c r="A18" s="84" t="s">
        <v>20</v>
      </c>
      <c r="B18" s="1"/>
      <c r="Q18" s="79"/>
      <c r="R18" s="337"/>
      <c r="S18" s="408" t="s">
        <v>2026</v>
      </c>
      <c r="T18" s="408"/>
      <c r="U18" s="408"/>
      <c r="V18" s="408"/>
      <c r="W18" s="408"/>
      <c r="X18" s="408"/>
      <c r="Y18" s="408"/>
      <c r="Z18" s="408"/>
      <c r="AA18" s="408"/>
      <c r="AB18" s="408"/>
      <c r="AC18" s="409"/>
    </row>
    <row r="19" spans="1:48" s="22" customFormat="1" ht="15.6" customHeight="1">
      <c r="A19" s="78"/>
      <c r="B19" s="341" t="str">
        <f ca="1">CI!B19</f>
        <v>Wise Logistics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79"/>
      <c r="R19" s="337"/>
      <c r="S19" s="339" t="s">
        <v>21</v>
      </c>
      <c r="AC19" s="219"/>
    </row>
    <row r="20" spans="1:48" s="22" customFormat="1" ht="15.6" customHeight="1">
      <c r="A20" s="78"/>
      <c r="B20" s="342" t="str">
        <f ca="1">CI!B20</f>
        <v xml:space="preserve">ATTAN: MS. Aliya 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79"/>
      <c r="R20" s="337"/>
      <c r="S20" s="408">
        <v>2025</v>
      </c>
      <c r="T20" s="408"/>
      <c r="U20" s="408"/>
      <c r="V20" s="408"/>
      <c r="W20" s="408"/>
      <c r="X20" s="408"/>
      <c r="Y20" s="408"/>
      <c r="Z20" s="408"/>
      <c r="AA20" s="408"/>
      <c r="AB20" s="408"/>
      <c r="AC20" s="409"/>
    </row>
    <row r="21" spans="1:48" s="22" customFormat="1" ht="15.6" customHeight="1">
      <c r="A21" s="223"/>
      <c r="B21" s="342" t="str">
        <f ca="1">CI!B21</f>
        <v>(E): a.kipshakbayeva@wiselogistics.kz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79"/>
      <c r="R21" s="19"/>
      <c r="S21" s="339" t="s">
        <v>22</v>
      </c>
      <c r="AC21" s="219"/>
      <c r="AV21" s="1"/>
    </row>
    <row r="22" spans="1:48" s="22" customFormat="1" ht="15.6" customHeight="1">
      <c r="A22" s="78"/>
      <c r="B22" s="342" t="str">
        <f ca="1">CI!B22</f>
        <v>(T): +7 701 512 19 69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79"/>
      <c r="R22" s="85"/>
      <c r="S22" s="408" t="s">
        <v>2027</v>
      </c>
      <c r="T22" s="408"/>
      <c r="U22" s="408"/>
      <c r="V22" s="408"/>
      <c r="W22" s="408"/>
      <c r="X22" s="408"/>
      <c r="Y22" s="408"/>
      <c r="Z22" s="408"/>
      <c r="AA22" s="408"/>
      <c r="AB22" s="408"/>
      <c r="AC22" s="409"/>
    </row>
    <row r="23" spans="1:48" s="22" customFormat="1" ht="15.6" customHeight="1">
      <c r="A23" s="223"/>
      <c r="R23" s="86"/>
      <c r="S23" s="339" t="s">
        <v>23</v>
      </c>
      <c r="AC23" s="219"/>
    </row>
    <row r="24" spans="1:48" s="22" customFormat="1" ht="15.6" customHeight="1">
      <c r="A24" s="7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79"/>
      <c r="R24" s="343"/>
      <c r="S24" s="408" t="s">
        <v>2015</v>
      </c>
      <c r="T24" s="408"/>
      <c r="U24" s="408"/>
      <c r="V24" s="408"/>
      <c r="W24" s="408"/>
      <c r="X24" s="408"/>
      <c r="Y24" s="408"/>
      <c r="Z24" s="408"/>
      <c r="AA24" s="408"/>
      <c r="AB24" s="408"/>
      <c r="AC24" s="409"/>
    </row>
    <row r="25" spans="1:48" s="22" customFormat="1" ht="15" customHeight="1">
      <c r="A25" s="87" t="s">
        <v>24</v>
      </c>
      <c r="B25" s="88"/>
      <c r="C25" s="88"/>
      <c r="D25" s="88"/>
      <c r="E25" s="88"/>
      <c r="F25" s="88"/>
      <c r="G25" s="88"/>
      <c r="H25" s="89"/>
      <c r="I25" s="375" t="s">
        <v>25</v>
      </c>
      <c r="J25" s="376"/>
      <c r="K25" s="376"/>
      <c r="L25" s="376"/>
      <c r="M25" s="376"/>
      <c r="N25" s="376"/>
      <c r="O25" s="376"/>
      <c r="P25" s="376"/>
      <c r="Q25" s="377"/>
      <c r="R25" s="257"/>
      <c r="AC25" s="219"/>
    </row>
    <row r="26" spans="1:48" s="22" customFormat="1" ht="14.4">
      <c r="A26" s="78"/>
      <c r="B26" s="19" t="s">
        <v>2074</v>
      </c>
      <c r="C26" s="19"/>
      <c r="D26" s="19"/>
      <c r="E26" s="19"/>
      <c r="F26" s="19"/>
      <c r="G26" s="19"/>
      <c r="H26" s="79"/>
      <c r="I26" s="19"/>
      <c r="J26" s="19" t="s">
        <v>26</v>
      </c>
      <c r="K26" s="19"/>
      <c r="L26" s="19"/>
      <c r="M26" s="19"/>
      <c r="N26" s="19"/>
      <c r="O26" s="19"/>
      <c r="P26" s="19"/>
      <c r="Q26" s="79"/>
      <c r="AC26" s="219"/>
    </row>
    <row r="27" spans="1:48" s="22" customFormat="1" ht="14.4">
      <c r="A27" s="82"/>
      <c r="B27" s="90"/>
      <c r="C27" s="80"/>
      <c r="D27" s="80"/>
      <c r="E27" s="80"/>
      <c r="F27" s="80"/>
      <c r="G27" s="80"/>
      <c r="H27" s="83"/>
      <c r="I27" s="80"/>
      <c r="J27" s="90"/>
      <c r="K27" s="80"/>
      <c r="L27" s="80"/>
      <c r="M27" s="80"/>
      <c r="N27" s="80"/>
      <c r="O27" s="80"/>
      <c r="P27" s="80"/>
      <c r="Q27" s="83"/>
      <c r="R27" s="142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258"/>
    </row>
    <row r="28" spans="1:48" s="22" customFormat="1" ht="14.4">
      <c r="A28" s="84" t="s">
        <v>27</v>
      </c>
      <c r="B28" s="19"/>
      <c r="C28" s="19"/>
      <c r="D28" s="19"/>
      <c r="E28" s="19"/>
      <c r="F28" s="19"/>
      <c r="G28" s="19"/>
      <c r="H28" s="79"/>
      <c r="I28" s="375" t="s">
        <v>28</v>
      </c>
      <c r="J28" s="376"/>
      <c r="K28" s="376"/>
      <c r="L28" s="376"/>
      <c r="M28" s="376"/>
      <c r="N28" s="376"/>
      <c r="O28" s="376"/>
      <c r="P28" s="376"/>
      <c r="Q28" s="377"/>
      <c r="R28" s="140" t="s">
        <v>29</v>
      </c>
      <c r="S28" s="338"/>
      <c r="T28" s="338"/>
      <c r="U28" s="338"/>
      <c r="V28" s="338"/>
      <c r="W28" s="338"/>
      <c r="X28" s="338"/>
      <c r="Y28" s="338"/>
      <c r="Z28" s="338"/>
      <c r="AA28" s="338"/>
      <c r="AB28" s="338"/>
      <c r="AC28" s="141"/>
    </row>
    <row r="29" spans="1:48" s="22" customFormat="1" ht="14.4">
      <c r="A29" s="84"/>
      <c r="B29" s="19"/>
      <c r="C29" s="19"/>
      <c r="D29" s="19"/>
      <c r="E29" s="19"/>
      <c r="F29" s="19"/>
      <c r="G29" s="19"/>
      <c r="H29" s="79"/>
      <c r="I29" s="378"/>
      <c r="J29" s="379"/>
      <c r="K29" s="379"/>
      <c r="L29" s="379"/>
      <c r="M29" s="379"/>
      <c r="N29" s="379"/>
      <c r="O29" s="379"/>
      <c r="P29" s="379"/>
      <c r="Q29" s="380"/>
      <c r="R29" s="19"/>
      <c r="AA29" s="19"/>
      <c r="AB29" s="19"/>
      <c r="AC29" s="81"/>
    </row>
    <row r="30" spans="1:48" s="22" customFormat="1" ht="17.850000000000001" customHeight="1">
      <c r="A30" s="78"/>
      <c r="B30" s="19" t="s">
        <v>26</v>
      </c>
      <c r="C30" s="19"/>
      <c r="D30" s="19"/>
      <c r="E30" s="19"/>
      <c r="F30" s="19"/>
      <c r="G30" s="19"/>
      <c r="H30" s="79"/>
      <c r="I30" s="394" t="s">
        <v>2021</v>
      </c>
      <c r="J30" s="395"/>
      <c r="K30" s="395"/>
      <c r="L30" s="395"/>
      <c r="M30" s="395"/>
      <c r="N30" s="395"/>
      <c r="O30" s="395"/>
      <c r="P30" s="395"/>
      <c r="Q30" s="396"/>
      <c r="R30" s="19"/>
      <c r="S30" s="339" t="s">
        <v>30</v>
      </c>
      <c r="U30" s="19"/>
      <c r="V30" s="19"/>
      <c r="X30" s="19" t="s">
        <v>31</v>
      </c>
      <c r="Y30" s="355" t="s">
        <v>32</v>
      </c>
      <c r="Z30" s="356"/>
      <c r="AA30" s="355"/>
      <c r="AB30" s="355"/>
      <c r="AC30" s="357"/>
    </row>
    <row r="31" spans="1:48" s="22" customFormat="1" ht="14.4">
      <c r="A31" s="82"/>
      <c r="B31" s="80"/>
      <c r="C31" s="80"/>
      <c r="D31" s="80"/>
      <c r="E31" s="80"/>
      <c r="F31" s="80"/>
      <c r="G31" s="80"/>
      <c r="H31" s="83"/>
      <c r="I31" s="397"/>
      <c r="J31" s="398"/>
      <c r="K31" s="398"/>
      <c r="L31" s="398"/>
      <c r="M31" s="398"/>
      <c r="N31" s="398"/>
      <c r="O31" s="398"/>
      <c r="P31" s="398"/>
      <c r="Q31" s="399"/>
      <c r="R31" s="19"/>
      <c r="S31" s="339" t="s">
        <v>33</v>
      </c>
      <c r="T31" s="19"/>
      <c r="X31" s="19" t="s">
        <v>31</v>
      </c>
      <c r="Y31" s="400">
        <v>129</v>
      </c>
      <c r="Z31" s="400"/>
      <c r="AA31" s="400"/>
      <c r="AB31" s="400"/>
      <c r="AC31" s="357" t="s">
        <v>34</v>
      </c>
    </row>
    <row r="32" spans="1:48" s="22" customFormat="1" ht="16.5" customHeight="1">
      <c r="A32" s="84" t="s">
        <v>35</v>
      </c>
      <c r="B32" s="19"/>
      <c r="C32" s="19"/>
      <c r="D32" s="19"/>
      <c r="E32" s="19"/>
      <c r="F32" s="19"/>
      <c r="G32" s="19"/>
      <c r="H32" s="79"/>
      <c r="I32" s="375" t="s">
        <v>36</v>
      </c>
      <c r="J32" s="376"/>
      <c r="K32" s="376"/>
      <c r="L32" s="376"/>
      <c r="M32" s="376"/>
      <c r="N32" s="376"/>
      <c r="O32" s="376"/>
      <c r="P32" s="376"/>
      <c r="Q32" s="377"/>
      <c r="R32" s="19"/>
      <c r="S32" s="339" t="s">
        <v>37</v>
      </c>
      <c r="X32" s="19" t="s">
        <v>31</v>
      </c>
      <c r="Y32" s="381">
        <f>'Summary PL'!L144</f>
        <v>503160.47999999992</v>
      </c>
      <c r="Z32" s="381"/>
      <c r="AA32" s="381"/>
      <c r="AB32" s="381"/>
      <c r="AC32" s="81" t="s">
        <v>38</v>
      </c>
    </row>
    <row r="33" spans="1:32" s="22" customFormat="1" ht="14.4">
      <c r="A33" s="84"/>
      <c r="B33" s="19" t="s">
        <v>26</v>
      </c>
      <c r="C33" s="19"/>
      <c r="D33" s="19"/>
      <c r="E33" s="19"/>
      <c r="F33" s="19"/>
      <c r="G33" s="19"/>
      <c r="H33" s="79"/>
      <c r="I33" s="378"/>
      <c r="J33" s="379"/>
      <c r="K33" s="379"/>
      <c r="L33" s="379"/>
      <c r="M33" s="379"/>
      <c r="N33" s="379"/>
      <c r="O33" s="379"/>
      <c r="P33" s="379"/>
      <c r="Q33" s="380"/>
      <c r="R33" s="19"/>
      <c r="S33" s="339" t="s">
        <v>39</v>
      </c>
      <c r="X33" s="19" t="s">
        <v>31</v>
      </c>
      <c r="Y33" s="382">
        <f>'Summary PL'!M144</f>
        <v>524302.29999999993</v>
      </c>
      <c r="Z33" s="382"/>
      <c r="AA33" s="382"/>
      <c r="AB33" s="382"/>
      <c r="AC33" s="81" t="s">
        <v>38</v>
      </c>
    </row>
    <row r="34" spans="1:32" s="22" customFormat="1" ht="14.85" customHeight="1">
      <c r="A34" s="78"/>
      <c r="C34" s="19"/>
      <c r="D34" s="19"/>
      <c r="E34" s="19"/>
      <c r="F34" s="19"/>
      <c r="G34" s="19"/>
      <c r="H34" s="79"/>
      <c r="I34" s="19"/>
      <c r="J34" s="383" t="s">
        <v>26</v>
      </c>
      <c r="K34" s="383"/>
      <c r="L34" s="383"/>
      <c r="M34" s="383"/>
      <c r="N34" s="383"/>
      <c r="O34" s="383"/>
      <c r="P34" s="383"/>
      <c r="Q34" s="79"/>
      <c r="R34" s="19"/>
      <c r="S34" s="339" t="s">
        <v>40</v>
      </c>
      <c r="U34" s="19"/>
      <c r="V34" s="19"/>
      <c r="W34" s="19"/>
      <c r="X34" s="19" t="s">
        <v>31</v>
      </c>
      <c r="Y34" s="382">
        <f>PL!Y34</f>
        <v>2823.0409999999988</v>
      </c>
      <c r="Z34" s="382"/>
      <c r="AA34" s="382"/>
      <c r="AB34" s="382"/>
      <c r="AC34" s="81" t="s">
        <v>41</v>
      </c>
    </row>
    <row r="35" spans="1:32" s="22" customFormat="1" ht="14.4">
      <c r="A35" s="82"/>
      <c r="B35" s="80"/>
      <c r="C35" s="80"/>
      <c r="D35" s="80"/>
      <c r="E35" s="80"/>
      <c r="F35" s="80"/>
      <c r="G35" s="80"/>
      <c r="H35" s="83"/>
      <c r="I35" s="80"/>
      <c r="J35" s="80"/>
      <c r="K35" s="80"/>
      <c r="L35" s="80"/>
      <c r="M35" s="80"/>
      <c r="N35" s="80"/>
      <c r="O35" s="80"/>
      <c r="P35" s="80"/>
      <c r="Q35" s="83"/>
      <c r="R35" s="19"/>
      <c r="S35" s="340"/>
      <c r="T35" s="340"/>
      <c r="U35" s="340"/>
      <c r="V35" s="340"/>
      <c r="W35" s="340"/>
      <c r="X35" s="340"/>
      <c r="Y35" s="340"/>
      <c r="Z35" s="340"/>
      <c r="AA35" s="340"/>
      <c r="AB35" s="340"/>
      <c r="AC35" s="218"/>
    </row>
    <row r="36" spans="1:32" s="22" customFormat="1" ht="14.4">
      <c r="A36" s="87" t="s">
        <v>42</v>
      </c>
      <c r="B36" s="88"/>
      <c r="C36" s="88"/>
      <c r="D36" s="88"/>
      <c r="E36" s="88"/>
      <c r="F36" s="88"/>
      <c r="G36" s="88"/>
      <c r="H36" s="88"/>
      <c r="I36" s="138"/>
      <c r="J36" s="88"/>
      <c r="K36" s="88"/>
      <c r="L36" s="88"/>
      <c r="M36" s="88"/>
      <c r="N36" s="88"/>
      <c r="O36" s="88"/>
      <c r="P36" s="88"/>
      <c r="Q36" s="89"/>
      <c r="R36" s="19"/>
      <c r="S36" s="340"/>
      <c r="T36" s="340"/>
      <c r="U36" s="340"/>
      <c r="V36" s="340"/>
      <c r="W36" s="340"/>
      <c r="X36" s="340"/>
      <c r="Y36" s="340"/>
      <c r="Z36" s="340"/>
      <c r="AA36" s="340"/>
      <c r="AB36" s="340"/>
      <c r="AC36" s="218"/>
    </row>
    <row r="37" spans="1:32" s="22" customFormat="1" ht="14.4">
      <c r="A37" s="78"/>
      <c r="B37" s="19" t="s">
        <v>16</v>
      </c>
      <c r="C37" s="19"/>
      <c r="D37" s="19"/>
      <c r="E37" s="19"/>
      <c r="F37" s="19"/>
      <c r="G37" s="19"/>
      <c r="H37" s="19"/>
      <c r="I37" s="19"/>
      <c r="J37" s="344"/>
      <c r="K37" s="344"/>
      <c r="L37" s="344"/>
      <c r="M37" s="344"/>
      <c r="N37" s="344"/>
      <c r="O37" s="344"/>
      <c r="P37" s="344"/>
      <c r="Q37" s="79"/>
      <c r="R37" s="19"/>
      <c r="S37" s="340"/>
      <c r="T37" s="340"/>
      <c r="U37" s="340"/>
      <c r="V37" s="340"/>
      <c r="W37" s="340"/>
      <c r="X37" s="340"/>
      <c r="Y37" s="340"/>
      <c r="Z37" s="340"/>
      <c r="AA37" s="340"/>
      <c r="AB37" s="340"/>
      <c r="AC37" s="218"/>
    </row>
    <row r="38" spans="1:32" s="22" customFormat="1" ht="14.4">
      <c r="A38" s="82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3"/>
      <c r="R38" s="1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60"/>
    </row>
    <row r="39" spans="1:32" s="22" customFormat="1" ht="16.5" customHeight="1">
      <c r="A39" s="384" t="s">
        <v>43</v>
      </c>
      <c r="B39" s="385"/>
      <c r="C39" s="385"/>
      <c r="D39" s="385"/>
      <c r="E39" s="385"/>
      <c r="F39" s="385"/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6"/>
      <c r="R39" s="390" t="s">
        <v>44</v>
      </c>
      <c r="S39" s="391"/>
      <c r="T39" s="391"/>
      <c r="U39" s="391"/>
      <c r="V39" s="392"/>
      <c r="W39" s="390" t="s">
        <v>45</v>
      </c>
      <c r="X39" s="391"/>
      <c r="Y39" s="391"/>
      <c r="Z39" s="392"/>
      <c r="AA39" s="390" t="s">
        <v>46</v>
      </c>
      <c r="AB39" s="391"/>
      <c r="AC39" s="393"/>
    </row>
    <row r="40" spans="1:32" s="22" customFormat="1" ht="16.5" customHeight="1">
      <c r="A40" s="387"/>
      <c r="B40" s="388"/>
      <c r="C40" s="388"/>
      <c r="D40" s="388"/>
      <c r="E40" s="388"/>
      <c r="F40" s="388"/>
      <c r="G40" s="388"/>
      <c r="H40" s="388"/>
      <c r="I40" s="388"/>
      <c r="J40" s="388"/>
      <c r="K40" s="388"/>
      <c r="L40" s="388"/>
      <c r="M40" s="388"/>
      <c r="N40" s="388"/>
      <c r="O40" s="388"/>
      <c r="P40" s="388"/>
      <c r="Q40" s="389"/>
      <c r="R40" s="366" t="s">
        <v>47</v>
      </c>
      <c r="S40" s="367"/>
      <c r="T40" s="367"/>
      <c r="U40" s="367"/>
      <c r="V40" s="368"/>
      <c r="W40" s="366" t="s">
        <v>48</v>
      </c>
      <c r="X40" s="367"/>
      <c r="Y40" s="367"/>
      <c r="Z40" s="368"/>
      <c r="AA40" s="366" t="s">
        <v>49</v>
      </c>
      <c r="AB40" s="367"/>
      <c r="AC40" s="369"/>
    </row>
    <row r="41" spans="1:32" s="22" customFormat="1" ht="16.5" customHeight="1">
      <c r="A41" s="262"/>
      <c r="B41" s="352" t="s">
        <v>50</v>
      </c>
      <c r="C41" s="345"/>
      <c r="D41" s="345"/>
      <c r="E41" s="345"/>
      <c r="F41" s="345"/>
      <c r="G41" s="345"/>
      <c r="H41" s="345"/>
      <c r="I41" s="345"/>
      <c r="J41" s="345"/>
      <c r="K41" s="345"/>
      <c r="L41" s="345"/>
      <c r="M41" s="345"/>
      <c r="N41" s="345"/>
      <c r="O41" s="345"/>
      <c r="P41" s="345"/>
      <c r="Q41" s="261"/>
      <c r="R41" s="298"/>
      <c r="S41" s="346"/>
      <c r="T41" s="346"/>
      <c r="U41" s="346"/>
      <c r="V41" s="299"/>
      <c r="W41" s="360" t="s">
        <v>2029</v>
      </c>
      <c r="X41" s="361"/>
      <c r="Y41" s="361"/>
      <c r="Z41" s="362"/>
      <c r="AA41" s="298"/>
      <c r="AB41" s="346"/>
      <c r="AC41" s="349">
        <f>CI_BD!I138</f>
        <v>8581723</v>
      </c>
    </row>
    <row r="42" spans="1:32" s="19" customFormat="1" ht="16.5" customHeight="1">
      <c r="A42" s="262"/>
      <c r="B42" s="353" t="s">
        <v>2023</v>
      </c>
      <c r="C42" s="345"/>
      <c r="D42" s="345"/>
      <c r="E42" s="345"/>
      <c r="F42" s="345"/>
      <c r="G42" s="345"/>
      <c r="H42" s="345"/>
      <c r="I42" s="345"/>
      <c r="J42" s="345"/>
      <c r="K42" s="345"/>
      <c r="L42" s="345"/>
      <c r="M42" s="345"/>
      <c r="N42" s="345"/>
      <c r="O42" s="345"/>
      <c r="P42" s="345"/>
      <c r="Q42" s="261"/>
      <c r="R42" s="298"/>
      <c r="S42" s="346"/>
      <c r="T42" s="346"/>
      <c r="U42" s="346"/>
      <c r="V42" s="299"/>
      <c r="W42" s="363"/>
      <c r="X42" s="364"/>
      <c r="Y42" s="364"/>
      <c r="Z42" s="365"/>
      <c r="AA42" s="298"/>
      <c r="AB42" s="346"/>
      <c r="AC42" s="256"/>
      <c r="AD42" s="354" t="s">
        <v>2024</v>
      </c>
    </row>
    <row r="43" spans="1:32" s="22" customFormat="1" ht="16.5" customHeight="1" thickBot="1">
      <c r="A43" s="262"/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  <c r="M43" s="345"/>
      <c r="N43" s="345"/>
      <c r="O43" s="345"/>
      <c r="P43" s="345"/>
      <c r="Q43" s="261"/>
      <c r="R43" s="298"/>
      <c r="S43" s="346"/>
      <c r="T43" s="346"/>
      <c r="U43" s="346"/>
      <c r="V43" s="299"/>
      <c r="W43" s="363"/>
      <c r="X43" s="364"/>
      <c r="Y43" s="364"/>
      <c r="Z43" s="365"/>
      <c r="AA43" s="298"/>
      <c r="AB43" s="346"/>
      <c r="AC43" s="256"/>
    </row>
    <row r="44" spans="1:32" s="22" customFormat="1" ht="18" customHeight="1" thickBot="1">
      <c r="A44" s="93"/>
      <c r="B44" s="134"/>
      <c r="C44" s="94"/>
      <c r="D44" s="94"/>
      <c r="E44" s="94"/>
      <c r="F44" s="94"/>
      <c r="G44" s="94"/>
      <c r="H44" s="94"/>
      <c r="I44" s="370" t="s">
        <v>2025</v>
      </c>
      <c r="J44" s="370"/>
      <c r="K44" s="370"/>
      <c r="L44" s="370"/>
      <c r="M44" s="370"/>
      <c r="N44" s="370"/>
      <c r="O44" s="370"/>
      <c r="P44" s="370"/>
      <c r="Q44" s="370"/>
      <c r="R44" s="371"/>
      <c r="S44" s="370"/>
      <c r="T44" s="370"/>
      <c r="U44" s="370"/>
      <c r="V44" s="370"/>
      <c r="W44" s="370"/>
      <c r="X44" s="370"/>
      <c r="Y44" s="370"/>
      <c r="Z44" s="372"/>
      <c r="AA44" s="373"/>
      <c r="AB44" s="373"/>
      <c r="AC44" s="374"/>
      <c r="AD44" s="102"/>
      <c r="AE44" s="102"/>
      <c r="AF44" s="103"/>
    </row>
    <row r="45" spans="1:32">
      <c r="A45" s="66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8"/>
    </row>
    <row r="46" spans="1:32">
      <c r="A46" s="69"/>
      <c r="AC46" s="70"/>
    </row>
    <row r="47" spans="1:32">
      <c r="A47" s="69"/>
      <c r="AC47" s="70"/>
    </row>
    <row r="48" spans="1:32">
      <c r="A48" s="69"/>
      <c r="AC48" s="70"/>
    </row>
    <row r="49" spans="1:29">
      <c r="A49" s="69"/>
      <c r="AC49" s="70"/>
    </row>
    <row r="50" spans="1:29">
      <c r="A50" s="69"/>
      <c r="AC50" s="70"/>
    </row>
    <row r="51" spans="1:29">
      <c r="A51" s="69"/>
      <c r="AC51" s="70"/>
    </row>
    <row r="52" spans="1:29" ht="14.4">
      <c r="A52" s="78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S52" s="19" t="s">
        <v>51</v>
      </c>
      <c r="AC52" s="70"/>
    </row>
    <row r="53" spans="1:29" ht="14.4">
      <c r="A53" s="78" t="s">
        <v>52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AC53" s="70"/>
    </row>
    <row r="54" spans="1:29" ht="14.4">
      <c r="A54" s="78" t="s">
        <v>53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W54" s="95"/>
      <c r="X54" s="95"/>
      <c r="AC54" s="70"/>
    </row>
    <row r="55" spans="1:29" ht="14.4">
      <c r="A55" s="78" t="s">
        <v>54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V55" s="358" t="s">
        <v>55</v>
      </c>
      <c r="W55" s="358"/>
      <c r="X55" s="358"/>
      <c r="Y55" s="358"/>
      <c r="Z55" s="358"/>
      <c r="AA55" s="358"/>
      <c r="AB55" s="358"/>
      <c r="AC55" s="359"/>
    </row>
    <row r="56" spans="1:29" ht="14.4">
      <c r="A56" s="78" t="s">
        <v>56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S56" s="339"/>
      <c r="U56" s="347"/>
      <c r="V56" s="347"/>
      <c r="W56" s="347"/>
      <c r="X56" s="347"/>
      <c r="Y56" s="347"/>
      <c r="Z56" s="347"/>
      <c r="AA56" s="347"/>
      <c r="AB56" s="347"/>
      <c r="AC56" s="70"/>
    </row>
    <row r="57" spans="1:29" ht="12.6" thickBot="1">
      <c r="A57" s="96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3"/>
    </row>
    <row r="58" spans="1:29" ht="15" thickBot="1">
      <c r="A58" s="97" t="s">
        <v>57</v>
      </c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9"/>
    </row>
  </sheetData>
  <mergeCells count="31">
    <mergeCell ref="I30:Q31"/>
    <mergeCell ref="Y31:AB31"/>
    <mergeCell ref="A6:AC6"/>
    <mergeCell ref="V8:Z8"/>
    <mergeCell ref="V10:Z10"/>
    <mergeCell ref="S15:AC16"/>
    <mergeCell ref="S18:AC18"/>
    <mergeCell ref="S20:AC20"/>
    <mergeCell ref="S22:AC22"/>
    <mergeCell ref="S24:AC24"/>
    <mergeCell ref="I25:Q25"/>
    <mergeCell ref="I28:Q29"/>
    <mergeCell ref="I44:Q44"/>
    <mergeCell ref="R44:Z44"/>
    <mergeCell ref="AA44:AC44"/>
    <mergeCell ref="I32:Q33"/>
    <mergeCell ref="Y32:AB32"/>
    <mergeCell ref="Y33:AB33"/>
    <mergeCell ref="J34:P34"/>
    <mergeCell ref="Y34:AB34"/>
    <mergeCell ref="A39:Q40"/>
    <mergeCell ref="R39:V39"/>
    <mergeCell ref="W39:Z39"/>
    <mergeCell ref="AA39:AC39"/>
    <mergeCell ref="R40:V40"/>
    <mergeCell ref="V55:AC55"/>
    <mergeCell ref="W41:Z41"/>
    <mergeCell ref="W42:Z42"/>
    <mergeCell ref="W43:Z43"/>
    <mergeCell ref="W40:Z40"/>
    <mergeCell ref="AA40:AC40"/>
  </mergeCells>
  <phoneticPr fontId="3" type="noConversion"/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18AEC-9ACC-4422-AFD1-72F95DEAF649}">
  <sheetPr>
    <tabColor rgb="FF00B0F0"/>
  </sheetPr>
  <dimension ref="A1:M140"/>
  <sheetViews>
    <sheetView showGridLines="0" tabSelected="1" topLeftCell="A69" zoomScale="70" zoomScaleNormal="70" zoomScaleSheetLayoutView="70" workbookViewId="0">
      <selection activeCell="E114" sqref="E114"/>
    </sheetView>
  </sheetViews>
  <sheetFormatPr defaultColWidth="10" defaultRowHeight="14.4"/>
  <cols>
    <col min="1" max="1" width="12.19921875" style="14" customWidth="1"/>
    <col min="2" max="2" width="30.796875" style="51" customWidth="1"/>
    <col min="3" max="3" width="48.69921875" style="51" bestFit="1" customWidth="1"/>
    <col min="4" max="4" width="18" style="51" customWidth="1"/>
    <col min="5" max="5" width="18.69921875" style="51" customWidth="1"/>
    <col min="6" max="6" width="14.19921875" style="333" customWidth="1"/>
    <col min="7" max="7" width="10.296875" style="51" customWidth="1"/>
    <col min="8" max="9" width="16.19921875" style="51" customWidth="1"/>
    <col min="10" max="10" width="17.5" style="335" customWidth="1"/>
    <col min="11" max="11" width="20.09765625" style="19" customWidth="1"/>
    <col min="12" max="16384" width="10" style="14"/>
  </cols>
  <sheetData>
    <row r="1" spans="1:13" s="9" customFormat="1">
      <c r="B1" s="5"/>
      <c r="C1" s="5"/>
      <c r="D1" s="5"/>
      <c r="E1" s="5"/>
      <c r="F1" s="301"/>
      <c r="G1" s="5"/>
      <c r="H1" s="5"/>
      <c r="I1" s="5"/>
      <c r="J1" s="5" t="s">
        <v>0</v>
      </c>
      <c r="K1" s="19"/>
    </row>
    <row r="2" spans="1:13" s="9" customFormat="1">
      <c r="B2" s="5"/>
      <c r="C2" s="5"/>
      <c r="D2" s="5"/>
      <c r="E2" s="5"/>
      <c r="F2" s="301"/>
      <c r="G2" s="5"/>
      <c r="H2" s="5"/>
      <c r="I2" s="5"/>
      <c r="J2" s="5" t="s">
        <v>1</v>
      </c>
      <c r="K2" s="19"/>
    </row>
    <row r="3" spans="1:13" s="9" customFormat="1">
      <c r="B3" s="5"/>
      <c r="C3" s="5"/>
      <c r="D3" s="5"/>
      <c r="E3" s="5"/>
      <c r="F3" s="301"/>
      <c r="G3" s="5"/>
      <c r="H3" s="5"/>
      <c r="I3" s="5"/>
      <c r="J3" s="5" t="s">
        <v>2</v>
      </c>
      <c r="K3" s="19"/>
    </row>
    <row r="4" spans="1:13" s="9" customFormat="1">
      <c r="B4" s="5"/>
      <c r="C4" s="5"/>
      <c r="D4" s="5"/>
      <c r="E4" s="5"/>
      <c r="F4" s="301"/>
      <c r="G4" s="5"/>
      <c r="H4" s="5"/>
      <c r="I4" s="5"/>
      <c r="J4" s="5" t="s">
        <v>3</v>
      </c>
      <c r="K4" s="19"/>
    </row>
    <row r="5" spans="1:13" s="9" customFormat="1">
      <c r="B5" s="5"/>
      <c r="C5" s="5"/>
      <c r="D5" s="5"/>
      <c r="E5" s="5"/>
      <c r="F5" s="301"/>
      <c r="G5" s="5"/>
      <c r="H5" s="5"/>
      <c r="I5" s="5"/>
      <c r="J5" s="5" t="s">
        <v>4</v>
      </c>
      <c r="K5" s="19"/>
    </row>
    <row r="6" spans="1:13" ht="49.2" customHeight="1">
      <c r="A6" s="410" t="s">
        <v>1998</v>
      </c>
      <c r="B6" s="402"/>
      <c r="C6" s="402"/>
      <c r="D6" s="402"/>
      <c r="E6" s="402"/>
      <c r="F6" s="402"/>
      <c r="G6" s="402"/>
      <c r="H6" s="402"/>
      <c r="I6" s="402"/>
      <c r="J6" s="402"/>
      <c r="K6" s="402"/>
    </row>
    <row r="7" spans="1:13" ht="33" customHeight="1" thickBot="1">
      <c r="A7" s="302" t="s">
        <v>1999</v>
      </c>
      <c r="B7" s="302" t="s">
        <v>2013</v>
      </c>
      <c r="C7" s="302"/>
      <c r="D7" s="302"/>
      <c r="E7" s="303"/>
      <c r="F7" s="304"/>
      <c r="G7" s="303"/>
      <c r="H7" s="303"/>
      <c r="I7" s="303"/>
      <c r="J7" s="305"/>
      <c r="K7" s="306"/>
    </row>
    <row r="8" spans="1:13" s="312" customFormat="1" ht="39.75" customHeight="1">
      <c r="A8" s="307" t="s">
        <v>2000</v>
      </c>
      <c r="B8" s="308" t="s">
        <v>2001</v>
      </c>
      <c r="C8" s="308" t="s">
        <v>2002</v>
      </c>
      <c r="D8" s="308" t="s">
        <v>2003</v>
      </c>
      <c r="E8" s="308" t="s">
        <v>2004</v>
      </c>
      <c r="F8" s="309" t="s">
        <v>2005</v>
      </c>
      <c r="G8" s="308" t="s">
        <v>2006</v>
      </c>
      <c r="H8" s="310" t="s">
        <v>2007</v>
      </c>
      <c r="I8" s="310" t="s">
        <v>2008</v>
      </c>
      <c r="J8" s="308" t="s">
        <v>2009</v>
      </c>
      <c r="K8" s="311" t="s">
        <v>2010</v>
      </c>
    </row>
    <row r="9" spans="1:13" ht="30" customHeight="1">
      <c r="A9" s="313">
        <v>1</v>
      </c>
      <c r="B9" s="314" t="s">
        <v>103</v>
      </c>
      <c r="C9" s="315" t="s">
        <v>2030</v>
      </c>
      <c r="D9" s="316"/>
      <c r="E9" s="317"/>
      <c r="F9" s="318">
        <v>1</v>
      </c>
      <c r="G9" s="316" t="s">
        <v>2011</v>
      </c>
      <c r="H9" s="319">
        <v>235367</v>
      </c>
      <c r="I9" s="319">
        <f>F9*H9</f>
        <v>235367</v>
      </c>
      <c r="J9" s="320" t="s">
        <v>2075</v>
      </c>
      <c r="K9" s="321"/>
      <c r="M9" s="14">
        <v>5</v>
      </c>
    </row>
    <row r="10" spans="1:13" ht="30" customHeight="1">
      <c r="A10" s="313">
        <v>2</v>
      </c>
      <c r="B10" s="314" t="s">
        <v>106</v>
      </c>
      <c r="C10" s="315" t="s">
        <v>2032</v>
      </c>
      <c r="D10" s="316"/>
      <c r="E10" s="317"/>
      <c r="F10" s="318">
        <v>1</v>
      </c>
      <c r="G10" s="316" t="s">
        <v>2011</v>
      </c>
      <c r="H10" s="319">
        <v>573069</v>
      </c>
      <c r="I10" s="319">
        <f t="shared" ref="I10:I73" si="0">F10*H10</f>
        <v>573069</v>
      </c>
      <c r="J10" s="320" t="s">
        <v>2075</v>
      </c>
      <c r="K10" s="321"/>
      <c r="M10" s="14">
        <v>1</v>
      </c>
    </row>
    <row r="11" spans="1:13" ht="30" customHeight="1">
      <c r="A11" s="313">
        <v>3</v>
      </c>
      <c r="B11" s="314" t="s">
        <v>108</v>
      </c>
      <c r="C11" s="315" t="s">
        <v>2032</v>
      </c>
      <c r="D11" s="316"/>
      <c r="E11" s="317"/>
      <c r="F11" s="318">
        <v>1</v>
      </c>
      <c r="G11" s="316" t="s">
        <v>2011</v>
      </c>
      <c r="H11" s="319">
        <v>573069</v>
      </c>
      <c r="I11" s="319">
        <f t="shared" si="0"/>
        <v>573069</v>
      </c>
      <c r="J11" s="320" t="s">
        <v>2075</v>
      </c>
      <c r="K11" s="321"/>
      <c r="M11" s="14">
        <v>1</v>
      </c>
    </row>
    <row r="12" spans="1:13" ht="30" customHeight="1">
      <c r="A12" s="313">
        <v>4</v>
      </c>
      <c r="B12" s="314" t="s">
        <v>110</v>
      </c>
      <c r="C12" s="315" t="s">
        <v>2034</v>
      </c>
      <c r="D12" s="316"/>
      <c r="E12" s="317"/>
      <c r="F12" s="318">
        <v>1</v>
      </c>
      <c r="G12" s="316" t="s">
        <v>2011</v>
      </c>
      <c r="H12" s="319">
        <v>245601</v>
      </c>
      <c r="I12" s="319">
        <f t="shared" si="0"/>
        <v>245601</v>
      </c>
      <c r="J12" s="320" t="s">
        <v>2075</v>
      </c>
      <c r="K12" s="321"/>
      <c r="M12" s="14">
        <v>2</v>
      </c>
    </row>
    <row r="13" spans="1:13" ht="30" customHeight="1">
      <c r="A13" s="313">
        <v>5</v>
      </c>
      <c r="B13" s="314" t="s">
        <v>111</v>
      </c>
      <c r="C13" s="322" t="s">
        <v>2034</v>
      </c>
      <c r="D13" s="323"/>
      <c r="E13" s="324"/>
      <c r="F13" s="318">
        <v>1</v>
      </c>
      <c r="G13" s="316" t="s">
        <v>2011</v>
      </c>
      <c r="H13" s="325">
        <v>245601</v>
      </c>
      <c r="I13" s="319">
        <f t="shared" si="0"/>
        <v>245601</v>
      </c>
      <c r="J13" s="320" t="s">
        <v>2075</v>
      </c>
      <c r="K13" s="326"/>
      <c r="M13" s="14">
        <v>2</v>
      </c>
    </row>
    <row r="14" spans="1:13" ht="30" customHeight="1">
      <c r="A14" s="313">
        <v>6</v>
      </c>
      <c r="B14" s="314" t="s">
        <v>112</v>
      </c>
      <c r="C14" s="322" t="s">
        <v>2036</v>
      </c>
      <c r="D14" s="323"/>
      <c r="E14" s="324"/>
      <c r="F14" s="318">
        <v>1</v>
      </c>
      <c r="G14" s="316" t="s">
        <v>2011</v>
      </c>
      <c r="H14" s="325">
        <v>220017</v>
      </c>
      <c r="I14" s="319">
        <f t="shared" si="0"/>
        <v>220017</v>
      </c>
      <c r="J14" s="320" t="s">
        <v>2075</v>
      </c>
      <c r="K14" s="326"/>
      <c r="M14" s="14">
        <v>6</v>
      </c>
    </row>
    <row r="15" spans="1:13" ht="30" customHeight="1">
      <c r="A15" s="313">
        <v>7</v>
      </c>
      <c r="B15" s="314" t="s">
        <v>113</v>
      </c>
      <c r="C15" s="322" t="s">
        <v>2038</v>
      </c>
      <c r="D15" s="323"/>
      <c r="E15" s="324"/>
      <c r="F15" s="318">
        <v>1</v>
      </c>
      <c r="G15" s="316" t="s">
        <v>2011</v>
      </c>
      <c r="H15" s="325">
        <v>479264</v>
      </c>
      <c r="I15" s="319">
        <f t="shared" si="0"/>
        <v>479264</v>
      </c>
      <c r="J15" s="320" t="s">
        <v>2075</v>
      </c>
      <c r="K15" s="326"/>
      <c r="M15" s="14">
        <v>4</v>
      </c>
    </row>
    <row r="16" spans="1:13" ht="30" customHeight="1">
      <c r="A16" s="313">
        <v>8</v>
      </c>
      <c r="B16" s="314" t="s">
        <v>114</v>
      </c>
      <c r="C16" s="322" t="s">
        <v>2038</v>
      </c>
      <c r="D16" s="323"/>
      <c r="E16" s="324"/>
      <c r="F16" s="318">
        <v>1</v>
      </c>
      <c r="G16" s="316" t="s">
        <v>2011</v>
      </c>
      <c r="H16" s="325">
        <v>100628</v>
      </c>
      <c r="I16" s="319">
        <f t="shared" si="0"/>
        <v>100628</v>
      </c>
      <c r="J16" s="320" t="s">
        <v>2075</v>
      </c>
      <c r="K16" s="326"/>
      <c r="M16" s="14">
        <v>4</v>
      </c>
    </row>
    <row r="17" spans="1:13" ht="30" customHeight="1">
      <c r="A17" s="313">
        <v>9</v>
      </c>
      <c r="B17" s="314" t="s">
        <v>116</v>
      </c>
      <c r="C17" s="315" t="s">
        <v>2040</v>
      </c>
      <c r="D17" s="316"/>
      <c r="E17" s="317"/>
      <c r="F17" s="318">
        <v>1</v>
      </c>
      <c r="G17" s="316" t="s">
        <v>2011</v>
      </c>
      <c r="H17" s="319">
        <v>230251</v>
      </c>
      <c r="I17" s="319">
        <f t="shared" si="0"/>
        <v>230251</v>
      </c>
      <c r="J17" s="320" t="s">
        <v>2075</v>
      </c>
      <c r="K17" s="321"/>
      <c r="M17" s="14">
        <v>7</v>
      </c>
    </row>
    <row r="18" spans="1:13" ht="30" customHeight="1">
      <c r="A18" s="313">
        <v>10</v>
      </c>
      <c r="B18" s="314" t="s">
        <v>117</v>
      </c>
      <c r="C18" s="315" t="s">
        <v>2040</v>
      </c>
      <c r="D18" s="316"/>
      <c r="E18" s="317"/>
      <c r="F18" s="318">
        <v>1</v>
      </c>
      <c r="G18" s="316" t="s">
        <v>2011</v>
      </c>
      <c r="H18" s="319">
        <v>230251</v>
      </c>
      <c r="I18" s="319">
        <f t="shared" si="0"/>
        <v>230251</v>
      </c>
      <c r="J18" s="320" t="s">
        <v>2075</v>
      </c>
      <c r="K18" s="321"/>
      <c r="M18" s="14">
        <v>7</v>
      </c>
    </row>
    <row r="19" spans="1:13" ht="30" customHeight="1">
      <c r="A19" s="313">
        <v>11</v>
      </c>
      <c r="B19" s="314" t="s">
        <v>118</v>
      </c>
      <c r="C19" s="315" t="s">
        <v>2040</v>
      </c>
      <c r="D19" s="316"/>
      <c r="E19" s="317"/>
      <c r="F19" s="318">
        <v>1</v>
      </c>
      <c r="G19" s="316" t="s">
        <v>2011</v>
      </c>
      <c r="H19" s="319">
        <v>230251</v>
      </c>
      <c r="I19" s="319">
        <f t="shared" si="0"/>
        <v>230251</v>
      </c>
      <c r="J19" s="320" t="s">
        <v>2075</v>
      </c>
      <c r="K19" s="321"/>
      <c r="M19" s="14">
        <v>7</v>
      </c>
    </row>
    <row r="20" spans="1:13" ht="30" customHeight="1">
      <c r="A20" s="313">
        <v>12</v>
      </c>
      <c r="B20" s="314" t="s">
        <v>119</v>
      </c>
      <c r="C20" s="315" t="s">
        <v>2040</v>
      </c>
      <c r="D20" s="316"/>
      <c r="E20" s="317"/>
      <c r="F20" s="318">
        <v>1</v>
      </c>
      <c r="G20" s="316" t="s">
        <v>2011</v>
      </c>
      <c r="H20" s="319">
        <v>230251</v>
      </c>
      <c r="I20" s="319">
        <f t="shared" si="0"/>
        <v>230251</v>
      </c>
      <c r="J20" s="320" t="s">
        <v>2075</v>
      </c>
      <c r="K20" s="321"/>
      <c r="M20" s="14">
        <v>7</v>
      </c>
    </row>
    <row r="21" spans="1:13" ht="30" customHeight="1">
      <c r="A21" s="313">
        <v>13</v>
      </c>
      <c r="B21" s="314" t="s">
        <v>121</v>
      </c>
      <c r="C21" s="322" t="s">
        <v>2042</v>
      </c>
      <c r="D21" s="323"/>
      <c r="E21" s="324"/>
      <c r="F21" s="318">
        <v>1</v>
      </c>
      <c r="G21" s="316" t="s">
        <v>2011</v>
      </c>
      <c r="H21" s="325">
        <v>364990.5</v>
      </c>
      <c r="I21" s="319">
        <f t="shared" si="0"/>
        <v>364990.5</v>
      </c>
      <c r="J21" s="320" t="s">
        <v>2075</v>
      </c>
      <c r="K21" s="326"/>
      <c r="M21" s="14">
        <v>10</v>
      </c>
    </row>
    <row r="22" spans="1:13" ht="30" customHeight="1">
      <c r="A22" s="313">
        <v>14</v>
      </c>
      <c r="B22" s="314" t="s">
        <v>122</v>
      </c>
      <c r="C22" s="322" t="s">
        <v>2042</v>
      </c>
      <c r="D22" s="323"/>
      <c r="E22" s="324"/>
      <c r="F22" s="318">
        <v>1</v>
      </c>
      <c r="G22" s="316" t="s">
        <v>2011</v>
      </c>
      <c r="H22" s="325">
        <v>364990.5</v>
      </c>
      <c r="I22" s="319">
        <f t="shared" si="0"/>
        <v>364990.5</v>
      </c>
      <c r="J22" s="320" t="s">
        <v>2075</v>
      </c>
      <c r="K22" s="326"/>
      <c r="M22" s="14">
        <v>10</v>
      </c>
    </row>
    <row r="23" spans="1:13" ht="30" customHeight="1">
      <c r="A23" s="313">
        <v>15</v>
      </c>
      <c r="B23" s="314" t="s">
        <v>124</v>
      </c>
      <c r="C23" s="322" t="s">
        <v>2042</v>
      </c>
      <c r="D23" s="323"/>
      <c r="E23" s="324"/>
      <c r="F23" s="318">
        <v>1</v>
      </c>
      <c r="G23" s="316" t="s">
        <v>2011</v>
      </c>
      <c r="H23" s="325">
        <v>364990.5</v>
      </c>
      <c r="I23" s="319">
        <f t="shared" si="0"/>
        <v>364990.5</v>
      </c>
      <c r="J23" s="320" t="s">
        <v>2075</v>
      </c>
      <c r="K23" s="326"/>
      <c r="M23" s="14">
        <v>10</v>
      </c>
    </row>
    <row r="24" spans="1:13" ht="30" customHeight="1">
      <c r="A24" s="313">
        <v>16</v>
      </c>
      <c r="B24" s="314" t="s">
        <v>126</v>
      </c>
      <c r="C24" s="322" t="s">
        <v>2042</v>
      </c>
      <c r="D24" s="323"/>
      <c r="E24" s="324"/>
      <c r="F24" s="318">
        <v>1</v>
      </c>
      <c r="G24" s="316" t="s">
        <v>2011</v>
      </c>
      <c r="H24" s="325">
        <v>364990.5</v>
      </c>
      <c r="I24" s="319">
        <f t="shared" si="0"/>
        <v>364990.5</v>
      </c>
      <c r="J24" s="320" t="s">
        <v>2075</v>
      </c>
      <c r="K24" s="326"/>
      <c r="M24" s="14">
        <v>10</v>
      </c>
    </row>
    <row r="25" spans="1:13" ht="30" customHeight="1">
      <c r="A25" s="313">
        <v>17</v>
      </c>
      <c r="B25" s="314" t="s">
        <v>128</v>
      </c>
      <c r="C25" s="322" t="s">
        <v>2044</v>
      </c>
      <c r="D25" s="323"/>
      <c r="E25" s="324"/>
      <c r="F25" s="318">
        <v>1</v>
      </c>
      <c r="G25" s="316" t="s">
        <v>2011</v>
      </c>
      <c r="H25" s="325">
        <v>21328</v>
      </c>
      <c r="I25" s="319">
        <f t="shared" si="0"/>
        <v>21328</v>
      </c>
      <c r="J25" s="320" t="s">
        <v>2075</v>
      </c>
      <c r="K25" s="326"/>
      <c r="M25" s="14">
        <v>8</v>
      </c>
    </row>
    <row r="26" spans="1:13" ht="30" customHeight="1">
      <c r="A26" s="313">
        <v>18</v>
      </c>
      <c r="B26" s="314" t="s">
        <v>130</v>
      </c>
      <c r="C26" s="322" t="s">
        <v>131</v>
      </c>
      <c r="D26" s="323"/>
      <c r="E26" s="324"/>
      <c r="F26" s="318">
        <v>1</v>
      </c>
      <c r="G26" s="316" t="s">
        <v>2011</v>
      </c>
      <c r="H26" s="325">
        <v>11938</v>
      </c>
      <c r="I26" s="319">
        <f t="shared" si="0"/>
        <v>11938</v>
      </c>
      <c r="J26" s="320" t="s">
        <v>2075</v>
      </c>
      <c r="K26" s="326"/>
      <c r="M26" s="14">
        <v>8</v>
      </c>
    </row>
    <row r="27" spans="1:13" ht="30" customHeight="1">
      <c r="A27" s="313">
        <v>19</v>
      </c>
      <c r="B27" s="314" t="s">
        <v>132</v>
      </c>
      <c r="C27" s="322" t="s">
        <v>133</v>
      </c>
      <c r="D27" s="323"/>
      <c r="E27" s="324"/>
      <c r="F27" s="318">
        <v>1</v>
      </c>
      <c r="G27" s="316" t="s">
        <v>2011</v>
      </c>
      <c r="H27" s="325">
        <v>10197</v>
      </c>
      <c r="I27" s="319">
        <f t="shared" si="0"/>
        <v>10197</v>
      </c>
      <c r="J27" s="320" t="s">
        <v>2075</v>
      </c>
      <c r="K27" s="326"/>
    </row>
    <row r="28" spans="1:13" ht="30" customHeight="1">
      <c r="A28" s="313">
        <v>20</v>
      </c>
      <c r="B28" s="314" t="s">
        <v>134</v>
      </c>
      <c r="C28" s="322" t="s">
        <v>2046</v>
      </c>
      <c r="D28" s="323"/>
      <c r="E28" s="324"/>
      <c r="F28" s="318">
        <v>1</v>
      </c>
      <c r="G28" s="316" t="s">
        <v>2011</v>
      </c>
      <c r="H28" s="325">
        <v>17141</v>
      </c>
      <c r="I28" s="319">
        <f t="shared" si="0"/>
        <v>17141</v>
      </c>
      <c r="J28" s="320" t="s">
        <v>2075</v>
      </c>
      <c r="K28" s="326"/>
    </row>
    <row r="29" spans="1:13" ht="30" customHeight="1">
      <c r="A29" s="313">
        <v>21</v>
      </c>
      <c r="B29" s="314" t="s">
        <v>136</v>
      </c>
      <c r="C29" s="322" t="s">
        <v>2046</v>
      </c>
      <c r="D29" s="323"/>
      <c r="E29" s="324"/>
      <c r="F29" s="318">
        <v>1</v>
      </c>
      <c r="G29" s="316" t="s">
        <v>2011</v>
      </c>
      <c r="H29" s="325">
        <v>17141</v>
      </c>
      <c r="I29" s="319">
        <f t="shared" si="0"/>
        <v>17141</v>
      </c>
      <c r="J29" s="320" t="s">
        <v>2075</v>
      </c>
      <c r="K29" s="326"/>
    </row>
    <row r="30" spans="1:13" ht="30" customHeight="1">
      <c r="A30" s="313">
        <v>22</v>
      </c>
      <c r="B30" s="314" t="s">
        <v>138</v>
      </c>
      <c r="C30" s="322" t="s">
        <v>2046</v>
      </c>
      <c r="D30" s="323"/>
      <c r="E30" s="324"/>
      <c r="F30" s="318">
        <v>1</v>
      </c>
      <c r="G30" s="316" t="s">
        <v>2011</v>
      </c>
      <c r="H30" s="325">
        <v>17141</v>
      </c>
      <c r="I30" s="319">
        <f t="shared" si="0"/>
        <v>17141</v>
      </c>
      <c r="J30" s="320" t="s">
        <v>2075</v>
      </c>
      <c r="K30" s="326"/>
    </row>
    <row r="31" spans="1:13" ht="30" customHeight="1">
      <c r="A31" s="313">
        <v>23</v>
      </c>
      <c r="B31" s="314" t="s">
        <v>140</v>
      </c>
      <c r="C31" s="322" t="s">
        <v>2046</v>
      </c>
      <c r="D31" s="323"/>
      <c r="E31" s="324"/>
      <c r="F31" s="318">
        <v>1</v>
      </c>
      <c r="G31" s="316" t="s">
        <v>2011</v>
      </c>
      <c r="H31" s="325">
        <v>17141</v>
      </c>
      <c r="I31" s="319">
        <f t="shared" si="0"/>
        <v>17141</v>
      </c>
      <c r="J31" s="320" t="s">
        <v>2075</v>
      </c>
      <c r="K31" s="326"/>
    </row>
    <row r="32" spans="1:13" ht="30" customHeight="1">
      <c r="A32" s="313">
        <v>24</v>
      </c>
      <c r="B32" s="314" t="s">
        <v>141</v>
      </c>
      <c r="C32" s="322" t="s">
        <v>2048</v>
      </c>
      <c r="D32" s="323"/>
      <c r="E32" s="324"/>
      <c r="F32" s="318">
        <v>1</v>
      </c>
      <c r="G32" s="316" t="s">
        <v>2011</v>
      </c>
      <c r="H32" s="325">
        <v>76206</v>
      </c>
      <c r="I32" s="319">
        <f t="shared" si="0"/>
        <v>76206</v>
      </c>
      <c r="J32" s="320" t="s">
        <v>2075</v>
      </c>
      <c r="K32" s="326"/>
      <c r="M32" s="14">
        <v>9</v>
      </c>
    </row>
    <row r="33" spans="1:13" ht="30" customHeight="1">
      <c r="A33" s="313">
        <v>25</v>
      </c>
      <c r="B33" s="314" t="s">
        <v>143</v>
      </c>
      <c r="C33" s="322" t="s">
        <v>2048</v>
      </c>
      <c r="D33" s="323"/>
      <c r="E33" s="324"/>
      <c r="F33" s="318">
        <v>1</v>
      </c>
      <c r="G33" s="316" t="s">
        <v>2011</v>
      </c>
      <c r="H33" s="325">
        <v>65357</v>
      </c>
      <c r="I33" s="319">
        <f t="shared" si="0"/>
        <v>65357</v>
      </c>
      <c r="J33" s="320" t="s">
        <v>2075</v>
      </c>
      <c r="K33" s="326"/>
      <c r="M33" s="14">
        <v>9</v>
      </c>
    </row>
    <row r="34" spans="1:13" ht="30" customHeight="1">
      <c r="A34" s="313">
        <v>26</v>
      </c>
      <c r="B34" s="314" t="s">
        <v>144</v>
      </c>
      <c r="C34" s="322" t="s">
        <v>2048</v>
      </c>
      <c r="D34" s="323"/>
      <c r="E34" s="324"/>
      <c r="F34" s="318">
        <v>1</v>
      </c>
      <c r="G34" s="316" t="s">
        <v>2011</v>
      </c>
      <c r="H34" s="325">
        <v>16015</v>
      </c>
      <c r="I34" s="319">
        <f t="shared" si="0"/>
        <v>16015</v>
      </c>
      <c r="J34" s="320" t="s">
        <v>2075</v>
      </c>
      <c r="K34" s="326"/>
      <c r="M34" s="14">
        <v>9</v>
      </c>
    </row>
    <row r="35" spans="1:13" ht="30" customHeight="1">
      <c r="A35" s="313">
        <v>27</v>
      </c>
      <c r="B35" s="314" t="s">
        <v>145</v>
      </c>
      <c r="C35" s="322" t="s">
        <v>2048</v>
      </c>
      <c r="D35" s="323"/>
      <c r="E35" s="324"/>
      <c r="F35" s="318">
        <v>1</v>
      </c>
      <c r="G35" s="316" t="s">
        <v>2011</v>
      </c>
      <c r="H35" s="325">
        <v>58364</v>
      </c>
      <c r="I35" s="319">
        <f t="shared" si="0"/>
        <v>58364</v>
      </c>
      <c r="J35" s="320" t="s">
        <v>2075</v>
      </c>
      <c r="K35" s="326"/>
      <c r="M35" s="14">
        <v>9</v>
      </c>
    </row>
    <row r="36" spans="1:13" ht="30" customHeight="1">
      <c r="A36" s="313">
        <v>28</v>
      </c>
      <c r="B36" s="314" t="s">
        <v>146</v>
      </c>
      <c r="C36" s="322" t="s">
        <v>2048</v>
      </c>
      <c r="D36" s="323"/>
      <c r="E36" s="324"/>
      <c r="F36" s="318">
        <v>1</v>
      </c>
      <c r="G36" s="316" t="s">
        <v>2011</v>
      </c>
      <c r="H36" s="325">
        <v>49120</v>
      </c>
      <c r="I36" s="319">
        <f t="shared" si="0"/>
        <v>49120</v>
      </c>
      <c r="J36" s="320" t="s">
        <v>2075</v>
      </c>
      <c r="K36" s="326"/>
      <c r="M36" s="14">
        <v>9</v>
      </c>
    </row>
    <row r="37" spans="1:13" ht="30" customHeight="1">
      <c r="A37" s="313">
        <v>29</v>
      </c>
      <c r="B37" s="314" t="s">
        <v>147</v>
      </c>
      <c r="C37" s="322" t="s">
        <v>2048</v>
      </c>
      <c r="D37" s="323"/>
      <c r="E37" s="324"/>
      <c r="F37" s="318">
        <v>1</v>
      </c>
      <c r="G37" s="316" t="s">
        <v>2011</v>
      </c>
      <c r="H37" s="325">
        <v>80452</v>
      </c>
      <c r="I37" s="319">
        <f t="shared" si="0"/>
        <v>80452</v>
      </c>
      <c r="J37" s="320" t="s">
        <v>2075</v>
      </c>
      <c r="K37" s="326"/>
      <c r="M37" s="14">
        <v>9</v>
      </c>
    </row>
    <row r="38" spans="1:13" ht="30" customHeight="1">
      <c r="A38" s="313">
        <v>30</v>
      </c>
      <c r="B38" s="314" t="s">
        <v>148</v>
      </c>
      <c r="C38" s="322" t="s">
        <v>2048</v>
      </c>
      <c r="D38" s="323"/>
      <c r="E38" s="324"/>
      <c r="F38" s="318">
        <v>1</v>
      </c>
      <c r="G38" s="316" t="s">
        <v>2011</v>
      </c>
      <c r="H38" s="325">
        <v>87402</v>
      </c>
      <c r="I38" s="319">
        <f t="shared" si="0"/>
        <v>87402</v>
      </c>
      <c r="J38" s="320" t="s">
        <v>2075</v>
      </c>
      <c r="K38" s="326"/>
      <c r="M38" s="14">
        <v>9</v>
      </c>
    </row>
    <row r="39" spans="1:13" ht="30" customHeight="1">
      <c r="A39" s="313">
        <v>31</v>
      </c>
      <c r="B39" s="314" t="s">
        <v>149</v>
      </c>
      <c r="C39" s="322" t="s">
        <v>2048</v>
      </c>
      <c r="D39" s="323"/>
      <c r="E39" s="324"/>
      <c r="F39" s="318">
        <v>1</v>
      </c>
      <c r="G39" s="316" t="s">
        <v>2011</v>
      </c>
      <c r="H39" s="325">
        <v>80639</v>
      </c>
      <c r="I39" s="319">
        <f t="shared" si="0"/>
        <v>80639</v>
      </c>
      <c r="J39" s="320" t="s">
        <v>2075</v>
      </c>
      <c r="K39" s="326"/>
      <c r="M39" s="14">
        <v>9</v>
      </c>
    </row>
    <row r="40" spans="1:13" ht="30" customHeight="1">
      <c r="A40" s="313">
        <v>32</v>
      </c>
      <c r="B40" s="314" t="s">
        <v>150</v>
      </c>
      <c r="C40" s="322" t="s">
        <v>2048</v>
      </c>
      <c r="D40" s="323"/>
      <c r="E40" s="324"/>
      <c r="F40" s="318">
        <v>1</v>
      </c>
      <c r="G40" s="316" t="s">
        <v>2011</v>
      </c>
      <c r="H40" s="325">
        <v>93311</v>
      </c>
      <c r="I40" s="319">
        <f t="shared" si="0"/>
        <v>93311</v>
      </c>
      <c r="J40" s="320" t="s">
        <v>2075</v>
      </c>
      <c r="K40" s="326"/>
      <c r="M40" s="14">
        <v>9</v>
      </c>
    </row>
    <row r="41" spans="1:13" ht="30" customHeight="1">
      <c r="A41" s="313">
        <v>33</v>
      </c>
      <c r="B41" s="314" t="s">
        <v>151</v>
      </c>
      <c r="C41" s="322" t="s">
        <v>2048</v>
      </c>
      <c r="D41" s="323"/>
      <c r="E41" s="324"/>
      <c r="F41" s="318">
        <v>1</v>
      </c>
      <c r="G41" s="316" t="s">
        <v>2011</v>
      </c>
      <c r="H41" s="325">
        <v>26538</v>
      </c>
      <c r="I41" s="319">
        <f t="shared" si="0"/>
        <v>26538</v>
      </c>
      <c r="J41" s="320" t="s">
        <v>2075</v>
      </c>
      <c r="K41" s="326"/>
      <c r="M41" s="14">
        <v>9</v>
      </c>
    </row>
    <row r="42" spans="1:13" ht="30" customHeight="1">
      <c r="A42" s="313">
        <v>34</v>
      </c>
      <c r="B42" s="314" t="s">
        <v>152</v>
      </c>
      <c r="C42" s="322" t="s">
        <v>2048</v>
      </c>
      <c r="D42" s="323"/>
      <c r="E42" s="324"/>
      <c r="F42" s="318">
        <v>1</v>
      </c>
      <c r="G42" s="316" t="s">
        <v>2011</v>
      </c>
      <c r="H42" s="325">
        <v>14669</v>
      </c>
      <c r="I42" s="319">
        <f t="shared" si="0"/>
        <v>14669</v>
      </c>
      <c r="J42" s="320" t="s">
        <v>2075</v>
      </c>
      <c r="K42" s="326"/>
      <c r="M42" s="14">
        <v>9</v>
      </c>
    </row>
    <row r="43" spans="1:13" ht="30" customHeight="1">
      <c r="A43" s="313">
        <v>35</v>
      </c>
      <c r="B43" s="314" t="s">
        <v>153</v>
      </c>
      <c r="C43" s="322" t="s">
        <v>2048</v>
      </c>
      <c r="D43" s="323"/>
      <c r="E43" s="324"/>
      <c r="F43" s="318">
        <v>1</v>
      </c>
      <c r="G43" s="316" t="s">
        <v>2011</v>
      </c>
      <c r="H43" s="325">
        <v>9179</v>
      </c>
      <c r="I43" s="319">
        <f t="shared" si="0"/>
        <v>9179</v>
      </c>
      <c r="J43" s="320" t="s">
        <v>2075</v>
      </c>
      <c r="K43" s="326"/>
      <c r="M43" s="14">
        <v>9</v>
      </c>
    </row>
    <row r="44" spans="1:13" ht="30" customHeight="1">
      <c r="A44" s="313">
        <v>36</v>
      </c>
      <c r="B44" s="314" t="s">
        <v>154</v>
      </c>
      <c r="C44" s="322" t="s">
        <v>2048</v>
      </c>
      <c r="D44" s="323"/>
      <c r="E44" s="324"/>
      <c r="F44" s="318">
        <v>1</v>
      </c>
      <c r="G44" s="316" t="s">
        <v>2011</v>
      </c>
      <c r="H44" s="325">
        <v>13091</v>
      </c>
      <c r="I44" s="319">
        <f t="shared" si="0"/>
        <v>13091</v>
      </c>
      <c r="J44" s="320" t="s">
        <v>2075</v>
      </c>
      <c r="K44" s="326"/>
      <c r="M44" s="14">
        <v>9</v>
      </c>
    </row>
    <row r="45" spans="1:13" ht="30" customHeight="1">
      <c r="A45" s="313">
        <v>37</v>
      </c>
      <c r="B45" s="314" t="s">
        <v>155</v>
      </c>
      <c r="C45" s="322" t="s">
        <v>2048</v>
      </c>
      <c r="D45" s="323"/>
      <c r="E45" s="324"/>
      <c r="F45" s="318">
        <v>1</v>
      </c>
      <c r="G45" s="316" t="s">
        <v>2011</v>
      </c>
      <c r="H45" s="325">
        <v>26736</v>
      </c>
      <c r="I45" s="319">
        <f t="shared" si="0"/>
        <v>26736</v>
      </c>
      <c r="J45" s="320" t="s">
        <v>2075</v>
      </c>
      <c r="K45" s="326"/>
      <c r="M45" s="14">
        <v>9</v>
      </c>
    </row>
    <row r="46" spans="1:13" ht="30" customHeight="1">
      <c r="A46" s="313">
        <v>38</v>
      </c>
      <c r="B46" s="314" t="s">
        <v>156</v>
      </c>
      <c r="C46" s="322" t="s">
        <v>1861</v>
      </c>
      <c r="D46" s="323"/>
      <c r="E46" s="324"/>
      <c r="F46" s="318">
        <v>1</v>
      </c>
      <c r="G46" s="316" t="s">
        <v>2011</v>
      </c>
      <c r="H46" s="325">
        <v>27177</v>
      </c>
      <c r="I46" s="319">
        <f t="shared" si="0"/>
        <v>27177</v>
      </c>
      <c r="J46" s="320" t="s">
        <v>2075</v>
      </c>
      <c r="K46" s="326"/>
      <c r="M46" s="14">
        <v>9</v>
      </c>
    </row>
    <row r="47" spans="1:13" ht="30" customHeight="1">
      <c r="A47" s="313">
        <v>39</v>
      </c>
      <c r="B47" s="314" t="s">
        <v>157</v>
      </c>
      <c r="C47" s="322" t="s">
        <v>1861</v>
      </c>
      <c r="D47" s="323"/>
      <c r="E47" s="324"/>
      <c r="F47" s="318">
        <v>1</v>
      </c>
      <c r="G47" s="316" t="s">
        <v>2011</v>
      </c>
      <c r="H47" s="325">
        <v>56945</v>
      </c>
      <c r="I47" s="319">
        <f t="shared" si="0"/>
        <v>56945</v>
      </c>
      <c r="J47" s="320" t="s">
        <v>2075</v>
      </c>
      <c r="K47" s="326"/>
      <c r="M47" s="14">
        <v>9</v>
      </c>
    </row>
    <row r="48" spans="1:13" ht="30" customHeight="1">
      <c r="A48" s="313">
        <v>40</v>
      </c>
      <c r="B48" s="314" t="s">
        <v>158</v>
      </c>
      <c r="C48" s="322" t="s">
        <v>1861</v>
      </c>
      <c r="D48" s="323"/>
      <c r="E48" s="324"/>
      <c r="F48" s="318">
        <v>1</v>
      </c>
      <c r="G48" s="316" t="s">
        <v>2011</v>
      </c>
      <c r="H48" s="325">
        <v>29772</v>
      </c>
      <c r="I48" s="319">
        <f t="shared" si="0"/>
        <v>29772</v>
      </c>
      <c r="J48" s="320" t="s">
        <v>2075</v>
      </c>
      <c r="K48" s="326"/>
      <c r="M48" s="14">
        <v>9</v>
      </c>
    </row>
    <row r="49" spans="1:13" ht="30" customHeight="1">
      <c r="A49" s="313">
        <v>41</v>
      </c>
      <c r="B49" s="314" t="s">
        <v>159</v>
      </c>
      <c r="C49" s="322" t="s">
        <v>2051</v>
      </c>
      <c r="D49" s="323"/>
      <c r="E49" s="324"/>
      <c r="F49" s="318">
        <v>1</v>
      </c>
      <c r="G49" s="316" t="s">
        <v>2011</v>
      </c>
      <c r="H49" s="325">
        <v>31903</v>
      </c>
      <c r="I49" s="319">
        <f t="shared" si="0"/>
        <v>31903</v>
      </c>
      <c r="J49" s="320" t="s">
        <v>2075</v>
      </c>
      <c r="K49" s="326"/>
    </row>
    <row r="50" spans="1:13" ht="30" customHeight="1">
      <c r="A50" s="313">
        <v>42</v>
      </c>
      <c r="B50" s="314" t="s">
        <v>160</v>
      </c>
      <c r="C50" s="322" t="s">
        <v>2053</v>
      </c>
      <c r="D50" s="323"/>
      <c r="E50" s="324"/>
      <c r="F50" s="318">
        <v>1</v>
      </c>
      <c r="G50" s="316" t="s">
        <v>2011</v>
      </c>
      <c r="H50" s="325">
        <v>9193</v>
      </c>
      <c r="I50" s="319">
        <f t="shared" si="0"/>
        <v>9193</v>
      </c>
      <c r="J50" s="320" t="s">
        <v>2075</v>
      </c>
      <c r="K50" s="326"/>
    </row>
    <row r="51" spans="1:13" ht="30" customHeight="1">
      <c r="A51" s="313">
        <v>43</v>
      </c>
      <c r="B51" s="314" t="s">
        <v>161</v>
      </c>
      <c r="C51" s="322" t="s">
        <v>2055</v>
      </c>
      <c r="D51" s="323"/>
      <c r="E51" s="324"/>
      <c r="F51" s="318">
        <v>1</v>
      </c>
      <c r="G51" s="316" t="s">
        <v>2011</v>
      </c>
      <c r="H51" s="325">
        <v>25745</v>
      </c>
      <c r="I51" s="319">
        <f t="shared" si="0"/>
        <v>25745</v>
      </c>
      <c r="J51" s="320" t="s">
        <v>2075</v>
      </c>
      <c r="K51" s="326"/>
    </row>
    <row r="52" spans="1:13" ht="30" customHeight="1">
      <c r="A52" s="313">
        <v>44</v>
      </c>
      <c r="B52" s="314" t="s">
        <v>162</v>
      </c>
      <c r="C52" s="322" t="s">
        <v>2055</v>
      </c>
      <c r="D52" s="323"/>
      <c r="E52" s="324"/>
      <c r="F52" s="318">
        <v>1</v>
      </c>
      <c r="G52" s="316" t="s">
        <v>2011</v>
      </c>
      <c r="H52" s="325">
        <v>1705</v>
      </c>
      <c r="I52" s="319">
        <f t="shared" si="0"/>
        <v>1705</v>
      </c>
      <c r="J52" s="320" t="s">
        <v>2075</v>
      </c>
      <c r="K52" s="326"/>
    </row>
    <row r="53" spans="1:13" ht="30" customHeight="1">
      <c r="A53" s="313">
        <v>45</v>
      </c>
      <c r="B53" s="314" t="s">
        <v>163</v>
      </c>
      <c r="C53" s="322" t="s">
        <v>2055</v>
      </c>
      <c r="D53" s="323"/>
      <c r="E53" s="324"/>
      <c r="F53" s="318">
        <v>1</v>
      </c>
      <c r="G53" s="316" t="s">
        <v>2011</v>
      </c>
      <c r="H53" s="325">
        <v>1978</v>
      </c>
      <c r="I53" s="319">
        <f t="shared" si="0"/>
        <v>1978</v>
      </c>
      <c r="J53" s="320" t="s">
        <v>2075</v>
      </c>
      <c r="K53" s="326"/>
    </row>
    <row r="54" spans="1:13" ht="30" customHeight="1">
      <c r="A54" s="313">
        <v>46</v>
      </c>
      <c r="B54" s="314" t="s">
        <v>164</v>
      </c>
      <c r="C54" s="322" t="s">
        <v>2055</v>
      </c>
      <c r="D54" s="323"/>
      <c r="E54" s="324"/>
      <c r="F54" s="318">
        <v>1</v>
      </c>
      <c r="G54" s="316" t="s">
        <v>2011</v>
      </c>
      <c r="H54" s="325">
        <v>1535</v>
      </c>
      <c r="I54" s="319">
        <f t="shared" si="0"/>
        <v>1535</v>
      </c>
      <c r="J54" s="320" t="s">
        <v>2075</v>
      </c>
      <c r="K54" s="326"/>
    </row>
    <row r="55" spans="1:13" ht="30" customHeight="1">
      <c r="A55" s="313">
        <v>47</v>
      </c>
      <c r="B55" s="314" t="s">
        <v>165</v>
      </c>
      <c r="C55" s="322" t="s">
        <v>2056</v>
      </c>
      <c r="D55" s="323"/>
      <c r="E55" s="324"/>
      <c r="F55" s="318">
        <v>1</v>
      </c>
      <c r="G55" s="316" t="s">
        <v>2011</v>
      </c>
      <c r="H55" s="325">
        <v>20807</v>
      </c>
      <c r="I55" s="319">
        <f t="shared" si="0"/>
        <v>20807</v>
      </c>
      <c r="J55" s="320" t="s">
        <v>2075</v>
      </c>
      <c r="K55" s="326"/>
      <c r="M55" s="14">
        <v>3</v>
      </c>
    </row>
    <row r="56" spans="1:13" ht="30" customHeight="1">
      <c r="A56" s="313">
        <v>48</v>
      </c>
      <c r="B56" s="314" t="s">
        <v>166</v>
      </c>
      <c r="C56" s="322" t="s">
        <v>2057</v>
      </c>
      <c r="D56" s="323"/>
      <c r="E56" s="324"/>
      <c r="F56" s="318">
        <v>1</v>
      </c>
      <c r="G56" s="316" t="s">
        <v>2011</v>
      </c>
      <c r="H56" s="325">
        <v>2560</v>
      </c>
      <c r="I56" s="319">
        <f t="shared" si="0"/>
        <v>2560</v>
      </c>
      <c r="J56" s="320" t="s">
        <v>2075</v>
      </c>
      <c r="K56" s="326"/>
      <c r="M56" s="14">
        <v>3</v>
      </c>
    </row>
    <row r="57" spans="1:13" ht="30" customHeight="1">
      <c r="A57" s="313">
        <v>49</v>
      </c>
      <c r="B57" s="314" t="s">
        <v>167</v>
      </c>
      <c r="C57" s="322" t="s">
        <v>168</v>
      </c>
      <c r="D57" s="323"/>
      <c r="E57" s="324"/>
      <c r="F57" s="318">
        <v>1</v>
      </c>
      <c r="G57" s="316" t="s">
        <v>2011</v>
      </c>
      <c r="H57" s="325">
        <v>7675</v>
      </c>
      <c r="I57" s="319">
        <f t="shared" si="0"/>
        <v>7675</v>
      </c>
      <c r="J57" s="320" t="s">
        <v>2075</v>
      </c>
      <c r="K57" s="326"/>
      <c r="M57" s="14">
        <v>3</v>
      </c>
    </row>
    <row r="58" spans="1:13" ht="30" customHeight="1">
      <c r="A58" s="313">
        <v>50</v>
      </c>
      <c r="B58" s="314" t="s">
        <v>169</v>
      </c>
      <c r="C58" s="322" t="s">
        <v>170</v>
      </c>
      <c r="D58" s="323"/>
      <c r="E58" s="324"/>
      <c r="F58" s="318">
        <v>1</v>
      </c>
      <c r="G58" s="316" t="s">
        <v>2011</v>
      </c>
      <c r="H58" s="325">
        <v>1705</v>
      </c>
      <c r="I58" s="319">
        <f t="shared" si="0"/>
        <v>1705</v>
      </c>
      <c r="J58" s="320" t="s">
        <v>2075</v>
      </c>
      <c r="K58" s="326"/>
      <c r="M58" s="14">
        <v>3</v>
      </c>
    </row>
    <row r="59" spans="1:13" ht="30" customHeight="1">
      <c r="A59" s="313">
        <v>51</v>
      </c>
      <c r="B59" s="314" t="s">
        <v>171</v>
      </c>
      <c r="C59" s="322" t="s">
        <v>172</v>
      </c>
      <c r="D59" s="323"/>
      <c r="E59" s="324"/>
      <c r="F59" s="318">
        <v>1</v>
      </c>
      <c r="G59" s="316" t="s">
        <v>2011</v>
      </c>
      <c r="H59" s="325">
        <v>5969</v>
      </c>
      <c r="I59" s="319">
        <f t="shared" si="0"/>
        <v>5969</v>
      </c>
      <c r="J59" s="320" t="s">
        <v>2075</v>
      </c>
      <c r="K59" s="326"/>
      <c r="M59" s="14">
        <v>3</v>
      </c>
    </row>
    <row r="60" spans="1:13" ht="30" customHeight="1">
      <c r="A60" s="313">
        <v>52</v>
      </c>
      <c r="B60" s="314" t="s">
        <v>174</v>
      </c>
      <c r="C60" s="322" t="s">
        <v>175</v>
      </c>
      <c r="D60" s="323"/>
      <c r="E60" s="324"/>
      <c r="F60" s="318">
        <v>1</v>
      </c>
      <c r="G60" s="316" t="s">
        <v>2011</v>
      </c>
      <c r="H60" s="325">
        <v>3413</v>
      </c>
      <c r="I60" s="319">
        <f t="shared" si="0"/>
        <v>3413</v>
      </c>
      <c r="J60" s="320" t="s">
        <v>2075</v>
      </c>
      <c r="K60" s="326"/>
      <c r="M60" s="14">
        <v>3</v>
      </c>
    </row>
    <row r="61" spans="1:13" ht="30" customHeight="1">
      <c r="A61" s="313">
        <v>53</v>
      </c>
      <c r="B61" s="314" t="s">
        <v>176</v>
      </c>
      <c r="C61" s="322" t="s">
        <v>177</v>
      </c>
      <c r="D61" s="323"/>
      <c r="E61" s="324"/>
      <c r="F61" s="318">
        <v>1</v>
      </c>
      <c r="G61" s="316" t="s">
        <v>2011</v>
      </c>
      <c r="H61" s="325">
        <v>13645</v>
      </c>
      <c r="I61" s="319">
        <f t="shared" si="0"/>
        <v>13645</v>
      </c>
      <c r="J61" s="320" t="s">
        <v>2075</v>
      </c>
      <c r="K61" s="326"/>
      <c r="M61" s="14">
        <v>3</v>
      </c>
    </row>
    <row r="62" spans="1:13" ht="30" customHeight="1">
      <c r="A62" s="313">
        <v>54</v>
      </c>
      <c r="B62" s="314" t="s">
        <v>178</v>
      </c>
      <c r="C62" s="322" t="s">
        <v>179</v>
      </c>
      <c r="D62" s="323"/>
      <c r="E62" s="324"/>
      <c r="F62" s="318">
        <v>1</v>
      </c>
      <c r="G62" s="316" t="s">
        <v>2011</v>
      </c>
      <c r="H62" s="325">
        <v>9381</v>
      </c>
      <c r="I62" s="319">
        <f t="shared" si="0"/>
        <v>9381</v>
      </c>
      <c r="J62" s="320" t="s">
        <v>2075</v>
      </c>
      <c r="K62" s="326"/>
      <c r="M62" s="14">
        <v>3</v>
      </c>
    </row>
    <row r="63" spans="1:13" ht="30" customHeight="1">
      <c r="A63" s="313">
        <v>55</v>
      </c>
      <c r="B63" s="314" t="s">
        <v>180</v>
      </c>
      <c r="C63" s="322" t="s">
        <v>2058</v>
      </c>
      <c r="D63" s="323"/>
      <c r="E63" s="324"/>
      <c r="F63" s="318">
        <v>1</v>
      </c>
      <c r="G63" s="316" t="s">
        <v>2011</v>
      </c>
      <c r="H63" s="325">
        <v>649</v>
      </c>
      <c r="I63" s="319">
        <f t="shared" si="0"/>
        <v>649</v>
      </c>
      <c r="J63" s="320" t="s">
        <v>2075</v>
      </c>
      <c r="K63" s="326"/>
      <c r="M63" s="14">
        <v>3</v>
      </c>
    </row>
    <row r="64" spans="1:13" ht="30" customHeight="1">
      <c r="A64" s="313">
        <v>56</v>
      </c>
      <c r="B64" s="314" t="s">
        <v>181</v>
      </c>
      <c r="C64" s="322" t="s">
        <v>2059</v>
      </c>
      <c r="D64" s="323"/>
      <c r="E64" s="324"/>
      <c r="F64" s="318">
        <v>1</v>
      </c>
      <c r="G64" s="316" t="s">
        <v>2011</v>
      </c>
      <c r="H64" s="325">
        <v>1705</v>
      </c>
      <c r="I64" s="319">
        <f t="shared" si="0"/>
        <v>1705</v>
      </c>
      <c r="J64" s="320" t="s">
        <v>2075</v>
      </c>
      <c r="K64" s="326"/>
      <c r="M64" s="14">
        <v>3</v>
      </c>
    </row>
    <row r="65" spans="1:11" ht="30" customHeight="1">
      <c r="A65" s="313">
        <v>57</v>
      </c>
      <c r="B65" s="314" t="s">
        <v>182</v>
      </c>
      <c r="C65" s="322" t="s">
        <v>2060</v>
      </c>
      <c r="D65" s="323"/>
      <c r="E65" s="324"/>
      <c r="F65" s="318">
        <v>1</v>
      </c>
      <c r="G65" s="316" t="s">
        <v>2011</v>
      </c>
      <c r="H65" s="325">
        <v>342</v>
      </c>
      <c r="I65" s="319">
        <f t="shared" si="0"/>
        <v>342</v>
      </c>
      <c r="J65" s="320" t="s">
        <v>2075</v>
      </c>
      <c r="K65" s="326"/>
    </row>
    <row r="66" spans="1:11" ht="30" customHeight="1">
      <c r="A66" s="313">
        <v>58</v>
      </c>
      <c r="B66" s="314" t="s">
        <v>183</v>
      </c>
      <c r="C66" s="322" t="s">
        <v>2060</v>
      </c>
      <c r="D66" s="323"/>
      <c r="E66" s="324"/>
      <c r="F66" s="318">
        <v>1</v>
      </c>
      <c r="G66" s="316" t="s">
        <v>2011</v>
      </c>
      <c r="H66" s="325">
        <v>12245</v>
      </c>
      <c r="I66" s="319">
        <f t="shared" si="0"/>
        <v>12245</v>
      </c>
      <c r="J66" s="320" t="s">
        <v>2075</v>
      </c>
      <c r="K66" s="326"/>
    </row>
    <row r="67" spans="1:11" ht="30" customHeight="1">
      <c r="A67" s="313">
        <v>59</v>
      </c>
      <c r="B67" s="314" t="s">
        <v>184</v>
      </c>
      <c r="C67" s="322" t="s">
        <v>2060</v>
      </c>
      <c r="D67" s="323"/>
      <c r="E67" s="324"/>
      <c r="F67" s="318">
        <v>1</v>
      </c>
      <c r="G67" s="316" t="s">
        <v>2011</v>
      </c>
      <c r="H67" s="325">
        <v>7572</v>
      </c>
      <c r="I67" s="319">
        <f t="shared" si="0"/>
        <v>7572</v>
      </c>
      <c r="J67" s="320" t="s">
        <v>2075</v>
      </c>
      <c r="K67" s="326"/>
    </row>
    <row r="68" spans="1:11" ht="30" customHeight="1">
      <c r="A68" s="313">
        <v>60</v>
      </c>
      <c r="B68" s="314" t="s">
        <v>185</v>
      </c>
      <c r="C68" s="322" t="s">
        <v>2060</v>
      </c>
      <c r="D68" s="323"/>
      <c r="E68" s="324"/>
      <c r="F68" s="318">
        <v>1</v>
      </c>
      <c r="G68" s="316" t="s">
        <v>2011</v>
      </c>
      <c r="H68" s="325">
        <v>19171</v>
      </c>
      <c r="I68" s="319">
        <f t="shared" si="0"/>
        <v>19171</v>
      </c>
      <c r="J68" s="320" t="s">
        <v>2075</v>
      </c>
      <c r="K68" s="326"/>
    </row>
    <row r="69" spans="1:11" ht="30" customHeight="1">
      <c r="A69" s="313">
        <v>61</v>
      </c>
      <c r="B69" s="314" t="s">
        <v>186</v>
      </c>
      <c r="C69" s="322" t="s">
        <v>2060</v>
      </c>
      <c r="D69" s="323"/>
      <c r="E69" s="324"/>
      <c r="F69" s="318">
        <v>1</v>
      </c>
      <c r="G69" s="316" t="s">
        <v>2011</v>
      </c>
      <c r="H69" s="325">
        <v>7419</v>
      </c>
      <c r="I69" s="319">
        <f t="shared" si="0"/>
        <v>7419</v>
      </c>
      <c r="J69" s="320" t="s">
        <v>2075</v>
      </c>
      <c r="K69" s="326"/>
    </row>
    <row r="70" spans="1:11" ht="30" customHeight="1">
      <c r="A70" s="313">
        <v>62</v>
      </c>
      <c r="B70" s="314" t="s">
        <v>187</v>
      </c>
      <c r="C70" s="322" t="s">
        <v>2060</v>
      </c>
      <c r="D70" s="323"/>
      <c r="E70" s="324"/>
      <c r="F70" s="318">
        <v>1</v>
      </c>
      <c r="G70" s="316" t="s">
        <v>2011</v>
      </c>
      <c r="H70" s="325">
        <v>342</v>
      </c>
      <c r="I70" s="319">
        <f t="shared" si="0"/>
        <v>342</v>
      </c>
      <c r="J70" s="320" t="s">
        <v>2075</v>
      </c>
      <c r="K70" s="326"/>
    </row>
    <row r="71" spans="1:11" ht="30" customHeight="1">
      <c r="A71" s="313">
        <v>63</v>
      </c>
      <c r="B71" s="314" t="s">
        <v>188</v>
      </c>
      <c r="C71" s="322" t="s">
        <v>2060</v>
      </c>
      <c r="D71" s="323"/>
      <c r="E71" s="324"/>
      <c r="F71" s="318">
        <v>1</v>
      </c>
      <c r="G71" s="316" t="s">
        <v>2011</v>
      </c>
      <c r="H71" s="325">
        <v>8152</v>
      </c>
      <c r="I71" s="319">
        <f t="shared" si="0"/>
        <v>8152</v>
      </c>
      <c r="J71" s="320" t="s">
        <v>2075</v>
      </c>
      <c r="K71" s="326"/>
    </row>
    <row r="72" spans="1:11" ht="30" customHeight="1">
      <c r="A72" s="313">
        <v>64</v>
      </c>
      <c r="B72" s="314" t="s">
        <v>190</v>
      </c>
      <c r="C72" s="322" t="s">
        <v>2060</v>
      </c>
      <c r="D72" s="323"/>
      <c r="E72" s="324"/>
      <c r="F72" s="318">
        <v>1</v>
      </c>
      <c r="G72" s="316" t="s">
        <v>2011</v>
      </c>
      <c r="H72" s="325">
        <v>10216</v>
      </c>
      <c r="I72" s="319">
        <f t="shared" si="0"/>
        <v>10216</v>
      </c>
      <c r="J72" s="320" t="s">
        <v>2075</v>
      </c>
      <c r="K72" s="326"/>
    </row>
    <row r="73" spans="1:11" ht="30" customHeight="1">
      <c r="A73" s="313">
        <v>65</v>
      </c>
      <c r="B73" s="314" t="s">
        <v>191</v>
      </c>
      <c r="C73" s="322" t="s">
        <v>2060</v>
      </c>
      <c r="D73" s="323"/>
      <c r="E73" s="324"/>
      <c r="F73" s="318">
        <v>1</v>
      </c>
      <c r="G73" s="316" t="s">
        <v>2011</v>
      </c>
      <c r="H73" s="325">
        <v>18062</v>
      </c>
      <c r="I73" s="319">
        <f t="shared" si="0"/>
        <v>18062</v>
      </c>
      <c r="J73" s="320" t="s">
        <v>2075</v>
      </c>
      <c r="K73" s="326"/>
    </row>
    <row r="74" spans="1:11" ht="30" customHeight="1">
      <c r="A74" s="313">
        <v>66</v>
      </c>
      <c r="B74" s="314" t="s">
        <v>192</v>
      </c>
      <c r="C74" s="322" t="s">
        <v>2060</v>
      </c>
      <c r="D74" s="323"/>
      <c r="E74" s="324"/>
      <c r="F74" s="318">
        <v>1</v>
      </c>
      <c r="G74" s="316" t="s">
        <v>2011</v>
      </c>
      <c r="H74" s="325">
        <v>11120</v>
      </c>
      <c r="I74" s="319">
        <f t="shared" ref="I74:I137" si="1">F74*H74</f>
        <v>11120</v>
      </c>
      <c r="J74" s="320" t="s">
        <v>2075</v>
      </c>
      <c r="K74" s="326"/>
    </row>
    <row r="75" spans="1:11" ht="30" customHeight="1">
      <c r="A75" s="313">
        <v>67</v>
      </c>
      <c r="B75" s="314" t="s">
        <v>193</v>
      </c>
      <c r="C75" s="322" t="s">
        <v>2060</v>
      </c>
      <c r="D75" s="323"/>
      <c r="E75" s="324"/>
      <c r="F75" s="318">
        <v>1</v>
      </c>
      <c r="G75" s="316" t="s">
        <v>2011</v>
      </c>
      <c r="H75" s="325">
        <v>11052</v>
      </c>
      <c r="I75" s="319">
        <f t="shared" si="1"/>
        <v>11052</v>
      </c>
      <c r="J75" s="320" t="s">
        <v>2075</v>
      </c>
      <c r="K75" s="326"/>
    </row>
    <row r="76" spans="1:11" ht="30" customHeight="1">
      <c r="A76" s="313">
        <v>68</v>
      </c>
      <c r="B76" s="314" t="s">
        <v>194</v>
      </c>
      <c r="C76" s="322" t="s">
        <v>2060</v>
      </c>
      <c r="D76" s="323"/>
      <c r="E76" s="324"/>
      <c r="F76" s="318">
        <v>1</v>
      </c>
      <c r="G76" s="316" t="s">
        <v>2011</v>
      </c>
      <c r="H76" s="325">
        <v>22308</v>
      </c>
      <c r="I76" s="319">
        <f t="shared" si="1"/>
        <v>22308</v>
      </c>
      <c r="J76" s="320" t="s">
        <v>2075</v>
      </c>
      <c r="K76" s="326"/>
    </row>
    <row r="77" spans="1:11" ht="30" customHeight="1">
      <c r="A77" s="313">
        <v>69</v>
      </c>
      <c r="B77" s="314" t="s">
        <v>195</v>
      </c>
      <c r="C77" s="322" t="s">
        <v>2060</v>
      </c>
      <c r="D77" s="323"/>
      <c r="E77" s="324"/>
      <c r="F77" s="318">
        <v>1</v>
      </c>
      <c r="G77" s="316" t="s">
        <v>2011</v>
      </c>
      <c r="H77" s="325">
        <v>8839</v>
      </c>
      <c r="I77" s="319">
        <f t="shared" si="1"/>
        <v>8839</v>
      </c>
      <c r="J77" s="320" t="s">
        <v>2075</v>
      </c>
      <c r="K77" s="326"/>
    </row>
    <row r="78" spans="1:11" ht="30" customHeight="1">
      <c r="A78" s="313">
        <v>70</v>
      </c>
      <c r="B78" s="314" t="s">
        <v>196</v>
      </c>
      <c r="C78" s="322" t="s">
        <v>2060</v>
      </c>
      <c r="D78" s="323"/>
      <c r="E78" s="324"/>
      <c r="F78" s="318">
        <v>1</v>
      </c>
      <c r="G78" s="316" t="s">
        <v>2011</v>
      </c>
      <c r="H78" s="325">
        <v>10728</v>
      </c>
      <c r="I78" s="319">
        <f t="shared" si="1"/>
        <v>10728</v>
      </c>
      <c r="J78" s="320" t="s">
        <v>2075</v>
      </c>
      <c r="K78" s="326"/>
    </row>
    <row r="79" spans="1:11" ht="30" customHeight="1">
      <c r="A79" s="313">
        <v>71</v>
      </c>
      <c r="B79" s="314" t="s">
        <v>197</v>
      </c>
      <c r="C79" s="322" t="s">
        <v>2060</v>
      </c>
      <c r="D79" s="323"/>
      <c r="E79" s="324"/>
      <c r="F79" s="318">
        <v>1</v>
      </c>
      <c r="G79" s="316" t="s">
        <v>2011</v>
      </c>
      <c r="H79" s="325">
        <v>10234</v>
      </c>
      <c r="I79" s="319">
        <f t="shared" si="1"/>
        <v>10234</v>
      </c>
      <c r="J79" s="320" t="s">
        <v>2075</v>
      </c>
      <c r="K79" s="326"/>
    </row>
    <row r="80" spans="1:11" ht="30" customHeight="1">
      <c r="A80" s="313">
        <v>72</v>
      </c>
      <c r="B80" s="314" t="s">
        <v>198</v>
      </c>
      <c r="C80" s="322" t="s">
        <v>2060</v>
      </c>
      <c r="D80" s="323"/>
      <c r="E80" s="324"/>
      <c r="F80" s="318">
        <v>1</v>
      </c>
      <c r="G80" s="316" t="s">
        <v>2011</v>
      </c>
      <c r="H80" s="325">
        <v>8459</v>
      </c>
      <c r="I80" s="319">
        <f t="shared" si="1"/>
        <v>8459</v>
      </c>
      <c r="J80" s="320" t="s">
        <v>2075</v>
      </c>
      <c r="K80" s="326"/>
    </row>
    <row r="81" spans="1:13" ht="30" customHeight="1">
      <c r="A81" s="313">
        <v>73</v>
      </c>
      <c r="B81" s="314" t="s">
        <v>199</v>
      </c>
      <c r="C81" s="322" t="s">
        <v>2060</v>
      </c>
      <c r="D81" s="323"/>
      <c r="E81" s="324"/>
      <c r="F81" s="318">
        <v>1</v>
      </c>
      <c r="G81" s="316" t="s">
        <v>2011</v>
      </c>
      <c r="H81" s="325">
        <v>4605</v>
      </c>
      <c r="I81" s="319">
        <f t="shared" si="1"/>
        <v>4605</v>
      </c>
      <c r="J81" s="320" t="s">
        <v>2075</v>
      </c>
      <c r="K81" s="326"/>
    </row>
    <row r="82" spans="1:13" ht="30" customHeight="1">
      <c r="A82" s="313">
        <v>74</v>
      </c>
      <c r="B82" s="314" t="s">
        <v>200</v>
      </c>
      <c r="C82" s="322" t="s">
        <v>2060</v>
      </c>
      <c r="D82" s="323"/>
      <c r="E82" s="324"/>
      <c r="F82" s="318">
        <v>1</v>
      </c>
      <c r="G82" s="316" t="s">
        <v>2011</v>
      </c>
      <c r="H82" s="325">
        <v>6942</v>
      </c>
      <c r="I82" s="319">
        <f t="shared" si="1"/>
        <v>6942</v>
      </c>
      <c r="J82" s="320" t="s">
        <v>2075</v>
      </c>
      <c r="K82" s="326"/>
    </row>
    <row r="83" spans="1:13" ht="30" customHeight="1">
      <c r="A83" s="313">
        <v>75</v>
      </c>
      <c r="B83" s="314" t="s">
        <v>201</v>
      </c>
      <c r="C83" s="322" t="s">
        <v>2060</v>
      </c>
      <c r="D83" s="323"/>
      <c r="E83" s="324"/>
      <c r="F83" s="318">
        <v>1</v>
      </c>
      <c r="G83" s="316" t="s">
        <v>2011</v>
      </c>
      <c r="H83" s="325">
        <v>9602</v>
      </c>
      <c r="I83" s="319">
        <f t="shared" si="1"/>
        <v>9602</v>
      </c>
      <c r="J83" s="320" t="s">
        <v>2075</v>
      </c>
      <c r="K83" s="326"/>
    </row>
    <row r="84" spans="1:13" ht="30" customHeight="1">
      <c r="A84" s="313">
        <v>76</v>
      </c>
      <c r="B84" s="314" t="s">
        <v>202</v>
      </c>
      <c r="C84" s="322" t="s">
        <v>2060</v>
      </c>
      <c r="D84" s="323"/>
      <c r="E84" s="324"/>
      <c r="F84" s="318">
        <v>1</v>
      </c>
      <c r="G84" s="316" t="s">
        <v>2011</v>
      </c>
      <c r="H84" s="325">
        <v>1654</v>
      </c>
      <c r="I84" s="319">
        <f t="shared" si="1"/>
        <v>1654</v>
      </c>
      <c r="J84" s="320" t="s">
        <v>2075</v>
      </c>
      <c r="K84" s="326"/>
    </row>
    <row r="85" spans="1:13" ht="30" customHeight="1">
      <c r="A85" s="313">
        <v>77</v>
      </c>
      <c r="B85" s="314" t="s">
        <v>203</v>
      </c>
      <c r="C85" s="322" t="s">
        <v>2060</v>
      </c>
      <c r="D85" s="323"/>
      <c r="E85" s="324"/>
      <c r="F85" s="318">
        <v>1</v>
      </c>
      <c r="G85" s="316" t="s">
        <v>2011</v>
      </c>
      <c r="H85" s="325">
        <v>5713</v>
      </c>
      <c r="I85" s="319">
        <f t="shared" si="1"/>
        <v>5713</v>
      </c>
      <c r="J85" s="320" t="s">
        <v>2075</v>
      </c>
      <c r="K85" s="326"/>
    </row>
    <row r="86" spans="1:13" ht="30" customHeight="1">
      <c r="A86" s="313">
        <v>78</v>
      </c>
      <c r="B86" s="314" t="s">
        <v>204</v>
      </c>
      <c r="C86" s="322" t="s">
        <v>2061</v>
      </c>
      <c r="D86" s="323"/>
      <c r="E86" s="324"/>
      <c r="F86" s="318">
        <v>1</v>
      </c>
      <c r="G86" s="316" t="s">
        <v>2011</v>
      </c>
      <c r="H86" s="325">
        <v>1722</v>
      </c>
      <c r="I86" s="319">
        <f t="shared" si="1"/>
        <v>1722</v>
      </c>
      <c r="J86" s="320" t="s">
        <v>2075</v>
      </c>
      <c r="K86" s="326"/>
    </row>
    <row r="87" spans="1:13" ht="30" customHeight="1">
      <c r="A87" s="313">
        <v>79</v>
      </c>
      <c r="B87" s="314" t="s">
        <v>205</v>
      </c>
      <c r="C87" s="322" t="s">
        <v>2062</v>
      </c>
      <c r="D87" s="323"/>
      <c r="E87" s="324"/>
      <c r="F87" s="318">
        <v>1</v>
      </c>
      <c r="G87" s="316" t="s">
        <v>2011</v>
      </c>
      <c r="H87" s="325">
        <v>13719</v>
      </c>
      <c r="I87" s="319">
        <f t="shared" si="1"/>
        <v>13719</v>
      </c>
      <c r="J87" s="320" t="s">
        <v>2075</v>
      </c>
      <c r="K87" s="326"/>
    </row>
    <row r="88" spans="1:13" ht="30" customHeight="1">
      <c r="A88" s="313">
        <v>80</v>
      </c>
      <c r="B88" s="314" t="s">
        <v>206</v>
      </c>
      <c r="C88" s="322" t="s">
        <v>2062</v>
      </c>
      <c r="D88" s="323"/>
      <c r="E88" s="324"/>
      <c r="F88" s="318">
        <v>1</v>
      </c>
      <c r="G88" s="316" t="s">
        <v>2011</v>
      </c>
      <c r="H88" s="325">
        <v>12280</v>
      </c>
      <c r="I88" s="319">
        <f t="shared" si="1"/>
        <v>12280</v>
      </c>
      <c r="J88" s="320" t="s">
        <v>2075</v>
      </c>
      <c r="K88" s="326"/>
    </row>
    <row r="89" spans="1:13" ht="30" customHeight="1">
      <c r="A89" s="313">
        <v>81</v>
      </c>
      <c r="B89" s="314" t="s">
        <v>207</v>
      </c>
      <c r="C89" s="322" t="s">
        <v>2062</v>
      </c>
      <c r="D89" s="323"/>
      <c r="E89" s="324"/>
      <c r="F89" s="318">
        <v>1</v>
      </c>
      <c r="G89" s="316" t="s">
        <v>2011</v>
      </c>
      <c r="H89" s="325">
        <v>11086</v>
      </c>
      <c r="I89" s="319">
        <f t="shared" si="1"/>
        <v>11086</v>
      </c>
      <c r="J89" s="320" t="s">
        <v>2075</v>
      </c>
      <c r="K89" s="326"/>
    </row>
    <row r="90" spans="1:13" ht="30" customHeight="1">
      <c r="A90" s="313">
        <v>82</v>
      </c>
      <c r="B90" s="314" t="s">
        <v>208</v>
      </c>
      <c r="C90" s="322" t="s">
        <v>2062</v>
      </c>
      <c r="D90" s="323"/>
      <c r="E90" s="324"/>
      <c r="F90" s="318">
        <v>1</v>
      </c>
      <c r="G90" s="316" t="s">
        <v>2011</v>
      </c>
      <c r="H90" s="325">
        <v>11086</v>
      </c>
      <c r="I90" s="319">
        <f t="shared" si="1"/>
        <v>11086</v>
      </c>
      <c r="J90" s="320" t="s">
        <v>2075</v>
      </c>
      <c r="K90" s="326"/>
    </row>
    <row r="91" spans="1:13" ht="30" customHeight="1">
      <c r="A91" s="313">
        <v>83</v>
      </c>
      <c r="B91" s="314" t="s">
        <v>209</v>
      </c>
      <c r="C91" s="322" t="s">
        <v>2062</v>
      </c>
      <c r="D91" s="323"/>
      <c r="E91" s="324"/>
      <c r="F91" s="318">
        <v>1</v>
      </c>
      <c r="G91" s="316" t="s">
        <v>2011</v>
      </c>
      <c r="H91" s="325">
        <v>57122</v>
      </c>
      <c r="I91" s="319">
        <f t="shared" si="1"/>
        <v>57122</v>
      </c>
      <c r="J91" s="320" t="s">
        <v>2075</v>
      </c>
      <c r="K91" s="326"/>
    </row>
    <row r="92" spans="1:13" ht="30" customHeight="1">
      <c r="A92" s="313">
        <v>84</v>
      </c>
      <c r="B92" s="314" t="s">
        <v>210</v>
      </c>
      <c r="C92" s="322" t="s">
        <v>2063</v>
      </c>
      <c r="D92" s="323"/>
      <c r="E92" s="324"/>
      <c r="F92" s="318">
        <v>1</v>
      </c>
      <c r="G92" s="316" t="s">
        <v>2011</v>
      </c>
      <c r="H92" s="325">
        <v>5116</v>
      </c>
      <c r="I92" s="319">
        <f t="shared" si="1"/>
        <v>5116</v>
      </c>
      <c r="J92" s="320" t="s">
        <v>2075</v>
      </c>
      <c r="K92" s="326"/>
      <c r="M92" s="14">
        <v>9</v>
      </c>
    </row>
    <row r="93" spans="1:13" ht="30" customHeight="1">
      <c r="A93" s="313">
        <v>85</v>
      </c>
      <c r="B93" s="314" t="s">
        <v>211</v>
      </c>
      <c r="C93" s="322" t="s">
        <v>2063</v>
      </c>
      <c r="D93" s="323"/>
      <c r="E93" s="324"/>
      <c r="F93" s="318">
        <v>1</v>
      </c>
      <c r="G93" s="316" t="s">
        <v>2011</v>
      </c>
      <c r="H93" s="325">
        <v>4263</v>
      </c>
      <c r="I93" s="319">
        <f t="shared" si="1"/>
        <v>4263</v>
      </c>
      <c r="J93" s="320" t="s">
        <v>2075</v>
      </c>
      <c r="K93" s="326"/>
      <c r="M93" s="14">
        <v>9</v>
      </c>
    </row>
    <row r="94" spans="1:13" ht="30" customHeight="1">
      <c r="A94" s="313">
        <v>86</v>
      </c>
      <c r="B94" s="314" t="s">
        <v>212</v>
      </c>
      <c r="C94" s="322" t="s">
        <v>2063</v>
      </c>
      <c r="D94" s="323"/>
      <c r="E94" s="324"/>
      <c r="F94" s="318">
        <v>1</v>
      </c>
      <c r="G94" s="316" t="s">
        <v>2011</v>
      </c>
      <c r="H94" s="325">
        <v>9994</v>
      </c>
      <c r="I94" s="319">
        <f t="shared" si="1"/>
        <v>9994</v>
      </c>
      <c r="J94" s="320" t="s">
        <v>2075</v>
      </c>
      <c r="K94" s="326"/>
      <c r="M94" s="14">
        <v>9</v>
      </c>
    </row>
    <row r="95" spans="1:13" ht="30" customHeight="1">
      <c r="A95" s="313">
        <v>87</v>
      </c>
      <c r="B95" s="314" t="s">
        <v>213</v>
      </c>
      <c r="C95" s="322" t="s">
        <v>2063</v>
      </c>
      <c r="D95" s="323"/>
      <c r="E95" s="324"/>
      <c r="F95" s="318">
        <v>1</v>
      </c>
      <c r="G95" s="316" t="s">
        <v>2011</v>
      </c>
      <c r="H95" s="325">
        <v>20466</v>
      </c>
      <c r="I95" s="319">
        <f t="shared" si="1"/>
        <v>20466</v>
      </c>
      <c r="J95" s="320" t="s">
        <v>2075</v>
      </c>
      <c r="K95" s="326"/>
      <c r="M95" s="14">
        <v>9</v>
      </c>
    </row>
    <row r="96" spans="1:13" ht="30" customHeight="1">
      <c r="A96" s="313">
        <v>88</v>
      </c>
      <c r="B96" s="314" t="s">
        <v>214</v>
      </c>
      <c r="C96" s="322" t="s">
        <v>2063</v>
      </c>
      <c r="D96" s="323"/>
      <c r="E96" s="324"/>
      <c r="F96" s="318">
        <v>1</v>
      </c>
      <c r="G96" s="316" t="s">
        <v>2011</v>
      </c>
      <c r="H96" s="325">
        <v>8527</v>
      </c>
      <c r="I96" s="319">
        <f t="shared" si="1"/>
        <v>8527</v>
      </c>
      <c r="J96" s="320" t="s">
        <v>2075</v>
      </c>
      <c r="K96" s="326"/>
      <c r="M96" s="14">
        <v>9</v>
      </c>
    </row>
    <row r="97" spans="1:13" ht="30" customHeight="1">
      <c r="A97" s="313">
        <v>89</v>
      </c>
      <c r="B97" s="314" t="s">
        <v>215</v>
      </c>
      <c r="C97" s="322" t="s">
        <v>2063</v>
      </c>
      <c r="D97" s="323"/>
      <c r="E97" s="324"/>
      <c r="F97" s="318">
        <v>1</v>
      </c>
      <c r="G97" s="316" t="s">
        <v>2011</v>
      </c>
      <c r="H97" s="325">
        <v>9039</v>
      </c>
      <c r="I97" s="319">
        <f t="shared" si="1"/>
        <v>9039</v>
      </c>
      <c r="J97" s="320" t="s">
        <v>2075</v>
      </c>
      <c r="K97" s="326"/>
      <c r="M97" s="14">
        <v>9</v>
      </c>
    </row>
    <row r="98" spans="1:13" ht="30" customHeight="1">
      <c r="A98" s="313">
        <v>90</v>
      </c>
      <c r="B98" s="314" t="s">
        <v>216</v>
      </c>
      <c r="C98" s="322" t="s">
        <v>2063</v>
      </c>
      <c r="D98" s="323"/>
      <c r="E98" s="324"/>
      <c r="F98" s="318">
        <v>1</v>
      </c>
      <c r="G98" s="316" t="s">
        <v>2011</v>
      </c>
      <c r="H98" s="325">
        <v>18761</v>
      </c>
      <c r="I98" s="319">
        <f t="shared" si="1"/>
        <v>18761</v>
      </c>
      <c r="J98" s="320" t="s">
        <v>2075</v>
      </c>
      <c r="K98" s="326"/>
      <c r="M98" s="14">
        <v>9</v>
      </c>
    </row>
    <row r="99" spans="1:13" ht="30" customHeight="1">
      <c r="A99" s="313">
        <v>91</v>
      </c>
      <c r="B99" s="314" t="s">
        <v>217</v>
      </c>
      <c r="C99" s="322" t="s">
        <v>2063</v>
      </c>
      <c r="D99" s="323"/>
      <c r="E99" s="324"/>
      <c r="F99" s="318">
        <v>1</v>
      </c>
      <c r="G99" s="316" t="s">
        <v>2011</v>
      </c>
      <c r="H99" s="325">
        <v>18761</v>
      </c>
      <c r="I99" s="319">
        <f t="shared" si="1"/>
        <v>18761</v>
      </c>
      <c r="J99" s="320" t="s">
        <v>2075</v>
      </c>
      <c r="K99" s="326"/>
      <c r="M99" s="14">
        <v>9</v>
      </c>
    </row>
    <row r="100" spans="1:13" ht="30" customHeight="1">
      <c r="A100" s="313">
        <v>92</v>
      </c>
      <c r="B100" s="314" t="s">
        <v>218</v>
      </c>
      <c r="C100" s="322" t="s">
        <v>2063</v>
      </c>
      <c r="D100" s="323"/>
      <c r="E100" s="324"/>
      <c r="F100" s="318">
        <v>1</v>
      </c>
      <c r="G100" s="316" t="s">
        <v>2011</v>
      </c>
      <c r="H100" s="325">
        <v>16543</v>
      </c>
      <c r="I100" s="319">
        <f t="shared" si="1"/>
        <v>16543</v>
      </c>
      <c r="J100" s="320" t="s">
        <v>2075</v>
      </c>
      <c r="K100" s="326"/>
      <c r="M100" s="14">
        <v>9</v>
      </c>
    </row>
    <row r="101" spans="1:13" ht="30" customHeight="1">
      <c r="A101" s="313">
        <v>93</v>
      </c>
      <c r="B101" s="314" t="s">
        <v>219</v>
      </c>
      <c r="C101" s="322" t="s">
        <v>2063</v>
      </c>
      <c r="D101" s="323"/>
      <c r="E101" s="324"/>
      <c r="F101" s="318">
        <v>1</v>
      </c>
      <c r="G101" s="316" t="s">
        <v>2011</v>
      </c>
      <c r="H101" s="325">
        <v>8527</v>
      </c>
      <c r="I101" s="319">
        <f t="shared" si="1"/>
        <v>8527</v>
      </c>
      <c r="J101" s="320" t="s">
        <v>2075</v>
      </c>
      <c r="K101" s="326"/>
      <c r="M101" s="14">
        <v>9</v>
      </c>
    </row>
    <row r="102" spans="1:13" ht="30" customHeight="1">
      <c r="A102" s="313">
        <v>94</v>
      </c>
      <c r="B102" s="314" t="s">
        <v>220</v>
      </c>
      <c r="C102" s="322" t="s">
        <v>2063</v>
      </c>
      <c r="D102" s="323"/>
      <c r="E102" s="324"/>
      <c r="F102" s="318">
        <v>1</v>
      </c>
      <c r="G102" s="316" t="s">
        <v>2011</v>
      </c>
      <c r="H102" s="325">
        <v>17055</v>
      </c>
      <c r="I102" s="319">
        <f t="shared" si="1"/>
        <v>17055</v>
      </c>
      <c r="J102" s="320" t="s">
        <v>2075</v>
      </c>
      <c r="K102" s="326"/>
      <c r="M102" s="14">
        <v>9</v>
      </c>
    </row>
    <row r="103" spans="1:13" ht="30" customHeight="1">
      <c r="A103" s="313">
        <v>95</v>
      </c>
      <c r="B103" s="314" t="s">
        <v>221</v>
      </c>
      <c r="C103" s="322" t="s">
        <v>2063</v>
      </c>
      <c r="D103" s="323"/>
      <c r="E103" s="324"/>
      <c r="F103" s="318">
        <v>1</v>
      </c>
      <c r="G103" s="316" t="s">
        <v>2011</v>
      </c>
      <c r="H103" s="325">
        <v>16543</v>
      </c>
      <c r="I103" s="319">
        <f t="shared" si="1"/>
        <v>16543</v>
      </c>
      <c r="J103" s="320" t="s">
        <v>2075</v>
      </c>
      <c r="K103" s="326"/>
      <c r="M103" s="14">
        <v>9</v>
      </c>
    </row>
    <row r="104" spans="1:13" ht="30" customHeight="1">
      <c r="A104" s="313">
        <v>96</v>
      </c>
      <c r="B104" s="314" t="s">
        <v>222</v>
      </c>
      <c r="C104" s="322" t="s">
        <v>2063</v>
      </c>
      <c r="D104" s="323"/>
      <c r="E104" s="324"/>
      <c r="F104" s="318">
        <v>1</v>
      </c>
      <c r="G104" s="316" t="s">
        <v>2011</v>
      </c>
      <c r="H104" s="325">
        <v>15350</v>
      </c>
      <c r="I104" s="319">
        <f t="shared" si="1"/>
        <v>15350</v>
      </c>
      <c r="J104" s="320" t="s">
        <v>2075</v>
      </c>
      <c r="K104" s="326"/>
      <c r="M104" s="14">
        <v>9</v>
      </c>
    </row>
    <row r="105" spans="1:13" ht="30" customHeight="1">
      <c r="A105" s="313">
        <v>97</v>
      </c>
      <c r="B105" s="314" t="s">
        <v>223</v>
      </c>
      <c r="C105" s="322" t="s">
        <v>2063</v>
      </c>
      <c r="D105" s="323"/>
      <c r="E105" s="324"/>
      <c r="F105" s="318">
        <v>1</v>
      </c>
      <c r="G105" s="316" t="s">
        <v>2011</v>
      </c>
      <c r="H105" s="325">
        <v>43492</v>
      </c>
      <c r="I105" s="319">
        <f t="shared" si="1"/>
        <v>43492</v>
      </c>
      <c r="J105" s="320" t="s">
        <v>2075</v>
      </c>
      <c r="K105" s="326"/>
      <c r="M105" s="14">
        <v>9</v>
      </c>
    </row>
    <row r="106" spans="1:13" ht="30" customHeight="1">
      <c r="A106" s="313">
        <v>98</v>
      </c>
      <c r="B106" s="314" t="s">
        <v>224</v>
      </c>
      <c r="C106" s="322" t="s">
        <v>2063</v>
      </c>
      <c r="D106" s="323"/>
      <c r="E106" s="324"/>
      <c r="F106" s="318">
        <v>1</v>
      </c>
      <c r="G106" s="316" t="s">
        <v>2011</v>
      </c>
      <c r="H106" s="325">
        <v>22172</v>
      </c>
      <c r="I106" s="319">
        <f t="shared" si="1"/>
        <v>22172</v>
      </c>
      <c r="J106" s="320" t="s">
        <v>2075</v>
      </c>
      <c r="K106" s="326"/>
      <c r="M106" s="14">
        <v>9</v>
      </c>
    </row>
    <row r="107" spans="1:13" ht="30" customHeight="1">
      <c r="A107" s="313">
        <v>99</v>
      </c>
      <c r="B107" s="314" t="s">
        <v>225</v>
      </c>
      <c r="C107" s="322" t="s">
        <v>2063</v>
      </c>
      <c r="D107" s="323"/>
      <c r="E107" s="324"/>
      <c r="F107" s="318">
        <v>1</v>
      </c>
      <c r="G107" s="316" t="s">
        <v>2011</v>
      </c>
      <c r="H107" s="325">
        <v>6825</v>
      </c>
      <c r="I107" s="319">
        <f t="shared" si="1"/>
        <v>6825</v>
      </c>
      <c r="J107" s="320" t="s">
        <v>2075</v>
      </c>
      <c r="K107" s="326"/>
      <c r="M107" s="14">
        <v>9</v>
      </c>
    </row>
    <row r="108" spans="1:13" ht="30" customHeight="1">
      <c r="A108" s="313">
        <v>100</v>
      </c>
      <c r="B108" s="314" t="s">
        <v>226</v>
      </c>
      <c r="C108" s="322" t="s">
        <v>2063</v>
      </c>
      <c r="D108" s="323"/>
      <c r="E108" s="324"/>
      <c r="F108" s="318">
        <v>1</v>
      </c>
      <c r="G108" s="316" t="s">
        <v>2011</v>
      </c>
      <c r="H108" s="325">
        <v>5116</v>
      </c>
      <c r="I108" s="319">
        <f t="shared" si="1"/>
        <v>5116</v>
      </c>
      <c r="J108" s="320" t="s">
        <v>2075</v>
      </c>
      <c r="K108" s="326"/>
      <c r="M108" s="14">
        <v>9</v>
      </c>
    </row>
    <row r="109" spans="1:13" ht="30" customHeight="1">
      <c r="A109" s="313">
        <v>101</v>
      </c>
      <c r="B109" s="314" t="s">
        <v>227</v>
      </c>
      <c r="C109" s="322" t="s">
        <v>2064</v>
      </c>
      <c r="D109" s="323"/>
      <c r="E109" s="324"/>
      <c r="F109" s="318">
        <v>1</v>
      </c>
      <c r="G109" s="316" t="s">
        <v>2011</v>
      </c>
      <c r="H109" s="325">
        <v>42639</v>
      </c>
      <c r="I109" s="319">
        <f t="shared" si="1"/>
        <v>42639</v>
      </c>
      <c r="J109" s="320" t="s">
        <v>2075</v>
      </c>
      <c r="K109" s="326"/>
    </row>
    <row r="110" spans="1:13" ht="30" customHeight="1">
      <c r="A110" s="313">
        <v>102</v>
      </c>
      <c r="B110" s="314" t="s">
        <v>231</v>
      </c>
      <c r="C110" s="322" t="s">
        <v>2065</v>
      </c>
      <c r="D110" s="323"/>
      <c r="E110" s="324"/>
      <c r="F110" s="318">
        <v>1</v>
      </c>
      <c r="G110" s="316" t="s">
        <v>2011</v>
      </c>
      <c r="H110" s="325">
        <v>2933</v>
      </c>
      <c r="I110" s="319">
        <f t="shared" si="1"/>
        <v>2933</v>
      </c>
      <c r="J110" s="320" t="s">
        <v>2075</v>
      </c>
      <c r="K110" s="326"/>
    </row>
    <row r="111" spans="1:13" ht="30" customHeight="1">
      <c r="A111" s="313">
        <v>103</v>
      </c>
      <c r="B111" s="314" t="s">
        <v>232</v>
      </c>
      <c r="C111" s="322" t="s">
        <v>233</v>
      </c>
      <c r="D111" s="323"/>
      <c r="E111" s="324"/>
      <c r="F111" s="318">
        <v>1</v>
      </c>
      <c r="G111" s="316" t="s">
        <v>2011</v>
      </c>
      <c r="H111" s="325">
        <v>719748</v>
      </c>
      <c r="I111" s="319">
        <f t="shared" si="1"/>
        <v>719748</v>
      </c>
      <c r="J111" s="320" t="s">
        <v>2075</v>
      </c>
      <c r="K111" s="326"/>
      <c r="M111" s="14">
        <v>6</v>
      </c>
    </row>
    <row r="112" spans="1:13" ht="30" customHeight="1">
      <c r="A112" s="313">
        <v>104</v>
      </c>
      <c r="B112" s="314" t="s">
        <v>234</v>
      </c>
      <c r="C112" s="322" t="s">
        <v>233</v>
      </c>
      <c r="D112" s="323"/>
      <c r="E112" s="324"/>
      <c r="F112" s="318">
        <v>1</v>
      </c>
      <c r="G112" s="316" t="s">
        <v>2011</v>
      </c>
      <c r="H112" s="325">
        <v>719748</v>
      </c>
      <c r="I112" s="319">
        <f t="shared" si="1"/>
        <v>719748</v>
      </c>
      <c r="J112" s="320" t="s">
        <v>2075</v>
      </c>
      <c r="K112" s="326"/>
      <c r="M112" s="14">
        <v>6</v>
      </c>
    </row>
    <row r="113" spans="1:11" ht="30" customHeight="1">
      <c r="A113" s="313">
        <v>105</v>
      </c>
      <c r="B113" s="314" t="s">
        <v>235</v>
      </c>
      <c r="C113" s="322" t="s">
        <v>236</v>
      </c>
      <c r="D113" s="323"/>
      <c r="E113" s="324"/>
      <c r="F113" s="318">
        <v>1</v>
      </c>
      <c r="G113" s="316" t="s">
        <v>2011</v>
      </c>
      <c r="H113" s="325">
        <v>34111</v>
      </c>
      <c r="I113" s="319">
        <f t="shared" si="1"/>
        <v>34111</v>
      </c>
      <c r="J113" s="320" t="s">
        <v>2075</v>
      </c>
      <c r="K113" s="326"/>
    </row>
    <row r="114" spans="1:11" ht="30" customHeight="1">
      <c r="A114" s="313">
        <v>106</v>
      </c>
      <c r="B114" s="314" t="s">
        <v>237</v>
      </c>
      <c r="C114" s="322" t="s">
        <v>238</v>
      </c>
      <c r="D114" s="323"/>
      <c r="E114" s="324"/>
      <c r="F114" s="318">
        <v>1</v>
      </c>
      <c r="G114" s="316" t="s">
        <v>2011</v>
      </c>
      <c r="H114" s="325">
        <v>55260</v>
      </c>
      <c r="I114" s="319">
        <f t="shared" si="1"/>
        <v>55260</v>
      </c>
      <c r="J114" s="320" t="s">
        <v>2075</v>
      </c>
      <c r="K114" s="326"/>
    </row>
    <row r="115" spans="1:11" ht="30" customHeight="1">
      <c r="A115" s="313">
        <v>107</v>
      </c>
      <c r="B115" s="314" t="s">
        <v>239</v>
      </c>
      <c r="C115" s="322" t="s">
        <v>240</v>
      </c>
      <c r="D115" s="323"/>
      <c r="E115" s="324"/>
      <c r="F115" s="318">
        <v>1</v>
      </c>
      <c r="G115" s="316" t="s">
        <v>2011</v>
      </c>
      <c r="H115" s="325">
        <v>17055</v>
      </c>
      <c r="I115" s="319">
        <f t="shared" si="1"/>
        <v>17055</v>
      </c>
      <c r="J115" s="320" t="s">
        <v>2075</v>
      </c>
      <c r="K115" s="326"/>
    </row>
    <row r="116" spans="1:11" ht="30" customHeight="1">
      <c r="A116" s="313">
        <v>108</v>
      </c>
      <c r="B116" s="314" t="s">
        <v>241</v>
      </c>
      <c r="C116" s="322" t="s">
        <v>240</v>
      </c>
      <c r="D116" s="323"/>
      <c r="E116" s="324"/>
      <c r="F116" s="318">
        <v>1</v>
      </c>
      <c r="G116" s="316" t="s">
        <v>2011</v>
      </c>
      <c r="H116" s="325">
        <v>17055</v>
      </c>
      <c r="I116" s="319">
        <f t="shared" si="1"/>
        <v>17055</v>
      </c>
      <c r="J116" s="320" t="s">
        <v>2075</v>
      </c>
      <c r="K116" s="326"/>
    </row>
    <row r="117" spans="1:11" ht="30" customHeight="1">
      <c r="A117" s="313">
        <v>109</v>
      </c>
      <c r="B117" s="314" t="s">
        <v>242</v>
      </c>
      <c r="C117" s="322" t="s">
        <v>243</v>
      </c>
      <c r="D117" s="323"/>
      <c r="E117" s="324"/>
      <c r="F117" s="318">
        <v>1</v>
      </c>
      <c r="G117" s="316" t="s">
        <v>2011</v>
      </c>
      <c r="H117" s="325">
        <v>5117</v>
      </c>
      <c r="I117" s="319">
        <f t="shared" si="1"/>
        <v>5117</v>
      </c>
      <c r="J117" s="320" t="s">
        <v>2075</v>
      </c>
      <c r="K117" s="326"/>
    </row>
    <row r="118" spans="1:11" ht="30" customHeight="1">
      <c r="A118" s="313">
        <v>110</v>
      </c>
      <c r="B118" s="314" t="s">
        <v>244</v>
      </c>
      <c r="C118" s="322" t="s">
        <v>243</v>
      </c>
      <c r="D118" s="323"/>
      <c r="E118" s="324"/>
      <c r="F118" s="318">
        <v>1</v>
      </c>
      <c r="G118" s="316" t="s">
        <v>2011</v>
      </c>
      <c r="H118" s="325">
        <v>5117</v>
      </c>
      <c r="I118" s="319">
        <f t="shared" si="1"/>
        <v>5117</v>
      </c>
      <c r="J118" s="320" t="s">
        <v>2075</v>
      </c>
      <c r="K118" s="326"/>
    </row>
    <row r="119" spans="1:11" ht="30" customHeight="1">
      <c r="A119" s="313">
        <v>111</v>
      </c>
      <c r="B119" s="314" t="s">
        <v>245</v>
      </c>
      <c r="C119" s="322" t="s">
        <v>246</v>
      </c>
      <c r="D119" s="323"/>
      <c r="E119" s="324"/>
      <c r="F119" s="318">
        <v>1</v>
      </c>
      <c r="G119" s="316" t="s">
        <v>2011</v>
      </c>
      <c r="H119" s="325">
        <v>3411</v>
      </c>
      <c r="I119" s="319">
        <f t="shared" si="1"/>
        <v>3411</v>
      </c>
      <c r="J119" s="320" t="s">
        <v>2075</v>
      </c>
      <c r="K119" s="326"/>
    </row>
    <row r="120" spans="1:11" ht="30" customHeight="1">
      <c r="A120" s="313">
        <v>112</v>
      </c>
      <c r="B120" s="314" t="s">
        <v>247</v>
      </c>
      <c r="C120" s="322" t="s">
        <v>246</v>
      </c>
      <c r="D120" s="323"/>
      <c r="E120" s="324"/>
      <c r="F120" s="318">
        <v>1</v>
      </c>
      <c r="G120" s="316" t="s">
        <v>2011</v>
      </c>
      <c r="H120" s="325">
        <v>3411</v>
      </c>
      <c r="I120" s="319">
        <f t="shared" si="1"/>
        <v>3411</v>
      </c>
      <c r="J120" s="320" t="s">
        <v>2075</v>
      </c>
      <c r="K120" s="326"/>
    </row>
    <row r="121" spans="1:11" ht="30" customHeight="1">
      <c r="A121" s="313">
        <v>113</v>
      </c>
      <c r="B121" s="314" t="s">
        <v>248</v>
      </c>
      <c r="C121" s="322" t="s">
        <v>2066</v>
      </c>
      <c r="D121" s="323"/>
      <c r="E121" s="324"/>
      <c r="F121" s="318">
        <v>1</v>
      </c>
      <c r="G121" s="316" t="s">
        <v>2011</v>
      </c>
      <c r="H121" s="325">
        <v>20466</v>
      </c>
      <c r="I121" s="319">
        <f t="shared" si="1"/>
        <v>20466</v>
      </c>
      <c r="J121" s="320" t="s">
        <v>2075</v>
      </c>
      <c r="K121" s="326"/>
    </row>
    <row r="122" spans="1:11" ht="30" customHeight="1">
      <c r="A122" s="313">
        <v>114</v>
      </c>
      <c r="B122" s="314" t="s">
        <v>249</v>
      </c>
      <c r="C122" s="322" t="s">
        <v>2066</v>
      </c>
      <c r="D122" s="323"/>
      <c r="E122" s="324"/>
      <c r="F122" s="318">
        <v>1</v>
      </c>
      <c r="G122" s="316" t="s">
        <v>2011</v>
      </c>
      <c r="H122" s="325">
        <v>27621</v>
      </c>
      <c r="I122" s="319">
        <f t="shared" si="1"/>
        <v>27621</v>
      </c>
      <c r="J122" s="320" t="s">
        <v>2075</v>
      </c>
      <c r="K122" s="326"/>
    </row>
    <row r="123" spans="1:11" ht="30" customHeight="1">
      <c r="A123" s="313">
        <v>115</v>
      </c>
      <c r="B123" s="314" t="s">
        <v>250</v>
      </c>
      <c r="C123" s="322" t="s">
        <v>2066</v>
      </c>
      <c r="D123" s="323"/>
      <c r="E123" s="324"/>
      <c r="F123" s="318">
        <v>1</v>
      </c>
      <c r="G123" s="316" t="s">
        <v>2011</v>
      </c>
      <c r="H123" s="325">
        <v>27621</v>
      </c>
      <c r="I123" s="319">
        <f t="shared" si="1"/>
        <v>27621</v>
      </c>
      <c r="J123" s="320" t="s">
        <v>2075</v>
      </c>
      <c r="K123" s="326"/>
    </row>
    <row r="124" spans="1:11" ht="30" customHeight="1">
      <c r="A124" s="313">
        <v>116</v>
      </c>
      <c r="B124" s="314" t="s">
        <v>251</v>
      </c>
      <c r="C124" s="322" t="s">
        <v>2068</v>
      </c>
      <c r="D124" s="323"/>
      <c r="E124" s="324"/>
      <c r="F124" s="318">
        <v>1</v>
      </c>
      <c r="G124" s="316" t="s">
        <v>2011</v>
      </c>
      <c r="H124" s="325">
        <v>7675</v>
      </c>
      <c r="I124" s="319">
        <f t="shared" si="1"/>
        <v>7675</v>
      </c>
      <c r="J124" s="320" t="s">
        <v>2075</v>
      </c>
      <c r="K124" s="326"/>
    </row>
    <row r="125" spans="1:11" ht="30" customHeight="1">
      <c r="A125" s="313">
        <v>117</v>
      </c>
      <c r="B125" s="314" t="s">
        <v>253</v>
      </c>
      <c r="C125" s="322" t="s">
        <v>254</v>
      </c>
      <c r="D125" s="323"/>
      <c r="E125" s="324"/>
      <c r="F125" s="318">
        <v>1</v>
      </c>
      <c r="G125" s="316" t="s">
        <v>2011</v>
      </c>
      <c r="H125" s="325">
        <v>27622</v>
      </c>
      <c r="I125" s="319">
        <f t="shared" si="1"/>
        <v>27622</v>
      </c>
      <c r="J125" s="320" t="s">
        <v>2075</v>
      </c>
      <c r="K125" s="326"/>
    </row>
    <row r="126" spans="1:11" ht="30" customHeight="1">
      <c r="A126" s="313">
        <v>118</v>
      </c>
      <c r="B126" s="314" t="s">
        <v>255</v>
      </c>
      <c r="C126" s="322" t="s">
        <v>254</v>
      </c>
      <c r="D126" s="323"/>
      <c r="E126" s="324"/>
      <c r="F126" s="318">
        <v>1</v>
      </c>
      <c r="G126" s="316" t="s">
        <v>2011</v>
      </c>
      <c r="H126" s="325">
        <v>27622</v>
      </c>
      <c r="I126" s="319">
        <f t="shared" si="1"/>
        <v>27622</v>
      </c>
      <c r="J126" s="320" t="s">
        <v>2075</v>
      </c>
      <c r="K126" s="326"/>
    </row>
    <row r="127" spans="1:11" ht="30" customHeight="1">
      <c r="A127" s="313">
        <v>119</v>
      </c>
      <c r="B127" s="314" t="s">
        <v>256</v>
      </c>
      <c r="C127" s="322" t="s">
        <v>257</v>
      </c>
      <c r="D127" s="323"/>
      <c r="E127" s="324"/>
      <c r="F127" s="318">
        <v>1</v>
      </c>
      <c r="G127" s="316" t="s">
        <v>2011</v>
      </c>
      <c r="H127" s="325">
        <v>5116</v>
      </c>
      <c r="I127" s="319">
        <f t="shared" si="1"/>
        <v>5116</v>
      </c>
      <c r="J127" s="320" t="s">
        <v>2075</v>
      </c>
      <c r="K127" s="326"/>
    </row>
    <row r="128" spans="1:11" ht="30" customHeight="1">
      <c r="A128" s="313">
        <v>120</v>
      </c>
      <c r="B128" s="314" t="s">
        <v>258</v>
      </c>
      <c r="C128" s="322" t="s">
        <v>259</v>
      </c>
      <c r="D128" s="323"/>
      <c r="E128" s="324"/>
      <c r="F128" s="318">
        <v>1</v>
      </c>
      <c r="G128" s="316" t="s">
        <v>2011</v>
      </c>
      <c r="H128" s="325">
        <v>6823</v>
      </c>
      <c r="I128" s="319">
        <f t="shared" si="1"/>
        <v>6823</v>
      </c>
      <c r="J128" s="320" t="s">
        <v>2075</v>
      </c>
      <c r="K128" s="326"/>
    </row>
    <row r="129" spans="1:13" ht="30" customHeight="1">
      <c r="A129" s="313">
        <v>121</v>
      </c>
      <c r="B129" s="314" t="s">
        <v>260</v>
      </c>
      <c r="C129" s="322" t="s">
        <v>261</v>
      </c>
      <c r="D129" s="323"/>
      <c r="E129" s="324"/>
      <c r="F129" s="318">
        <v>1</v>
      </c>
      <c r="G129" s="316" t="s">
        <v>2011</v>
      </c>
      <c r="H129" s="325">
        <v>42639</v>
      </c>
      <c r="I129" s="319">
        <f t="shared" si="1"/>
        <v>42639</v>
      </c>
      <c r="J129" s="320" t="s">
        <v>2075</v>
      </c>
      <c r="K129" s="326"/>
    </row>
    <row r="130" spans="1:13" ht="30" customHeight="1">
      <c r="A130" s="313">
        <v>122</v>
      </c>
      <c r="B130" s="314" t="s">
        <v>262</v>
      </c>
      <c r="C130" s="322" t="s">
        <v>263</v>
      </c>
      <c r="D130" s="323"/>
      <c r="E130" s="324"/>
      <c r="F130" s="318">
        <v>1</v>
      </c>
      <c r="G130" s="316" t="s">
        <v>2011</v>
      </c>
      <c r="H130" s="325">
        <v>11256</v>
      </c>
      <c r="I130" s="319">
        <f t="shared" si="1"/>
        <v>11256</v>
      </c>
      <c r="J130" s="320" t="s">
        <v>2075</v>
      </c>
      <c r="K130" s="326"/>
    </row>
    <row r="131" spans="1:13" ht="30" customHeight="1">
      <c r="A131" s="313">
        <v>123</v>
      </c>
      <c r="B131" s="314" t="s">
        <v>264</v>
      </c>
      <c r="C131" s="322" t="s">
        <v>265</v>
      </c>
      <c r="D131" s="323"/>
      <c r="E131" s="324"/>
      <c r="F131" s="318">
        <v>1</v>
      </c>
      <c r="G131" s="316" t="s">
        <v>2011</v>
      </c>
      <c r="H131" s="325">
        <v>10233</v>
      </c>
      <c r="I131" s="319">
        <f t="shared" si="1"/>
        <v>10233</v>
      </c>
      <c r="J131" s="320" t="s">
        <v>2075</v>
      </c>
      <c r="K131" s="326"/>
    </row>
    <row r="132" spans="1:13" ht="30" customHeight="1">
      <c r="A132" s="313">
        <v>124</v>
      </c>
      <c r="B132" s="314" t="s">
        <v>266</v>
      </c>
      <c r="C132" s="322" t="s">
        <v>267</v>
      </c>
      <c r="D132" s="323"/>
      <c r="E132" s="324"/>
      <c r="F132" s="318">
        <v>1</v>
      </c>
      <c r="G132" s="316" t="s">
        <v>2011</v>
      </c>
      <c r="H132" s="325">
        <v>5126</v>
      </c>
      <c r="I132" s="319">
        <f t="shared" si="1"/>
        <v>5126</v>
      </c>
      <c r="J132" s="320" t="s">
        <v>2075</v>
      </c>
      <c r="K132" s="326"/>
    </row>
    <row r="133" spans="1:13" ht="30" customHeight="1">
      <c r="A133" s="313">
        <v>125</v>
      </c>
      <c r="B133" s="314" t="s">
        <v>268</v>
      </c>
      <c r="C133" s="322" t="s">
        <v>269</v>
      </c>
      <c r="D133" s="323"/>
      <c r="E133" s="324"/>
      <c r="F133" s="318">
        <v>1</v>
      </c>
      <c r="G133" s="316" t="s">
        <v>2011</v>
      </c>
      <c r="H133" s="325">
        <v>5117</v>
      </c>
      <c r="I133" s="319">
        <f t="shared" si="1"/>
        <v>5117</v>
      </c>
      <c r="J133" s="320" t="s">
        <v>2075</v>
      </c>
      <c r="K133" s="326"/>
      <c r="M133" s="14">
        <v>9</v>
      </c>
    </row>
    <row r="134" spans="1:13" ht="30" customHeight="1">
      <c r="A134" s="313">
        <v>126</v>
      </c>
      <c r="B134" s="314" t="s">
        <v>270</v>
      </c>
      <c r="C134" s="322" t="s">
        <v>2070</v>
      </c>
      <c r="D134" s="323"/>
      <c r="E134" s="324"/>
      <c r="F134" s="318">
        <v>1</v>
      </c>
      <c r="G134" s="316" t="s">
        <v>2011</v>
      </c>
      <c r="H134" s="325">
        <v>172</v>
      </c>
      <c r="I134" s="319">
        <f t="shared" si="1"/>
        <v>172</v>
      </c>
      <c r="J134" s="320" t="s">
        <v>2075</v>
      </c>
      <c r="K134" s="326"/>
    </row>
    <row r="135" spans="1:13" ht="30" customHeight="1">
      <c r="A135" s="313">
        <v>127</v>
      </c>
      <c r="B135" s="314" t="s">
        <v>271</v>
      </c>
      <c r="C135" s="322" t="s">
        <v>2071</v>
      </c>
      <c r="D135" s="323"/>
      <c r="E135" s="324"/>
      <c r="F135" s="318">
        <v>1</v>
      </c>
      <c r="G135" s="316" t="s">
        <v>2011</v>
      </c>
      <c r="H135" s="325">
        <v>27289</v>
      </c>
      <c r="I135" s="319">
        <f t="shared" si="1"/>
        <v>27289</v>
      </c>
      <c r="J135" s="320" t="s">
        <v>2075</v>
      </c>
      <c r="K135" s="326"/>
      <c r="M135" s="14">
        <v>9</v>
      </c>
    </row>
    <row r="136" spans="1:13" ht="30" customHeight="1">
      <c r="A136" s="313">
        <v>128</v>
      </c>
      <c r="B136" s="314" t="s">
        <v>272</v>
      </c>
      <c r="C136" s="322" t="s">
        <v>2071</v>
      </c>
      <c r="D136" s="323"/>
      <c r="E136" s="324"/>
      <c r="F136" s="318">
        <v>1</v>
      </c>
      <c r="G136" s="316" t="s">
        <v>2011</v>
      </c>
      <c r="H136" s="325">
        <v>20466</v>
      </c>
      <c r="I136" s="319">
        <f t="shared" si="1"/>
        <v>20466</v>
      </c>
      <c r="J136" s="320" t="s">
        <v>2075</v>
      </c>
      <c r="K136" s="326"/>
      <c r="M136" s="14">
        <v>9</v>
      </c>
    </row>
    <row r="137" spans="1:13" ht="30" customHeight="1">
      <c r="A137" s="313">
        <v>129</v>
      </c>
      <c r="B137" s="314" t="s">
        <v>273</v>
      </c>
      <c r="C137" s="322" t="s">
        <v>274</v>
      </c>
      <c r="D137" s="323"/>
      <c r="E137" s="324"/>
      <c r="F137" s="318">
        <v>1</v>
      </c>
      <c r="G137" s="316" t="s">
        <v>2011</v>
      </c>
      <c r="H137" s="325">
        <v>18762</v>
      </c>
      <c r="I137" s="319">
        <f t="shared" si="1"/>
        <v>18762</v>
      </c>
      <c r="J137" s="320" t="s">
        <v>2075</v>
      </c>
      <c r="K137" s="326"/>
    </row>
    <row r="138" spans="1:13" ht="30" customHeight="1" thickBot="1">
      <c r="A138" s="327"/>
      <c r="B138" s="328"/>
      <c r="C138" s="411" t="s">
        <v>2012</v>
      </c>
      <c r="D138" s="411"/>
      <c r="E138" s="411"/>
      <c r="F138" s="411"/>
      <c r="G138" s="411"/>
      <c r="H138" s="329"/>
      <c r="I138" s="330">
        <f>SUM(I9:I137)</f>
        <v>8581723</v>
      </c>
      <c r="J138" s="331"/>
      <c r="K138" s="332"/>
    </row>
    <row r="139" spans="1:13" s="19" customFormat="1">
      <c r="A139" s="14"/>
      <c r="B139" s="51"/>
      <c r="C139" s="51"/>
      <c r="D139" s="51"/>
      <c r="E139" s="51"/>
      <c r="F139" s="333"/>
      <c r="G139" s="51"/>
      <c r="H139" s="51"/>
      <c r="I139" s="51"/>
      <c r="J139" s="334"/>
    </row>
    <row r="140" spans="1:13" s="19" customFormat="1">
      <c r="A140" s="14"/>
      <c r="B140" s="51"/>
      <c r="C140" s="51"/>
      <c r="D140" s="51"/>
      <c r="E140" s="51"/>
      <c r="F140" s="333"/>
      <c r="G140" s="51"/>
      <c r="H140" s="51"/>
      <c r="I140" s="51"/>
      <c r="J140" s="334"/>
    </row>
  </sheetData>
  <protectedRanges>
    <protectedRange sqref="C9:I137" name="범위1_12"/>
  </protectedRanges>
  <autoFilter ref="B8:K138" xr:uid="{00000000-0009-0000-0000-000001000000}"/>
  <mergeCells count="2">
    <mergeCell ref="A6:K6"/>
    <mergeCell ref="C138:G138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45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601-3429-4A8F-A969-57F10E332001}">
  <sheetPr>
    <tabColor rgb="FF00B0F0"/>
  </sheetPr>
  <dimension ref="A1:AV58"/>
  <sheetViews>
    <sheetView showGridLines="0" view="pageBreakPreview" zoomScale="85" zoomScaleNormal="100" zoomScaleSheetLayoutView="85" workbookViewId="0">
      <selection activeCell="AH42" sqref="AH42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7" style="5" customWidth="1"/>
    <col min="18" max="18" width="2.296875" style="5" customWidth="1"/>
    <col min="19" max="20" width="4.69921875" style="5" customWidth="1"/>
    <col min="21" max="21" width="2.296875" style="5" customWidth="1"/>
    <col min="22" max="24" width="4.5" style="5" customWidth="1"/>
    <col min="25" max="25" width="2.296875" style="5" customWidth="1"/>
    <col min="26" max="28" width="4.5" style="5" customWidth="1"/>
    <col min="29" max="29" width="13.796875" style="5" customWidth="1"/>
    <col min="30" max="31" width="3" style="9" customWidth="1"/>
    <col min="32" max="32" width="12.69921875" style="9" customWidth="1"/>
    <col min="33" max="16384" width="3" style="9"/>
  </cols>
  <sheetData>
    <row r="1" spans="1:29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 t="s">
        <v>0</v>
      </c>
      <c r="X1" s="67"/>
      <c r="Y1" s="67"/>
      <c r="Z1" s="67"/>
      <c r="AA1" s="67"/>
      <c r="AB1" s="67"/>
      <c r="AC1" s="68"/>
    </row>
    <row r="2" spans="1:29">
      <c r="A2" s="69"/>
      <c r="W2" s="5" t="s">
        <v>1</v>
      </c>
      <c r="AC2" s="70"/>
    </row>
    <row r="3" spans="1:29">
      <c r="A3" s="69"/>
      <c r="W3" s="5" t="s">
        <v>2</v>
      </c>
      <c r="AC3" s="70"/>
    </row>
    <row r="4" spans="1:29">
      <c r="A4" s="69"/>
      <c r="W4" s="5" t="s">
        <v>3</v>
      </c>
      <c r="AC4" s="70"/>
    </row>
    <row r="5" spans="1:29">
      <c r="A5" s="69"/>
      <c r="W5" s="5" t="s">
        <v>4</v>
      </c>
      <c r="AC5" s="70"/>
    </row>
    <row r="6" spans="1:29" ht="40.35" customHeight="1">
      <c r="A6" s="401" t="s">
        <v>58</v>
      </c>
      <c r="B6" s="402"/>
      <c r="C6" s="402"/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  <c r="AA6" s="402"/>
      <c r="AB6" s="402"/>
      <c r="AC6" s="403"/>
    </row>
    <row r="7" spans="1:29" ht="14.4" thickBot="1">
      <c r="A7" s="71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3"/>
    </row>
    <row r="8" spans="1:29" s="22" customFormat="1" ht="15.6" customHeight="1">
      <c r="A8" s="74" t="s">
        <v>5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6"/>
      <c r="R8" s="77" t="s">
        <v>6</v>
      </c>
      <c r="S8" s="75"/>
      <c r="T8" s="75"/>
      <c r="U8" s="77"/>
      <c r="V8" s="404" t="s">
        <v>7</v>
      </c>
      <c r="W8" s="404"/>
      <c r="X8" s="404"/>
      <c r="Y8" s="404"/>
      <c r="Z8" s="404"/>
      <c r="AA8" s="75"/>
      <c r="AB8" s="75"/>
      <c r="AC8" s="135"/>
    </row>
    <row r="9" spans="1:29" s="22" customFormat="1" ht="15.6" customHeight="1">
      <c r="A9" s="78"/>
      <c r="B9" s="337" t="s">
        <v>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92"/>
      <c r="R9" s="91" t="s">
        <v>9</v>
      </c>
      <c r="S9" s="80"/>
      <c r="T9" s="80"/>
      <c r="U9" s="80"/>
      <c r="V9" s="80"/>
      <c r="W9" s="80"/>
      <c r="X9" s="80"/>
      <c r="Y9" s="80"/>
      <c r="Z9" s="80"/>
      <c r="AA9" s="80"/>
      <c r="AB9" s="80"/>
      <c r="AC9" s="136"/>
    </row>
    <row r="10" spans="1:29" s="22" customFormat="1" ht="15.6" customHeight="1">
      <c r="A10" s="78"/>
      <c r="B10" s="19" t="s">
        <v>59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79"/>
      <c r="R10" s="337" t="s">
        <v>11</v>
      </c>
      <c r="S10" s="19"/>
      <c r="T10" s="19"/>
      <c r="U10" s="19"/>
      <c r="V10" s="405">
        <v>45756</v>
      </c>
      <c r="W10" s="405"/>
      <c r="X10" s="405"/>
      <c r="Y10" s="405"/>
      <c r="Z10" s="405"/>
      <c r="AA10" s="19"/>
      <c r="AB10" s="19"/>
      <c r="AC10" s="81"/>
    </row>
    <row r="11" spans="1:29" s="22" customFormat="1" ht="15.6" customHeight="1">
      <c r="A11" s="82"/>
      <c r="B11" s="80" t="s">
        <v>12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3"/>
      <c r="R11" s="91" t="s">
        <v>13</v>
      </c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136"/>
    </row>
    <row r="12" spans="1:29" s="19" customFormat="1" ht="15.6" customHeight="1">
      <c r="A12" s="84" t="s">
        <v>14</v>
      </c>
      <c r="Q12" s="79"/>
      <c r="R12" s="337" t="s">
        <v>15</v>
      </c>
      <c r="AC12" s="81"/>
    </row>
    <row r="13" spans="1:29" s="216" customFormat="1" ht="15.6" customHeight="1">
      <c r="A13" s="220"/>
      <c r="B13" s="337" t="s">
        <v>2016</v>
      </c>
      <c r="Q13" s="221"/>
      <c r="AC13" s="217"/>
    </row>
    <row r="14" spans="1:29" s="216" customFormat="1" ht="15.6" customHeight="1">
      <c r="A14" s="222"/>
      <c r="B14" s="19" t="s">
        <v>2017</v>
      </c>
      <c r="Q14" s="221"/>
      <c r="R14" s="338"/>
      <c r="S14" s="339" t="s">
        <v>17</v>
      </c>
      <c r="T14" s="19"/>
      <c r="U14" s="19"/>
      <c r="V14" s="19"/>
      <c r="W14" s="19"/>
      <c r="X14" s="19"/>
      <c r="Y14" s="19"/>
      <c r="Z14" s="19"/>
      <c r="AA14" s="19"/>
      <c r="AB14" s="19"/>
      <c r="AC14" s="81"/>
    </row>
    <row r="15" spans="1:29" s="216" customFormat="1" ht="15.6" customHeight="1">
      <c r="A15" s="220"/>
      <c r="B15" s="19" t="s">
        <v>2018</v>
      </c>
      <c r="Q15" s="221"/>
      <c r="S15" s="423" t="s">
        <v>2019</v>
      </c>
      <c r="T15" s="423"/>
      <c r="U15" s="423"/>
      <c r="V15" s="423"/>
      <c r="W15" s="423"/>
      <c r="X15" s="423"/>
      <c r="Y15" s="423"/>
      <c r="Z15" s="423"/>
      <c r="AA15" s="423"/>
      <c r="AB15" s="423"/>
      <c r="AC15" s="424"/>
    </row>
    <row r="16" spans="1:29" s="19" customFormat="1" ht="15.6" customHeight="1">
      <c r="A16" s="78"/>
      <c r="Q16" s="79"/>
      <c r="R16" s="337"/>
      <c r="S16" s="425" t="s">
        <v>2020</v>
      </c>
      <c r="T16" s="425"/>
      <c r="U16" s="425"/>
      <c r="V16" s="425"/>
      <c r="W16" s="425"/>
      <c r="X16" s="425"/>
      <c r="Y16" s="425"/>
      <c r="Z16" s="425"/>
      <c r="AA16" s="425"/>
      <c r="AB16" s="425"/>
      <c r="AC16" s="426"/>
    </row>
    <row r="17" spans="1:48" s="19" customFormat="1" ht="15.6" customHeight="1">
      <c r="A17" s="82"/>
      <c r="B17" s="336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3"/>
      <c r="R17" s="337"/>
      <c r="S17" s="339" t="s">
        <v>19</v>
      </c>
      <c r="T17" s="340"/>
      <c r="U17" s="340"/>
      <c r="V17" s="340"/>
      <c r="W17" s="340"/>
      <c r="X17" s="340"/>
      <c r="Y17" s="340"/>
      <c r="Z17" s="340"/>
      <c r="AA17" s="340"/>
      <c r="AB17" s="340"/>
      <c r="AC17" s="218"/>
    </row>
    <row r="18" spans="1:48" s="19" customFormat="1" ht="15.6" customHeight="1">
      <c r="A18" s="84" t="s">
        <v>20</v>
      </c>
      <c r="B18" s="1"/>
      <c r="Q18" s="79"/>
      <c r="R18" s="337"/>
      <c r="S18" s="408" t="s">
        <v>2026</v>
      </c>
      <c r="T18" s="408"/>
      <c r="U18" s="408"/>
      <c r="V18" s="408"/>
      <c r="W18" s="408"/>
      <c r="X18" s="408"/>
      <c r="Y18" s="408"/>
      <c r="Z18" s="408"/>
      <c r="AA18" s="408"/>
      <c r="AB18" s="408"/>
      <c r="AC18" s="409"/>
    </row>
    <row r="19" spans="1:48" s="22" customFormat="1" ht="15.6" customHeight="1">
      <c r="A19" s="78"/>
      <c r="B19" s="341" t="str">
        <f ca="1">CI!B19</f>
        <v>Wise Logistics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79"/>
      <c r="R19" s="337"/>
      <c r="S19" s="339" t="s">
        <v>21</v>
      </c>
      <c r="AC19" s="219"/>
    </row>
    <row r="20" spans="1:48" s="22" customFormat="1" ht="15.6" customHeight="1">
      <c r="A20" s="78"/>
      <c r="B20" s="342" t="str">
        <f ca="1">CI!B20</f>
        <v xml:space="preserve">ATTAN: MS. Aliya 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79"/>
      <c r="R20" s="337"/>
      <c r="S20" s="408">
        <v>2025</v>
      </c>
      <c r="T20" s="408"/>
      <c r="U20" s="408"/>
      <c r="V20" s="408"/>
      <c r="W20" s="408"/>
      <c r="X20" s="408"/>
      <c r="Y20" s="408"/>
      <c r="Z20" s="408"/>
      <c r="AA20" s="408"/>
      <c r="AB20" s="408"/>
      <c r="AC20" s="409"/>
    </row>
    <row r="21" spans="1:48" s="22" customFormat="1" ht="15.6" customHeight="1">
      <c r="A21" s="223"/>
      <c r="B21" s="342" t="str">
        <f ca="1">CI!B21</f>
        <v>(E): a.kipshakbayeva@wiselogistics.kz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79"/>
      <c r="R21" s="19"/>
      <c r="S21" s="339" t="s">
        <v>22</v>
      </c>
      <c r="AC21" s="219"/>
      <c r="AV21" s="1"/>
    </row>
    <row r="22" spans="1:48" s="22" customFormat="1" ht="15.6" customHeight="1">
      <c r="A22" s="78"/>
      <c r="B22" s="342" t="str">
        <f ca="1">CI!B22</f>
        <v>(T): +7 701 512 19 69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79"/>
      <c r="R22" s="85"/>
      <c r="S22" s="408" t="s">
        <v>2027</v>
      </c>
      <c r="T22" s="408"/>
      <c r="U22" s="408"/>
      <c r="V22" s="408"/>
      <c r="W22" s="408"/>
      <c r="X22" s="408"/>
      <c r="Y22" s="408"/>
      <c r="Z22" s="408"/>
      <c r="AA22" s="408"/>
      <c r="AB22" s="408"/>
      <c r="AC22" s="409"/>
    </row>
    <row r="23" spans="1:48" s="22" customFormat="1" ht="15.6" customHeight="1">
      <c r="A23" s="223"/>
      <c r="R23" s="86"/>
      <c r="S23" s="339" t="s">
        <v>23</v>
      </c>
      <c r="AC23" s="219"/>
    </row>
    <row r="24" spans="1:48" s="22" customFormat="1" ht="15.6" customHeight="1">
      <c r="A24" s="7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79"/>
      <c r="R24" s="343"/>
      <c r="S24" s="408" t="str">
        <f>CI!S24</f>
        <v>DDP Turkistan</v>
      </c>
      <c r="T24" s="408"/>
      <c r="U24" s="408"/>
      <c r="V24" s="408"/>
      <c r="W24" s="408"/>
      <c r="X24" s="408"/>
      <c r="Y24" s="408"/>
      <c r="Z24" s="408"/>
      <c r="AA24" s="408"/>
      <c r="AB24" s="408"/>
      <c r="AC24" s="409"/>
    </row>
    <row r="25" spans="1:48" s="22" customFormat="1" ht="15" customHeight="1">
      <c r="A25" s="87" t="s">
        <v>24</v>
      </c>
      <c r="B25" s="88"/>
      <c r="C25" s="88"/>
      <c r="D25" s="88"/>
      <c r="E25" s="88"/>
      <c r="F25" s="88"/>
      <c r="G25" s="88"/>
      <c r="H25" s="89"/>
      <c r="I25" s="375" t="s">
        <v>25</v>
      </c>
      <c r="J25" s="376"/>
      <c r="K25" s="376"/>
      <c r="L25" s="376"/>
      <c r="M25" s="376"/>
      <c r="N25" s="376"/>
      <c r="O25" s="376"/>
      <c r="P25" s="376"/>
      <c r="Q25" s="377"/>
      <c r="R25" s="257"/>
      <c r="AC25" s="219"/>
    </row>
    <row r="26" spans="1:48" s="22" customFormat="1" ht="14.4">
      <c r="A26" s="78"/>
      <c r="B26" s="19" t="s">
        <v>2074</v>
      </c>
      <c r="C26" s="19"/>
      <c r="D26" s="19"/>
      <c r="E26" s="19"/>
      <c r="F26" s="19"/>
      <c r="G26" s="19"/>
      <c r="H26" s="79"/>
      <c r="I26" s="19"/>
      <c r="J26" s="19" t="s">
        <v>26</v>
      </c>
      <c r="K26" s="19"/>
      <c r="L26" s="19"/>
      <c r="M26" s="19"/>
      <c r="N26" s="19"/>
      <c r="O26" s="19"/>
      <c r="P26" s="19"/>
      <c r="Q26" s="79"/>
      <c r="AC26" s="219"/>
    </row>
    <row r="27" spans="1:48" s="22" customFormat="1" ht="14.4">
      <c r="A27" s="82"/>
      <c r="B27" s="90"/>
      <c r="C27" s="80"/>
      <c r="D27" s="80"/>
      <c r="E27" s="80"/>
      <c r="F27" s="80"/>
      <c r="G27" s="80"/>
      <c r="H27" s="83"/>
      <c r="I27" s="80"/>
      <c r="J27" s="90"/>
      <c r="K27" s="80"/>
      <c r="L27" s="80"/>
      <c r="M27" s="80"/>
      <c r="N27" s="80"/>
      <c r="O27" s="80"/>
      <c r="P27" s="80"/>
      <c r="Q27" s="83"/>
      <c r="R27" s="142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258"/>
    </row>
    <row r="28" spans="1:48" s="22" customFormat="1" ht="14.4">
      <c r="A28" s="84" t="s">
        <v>27</v>
      </c>
      <c r="B28" s="19"/>
      <c r="C28" s="19"/>
      <c r="D28" s="19"/>
      <c r="E28" s="19"/>
      <c r="F28" s="19"/>
      <c r="G28" s="19"/>
      <c r="H28" s="79"/>
      <c r="I28" s="375" t="s">
        <v>28</v>
      </c>
      <c r="J28" s="376"/>
      <c r="K28" s="376"/>
      <c r="L28" s="376"/>
      <c r="M28" s="376"/>
      <c r="N28" s="376"/>
      <c r="O28" s="376"/>
      <c r="P28" s="376"/>
      <c r="Q28" s="377"/>
      <c r="R28" s="140" t="s">
        <v>29</v>
      </c>
      <c r="S28" s="338"/>
      <c r="T28" s="338"/>
      <c r="U28" s="338"/>
      <c r="V28" s="338"/>
      <c r="W28" s="338"/>
      <c r="X28" s="338"/>
      <c r="Y28" s="338"/>
      <c r="Z28" s="338"/>
      <c r="AA28" s="338"/>
      <c r="AB28" s="338"/>
      <c r="AC28" s="141"/>
    </row>
    <row r="29" spans="1:48" s="22" customFormat="1" ht="14.4">
      <c r="A29" s="84"/>
      <c r="B29" s="19"/>
      <c r="C29" s="19"/>
      <c r="D29" s="19"/>
      <c r="E29" s="19"/>
      <c r="F29" s="19"/>
      <c r="G29" s="19"/>
      <c r="H29" s="79"/>
      <c r="I29" s="378"/>
      <c r="J29" s="379"/>
      <c r="K29" s="379"/>
      <c r="L29" s="379"/>
      <c r="M29" s="379"/>
      <c r="N29" s="379"/>
      <c r="O29" s="379"/>
      <c r="P29" s="379"/>
      <c r="Q29" s="380"/>
      <c r="R29" s="19"/>
      <c r="AA29" s="19"/>
      <c r="AB29" s="19"/>
      <c r="AC29" s="81"/>
    </row>
    <row r="30" spans="1:48" s="22" customFormat="1" ht="17.850000000000001" customHeight="1">
      <c r="A30" s="78"/>
      <c r="B30" s="19" t="s">
        <v>26</v>
      </c>
      <c r="C30" s="19"/>
      <c r="D30" s="19"/>
      <c r="E30" s="19"/>
      <c r="F30" s="19"/>
      <c r="G30" s="19"/>
      <c r="H30" s="79"/>
      <c r="I30" s="394" t="s">
        <v>2022</v>
      </c>
      <c r="J30" s="395"/>
      <c r="K30" s="395"/>
      <c r="L30" s="395"/>
      <c r="M30" s="395"/>
      <c r="N30" s="395"/>
      <c r="O30" s="395"/>
      <c r="P30" s="395"/>
      <c r="Q30" s="396"/>
      <c r="R30" s="19"/>
      <c r="S30" s="339" t="s">
        <v>30</v>
      </c>
      <c r="U30" s="19"/>
      <c r="V30" s="19"/>
      <c r="X30" s="19" t="s">
        <v>31</v>
      </c>
      <c r="Y30" s="19" t="s">
        <v>32</v>
      </c>
      <c r="AA30" s="19"/>
      <c r="AB30" s="19"/>
      <c r="AC30" s="81"/>
    </row>
    <row r="31" spans="1:48" s="22" customFormat="1" ht="14.4">
      <c r="A31" s="82"/>
      <c r="B31" s="80"/>
      <c r="C31" s="80"/>
      <c r="D31" s="80"/>
      <c r="E31" s="80"/>
      <c r="F31" s="80"/>
      <c r="G31" s="80"/>
      <c r="H31" s="83"/>
      <c r="I31" s="397"/>
      <c r="J31" s="398"/>
      <c r="K31" s="398"/>
      <c r="L31" s="398"/>
      <c r="M31" s="398"/>
      <c r="N31" s="398"/>
      <c r="O31" s="398"/>
      <c r="P31" s="398"/>
      <c r="Q31" s="399"/>
      <c r="R31" s="19"/>
      <c r="S31" s="339" t="s">
        <v>33</v>
      </c>
      <c r="T31" s="19"/>
      <c r="X31" s="19" t="s">
        <v>31</v>
      </c>
      <c r="Y31" s="427">
        <f>COUNT('Summary PL'!A15:A271)</f>
        <v>129</v>
      </c>
      <c r="Z31" s="427"/>
      <c r="AA31" s="427"/>
      <c r="AB31" s="427"/>
      <c r="AC31" s="81" t="s">
        <v>34</v>
      </c>
    </row>
    <row r="32" spans="1:48" s="22" customFormat="1" ht="16.5" customHeight="1">
      <c r="A32" s="84" t="s">
        <v>35</v>
      </c>
      <c r="B32" s="19"/>
      <c r="C32" s="19"/>
      <c r="D32" s="19"/>
      <c r="E32" s="19"/>
      <c r="F32" s="19"/>
      <c r="G32" s="19"/>
      <c r="H32" s="79"/>
      <c r="I32" s="375" t="s">
        <v>36</v>
      </c>
      <c r="J32" s="376"/>
      <c r="K32" s="376"/>
      <c r="L32" s="376"/>
      <c r="M32" s="376"/>
      <c r="N32" s="376"/>
      <c r="O32" s="376"/>
      <c r="P32" s="376"/>
      <c r="Q32" s="377"/>
      <c r="R32" s="19"/>
      <c r="S32" s="339" t="s">
        <v>37</v>
      </c>
      <c r="X32" s="19" t="s">
        <v>31</v>
      </c>
      <c r="Y32" s="381">
        <f>'Summary PL'!L144</f>
        <v>503160.47999999992</v>
      </c>
      <c r="Z32" s="381"/>
      <c r="AA32" s="381"/>
      <c r="AB32" s="381"/>
      <c r="AC32" s="81" t="s">
        <v>38</v>
      </c>
    </row>
    <row r="33" spans="1:39" s="22" customFormat="1" ht="14.4">
      <c r="A33" s="84"/>
      <c r="B33" s="19" t="s">
        <v>26</v>
      </c>
      <c r="C33" s="19"/>
      <c r="D33" s="19"/>
      <c r="E33" s="19"/>
      <c r="F33" s="19"/>
      <c r="G33" s="19"/>
      <c r="H33" s="79"/>
      <c r="I33" s="378"/>
      <c r="J33" s="379"/>
      <c r="K33" s="379"/>
      <c r="L33" s="379"/>
      <c r="M33" s="379"/>
      <c r="N33" s="379"/>
      <c r="O33" s="379"/>
      <c r="P33" s="379"/>
      <c r="Q33" s="380"/>
      <c r="R33" s="19"/>
      <c r="S33" s="339" t="s">
        <v>39</v>
      </c>
      <c r="X33" s="19" t="s">
        <v>31</v>
      </c>
      <c r="Y33" s="382">
        <f>'Summary PL'!M144</f>
        <v>524302.29999999993</v>
      </c>
      <c r="Z33" s="382"/>
      <c r="AA33" s="382"/>
      <c r="AB33" s="382"/>
      <c r="AC33" s="81" t="s">
        <v>38</v>
      </c>
    </row>
    <row r="34" spans="1:39" s="22" customFormat="1" ht="14.85" customHeight="1">
      <c r="A34" s="78"/>
      <c r="C34" s="19"/>
      <c r="D34" s="19"/>
      <c r="E34" s="19"/>
      <c r="F34" s="19"/>
      <c r="G34" s="19"/>
      <c r="H34" s="79"/>
      <c r="I34" s="19"/>
      <c r="J34" s="383" t="s">
        <v>26</v>
      </c>
      <c r="K34" s="383"/>
      <c r="L34" s="383"/>
      <c r="M34" s="383"/>
      <c r="N34" s="383"/>
      <c r="O34" s="383"/>
      <c r="P34" s="383"/>
      <c r="Q34" s="79"/>
      <c r="R34" s="19"/>
      <c r="S34" s="339" t="s">
        <v>40</v>
      </c>
      <c r="U34" s="19"/>
      <c r="V34" s="19"/>
      <c r="W34" s="19"/>
      <c r="X34" s="19" t="s">
        <v>31</v>
      </c>
      <c r="Y34" s="382">
        <f>'Summary PL'!K144</f>
        <v>2823.0409999999988</v>
      </c>
      <c r="Z34" s="382"/>
      <c r="AA34" s="382"/>
      <c r="AB34" s="382"/>
      <c r="AC34" s="81" t="s">
        <v>41</v>
      </c>
    </row>
    <row r="35" spans="1:39" s="22" customFormat="1" ht="14.4">
      <c r="A35" s="82"/>
      <c r="B35" s="80"/>
      <c r="C35" s="80"/>
      <c r="D35" s="80"/>
      <c r="E35" s="80"/>
      <c r="F35" s="80"/>
      <c r="G35" s="80"/>
      <c r="H35" s="83"/>
      <c r="I35" s="80"/>
      <c r="J35" s="80"/>
      <c r="K35" s="80"/>
      <c r="L35" s="80"/>
      <c r="M35" s="80"/>
      <c r="N35" s="80"/>
      <c r="O35" s="80"/>
      <c r="P35" s="80"/>
      <c r="Q35" s="83"/>
      <c r="R35" s="19"/>
      <c r="S35" s="340"/>
      <c r="T35" s="340"/>
      <c r="U35" s="340"/>
      <c r="V35" s="340"/>
      <c r="W35" s="340"/>
      <c r="X35" s="340"/>
      <c r="Y35" s="340"/>
      <c r="Z35" s="340"/>
      <c r="AA35" s="340"/>
      <c r="AB35" s="340"/>
      <c r="AC35" s="218"/>
    </row>
    <row r="36" spans="1:39" s="22" customFormat="1" ht="14.4">
      <c r="A36" s="87" t="s">
        <v>42</v>
      </c>
      <c r="B36" s="88"/>
      <c r="C36" s="88"/>
      <c r="D36" s="88"/>
      <c r="E36" s="88"/>
      <c r="F36" s="88"/>
      <c r="G36" s="88"/>
      <c r="H36" s="88"/>
      <c r="I36" s="138"/>
      <c r="J36" s="88"/>
      <c r="K36" s="88"/>
      <c r="L36" s="88"/>
      <c r="M36" s="88"/>
      <c r="N36" s="88"/>
      <c r="O36" s="88"/>
      <c r="P36" s="88"/>
      <c r="Q36" s="89"/>
      <c r="R36" s="19"/>
      <c r="S36" s="340"/>
      <c r="T36" s="340"/>
      <c r="U36" s="340"/>
      <c r="V36" s="340"/>
      <c r="W36" s="340"/>
      <c r="X36" s="340"/>
      <c r="Y36" s="340"/>
      <c r="Z36" s="340"/>
      <c r="AA36" s="340"/>
      <c r="AB36" s="340"/>
      <c r="AC36" s="218"/>
    </row>
    <row r="37" spans="1:39" s="22" customFormat="1" ht="14.4">
      <c r="A37" s="78"/>
      <c r="B37" s="19" t="s">
        <v>16</v>
      </c>
      <c r="C37" s="19"/>
      <c r="D37" s="19"/>
      <c r="E37" s="19"/>
      <c r="F37" s="19"/>
      <c r="G37" s="19"/>
      <c r="H37" s="19"/>
      <c r="I37" s="19"/>
      <c r="J37" s="344"/>
      <c r="K37" s="344"/>
      <c r="L37" s="344"/>
      <c r="M37" s="344"/>
      <c r="N37" s="344"/>
      <c r="O37" s="344"/>
      <c r="P37" s="344"/>
      <c r="Q37" s="79"/>
      <c r="R37" s="19"/>
      <c r="S37" s="340"/>
      <c r="T37" s="340"/>
      <c r="U37" s="340"/>
      <c r="V37" s="340"/>
      <c r="W37" s="340"/>
      <c r="X37" s="340"/>
      <c r="Y37" s="340"/>
      <c r="Z37" s="340"/>
      <c r="AA37" s="340"/>
      <c r="AB37" s="340"/>
      <c r="AC37" s="218"/>
    </row>
    <row r="38" spans="1:39" s="22" customFormat="1" ht="14.4">
      <c r="A38" s="82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3"/>
      <c r="R38" s="1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60"/>
    </row>
    <row r="39" spans="1:39" s="22" customFormat="1" ht="16.5" customHeight="1">
      <c r="A39" s="384" t="s">
        <v>43</v>
      </c>
      <c r="B39" s="385"/>
      <c r="C39" s="385"/>
      <c r="D39" s="385"/>
      <c r="E39" s="385"/>
      <c r="F39" s="385"/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6"/>
      <c r="R39" s="390" t="s">
        <v>60</v>
      </c>
      <c r="S39" s="391"/>
      <c r="T39" s="392"/>
      <c r="U39" s="390" t="s">
        <v>61</v>
      </c>
      <c r="V39" s="391"/>
      <c r="W39" s="391"/>
      <c r="X39" s="392"/>
      <c r="Y39" s="390" t="s">
        <v>62</v>
      </c>
      <c r="Z39" s="391"/>
      <c r="AA39" s="391"/>
      <c r="AB39" s="392"/>
      <c r="AC39" s="297" t="s">
        <v>63</v>
      </c>
    </row>
    <row r="40" spans="1:39" s="22" customFormat="1" ht="16.5" customHeight="1">
      <c r="A40" s="387"/>
      <c r="B40" s="388"/>
      <c r="C40" s="388"/>
      <c r="D40" s="388"/>
      <c r="E40" s="388"/>
      <c r="F40" s="388"/>
      <c r="G40" s="388"/>
      <c r="H40" s="388"/>
      <c r="I40" s="388"/>
      <c r="J40" s="388"/>
      <c r="K40" s="388"/>
      <c r="L40" s="388"/>
      <c r="M40" s="388"/>
      <c r="N40" s="388"/>
      <c r="O40" s="388"/>
      <c r="P40" s="388"/>
      <c r="Q40" s="389"/>
      <c r="R40" s="366" t="s">
        <v>64</v>
      </c>
      <c r="S40" s="367"/>
      <c r="T40" s="368"/>
      <c r="U40" s="366" t="s">
        <v>65</v>
      </c>
      <c r="V40" s="367"/>
      <c r="W40" s="367"/>
      <c r="X40" s="368"/>
      <c r="Y40" s="366" t="s">
        <v>65</v>
      </c>
      <c r="Z40" s="367"/>
      <c r="AA40" s="367"/>
      <c r="AB40" s="368"/>
      <c r="AC40" s="300" t="s">
        <v>66</v>
      </c>
      <c r="AF40" s="419"/>
      <c r="AG40" s="419"/>
      <c r="AH40" s="419"/>
      <c r="AI40" s="419"/>
      <c r="AJ40" s="419"/>
      <c r="AK40" s="419"/>
      <c r="AL40" s="419"/>
      <c r="AM40" s="419"/>
    </row>
    <row r="41" spans="1:39" s="22" customFormat="1" ht="16.5" customHeight="1">
      <c r="A41" s="277"/>
      <c r="B41" s="352" t="str">
        <f>CI!B41</f>
        <v>Fuel Gas Supply System</v>
      </c>
      <c r="C41" s="345"/>
      <c r="D41" s="345"/>
      <c r="E41" s="345"/>
      <c r="F41" s="345"/>
      <c r="G41" s="345"/>
      <c r="H41" s="345"/>
      <c r="I41" s="345"/>
      <c r="J41" s="345"/>
      <c r="K41" s="345"/>
      <c r="L41" s="345"/>
      <c r="M41" s="345"/>
      <c r="N41" s="345"/>
      <c r="O41" s="345"/>
      <c r="P41" s="345"/>
      <c r="Q41" s="261"/>
      <c r="R41" s="360" t="s">
        <v>2029</v>
      </c>
      <c r="S41" s="361"/>
      <c r="T41" s="362"/>
      <c r="U41" s="420">
        <f>'Summary PL'!L144</f>
        <v>503160.47999999992</v>
      </c>
      <c r="V41" s="421"/>
      <c r="W41" s="421"/>
      <c r="X41" s="422"/>
      <c r="Y41" s="420">
        <f>'Summary PL'!M144</f>
        <v>524302.29999999993</v>
      </c>
      <c r="Z41" s="421"/>
      <c r="AA41" s="421"/>
      <c r="AB41" s="422"/>
      <c r="AC41" s="349">
        <f>'Summary PL'!K144</f>
        <v>2823.0409999999988</v>
      </c>
      <c r="AF41" s="276"/>
      <c r="AG41" s="276"/>
      <c r="AH41" s="276"/>
      <c r="AI41" s="276"/>
      <c r="AJ41" s="276"/>
      <c r="AK41" s="276"/>
      <c r="AL41" s="276"/>
      <c r="AM41" s="276"/>
    </row>
    <row r="42" spans="1:39" s="22" customFormat="1" ht="16.5" customHeight="1">
      <c r="A42" s="277"/>
      <c r="B42" s="353" t="s">
        <v>2023</v>
      </c>
      <c r="C42" s="345"/>
      <c r="D42" s="345"/>
      <c r="E42" s="345"/>
      <c r="F42" s="345"/>
      <c r="G42" s="345"/>
      <c r="H42" s="345"/>
      <c r="I42" s="345"/>
      <c r="J42" s="345"/>
      <c r="K42" s="345"/>
      <c r="L42" s="345"/>
      <c r="M42" s="345"/>
      <c r="N42" s="345"/>
      <c r="O42" s="345"/>
      <c r="P42" s="345"/>
      <c r="Q42" s="261"/>
      <c r="R42" s="298"/>
      <c r="S42" s="346"/>
      <c r="T42" s="299"/>
      <c r="U42" s="350"/>
      <c r="V42" s="296"/>
      <c r="W42" s="296"/>
      <c r="X42" s="351"/>
      <c r="Y42" s="350"/>
      <c r="Z42" s="296"/>
      <c r="AA42" s="296"/>
      <c r="AB42" s="351"/>
      <c r="AC42" s="349"/>
      <c r="AF42" s="276"/>
      <c r="AG42" s="276"/>
      <c r="AH42" s="276"/>
      <c r="AI42" s="276"/>
      <c r="AJ42" s="276"/>
      <c r="AK42" s="276"/>
      <c r="AL42" s="276"/>
      <c r="AM42" s="276"/>
    </row>
    <row r="43" spans="1:39" s="22" customFormat="1" ht="16.5" customHeight="1" thickBot="1">
      <c r="A43" s="277"/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  <c r="M43" s="345"/>
      <c r="N43" s="345"/>
      <c r="O43" s="345"/>
      <c r="P43" s="345"/>
      <c r="Q43" s="261"/>
      <c r="R43" s="298"/>
      <c r="S43" s="346"/>
      <c r="T43" s="299"/>
      <c r="U43" s="350"/>
      <c r="V43" s="296"/>
      <c r="W43" s="296"/>
      <c r="X43" s="351"/>
      <c r="Y43" s="350"/>
      <c r="Z43" s="296"/>
      <c r="AA43" s="296"/>
      <c r="AB43" s="351"/>
      <c r="AC43" s="349"/>
      <c r="AF43" s="276"/>
      <c r="AG43" s="276"/>
      <c r="AH43" s="276"/>
      <c r="AI43" s="276"/>
      <c r="AJ43" s="276"/>
      <c r="AK43" s="276"/>
      <c r="AL43" s="276"/>
      <c r="AM43" s="276"/>
    </row>
    <row r="44" spans="1:39" s="22" customFormat="1" ht="17.25" customHeight="1" thickBot="1">
      <c r="A44" s="93"/>
      <c r="B44" s="94"/>
      <c r="C44" s="94"/>
      <c r="D44" s="94"/>
      <c r="E44" s="94"/>
      <c r="F44" s="94"/>
      <c r="G44" s="94"/>
      <c r="H44" s="94"/>
      <c r="I44" s="370"/>
      <c r="J44" s="370"/>
      <c r="K44" s="370"/>
      <c r="L44" s="370"/>
      <c r="M44" s="370"/>
      <c r="N44" s="370"/>
      <c r="O44" s="370"/>
      <c r="P44" s="370"/>
      <c r="Q44" s="412"/>
      <c r="R44" s="413"/>
      <c r="S44" s="414"/>
      <c r="T44" s="415"/>
      <c r="U44" s="416">
        <f>U41</f>
        <v>503160.47999999992</v>
      </c>
      <c r="V44" s="417"/>
      <c r="W44" s="417"/>
      <c r="X44" s="418"/>
      <c r="Y44" s="416">
        <f>Y41</f>
        <v>524302.29999999993</v>
      </c>
      <c r="Z44" s="417"/>
      <c r="AA44" s="417"/>
      <c r="AB44" s="418"/>
      <c r="AC44" s="348">
        <f>AC41</f>
        <v>2823.0409999999988</v>
      </c>
    </row>
    <row r="45" spans="1:39">
      <c r="A45" s="66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8"/>
    </row>
    <row r="46" spans="1:39">
      <c r="A46" s="69"/>
      <c r="AC46" s="70"/>
    </row>
    <row r="47" spans="1:39">
      <c r="A47" s="69"/>
      <c r="AC47" s="70"/>
    </row>
    <row r="48" spans="1:39">
      <c r="A48" s="69"/>
      <c r="AC48" s="70"/>
    </row>
    <row r="49" spans="1:29">
      <c r="A49" s="69"/>
      <c r="AC49" s="70"/>
    </row>
    <row r="50" spans="1:29">
      <c r="A50" s="69"/>
      <c r="AC50" s="70"/>
    </row>
    <row r="51" spans="1:29">
      <c r="A51" s="69"/>
      <c r="AC51" s="70"/>
    </row>
    <row r="52" spans="1:29" ht="14.4">
      <c r="A52" s="78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S52" s="19" t="s">
        <v>51</v>
      </c>
      <c r="AC52" s="70"/>
    </row>
    <row r="53" spans="1:29" ht="14.4">
      <c r="A53" s="78" t="s">
        <v>52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AC53" s="70"/>
    </row>
    <row r="54" spans="1:29" ht="14.4">
      <c r="A54" s="78" t="s">
        <v>53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W54" s="95"/>
      <c r="X54" s="95"/>
      <c r="AC54" s="70"/>
    </row>
    <row r="55" spans="1:29" ht="14.4">
      <c r="A55" s="78" t="s">
        <v>67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V55" s="358" t="s">
        <v>55</v>
      </c>
      <c r="W55" s="358"/>
      <c r="X55" s="358"/>
      <c r="Y55" s="358"/>
      <c r="Z55" s="358"/>
      <c r="AA55" s="358"/>
      <c r="AB55" s="358"/>
      <c r="AC55" s="359"/>
    </row>
    <row r="56" spans="1:29" ht="14.4">
      <c r="A56" s="78" t="s">
        <v>56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S56" s="339"/>
      <c r="U56" s="347"/>
      <c r="V56" s="347"/>
      <c r="W56" s="347"/>
      <c r="X56" s="347"/>
      <c r="Y56" s="347"/>
      <c r="Z56" s="347"/>
      <c r="AA56" s="347"/>
      <c r="AB56" s="347"/>
      <c r="AC56" s="70"/>
    </row>
    <row r="57" spans="1:29" ht="12.6" thickBot="1">
      <c r="A57" s="96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3"/>
    </row>
    <row r="58" spans="1:29" ht="15" thickBot="1">
      <c r="A58" s="97" t="s">
        <v>57</v>
      </c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9"/>
    </row>
  </sheetData>
  <mergeCells count="35">
    <mergeCell ref="U41:X41"/>
    <mergeCell ref="Y41:AB41"/>
    <mergeCell ref="S15:AC15"/>
    <mergeCell ref="S16:AC16"/>
    <mergeCell ref="I30:Q31"/>
    <mergeCell ref="Y31:AB31"/>
    <mergeCell ref="S22:AC22"/>
    <mergeCell ref="S24:AC24"/>
    <mergeCell ref="I25:Q25"/>
    <mergeCell ref="I28:Q29"/>
    <mergeCell ref="U40:X40"/>
    <mergeCell ref="Y40:AB40"/>
    <mergeCell ref="R41:T41"/>
    <mergeCell ref="A6:AC6"/>
    <mergeCell ref="V8:Z8"/>
    <mergeCell ref="V10:Z10"/>
    <mergeCell ref="S18:AC18"/>
    <mergeCell ref="S20:AC20"/>
    <mergeCell ref="AF40:AI40"/>
    <mergeCell ref="AJ40:AM40"/>
    <mergeCell ref="I32:Q33"/>
    <mergeCell ref="Y32:AB32"/>
    <mergeCell ref="Y33:AB33"/>
    <mergeCell ref="J34:P34"/>
    <mergeCell ref="Y34:AB34"/>
    <mergeCell ref="A39:Q40"/>
    <mergeCell ref="R39:T39"/>
    <mergeCell ref="U39:X39"/>
    <mergeCell ref="Y39:AB39"/>
    <mergeCell ref="R40:T40"/>
    <mergeCell ref="I44:Q44"/>
    <mergeCell ref="R44:T44"/>
    <mergeCell ref="U44:X44"/>
    <mergeCell ref="Y44:AB44"/>
    <mergeCell ref="V55:AC55"/>
  </mergeCells>
  <phoneticPr fontId="3" type="noConversion"/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972D-56AD-4F6D-B5B0-4E29749415B4}">
  <sheetPr>
    <tabColor rgb="FF00B0F0"/>
    <pageSetUpPr fitToPage="1"/>
  </sheetPr>
  <dimension ref="A1:U192"/>
  <sheetViews>
    <sheetView showGridLines="0" zoomScale="70" zoomScaleNormal="70" zoomScaleSheetLayoutView="80" workbookViewId="0">
      <pane ySplit="14" topLeftCell="A15" activePane="bottomLeft" state="frozen"/>
      <selection activeCell="V8" sqref="V8:Z8"/>
      <selection pane="bottomLeft" activeCell="D126" sqref="D126"/>
    </sheetView>
  </sheetViews>
  <sheetFormatPr defaultColWidth="10" defaultRowHeight="13.8"/>
  <cols>
    <col min="1" max="1" width="15.59765625" style="51" customWidth="1"/>
    <col min="2" max="2" width="24" style="51" customWidth="1"/>
    <col min="3" max="3" width="24.59765625" style="51" customWidth="1"/>
    <col min="4" max="4" width="64" style="51" bestFit="1" customWidth="1"/>
    <col min="5" max="5" width="17.09765625" style="12" customWidth="1"/>
    <col min="6" max="6" width="11.19921875" style="56" customWidth="1"/>
    <col min="7" max="7" width="9.19921875" style="53" customWidth="1"/>
    <col min="8" max="8" width="11.5" style="65" customWidth="1"/>
    <col min="9" max="10" width="11.5" style="65" bestFit="1" customWidth="1"/>
    <col min="11" max="11" width="15.796875" style="65" bestFit="1" customWidth="1"/>
    <col min="12" max="12" width="15.59765625" style="65" customWidth="1"/>
    <col min="13" max="13" width="17.296875" style="65" customWidth="1"/>
    <col min="14" max="14" width="18.296875" style="57" customWidth="1"/>
    <col min="15" max="15" width="14.5" style="55" customWidth="1"/>
    <col min="16" max="16" width="16.09765625" style="105" customWidth="1"/>
    <col min="17" max="17" width="10" style="12"/>
    <col min="18" max="18" width="21.69921875" style="12" customWidth="1"/>
    <col min="19" max="20" width="10" style="13"/>
    <col min="21" max="16384" width="10" style="14"/>
  </cols>
  <sheetData>
    <row r="1" spans="1:21" s="9" customFormat="1" ht="15.6">
      <c r="A1" s="5"/>
      <c r="B1" s="5"/>
      <c r="C1" s="5"/>
      <c r="D1" s="5"/>
      <c r="E1" s="6"/>
      <c r="F1" s="7"/>
      <c r="G1" s="8"/>
      <c r="H1" s="109"/>
      <c r="I1" s="58"/>
      <c r="J1" s="58"/>
      <c r="K1" s="58"/>
      <c r="L1" s="278"/>
      <c r="M1" s="58"/>
      <c r="N1" s="5"/>
      <c r="O1" s="10" t="s">
        <v>0</v>
      </c>
      <c r="P1" s="49"/>
      <c r="Q1" s="6"/>
      <c r="R1" s="161" t="s">
        <v>68</v>
      </c>
      <c r="S1" s="161" t="s">
        <v>69</v>
      </c>
      <c r="T1" s="11"/>
    </row>
    <row r="2" spans="1:21" s="9" customFormat="1" ht="15.6">
      <c r="A2" s="5"/>
      <c r="B2" s="5"/>
      <c r="C2" s="5"/>
      <c r="D2" s="5"/>
      <c r="E2" s="6"/>
      <c r="F2" s="7"/>
      <c r="G2" s="8"/>
      <c r="H2" s="109"/>
      <c r="I2" s="58"/>
      <c r="J2" s="58"/>
      <c r="K2" s="58"/>
      <c r="L2" s="278"/>
      <c r="M2" s="58"/>
      <c r="N2" s="5"/>
      <c r="O2" s="10" t="s">
        <v>1</v>
      </c>
      <c r="P2" s="49"/>
      <c r="Q2" s="160" t="s">
        <v>70</v>
      </c>
      <c r="R2" s="161" t="s">
        <v>71</v>
      </c>
      <c r="S2" s="161" t="s">
        <v>72</v>
      </c>
    </row>
    <row r="3" spans="1:21" s="9" customFormat="1" ht="15.6">
      <c r="A3" s="5"/>
      <c r="B3" s="5"/>
      <c r="C3" s="5"/>
      <c r="D3" s="5"/>
      <c r="E3" s="6"/>
      <c r="F3" s="7"/>
      <c r="G3" s="8"/>
      <c r="H3" s="109"/>
      <c r="I3" s="58"/>
      <c r="J3" s="58"/>
      <c r="K3" s="58"/>
      <c r="L3" s="278"/>
      <c r="M3" s="58"/>
      <c r="N3" s="5"/>
      <c r="O3" s="10" t="s">
        <v>2</v>
      </c>
      <c r="P3" s="49"/>
      <c r="Q3" s="162"/>
      <c r="R3" s="161" t="s">
        <v>73</v>
      </c>
      <c r="S3" s="161" t="s">
        <v>74</v>
      </c>
    </row>
    <row r="4" spans="1:21" s="9" customFormat="1" ht="15.6">
      <c r="A4" s="5"/>
      <c r="B4" s="5"/>
      <c r="C4" s="5"/>
      <c r="D4" s="5"/>
      <c r="E4" s="6"/>
      <c r="F4" s="7"/>
      <c r="G4" s="8"/>
      <c r="H4" s="109"/>
      <c r="I4" s="58"/>
      <c r="J4" s="58"/>
      <c r="K4" s="58"/>
      <c r="L4" s="278"/>
      <c r="M4" s="58"/>
      <c r="N4" s="5"/>
      <c r="O4" s="10" t="s">
        <v>3</v>
      </c>
      <c r="P4" s="49"/>
      <c r="Q4" s="162"/>
      <c r="R4" s="161" t="s">
        <v>75</v>
      </c>
      <c r="S4" s="161" t="s">
        <v>76</v>
      </c>
    </row>
    <row r="5" spans="1:21" s="9" customFormat="1" ht="15.6">
      <c r="A5" s="5"/>
      <c r="B5" s="5"/>
      <c r="C5" s="5"/>
      <c r="D5" s="5"/>
      <c r="E5" s="6"/>
      <c r="F5" s="7"/>
      <c r="G5" s="8"/>
      <c r="H5" s="109"/>
      <c r="I5" s="58"/>
      <c r="J5" s="58"/>
      <c r="K5" s="58"/>
      <c r="L5" s="278"/>
      <c r="M5" s="58"/>
      <c r="N5" s="5"/>
      <c r="O5" s="10" t="s">
        <v>4</v>
      </c>
      <c r="P5" s="49"/>
      <c r="Q5" s="162"/>
    </row>
    <row r="6" spans="1:21" ht="52.05" customHeight="1">
      <c r="A6" s="410" t="s">
        <v>77</v>
      </c>
      <c r="B6" s="410"/>
      <c r="C6" s="402"/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23"/>
    </row>
    <row r="7" spans="1:21" ht="17.100000000000001" customHeight="1">
      <c r="A7" s="157"/>
      <c r="B7" s="157"/>
      <c r="C7" s="137"/>
      <c r="D7" s="137"/>
      <c r="E7" s="137"/>
      <c r="F7" s="137"/>
      <c r="G7" s="137"/>
      <c r="H7" s="137"/>
      <c r="I7" s="137"/>
      <c r="J7" s="137"/>
      <c r="K7" s="279"/>
      <c r="L7" s="279"/>
      <c r="M7" s="279"/>
      <c r="N7" s="137"/>
      <c r="O7" s="137"/>
      <c r="P7" s="137"/>
      <c r="Q7" s="23"/>
    </row>
    <row r="8" spans="1:21" ht="17.100000000000001" customHeight="1">
      <c r="A8" s="164" t="s">
        <v>78</v>
      </c>
      <c r="B8" s="164" t="s">
        <v>79</v>
      </c>
      <c r="C8" s="165"/>
      <c r="D8" s="165"/>
      <c r="E8" s="165"/>
      <c r="F8" s="137"/>
      <c r="G8" s="137"/>
      <c r="H8" s="137"/>
      <c r="I8" s="137"/>
      <c r="J8" s="137"/>
      <c r="K8" s="279"/>
      <c r="L8" s="279"/>
      <c r="M8" s="279"/>
      <c r="N8" s="137"/>
      <c r="O8" s="137"/>
      <c r="P8" s="137"/>
      <c r="Q8" s="23"/>
    </row>
    <row r="9" spans="1:21" ht="17.100000000000001" customHeight="1">
      <c r="A9" s="164"/>
      <c r="B9" s="164" t="s">
        <v>80</v>
      </c>
      <c r="C9" s="165"/>
      <c r="D9" s="165"/>
      <c r="E9" s="165"/>
      <c r="F9" s="137"/>
      <c r="G9" s="137"/>
      <c r="H9" s="137"/>
      <c r="I9" s="137"/>
      <c r="J9" s="137"/>
      <c r="K9" s="279"/>
      <c r="L9" s="279"/>
      <c r="M9" s="279"/>
      <c r="N9" s="137"/>
      <c r="O9" s="137"/>
      <c r="P9" s="137"/>
      <c r="T9" s="162"/>
      <c r="U9" s="163"/>
    </row>
    <row r="10" spans="1:21" s="22" customFormat="1" ht="17.100000000000001" customHeight="1" thickBot="1">
      <c r="A10" s="164" t="s">
        <v>81</v>
      </c>
      <c r="B10" s="164" t="s">
        <v>82</v>
      </c>
      <c r="C10" s="164"/>
      <c r="D10" s="166"/>
      <c r="E10" s="33"/>
      <c r="F10" s="16"/>
      <c r="G10" s="17"/>
      <c r="H10" s="59"/>
      <c r="I10" s="59"/>
      <c r="J10" s="59"/>
      <c r="K10" s="110"/>
      <c r="L10" s="59"/>
      <c r="M10" s="59"/>
      <c r="N10" s="18"/>
      <c r="O10" s="20"/>
      <c r="P10" s="20"/>
      <c r="T10" s="162"/>
      <c r="U10" s="163"/>
    </row>
    <row r="11" spans="1:21" s="22" customFormat="1" ht="21" customHeight="1">
      <c r="A11" s="167" t="s">
        <v>83</v>
      </c>
      <c r="B11" s="168"/>
      <c r="C11" s="168"/>
      <c r="D11" s="169"/>
      <c r="E11" s="170"/>
      <c r="F11" s="16"/>
      <c r="G11" s="17"/>
      <c r="H11" s="59"/>
      <c r="I11" s="59"/>
      <c r="J11" s="59"/>
      <c r="K11" s="110"/>
      <c r="L11" s="59"/>
      <c r="M11" s="59"/>
      <c r="N11" s="18"/>
      <c r="O11" s="20"/>
      <c r="P11" s="20"/>
      <c r="T11" s="162"/>
      <c r="U11" s="163"/>
    </row>
    <row r="12" spans="1:21" s="22" customFormat="1" ht="21" customHeight="1" thickBot="1">
      <c r="A12" s="171" t="s">
        <v>84</v>
      </c>
      <c r="B12" s="172"/>
      <c r="C12" s="172"/>
      <c r="D12" s="173"/>
      <c r="E12" s="174"/>
      <c r="F12" s="16"/>
      <c r="G12" s="17"/>
      <c r="H12" s="59"/>
      <c r="I12" s="59"/>
      <c r="J12" s="59"/>
      <c r="K12" s="110"/>
      <c r="L12" s="59"/>
      <c r="M12" s="59"/>
      <c r="N12" s="18"/>
      <c r="O12" s="20"/>
      <c r="P12" s="20"/>
      <c r="T12" s="162"/>
      <c r="U12" s="163"/>
    </row>
    <row r="13" spans="1:21" s="25" customFormat="1" ht="23.55" customHeight="1">
      <c r="A13" s="436" t="s">
        <v>85</v>
      </c>
      <c r="B13" s="438" t="s">
        <v>86</v>
      </c>
      <c r="C13" s="438" t="s">
        <v>87</v>
      </c>
      <c r="D13" s="438" t="s">
        <v>88</v>
      </c>
      <c r="E13" s="440" t="s">
        <v>89</v>
      </c>
      <c r="F13" s="442" t="s">
        <v>90</v>
      </c>
      <c r="G13" s="443"/>
      <c r="H13" s="444" t="s">
        <v>91</v>
      </c>
      <c r="I13" s="444"/>
      <c r="J13" s="444"/>
      <c r="K13" s="445"/>
      <c r="L13" s="446" t="s">
        <v>92</v>
      </c>
      <c r="M13" s="446" t="s">
        <v>93</v>
      </c>
      <c r="N13" s="448" t="s">
        <v>94</v>
      </c>
      <c r="O13" s="428" t="s">
        <v>95</v>
      </c>
      <c r="P13" s="430" t="s">
        <v>96</v>
      </c>
      <c r="R13" s="24"/>
      <c r="S13" s="24"/>
      <c r="T13" s="24"/>
    </row>
    <row r="14" spans="1:21" s="25" customFormat="1" ht="39" customHeight="1">
      <c r="A14" s="437"/>
      <c r="B14" s="439"/>
      <c r="C14" s="439"/>
      <c r="D14" s="439"/>
      <c r="E14" s="441"/>
      <c r="F14" s="144" t="s">
        <v>97</v>
      </c>
      <c r="G14" s="158" t="s">
        <v>98</v>
      </c>
      <c r="H14" s="111" t="s">
        <v>99</v>
      </c>
      <c r="I14" s="111" t="s">
        <v>100</v>
      </c>
      <c r="J14" s="111" t="s">
        <v>101</v>
      </c>
      <c r="K14" s="111" t="s">
        <v>102</v>
      </c>
      <c r="L14" s="447"/>
      <c r="M14" s="447"/>
      <c r="N14" s="449"/>
      <c r="O14" s="429"/>
      <c r="P14" s="431"/>
      <c r="R14" s="24"/>
      <c r="S14" s="24"/>
      <c r="T14" s="24"/>
    </row>
    <row r="15" spans="1:21" s="107" customFormat="1" ht="25.05" customHeight="1">
      <c r="A15" s="26">
        <v>1</v>
      </c>
      <c r="B15" s="139"/>
      <c r="C15" s="27" t="s">
        <v>2014</v>
      </c>
      <c r="D15" s="288" t="s">
        <v>2031</v>
      </c>
      <c r="E15" s="146" t="s">
        <v>104</v>
      </c>
      <c r="F15" s="145">
        <v>1</v>
      </c>
      <c r="G15" s="30" t="s">
        <v>2011</v>
      </c>
      <c r="H15" s="60">
        <v>1091</v>
      </c>
      <c r="I15" s="60">
        <v>194</v>
      </c>
      <c r="J15" s="60">
        <v>281</v>
      </c>
      <c r="K15" s="199">
        <v>59.475000000000001</v>
      </c>
      <c r="L15" s="60">
        <v>13800</v>
      </c>
      <c r="M15" s="60">
        <v>14000</v>
      </c>
      <c r="N15" s="31"/>
      <c r="O15" s="28"/>
      <c r="P15" s="153"/>
      <c r="Q15" s="32"/>
      <c r="R15" s="33"/>
      <c r="S15" s="33"/>
      <c r="T15" s="106"/>
    </row>
    <row r="16" spans="1:21" s="107" customFormat="1" ht="25.05" customHeight="1">
      <c r="A16" s="26">
        <v>2</v>
      </c>
      <c r="B16" s="139"/>
      <c r="C16" s="27" t="s">
        <v>106</v>
      </c>
      <c r="D16" s="288" t="s">
        <v>2033</v>
      </c>
      <c r="E16" s="146" t="s">
        <v>104</v>
      </c>
      <c r="F16" s="145">
        <v>1</v>
      </c>
      <c r="G16" s="30" t="s">
        <v>2011</v>
      </c>
      <c r="H16" s="60">
        <v>1291</v>
      </c>
      <c r="I16" s="60">
        <v>301</v>
      </c>
      <c r="J16" s="60">
        <v>447</v>
      </c>
      <c r="K16" s="199">
        <v>173.7</v>
      </c>
      <c r="L16" s="60">
        <v>33600</v>
      </c>
      <c r="M16" s="60">
        <v>33800</v>
      </c>
      <c r="N16" s="31"/>
      <c r="O16" s="28"/>
      <c r="P16" s="153"/>
      <c r="Q16" s="32"/>
      <c r="R16" s="33"/>
      <c r="S16" s="33"/>
      <c r="T16" s="106"/>
    </row>
    <row r="17" spans="1:20" s="107" customFormat="1" ht="25.05" customHeight="1">
      <c r="A17" s="26">
        <v>3</v>
      </c>
      <c r="B17" s="139"/>
      <c r="C17" s="27" t="s">
        <v>108</v>
      </c>
      <c r="D17" s="288" t="s">
        <v>2033</v>
      </c>
      <c r="E17" s="146" t="s">
        <v>104</v>
      </c>
      <c r="F17" s="145">
        <v>1</v>
      </c>
      <c r="G17" s="30" t="s">
        <v>2011</v>
      </c>
      <c r="H17" s="60">
        <v>1291</v>
      </c>
      <c r="I17" s="60">
        <v>301</v>
      </c>
      <c r="J17" s="60">
        <v>447</v>
      </c>
      <c r="K17" s="199">
        <v>173.7</v>
      </c>
      <c r="L17" s="60">
        <v>33600</v>
      </c>
      <c r="M17" s="60">
        <v>33800</v>
      </c>
      <c r="N17" s="31"/>
      <c r="O17" s="28"/>
      <c r="P17" s="153"/>
      <c r="Q17" s="32"/>
      <c r="R17" s="33"/>
      <c r="S17" s="33"/>
      <c r="T17" s="106"/>
    </row>
    <row r="18" spans="1:20" s="107" customFormat="1" ht="25.05" customHeight="1">
      <c r="A18" s="26">
        <v>4</v>
      </c>
      <c r="B18" s="139"/>
      <c r="C18" s="27" t="s">
        <v>110</v>
      </c>
      <c r="D18" s="288" t="s">
        <v>2035</v>
      </c>
      <c r="E18" s="146" t="s">
        <v>104</v>
      </c>
      <c r="F18" s="145">
        <v>1</v>
      </c>
      <c r="G18" s="30" t="s">
        <v>2011</v>
      </c>
      <c r="H18" s="60">
        <v>590</v>
      </c>
      <c r="I18" s="60">
        <v>310</v>
      </c>
      <c r="J18" s="60">
        <v>251.5</v>
      </c>
      <c r="K18" s="199">
        <v>45.999000000000002</v>
      </c>
      <c r="L18" s="60">
        <v>14400</v>
      </c>
      <c r="M18" s="60">
        <v>14600</v>
      </c>
      <c r="N18" s="31"/>
      <c r="O18" s="28"/>
      <c r="P18" s="153"/>
      <c r="Q18" s="32"/>
      <c r="R18" s="33"/>
      <c r="S18" s="33"/>
      <c r="T18" s="106"/>
    </row>
    <row r="19" spans="1:20" s="107" customFormat="1" ht="25.05" customHeight="1">
      <c r="A19" s="26">
        <v>5</v>
      </c>
      <c r="B19" s="139"/>
      <c r="C19" s="27" t="s">
        <v>111</v>
      </c>
      <c r="D19" s="288" t="s">
        <v>2035</v>
      </c>
      <c r="E19" s="146" t="s">
        <v>104</v>
      </c>
      <c r="F19" s="145">
        <v>1</v>
      </c>
      <c r="G19" s="30" t="s">
        <v>2011</v>
      </c>
      <c r="H19" s="60">
        <v>571</v>
      </c>
      <c r="I19" s="60">
        <v>310</v>
      </c>
      <c r="J19" s="60">
        <v>375</v>
      </c>
      <c r="K19" s="199">
        <v>66.379000000000005</v>
      </c>
      <c r="L19" s="60">
        <v>14400</v>
      </c>
      <c r="M19" s="60">
        <v>14600</v>
      </c>
      <c r="N19" s="31"/>
      <c r="O19" s="28"/>
      <c r="P19" s="153"/>
      <c r="Q19" s="32"/>
      <c r="R19" s="33"/>
      <c r="S19" s="33"/>
      <c r="T19" s="106"/>
    </row>
    <row r="20" spans="1:20" s="107" customFormat="1" ht="25.05" customHeight="1">
      <c r="A20" s="26">
        <v>6</v>
      </c>
      <c r="B20" s="139"/>
      <c r="C20" s="27" t="s">
        <v>112</v>
      </c>
      <c r="D20" s="288" t="s">
        <v>2037</v>
      </c>
      <c r="E20" s="146" t="s">
        <v>104</v>
      </c>
      <c r="F20" s="145">
        <v>1</v>
      </c>
      <c r="G20" s="30" t="s">
        <v>2011</v>
      </c>
      <c r="H20" s="60">
        <v>891</v>
      </c>
      <c r="I20" s="60">
        <v>180</v>
      </c>
      <c r="J20" s="60">
        <v>211.2</v>
      </c>
      <c r="K20" s="199">
        <v>33.872</v>
      </c>
      <c r="L20" s="60">
        <v>12900</v>
      </c>
      <c r="M20" s="60">
        <v>13100</v>
      </c>
      <c r="N20" s="31"/>
      <c r="O20" s="28"/>
      <c r="P20" s="153"/>
      <c r="Q20" s="32"/>
      <c r="R20" s="33"/>
      <c r="S20" s="33"/>
      <c r="T20" s="106"/>
    </row>
    <row r="21" spans="1:20" s="107" customFormat="1" ht="25.05" customHeight="1">
      <c r="A21" s="26">
        <v>7</v>
      </c>
      <c r="B21" s="139"/>
      <c r="C21" s="27" t="s">
        <v>113</v>
      </c>
      <c r="D21" s="288" t="s">
        <v>2039</v>
      </c>
      <c r="E21" s="146" t="s">
        <v>104</v>
      </c>
      <c r="F21" s="145">
        <v>1</v>
      </c>
      <c r="G21" s="30" t="s">
        <v>2011</v>
      </c>
      <c r="H21" s="60">
        <v>1601</v>
      </c>
      <c r="I21" s="60">
        <v>290</v>
      </c>
      <c r="J21" s="60">
        <v>231.1</v>
      </c>
      <c r="K21" s="199">
        <v>107.297</v>
      </c>
      <c r="L21" s="60">
        <v>28100</v>
      </c>
      <c r="M21" s="60">
        <v>28300</v>
      </c>
      <c r="N21" s="31"/>
      <c r="O21" s="28"/>
      <c r="P21" s="153"/>
      <c r="Q21" s="32"/>
      <c r="R21" s="33"/>
      <c r="S21" s="33"/>
      <c r="T21" s="106"/>
    </row>
    <row r="22" spans="1:20" s="107" customFormat="1" ht="25.05" customHeight="1">
      <c r="A22" s="26">
        <v>8</v>
      </c>
      <c r="B22" s="139"/>
      <c r="C22" s="27" t="s">
        <v>114</v>
      </c>
      <c r="D22" s="288" t="s">
        <v>2039</v>
      </c>
      <c r="E22" s="146" t="s">
        <v>104</v>
      </c>
      <c r="F22" s="145">
        <v>1</v>
      </c>
      <c r="G22" s="30" t="s">
        <v>2011</v>
      </c>
      <c r="H22" s="60">
        <v>491</v>
      </c>
      <c r="I22" s="60">
        <v>231</v>
      </c>
      <c r="J22" s="60">
        <v>280</v>
      </c>
      <c r="K22" s="199">
        <v>31.757999999999999</v>
      </c>
      <c r="L22" s="60">
        <v>5900</v>
      </c>
      <c r="M22" s="60">
        <v>6000</v>
      </c>
      <c r="N22" s="31"/>
      <c r="O22" s="28"/>
      <c r="P22" s="153"/>
      <c r="Q22" s="32"/>
      <c r="R22" s="33"/>
      <c r="S22" s="33"/>
      <c r="T22" s="106"/>
    </row>
    <row r="23" spans="1:20" s="107" customFormat="1" ht="25.05" customHeight="1">
      <c r="A23" s="26">
        <v>9</v>
      </c>
      <c r="B23" s="139"/>
      <c r="C23" s="27" t="s">
        <v>116</v>
      </c>
      <c r="D23" s="288" t="s">
        <v>2041</v>
      </c>
      <c r="E23" s="146" t="s">
        <v>104</v>
      </c>
      <c r="F23" s="145">
        <v>1</v>
      </c>
      <c r="G23" s="30" t="s">
        <v>2011</v>
      </c>
      <c r="H23" s="60">
        <v>747</v>
      </c>
      <c r="I23" s="60">
        <v>380</v>
      </c>
      <c r="J23" s="60">
        <v>344</v>
      </c>
      <c r="K23" s="199">
        <v>97.647999999999996</v>
      </c>
      <c r="L23" s="60">
        <v>13500</v>
      </c>
      <c r="M23" s="60">
        <v>13700</v>
      </c>
      <c r="N23" s="31"/>
      <c r="O23" s="28"/>
      <c r="P23" s="153"/>
      <c r="Q23" s="32"/>
      <c r="R23" s="33"/>
      <c r="S23" s="33"/>
      <c r="T23" s="106"/>
    </row>
    <row r="24" spans="1:20" s="107" customFormat="1" ht="25.05" customHeight="1">
      <c r="A24" s="26">
        <v>10</v>
      </c>
      <c r="B24" s="139"/>
      <c r="C24" s="27" t="s">
        <v>117</v>
      </c>
      <c r="D24" s="288" t="s">
        <v>2041</v>
      </c>
      <c r="E24" s="146" t="s">
        <v>104</v>
      </c>
      <c r="F24" s="145">
        <v>1</v>
      </c>
      <c r="G24" s="30" t="s">
        <v>2011</v>
      </c>
      <c r="H24" s="60">
        <v>747</v>
      </c>
      <c r="I24" s="60">
        <v>380</v>
      </c>
      <c r="J24" s="60">
        <v>344</v>
      </c>
      <c r="K24" s="199">
        <v>97.647999999999996</v>
      </c>
      <c r="L24" s="60">
        <v>13500</v>
      </c>
      <c r="M24" s="60">
        <v>13700</v>
      </c>
      <c r="N24" s="31"/>
      <c r="O24" s="28"/>
      <c r="P24" s="153"/>
      <c r="Q24" s="32"/>
      <c r="R24" s="33"/>
      <c r="S24" s="33"/>
      <c r="T24" s="106"/>
    </row>
    <row r="25" spans="1:20" s="107" customFormat="1" ht="25.05" customHeight="1">
      <c r="A25" s="26">
        <v>11</v>
      </c>
      <c r="B25" s="139"/>
      <c r="C25" s="27" t="s">
        <v>118</v>
      </c>
      <c r="D25" s="288" t="s">
        <v>2041</v>
      </c>
      <c r="E25" s="146" t="s">
        <v>104</v>
      </c>
      <c r="F25" s="145">
        <v>1</v>
      </c>
      <c r="G25" s="30" t="s">
        <v>2011</v>
      </c>
      <c r="H25" s="60">
        <v>747</v>
      </c>
      <c r="I25" s="60">
        <v>380</v>
      </c>
      <c r="J25" s="60">
        <v>344</v>
      </c>
      <c r="K25" s="199">
        <v>97.647999999999996</v>
      </c>
      <c r="L25" s="60">
        <v>13500</v>
      </c>
      <c r="M25" s="60">
        <v>13700</v>
      </c>
      <c r="N25" s="31"/>
      <c r="O25" s="28"/>
      <c r="P25" s="153"/>
      <c r="Q25" s="32"/>
      <c r="R25" s="33"/>
      <c r="S25" s="33"/>
      <c r="T25" s="106"/>
    </row>
    <row r="26" spans="1:20" s="107" customFormat="1" ht="25.05" customHeight="1">
      <c r="A26" s="26">
        <v>12</v>
      </c>
      <c r="B26" s="139"/>
      <c r="C26" s="27" t="s">
        <v>119</v>
      </c>
      <c r="D26" s="288" t="s">
        <v>2041</v>
      </c>
      <c r="E26" s="146" t="s">
        <v>104</v>
      </c>
      <c r="F26" s="145">
        <v>1</v>
      </c>
      <c r="G26" s="30" t="s">
        <v>2011</v>
      </c>
      <c r="H26" s="60">
        <v>747</v>
      </c>
      <c r="I26" s="60">
        <v>380</v>
      </c>
      <c r="J26" s="60">
        <v>344</v>
      </c>
      <c r="K26" s="199">
        <v>97.647999999999996</v>
      </c>
      <c r="L26" s="60">
        <v>13500</v>
      </c>
      <c r="M26" s="60">
        <v>13700</v>
      </c>
      <c r="N26" s="31"/>
      <c r="O26" s="28"/>
      <c r="P26" s="153"/>
      <c r="Q26" s="32"/>
      <c r="R26" s="33"/>
      <c r="S26" s="33"/>
      <c r="T26" s="106"/>
    </row>
    <row r="27" spans="1:20" s="107" customFormat="1" ht="25.05" customHeight="1">
      <c r="A27" s="26">
        <v>13</v>
      </c>
      <c r="B27" s="139"/>
      <c r="C27" s="27" t="s">
        <v>121</v>
      </c>
      <c r="D27" s="288" t="s">
        <v>2043</v>
      </c>
      <c r="E27" s="146" t="s">
        <v>104</v>
      </c>
      <c r="F27" s="145">
        <v>1</v>
      </c>
      <c r="G27" s="30" t="s">
        <v>2011</v>
      </c>
      <c r="H27" s="60">
        <v>785</v>
      </c>
      <c r="I27" s="60">
        <v>305</v>
      </c>
      <c r="J27" s="60">
        <v>423.5</v>
      </c>
      <c r="K27" s="199">
        <v>101.396</v>
      </c>
      <c r="L27" s="60">
        <v>21400</v>
      </c>
      <c r="M27" s="60">
        <v>21600</v>
      </c>
      <c r="N27" s="31"/>
      <c r="O27" s="28"/>
      <c r="P27" s="153"/>
      <c r="Q27" s="32"/>
      <c r="R27" s="33"/>
      <c r="S27" s="33"/>
      <c r="T27" s="106"/>
    </row>
    <row r="28" spans="1:20" s="107" customFormat="1" ht="25.05" customHeight="1">
      <c r="A28" s="26">
        <v>14</v>
      </c>
      <c r="B28" s="139"/>
      <c r="C28" s="27" t="s">
        <v>122</v>
      </c>
      <c r="D28" s="288" t="s">
        <v>2043</v>
      </c>
      <c r="E28" s="146" t="s">
        <v>104</v>
      </c>
      <c r="F28" s="145">
        <v>1</v>
      </c>
      <c r="G28" s="30" t="s">
        <v>2011</v>
      </c>
      <c r="H28" s="60">
        <v>785</v>
      </c>
      <c r="I28" s="60">
        <v>305</v>
      </c>
      <c r="J28" s="60">
        <v>423.5</v>
      </c>
      <c r="K28" s="199">
        <v>101.396</v>
      </c>
      <c r="L28" s="60">
        <v>21400</v>
      </c>
      <c r="M28" s="60">
        <v>21600</v>
      </c>
      <c r="N28" s="31"/>
      <c r="O28" s="28"/>
      <c r="P28" s="153"/>
      <c r="Q28" s="32"/>
      <c r="R28" s="33"/>
      <c r="S28" s="33"/>
      <c r="T28" s="106"/>
    </row>
    <row r="29" spans="1:20" s="107" customFormat="1" ht="25.05" customHeight="1">
      <c r="A29" s="26">
        <v>15</v>
      </c>
      <c r="B29" s="139"/>
      <c r="C29" s="27" t="s">
        <v>124</v>
      </c>
      <c r="D29" s="288" t="s">
        <v>2043</v>
      </c>
      <c r="E29" s="146" t="s">
        <v>104</v>
      </c>
      <c r="F29" s="145">
        <v>1</v>
      </c>
      <c r="G29" s="30" t="s">
        <v>2011</v>
      </c>
      <c r="H29" s="60">
        <v>785</v>
      </c>
      <c r="I29" s="60">
        <v>305</v>
      </c>
      <c r="J29" s="60">
        <v>423.5</v>
      </c>
      <c r="K29" s="199">
        <v>101.396</v>
      </c>
      <c r="L29" s="60">
        <v>21400</v>
      </c>
      <c r="M29" s="60">
        <v>21600</v>
      </c>
      <c r="N29" s="31"/>
      <c r="O29" s="28"/>
      <c r="P29" s="153"/>
      <c r="Q29" s="32"/>
      <c r="R29" s="33"/>
      <c r="S29" s="33"/>
      <c r="T29" s="106"/>
    </row>
    <row r="30" spans="1:20" s="107" customFormat="1" ht="25.05" customHeight="1">
      <c r="A30" s="26">
        <v>16</v>
      </c>
      <c r="B30" s="139"/>
      <c r="C30" s="27" t="s">
        <v>126</v>
      </c>
      <c r="D30" s="288" t="s">
        <v>2043</v>
      </c>
      <c r="E30" s="146" t="s">
        <v>104</v>
      </c>
      <c r="F30" s="145">
        <v>1</v>
      </c>
      <c r="G30" s="30" t="s">
        <v>2011</v>
      </c>
      <c r="H30" s="60">
        <v>785</v>
      </c>
      <c r="I30" s="60">
        <v>305</v>
      </c>
      <c r="J30" s="60">
        <v>423.5</v>
      </c>
      <c r="K30" s="199">
        <v>101.396</v>
      </c>
      <c r="L30" s="60">
        <v>21400</v>
      </c>
      <c r="M30" s="60">
        <v>21600</v>
      </c>
      <c r="N30" s="31"/>
      <c r="O30" s="28"/>
      <c r="P30" s="153"/>
      <c r="Q30" s="32"/>
      <c r="R30" s="33"/>
      <c r="S30" s="33"/>
      <c r="T30" s="106"/>
    </row>
    <row r="31" spans="1:20" s="107" customFormat="1" ht="25.05" customHeight="1">
      <c r="A31" s="26">
        <v>17</v>
      </c>
      <c r="B31" s="139"/>
      <c r="C31" s="27" t="s">
        <v>128</v>
      </c>
      <c r="D31" s="288" t="s">
        <v>2045</v>
      </c>
      <c r="E31" s="146" t="s">
        <v>129</v>
      </c>
      <c r="F31" s="145">
        <v>1</v>
      </c>
      <c r="G31" s="30" t="s">
        <v>2011</v>
      </c>
      <c r="H31" s="60">
        <v>360</v>
      </c>
      <c r="I31" s="60">
        <v>170</v>
      </c>
      <c r="J31" s="60">
        <v>163</v>
      </c>
      <c r="K31" s="199">
        <v>9.9760000000000009</v>
      </c>
      <c r="L31" s="60">
        <v>1250.5</v>
      </c>
      <c r="M31" s="60">
        <v>1350.5</v>
      </c>
      <c r="N31" s="31"/>
      <c r="O31" s="28"/>
      <c r="P31" s="153"/>
      <c r="Q31" s="32"/>
      <c r="R31" s="33"/>
      <c r="S31" s="33"/>
      <c r="T31" s="106"/>
    </row>
    <row r="32" spans="1:20" s="107" customFormat="1" ht="25.05" customHeight="1">
      <c r="A32" s="26">
        <v>18</v>
      </c>
      <c r="B32" s="139"/>
      <c r="C32" s="27" t="s">
        <v>130</v>
      </c>
      <c r="D32" s="288" t="s">
        <v>131</v>
      </c>
      <c r="E32" s="146" t="s">
        <v>129</v>
      </c>
      <c r="F32" s="145">
        <v>1</v>
      </c>
      <c r="G32" s="30" t="s">
        <v>2011</v>
      </c>
      <c r="H32" s="60">
        <v>500</v>
      </c>
      <c r="I32" s="60">
        <v>220</v>
      </c>
      <c r="J32" s="60">
        <v>160</v>
      </c>
      <c r="K32" s="199">
        <v>17.600000000000001</v>
      </c>
      <c r="L32" s="60">
        <v>700</v>
      </c>
      <c r="M32" s="60">
        <v>800</v>
      </c>
      <c r="N32" s="31"/>
      <c r="O32" s="28"/>
      <c r="P32" s="153"/>
      <c r="Q32" s="32"/>
      <c r="R32" s="33"/>
      <c r="S32" s="33"/>
      <c r="T32" s="106"/>
    </row>
    <row r="33" spans="1:20" s="107" customFormat="1" ht="25.05" customHeight="1">
      <c r="A33" s="26">
        <v>19</v>
      </c>
      <c r="B33" s="139"/>
      <c r="C33" s="27" t="s">
        <v>132</v>
      </c>
      <c r="D33" s="288" t="s">
        <v>133</v>
      </c>
      <c r="E33" s="146" t="s">
        <v>129</v>
      </c>
      <c r="F33" s="145">
        <v>1</v>
      </c>
      <c r="G33" s="30" t="s">
        <v>2011</v>
      </c>
      <c r="H33" s="60">
        <v>465</v>
      </c>
      <c r="I33" s="60">
        <v>188</v>
      </c>
      <c r="J33" s="60">
        <v>130.6</v>
      </c>
      <c r="K33" s="199">
        <v>11.417</v>
      </c>
      <c r="L33" s="60">
        <v>597.9</v>
      </c>
      <c r="M33" s="60">
        <v>697.9</v>
      </c>
      <c r="N33" s="31"/>
      <c r="O33" s="28"/>
      <c r="P33" s="153"/>
      <c r="Q33" s="32"/>
      <c r="R33" s="33"/>
      <c r="S33" s="33"/>
      <c r="T33" s="106"/>
    </row>
    <row r="34" spans="1:20" s="107" customFormat="1" ht="25.05" customHeight="1">
      <c r="A34" s="26">
        <v>20</v>
      </c>
      <c r="B34" s="139"/>
      <c r="C34" s="27" t="s">
        <v>134</v>
      </c>
      <c r="D34" s="288" t="s">
        <v>2047</v>
      </c>
      <c r="E34" s="146" t="s">
        <v>135</v>
      </c>
      <c r="F34" s="145">
        <v>1</v>
      </c>
      <c r="G34" s="30" t="s">
        <v>2011</v>
      </c>
      <c r="H34" s="60">
        <v>255</v>
      </c>
      <c r="I34" s="60">
        <v>145</v>
      </c>
      <c r="J34" s="60">
        <v>235</v>
      </c>
      <c r="K34" s="199">
        <v>8.6890000000000001</v>
      </c>
      <c r="L34" s="60">
        <v>1005</v>
      </c>
      <c r="M34" s="60">
        <v>1105</v>
      </c>
      <c r="N34" s="31"/>
      <c r="O34" s="28"/>
      <c r="P34" s="153"/>
      <c r="Q34" s="32"/>
      <c r="R34" s="33"/>
      <c r="S34" s="33"/>
      <c r="T34" s="106"/>
    </row>
    <row r="35" spans="1:20" s="107" customFormat="1" ht="25.05" customHeight="1">
      <c r="A35" s="26">
        <v>21</v>
      </c>
      <c r="B35" s="139"/>
      <c r="C35" s="27" t="s">
        <v>136</v>
      </c>
      <c r="D35" s="288" t="s">
        <v>2047</v>
      </c>
      <c r="E35" s="146" t="s">
        <v>135</v>
      </c>
      <c r="F35" s="145">
        <v>1</v>
      </c>
      <c r="G35" s="30" t="s">
        <v>2011</v>
      </c>
      <c r="H35" s="60">
        <v>255</v>
      </c>
      <c r="I35" s="60">
        <v>145</v>
      </c>
      <c r="J35" s="60">
        <v>235</v>
      </c>
      <c r="K35" s="199">
        <v>8.6890000000000001</v>
      </c>
      <c r="L35" s="60">
        <v>1005</v>
      </c>
      <c r="M35" s="60">
        <v>1105</v>
      </c>
      <c r="N35" s="31"/>
      <c r="O35" s="28"/>
      <c r="P35" s="153"/>
      <c r="Q35" s="32"/>
      <c r="R35" s="33"/>
      <c r="S35" s="33"/>
      <c r="T35" s="106"/>
    </row>
    <row r="36" spans="1:20" s="107" customFormat="1" ht="25.05" customHeight="1">
      <c r="A36" s="26">
        <v>22</v>
      </c>
      <c r="B36" s="139"/>
      <c r="C36" s="27" t="s">
        <v>138</v>
      </c>
      <c r="D36" s="288" t="s">
        <v>2047</v>
      </c>
      <c r="E36" s="146" t="s">
        <v>135</v>
      </c>
      <c r="F36" s="145">
        <v>1</v>
      </c>
      <c r="G36" s="30" t="s">
        <v>2011</v>
      </c>
      <c r="H36" s="60">
        <v>255</v>
      </c>
      <c r="I36" s="60">
        <v>145</v>
      </c>
      <c r="J36" s="60">
        <v>235</v>
      </c>
      <c r="K36" s="199">
        <v>8.6890000000000001</v>
      </c>
      <c r="L36" s="60">
        <v>1005</v>
      </c>
      <c r="M36" s="60">
        <v>1105</v>
      </c>
      <c r="N36" s="31"/>
      <c r="O36" s="28"/>
      <c r="P36" s="153"/>
      <c r="Q36" s="32"/>
      <c r="R36" s="33"/>
      <c r="S36" s="33"/>
      <c r="T36" s="106"/>
    </row>
    <row r="37" spans="1:20" s="107" customFormat="1" ht="25.05" customHeight="1">
      <c r="A37" s="26">
        <v>23</v>
      </c>
      <c r="B37" s="139"/>
      <c r="C37" s="27" t="s">
        <v>140</v>
      </c>
      <c r="D37" s="288" t="s">
        <v>2047</v>
      </c>
      <c r="E37" s="146" t="s">
        <v>135</v>
      </c>
      <c r="F37" s="145">
        <v>1</v>
      </c>
      <c r="G37" s="30" t="s">
        <v>2011</v>
      </c>
      <c r="H37" s="60">
        <v>255</v>
      </c>
      <c r="I37" s="60">
        <v>145</v>
      </c>
      <c r="J37" s="60">
        <v>235</v>
      </c>
      <c r="K37" s="199">
        <v>8.6890000000000001</v>
      </c>
      <c r="L37" s="60">
        <v>1005</v>
      </c>
      <c r="M37" s="60">
        <v>1105</v>
      </c>
      <c r="N37" s="31"/>
      <c r="O37" s="28"/>
      <c r="P37" s="153"/>
      <c r="Q37" s="32"/>
      <c r="R37" s="33"/>
      <c r="S37" s="33"/>
      <c r="T37" s="106"/>
    </row>
    <row r="38" spans="1:20" s="107" customFormat="1" ht="25.05" customHeight="1">
      <c r="A38" s="26">
        <v>24</v>
      </c>
      <c r="B38" s="139"/>
      <c r="C38" s="27" t="s">
        <v>141</v>
      </c>
      <c r="D38" s="288" t="s">
        <v>2049</v>
      </c>
      <c r="E38" s="146" t="s">
        <v>142</v>
      </c>
      <c r="F38" s="145">
        <v>1</v>
      </c>
      <c r="G38" s="30" t="s">
        <v>2011</v>
      </c>
      <c r="H38" s="60">
        <v>610</v>
      </c>
      <c r="I38" s="60">
        <v>150</v>
      </c>
      <c r="J38" s="60">
        <v>110</v>
      </c>
      <c r="K38" s="199">
        <v>10.065</v>
      </c>
      <c r="L38" s="60">
        <v>4468</v>
      </c>
      <c r="M38" s="60">
        <v>4568</v>
      </c>
      <c r="N38" s="31"/>
      <c r="O38" s="28"/>
      <c r="P38" s="153"/>
      <c r="Q38" s="32"/>
      <c r="R38" s="33"/>
      <c r="S38" s="33"/>
      <c r="T38" s="106"/>
    </row>
    <row r="39" spans="1:20" s="107" customFormat="1" ht="25.05" customHeight="1">
      <c r="A39" s="26">
        <v>25</v>
      </c>
      <c r="B39" s="139"/>
      <c r="C39" s="27" t="s">
        <v>143</v>
      </c>
      <c r="D39" s="288" t="s">
        <v>2049</v>
      </c>
      <c r="E39" s="146" t="s">
        <v>142</v>
      </c>
      <c r="F39" s="145">
        <v>1</v>
      </c>
      <c r="G39" s="30" t="s">
        <v>2011</v>
      </c>
      <c r="H39" s="60">
        <v>610</v>
      </c>
      <c r="I39" s="60">
        <v>150</v>
      </c>
      <c r="J39" s="60">
        <v>110</v>
      </c>
      <c r="K39" s="199">
        <v>10.065</v>
      </c>
      <c r="L39" s="60">
        <v>3832</v>
      </c>
      <c r="M39" s="60">
        <v>3932</v>
      </c>
      <c r="N39" s="31"/>
      <c r="O39" s="28"/>
      <c r="P39" s="153"/>
      <c r="Q39" s="32"/>
      <c r="R39" s="33"/>
      <c r="S39" s="33"/>
      <c r="T39" s="106"/>
    </row>
    <row r="40" spans="1:20" s="107" customFormat="1" ht="25.05" customHeight="1">
      <c r="A40" s="26">
        <v>26</v>
      </c>
      <c r="B40" s="139"/>
      <c r="C40" s="27" t="s">
        <v>144</v>
      </c>
      <c r="D40" s="288" t="s">
        <v>2049</v>
      </c>
      <c r="E40" s="146" t="s">
        <v>142</v>
      </c>
      <c r="F40" s="145">
        <v>1</v>
      </c>
      <c r="G40" s="30" t="s">
        <v>2011</v>
      </c>
      <c r="H40" s="60">
        <v>625</v>
      </c>
      <c r="I40" s="60">
        <v>115</v>
      </c>
      <c r="J40" s="60">
        <v>75</v>
      </c>
      <c r="K40" s="199">
        <v>5.391</v>
      </c>
      <c r="L40" s="60">
        <v>939</v>
      </c>
      <c r="M40" s="60">
        <v>1039</v>
      </c>
      <c r="N40" s="31"/>
      <c r="O40" s="28"/>
      <c r="P40" s="153"/>
      <c r="Q40" s="32"/>
      <c r="R40" s="33"/>
      <c r="S40" s="33"/>
      <c r="T40" s="106"/>
    </row>
    <row r="41" spans="1:20" s="107" customFormat="1" ht="25.05" customHeight="1">
      <c r="A41" s="26">
        <v>27</v>
      </c>
      <c r="B41" s="139"/>
      <c r="C41" s="27" t="s">
        <v>145</v>
      </c>
      <c r="D41" s="288" t="s">
        <v>2049</v>
      </c>
      <c r="E41" s="146" t="s">
        <v>142</v>
      </c>
      <c r="F41" s="145">
        <v>1</v>
      </c>
      <c r="G41" s="30" t="s">
        <v>2011</v>
      </c>
      <c r="H41" s="60">
        <v>690</v>
      </c>
      <c r="I41" s="60">
        <v>210</v>
      </c>
      <c r="J41" s="60">
        <v>140</v>
      </c>
      <c r="K41" s="199">
        <v>20.286000000000001</v>
      </c>
      <c r="L41" s="60">
        <v>3422</v>
      </c>
      <c r="M41" s="60">
        <v>3522</v>
      </c>
      <c r="N41" s="31"/>
      <c r="O41" s="28"/>
      <c r="P41" s="153"/>
      <c r="Q41" s="32"/>
      <c r="R41" s="33"/>
      <c r="S41" s="33"/>
      <c r="T41" s="106"/>
    </row>
    <row r="42" spans="1:20" s="107" customFormat="1" ht="25.05" customHeight="1">
      <c r="A42" s="26">
        <v>28</v>
      </c>
      <c r="B42" s="139"/>
      <c r="C42" s="27" t="s">
        <v>146</v>
      </c>
      <c r="D42" s="288" t="s">
        <v>2049</v>
      </c>
      <c r="E42" s="146" t="s">
        <v>142</v>
      </c>
      <c r="F42" s="145">
        <v>1</v>
      </c>
      <c r="G42" s="30" t="s">
        <v>2011</v>
      </c>
      <c r="H42" s="60">
        <v>430</v>
      </c>
      <c r="I42" s="60">
        <v>210</v>
      </c>
      <c r="J42" s="60">
        <v>135</v>
      </c>
      <c r="K42" s="199">
        <v>12.191000000000001</v>
      </c>
      <c r="L42" s="60">
        <v>2880</v>
      </c>
      <c r="M42" s="60">
        <v>2980</v>
      </c>
      <c r="N42" s="31"/>
      <c r="O42" s="28"/>
      <c r="P42" s="153"/>
      <c r="Q42" s="32"/>
      <c r="R42" s="33"/>
      <c r="S42" s="33"/>
      <c r="T42" s="106"/>
    </row>
    <row r="43" spans="1:20" s="107" customFormat="1" ht="25.05" customHeight="1">
      <c r="A43" s="26">
        <v>29</v>
      </c>
      <c r="B43" s="139"/>
      <c r="C43" s="27" t="s">
        <v>147</v>
      </c>
      <c r="D43" s="288" t="s">
        <v>2049</v>
      </c>
      <c r="E43" s="146" t="s">
        <v>142</v>
      </c>
      <c r="F43" s="145">
        <v>1</v>
      </c>
      <c r="G43" s="30" t="s">
        <v>2011</v>
      </c>
      <c r="H43" s="60">
        <v>725</v>
      </c>
      <c r="I43" s="60">
        <v>225</v>
      </c>
      <c r="J43" s="60">
        <v>155</v>
      </c>
      <c r="K43" s="199">
        <v>25.283999999999999</v>
      </c>
      <c r="L43" s="60">
        <v>4717</v>
      </c>
      <c r="M43" s="60">
        <v>4817</v>
      </c>
      <c r="N43" s="31"/>
      <c r="O43" s="28"/>
      <c r="P43" s="153"/>
      <c r="Q43" s="32"/>
      <c r="R43" s="33"/>
      <c r="S43" s="33"/>
      <c r="T43" s="106"/>
    </row>
    <row r="44" spans="1:20" s="107" customFormat="1" ht="25.05" customHeight="1">
      <c r="A44" s="26">
        <v>30</v>
      </c>
      <c r="B44" s="139"/>
      <c r="C44" s="27" t="s">
        <v>148</v>
      </c>
      <c r="D44" s="288" t="s">
        <v>2049</v>
      </c>
      <c r="E44" s="146" t="s">
        <v>142</v>
      </c>
      <c r="F44" s="145">
        <v>1</v>
      </c>
      <c r="G44" s="30" t="s">
        <v>2011</v>
      </c>
      <c r="H44" s="60">
        <v>690</v>
      </c>
      <c r="I44" s="60">
        <v>225</v>
      </c>
      <c r="J44" s="60">
        <v>170</v>
      </c>
      <c r="K44" s="199">
        <v>26.393000000000001</v>
      </c>
      <c r="L44" s="60">
        <v>5124.5</v>
      </c>
      <c r="M44" s="60">
        <v>5224.5</v>
      </c>
      <c r="N44" s="31"/>
      <c r="O44" s="28"/>
      <c r="P44" s="153"/>
      <c r="Q44" s="32"/>
      <c r="R44" s="33"/>
      <c r="S44" s="33"/>
      <c r="T44" s="106"/>
    </row>
    <row r="45" spans="1:20" s="107" customFormat="1" ht="25.05" customHeight="1">
      <c r="A45" s="26">
        <v>31</v>
      </c>
      <c r="B45" s="139"/>
      <c r="C45" s="27" t="s">
        <v>149</v>
      </c>
      <c r="D45" s="288" t="s">
        <v>2049</v>
      </c>
      <c r="E45" s="146" t="s">
        <v>142</v>
      </c>
      <c r="F45" s="145">
        <v>1</v>
      </c>
      <c r="G45" s="30" t="s">
        <v>2011</v>
      </c>
      <c r="H45" s="60">
        <v>660</v>
      </c>
      <c r="I45" s="60">
        <v>225</v>
      </c>
      <c r="J45" s="60">
        <v>170</v>
      </c>
      <c r="K45" s="199">
        <v>25.245000000000001</v>
      </c>
      <c r="L45" s="60">
        <v>4728</v>
      </c>
      <c r="M45" s="60">
        <v>4828</v>
      </c>
      <c r="N45" s="31"/>
      <c r="O45" s="28"/>
      <c r="P45" s="153"/>
      <c r="Q45" s="32"/>
      <c r="R45" s="33"/>
      <c r="S45" s="33"/>
      <c r="T45" s="106"/>
    </row>
    <row r="46" spans="1:20" s="107" customFormat="1" ht="25.05" customHeight="1">
      <c r="A46" s="26">
        <v>32</v>
      </c>
      <c r="B46" s="139"/>
      <c r="C46" s="27" t="s">
        <v>150</v>
      </c>
      <c r="D46" s="288" t="s">
        <v>2049</v>
      </c>
      <c r="E46" s="146" t="s">
        <v>142</v>
      </c>
      <c r="F46" s="145">
        <v>1</v>
      </c>
      <c r="G46" s="30" t="s">
        <v>2011</v>
      </c>
      <c r="H46" s="60">
        <v>690</v>
      </c>
      <c r="I46" s="60">
        <v>225</v>
      </c>
      <c r="J46" s="60">
        <v>140</v>
      </c>
      <c r="K46" s="199">
        <v>21.734999999999999</v>
      </c>
      <c r="L46" s="60">
        <v>5471</v>
      </c>
      <c r="M46" s="60">
        <v>5571</v>
      </c>
      <c r="N46" s="31"/>
      <c r="O46" s="28"/>
      <c r="P46" s="153"/>
      <c r="Q46" s="32"/>
      <c r="R46" s="33"/>
      <c r="S46" s="33"/>
      <c r="T46" s="106"/>
    </row>
    <row r="47" spans="1:20" s="107" customFormat="1" ht="25.05" customHeight="1">
      <c r="A47" s="26">
        <v>33</v>
      </c>
      <c r="B47" s="139"/>
      <c r="C47" s="27" t="s">
        <v>151</v>
      </c>
      <c r="D47" s="288" t="s">
        <v>2049</v>
      </c>
      <c r="E47" s="146" t="s">
        <v>142</v>
      </c>
      <c r="F47" s="145">
        <v>1</v>
      </c>
      <c r="G47" s="30" t="s">
        <v>2011</v>
      </c>
      <c r="H47" s="60">
        <v>655</v>
      </c>
      <c r="I47" s="60">
        <v>225</v>
      </c>
      <c r="J47" s="60">
        <v>80</v>
      </c>
      <c r="K47" s="199">
        <v>11.79</v>
      </c>
      <c r="L47" s="60">
        <v>1556</v>
      </c>
      <c r="M47" s="60">
        <v>1656</v>
      </c>
      <c r="N47" s="31"/>
      <c r="O47" s="28"/>
      <c r="P47" s="153"/>
      <c r="Q47" s="32"/>
      <c r="R47" s="33"/>
      <c r="S47" s="33"/>
      <c r="T47" s="106"/>
    </row>
    <row r="48" spans="1:20" s="107" customFormat="1" ht="25.05" customHeight="1">
      <c r="A48" s="26">
        <v>34</v>
      </c>
      <c r="B48" s="139"/>
      <c r="C48" s="27" t="s">
        <v>152</v>
      </c>
      <c r="D48" s="288" t="s">
        <v>2049</v>
      </c>
      <c r="E48" s="146" t="s">
        <v>142</v>
      </c>
      <c r="F48" s="145">
        <v>1</v>
      </c>
      <c r="G48" s="30" t="s">
        <v>2011</v>
      </c>
      <c r="H48" s="60">
        <v>635</v>
      </c>
      <c r="I48" s="60">
        <v>200</v>
      </c>
      <c r="J48" s="60">
        <v>130</v>
      </c>
      <c r="K48" s="199">
        <v>16.510000000000002</v>
      </c>
      <c r="L48" s="60">
        <v>860.09999999999991</v>
      </c>
      <c r="M48" s="60">
        <v>960.09999999999991</v>
      </c>
      <c r="N48" s="31"/>
      <c r="O48" s="28"/>
      <c r="P48" s="153"/>
      <c r="Q48" s="32"/>
      <c r="R48" s="33"/>
      <c r="S48" s="33"/>
      <c r="T48" s="106"/>
    </row>
    <row r="49" spans="1:20" s="107" customFormat="1" ht="25.05" customHeight="1">
      <c r="A49" s="26">
        <v>35</v>
      </c>
      <c r="B49" s="139"/>
      <c r="C49" s="27" t="s">
        <v>153</v>
      </c>
      <c r="D49" s="288" t="s">
        <v>2049</v>
      </c>
      <c r="E49" s="146" t="s">
        <v>142</v>
      </c>
      <c r="F49" s="145">
        <v>1</v>
      </c>
      <c r="G49" s="30" t="s">
        <v>2011</v>
      </c>
      <c r="H49" s="60">
        <v>705</v>
      </c>
      <c r="I49" s="60">
        <v>175</v>
      </c>
      <c r="J49" s="60">
        <v>105</v>
      </c>
      <c r="K49" s="199">
        <v>12.954000000000001</v>
      </c>
      <c r="L49" s="60">
        <v>538.1</v>
      </c>
      <c r="M49" s="60">
        <v>638.1</v>
      </c>
      <c r="N49" s="31"/>
      <c r="O49" s="28"/>
      <c r="P49" s="153"/>
      <c r="Q49" s="32"/>
      <c r="R49" s="33"/>
      <c r="S49" s="33"/>
      <c r="T49" s="106"/>
    </row>
    <row r="50" spans="1:20" s="107" customFormat="1" ht="25.05" customHeight="1">
      <c r="A50" s="26">
        <v>36</v>
      </c>
      <c r="B50" s="139"/>
      <c r="C50" s="27" t="s">
        <v>154</v>
      </c>
      <c r="D50" s="288" t="s">
        <v>2049</v>
      </c>
      <c r="E50" s="146" t="s">
        <v>142</v>
      </c>
      <c r="F50" s="145">
        <v>1</v>
      </c>
      <c r="G50" s="30" t="s">
        <v>2011</v>
      </c>
      <c r="H50" s="60">
        <v>625</v>
      </c>
      <c r="I50" s="60">
        <v>175</v>
      </c>
      <c r="J50" s="60">
        <v>55</v>
      </c>
      <c r="K50" s="199">
        <v>6.016</v>
      </c>
      <c r="L50" s="60">
        <v>767.60000000000048</v>
      </c>
      <c r="M50" s="60">
        <v>867.60000000000048</v>
      </c>
      <c r="N50" s="31"/>
      <c r="O50" s="28"/>
      <c r="P50" s="153"/>
      <c r="Q50" s="32"/>
      <c r="R50" s="33"/>
      <c r="S50" s="33"/>
      <c r="T50" s="106"/>
    </row>
    <row r="51" spans="1:20" s="107" customFormat="1" ht="25.05" customHeight="1">
      <c r="A51" s="26">
        <v>37</v>
      </c>
      <c r="B51" s="139"/>
      <c r="C51" s="27" t="s">
        <v>155</v>
      </c>
      <c r="D51" s="288" t="s">
        <v>2049</v>
      </c>
      <c r="E51" s="146" t="s">
        <v>142</v>
      </c>
      <c r="F51" s="145">
        <v>1</v>
      </c>
      <c r="G51" s="30" t="s">
        <v>2011</v>
      </c>
      <c r="H51" s="60">
        <v>605</v>
      </c>
      <c r="I51" s="60">
        <v>205</v>
      </c>
      <c r="J51" s="60">
        <v>115</v>
      </c>
      <c r="K51" s="199">
        <v>14.263</v>
      </c>
      <c r="L51" s="60">
        <v>1567.6000000000001</v>
      </c>
      <c r="M51" s="60">
        <v>1667.6000000000001</v>
      </c>
      <c r="N51" s="31"/>
      <c r="O51" s="28"/>
      <c r="P51" s="153"/>
      <c r="Q51" s="32"/>
      <c r="R51" s="33"/>
      <c r="S51" s="33"/>
      <c r="T51" s="106"/>
    </row>
    <row r="52" spans="1:20" s="107" customFormat="1" ht="25.05" customHeight="1">
      <c r="A52" s="26">
        <v>38</v>
      </c>
      <c r="B52" s="139"/>
      <c r="C52" s="27" t="s">
        <v>156</v>
      </c>
      <c r="D52" s="288" t="s">
        <v>2050</v>
      </c>
      <c r="E52" s="146" t="s">
        <v>135</v>
      </c>
      <c r="F52" s="145">
        <v>1</v>
      </c>
      <c r="G52" s="30" t="s">
        <v>2011</v>
      </c>
      <c r="H52" s="60">
        <v>250</v>
      </c>
      <c r="I52" s="60">
        <v>180</v>
      </c>
      <c r="J52" s="60">
        <v>150</v>
      </c>
      <c r="K52" s="199">
        <v>6.75</v>
      </c>
      <c r="L52" s="60">
        <v>1593.3000000000002</v>
      </c>
      <c r="M52" s="60">
        <v>1693.3000000000002</v>
      </c>
      <c r="N52" s="31"/>
      <c r="O52" s="28"/>
      <c r="P52" s="153"/>
      <c r="Q52" s="32"/>
      <c r="R52" s="33"/>
      <c r="S52" s="33"/>
      <c r="T52" s="106"/>
    </row>
    <row r="53" spans="1:20" s="107" customFormat="1" ht="25.05" customHeight="1">
      <c r="A53" s="26">
        <v>39</v>
      </c>
      <c r="B53" s="139"/>
      <c r="C53" s="27" t="s">
        <v>157</v>
      </c>
      <c r="D53" s="288" t="s">
        <v>2050</v>
      </c>
      <c r="E53" s="146" t="s">
        <v>142</v>
      </c>
      <c r="F53" s="145">
        <v>1</v>
      </c>
      <c r="G53" s="30" t="s">
        <v>2011</v>
      </c>
      <c r="H53" s="60">
        <v>330</v>
      </c>
      <c r="I53" s="60">
        <v>230</v>
      </c>
      <c r="J53" s="60">
        <v>220</v>
      </c>
      <c r="K53" s="199">
        <v>16.698</v>
      </c>
      <c r="L53" s="60">
        <v>3338.7000000000003</v>
      </c>
      <c r="M53" s="60">
        <v>3438.7000000000003</v>
      </c>
      <c r="N53" s="31"/>
      <c r="O53" s="28"/>
      <c r="P53" s="153"/>
      <c r="Q53" s="32"/>
      <c r="R53" s="33"/>
      <c r="S53" s="33"/>
      <c r="T53" s="106"/>
    </row>
    <row r="54" spans="1:20" s="107" customFormat="1" ht="25.05" customHeight="1">
      <c r="A54" s="26">
        <v>40</v>
      </c>
      <c r="B54" s="139"/>
      <c r="C54" s="27" t="s">
        <v>158</v>
      </c>
      <c r="D54" s="288" t="s">
        <v>2050</v>
      </c>
      <c r="E54" s="146" t="s">
        <v>142</v>
      </c>
      <c r="F54" s="145">
        <v>1</v>
      </c>
      <c r="G54" s="30" t="s">
        <v>2011</v>
      </c>
      <c r="H54" s="60">
        <v>245</v>
      </c>
      <c r="I54" s="60">
        <v>225</v>
      </c>
      <c r="J54" s="60">
        <v>140</v>
      </c>
      <c r="K54" s="199">
        <v>7.718</v>
      </c>
      <c r="L54" s="60">
        <v>1745.5</v>
      </c>
      <c r="M54" s="60">
        <v>1845.5</v>
      </c>
      <c r="N54" s="31"/>
      <c r="O54" s="28"/>
      <c r="P54" s="153"/>
      <c r="Q54" s="32"/>
      <c r="R54" s="33"/>
      <c r="S54" s="33"/>
      <c r="T54" s="106"/>
    </row>
    <row r="55" spans="1:20" s="107" customFormat="1" ht="25.05" customHeight="1">
      <c r="A55" s="26">
        <v>41</v>
      </c>
      <c r="B55" s="139"/>
      <c r="C55" s="27" t="s">
        <v>2077</v>
      </c>
      <c r="D55" s="288" t="s">
        <v>2052</v>
      </c>
      <c r="E55" s="146" t="s">
        <v>135</v>
      </c>
      <c r="F55" s="145">
        <v>1</v>
      </c>
      <c r="G55" s="30" t="s">
        <v>2011</v>
      </c>
      <c r="H55" s="60">
        <v>235</v>
      </c>
      <c r="I55" s="60">
        <v>110</v>
      </c>
      <c r="J55" s="60">
        <v>115</v>
      </c>
      <c r="K55" s="199">
        <v>2.9729999999999999</v>
      </c>
      <c r="L55" s="60">
        <v>1870.5</v>
      </c>
      <c r="M55" s="60">
        <v>1970.5</v>
      </c>
      <c r="N55" s="31"/>
      <c r="O55" s="28"/>
      <c r="P55" s="153"/>
      <c r="Q55" s="32"/>
      <c r="R55" s="33"/>
      <c r="S55" s="33"/>
      <c r="T55" s="106"/>
    </row>
    <row r="56" spans="1:20" s="107" customFormat="1" ht="25.05" customHeight="1">
      <c r="A56" s="26">
        <v>42</v>
      </c>
      <c r="B56" s="139"/>
      <c r="C56" s="27" t="s">
        <v>160</v>
      </c>
      <c r="D56" s="288" t="s">
        <v>2054</v>
      </c>
      <c r="E56" s="146" t="s">
        <v>135</v>
      </c>
      <c r="F56" s="145">
        <v>1</v>
      </c>
      <c r="G56" s="30" t="s">
        <v>2011</v>
      </c>
      <c r="H56" s="60">
        <v>150</v>
      </c>
      <c r="I56" s="60">
        <v>100</v>
      </c>
      <c r="J56" s="60">
        <v>105</v>
      </c>
      <c r="K56" s="199">
        <v>1.575</v>
      </c>
      <c r="L56" s="60">
        <v>539</v>
      </c>
      <c r="M56" s="60">
        <v>600</v>
      </c>
      <c r="N56" s="31"/>
      <c r="O56" s="28"/>
      <c r="P56" s="153"/>
      <c r="Q56" s="32"/>
      <c r="R56" s="33"/>
      <c r="S56" s="33"/>
      <c r="T56" s="106"/>
    </row>
    <row r="57" spans="1:20" s="107" customFormat="1" ht="25.05" customHeight="1">
      <c r="A57" s="26">
        <v>43</v>
      </c>
      <c r="B57" s="139"/>
      <c r="C57" s="27" t="s">
        <v>161</v>
      </c>
      <c r="D57" s="288" t="s">
        <v>2055</v>
      </c>
      <c r="E57" s="146" t="s">
        <v>135</v>
      </c>
      <c r="F57" s="145">
        <v>1</v>
      </c>
      <c r="G57" s="30" t="s">
        <v>2011</v>
      </c>
      <c r="H57" s="60">
        <v>255</v>
      </c>
      <c r="I57" s="60">
        <v>115</v>
      </c>
      <c r="J57" s="60">
        <v>150</v>
      </c>
      <c r="K57" s="199">
        <v>4.399</v>
      </c>
      <c r="L57" s="60">
        <v>1509.4799999999996</v>
      </c>
      <c r="M57" s="60">
        <v>1700</v>
      </c>
      <c r="N57" s="31"/>
      <c r="O57" s="28"/>
      <c r="P57" s="153"/>
      <c r="Q57" s="32"/>
      <c r="R57" s="33"/>
      <c r="S57" s="33"/>
      <c r="T57" s="106"/>
    </row>
    <row r="58" spans="1:20" s="198" customFormat="1" ht="25.05" customHeight="1">
      <c r="A58" s="26">
        <v>44</v>
      </c>
      <c r="B58" s="139"/>
      <c r="C58" s="27" t="s">
        <v>162</v>
      </c>
      <c r="D58" s="288" t="s">
        <v>2055</v>
      </c>
      <c r="E58" s="146" t="s">
        <v>135</v>
      </c>
      <c r="F58" s="145">
        <v>1</v>
      </c>
      <c r="G58" s="30" t="s">
        <v>2011</v>
      </c>
      <c r="H58" s="60">
        <v>100</v>
      </c>
      <c r="I58" s="60">
        <v>100</v>
      </c>
      <c r="J58" s="60">
        <v>100</v>
      </c>
      <c r="K58" s="199">
        <v>1</v>
      </c>
      <c r="L58" s="60">
        <v>100</v>
      </c>
      <c r="M58" s="60">
        <v>140</v>
      </c>
      <c r="N58" s="31"/>
      <c r="O58" s="192"/>
      <c r="P58" s="153"/>
      <c r="Q58" s="194"/>
      <c r="R58" s="33"/>
      <c r="S58" s="195"/>
      <c r="T58" s="197"/>
    </row>
    <row r="59" spans="1:20" s="198" customFormat="1" ht="25.05" customHeight="1">
      <c r="A59" s="26">
        <v>45</v>
      </c>
      <c r="B59" s="139"/>
      <c r="C59" s="27" t="s">
        <v>163</v>
      </c>
      <c r="D59" s="288" t="s">
        <v>2055</v>
      </c>
      <c r="E59" s="146" t="s">
        <v>135</v>
      </c>
      <c r="F59" s="145">
        <v>1</v>
      </c>
      <c r="G59" s="30" t="s">
        <v>2011</v>
      </c>
      <c r="H59" s="60">
        <v>135</v>
      </c>
      <c r="I59" s="60">
        <v>135</v>
      </c>
      <c r="J59" s="60">
        <v>45</v>
      </c>
      <c r="K59" s="199">
        <v>0.82</v>
      </c>
      <c r="L59" s="60">
        <v>116</v>
      </c>
      <c r="M59" s="60">
        <v>155</v>
      </c>
      <c r="N59" s="31"/>
      <c r="O59" s="192"/>
      <c r="P59" s="153"/>
      <c r="Q59" s="194"/>
      <c r="R59" s="33"/>
      <c r="S59" s="195"/>
      <c r="T59" s="197"/>
    </row>
    <row r="60" spans="1:20" s="198" customFormat="1" ht="25.05" customHeight="1">
      <c r="A60" s="26">
        <v>46</v>
      </c>
      <c r="B60" s="139"/>
      <c r="C60" s="27" t="s">
        <v>164</v>
      </c>
      <c r="D60" s="288" t="s">
        <v>2055</v>
      </c>
      <c r="E60" s="146" t="s">
        <v>135</v>
      </c>
      <c r="F60" s="145">
        <v>1</v>
      </c>
      <c r="G60" s="30" t="s">
        <v>2011</v>
      </c>
      <c r="H60" s="60">
        <v>120</v>
      </c>
      <c r="I60" s="60">
        <v>86</v>
      </c>
      <c r="J60" s="60">
        <v>60</v>
      </c>
      <c r="K60" s="199">
        <v>0.61899999999999999</v>
      </c>
      <c r="L60" s="60">
        <v>90</v>
      </c>
      <c r="M60" s="60">
        <v>100</v>
      </c>
      <c r="N60" s="31"/>
      <c r="O60" s="192"/>
      <c r="P60" s="153"/>
      <c r="Q60" s="194"/>
      <c r="R60" s="33"/>
      <c r="S60" s="195"/>
      <c r="T60" s="197"/>
    </row>
    <row r="61" spans="1:20" s="198" customFormat="1" ht="25.05" customHeight="1">
      <c r="A61" s="26">
        <v>47</v>
      </c>
      <c r="B61" s="139"/>
      <c r="C61" s="27" t="s">
        <v>165</v>
      </c>
      <c r="D61" s="288" t="s">
        <v>2056</v>
      </c>
      <c r="E61" s="146" t="s">
        <v>135</v>
      </c>
      <c r="F61" s="145">
        <v>1</v>
      </c>
      <c r="G61" s="30" t="s">
        <v>2011</v>
      </c>
      <c r="H61" s="60">
        <v>229</v>
      </c>
      <c r="I61" s="60">
        <v>170</v>
      </c>
      <c r="J61" s="60">
        <v>260</v>
      </c>
      <c r="K61" s="199">
        <v>10.122</v>
      </c>
      <c r="L61" s="60">
        <v>1220</v>
      </c>
      <c r="M61" s="60">
        <v>1350</v>
      </c>
      <c r="N61" s="31"/>
      <c r="O61" s="192"/>
      <c r="P61" s="153"/>
      <c r="Q61" s="194"/>
      <c r="R61" s="33"/>
      <c r="S61" s="195"/>
      <c r="T61" s="197"/>
    </row>
    <row r="62" spans="1:20" s="198" customFormat="1" ht="25.05" customHeight="1">
      <c r="A62" s="26">
        <v>48</v>
      </c>
      <c r="B62" s="139"/>
      <c r="C62" s="27" t="s">
        <v>166</v>
      </c>
      <c r="D62" s="288" t="s">
        <v>2057</v>
      </c>
      <c r="E62" s="146" t="s">
        <v>135</v>
      </c>
      <c r="F62" s="145">
        <v>1</v>
      </c>
      <c r="G62" s="30" t="s">
        <v>2011</v>
      </c>
      <c r="H62" s="60">
        <v>160</v>
      </c>
      <c r="I62" s="60">
        <v>145</v>
      </c>
      <c r="J62" s="60">
        <v>122</v>
      </c>
      <c r="K62" s="199">
        <v>2.83</v>
      </c>
      <c r="L62" s="60">
        <v>150.1</v>
      </c>
      <c r="M62" s="60">
        <v>300</v>
      </c>
      <c r="N62" s="31"/>
      <c r="O62" s="192"/>
      <c r="P62" s="153"/>
      <c r="Q62" s="194"/>
      <c r="R62" s="33"/>
      <c r="S62" s="195"/>
      <c r="T62" s="197"/>
    </row>
    <row r="63" spans="1:20" s="198" customFormat="1" ht="25.05" customHeight="1">
      <c r="A63" s="26">
        <v>49</v>
      </c>
      <c r="B63" s="139"/>
      <c r="C63" s="27" t="s">
        <v>167</v>
      </c>
      <c r="D63" s="288" t="s">
        <v>168</v>
      </c>
      <c r="E63" s="146" t="s">
        <v>135</v>
      </c>
      <c r="F63" s="145">
        <v>1</v>
      </c>
      <c r="G63" s="30" t="s">
        <v>2011</v>
      </c>
      <c r="H63" s="60">
        <v>272</v>
      </c>
      <c r="I63" s="60">
        <v>112</v>
      </c>
      <c r="J63" s="60">
        <v>246</v>
      </c>
      <c r="K63" s="199">
        <v>7.4939999999999998</v>
      </c>
      <c r="L63" s="60">
        <v>450</v>
      </c>
      <c r="M63" s="60">
        <v>720</v>
      </c>
      <c r="N63" s="31"/>
      <c r="O63" s="192"/>
      <c r="P63" s="153"/>
      <c r="Q63" s="194"/>
      <c r="R63" s="33"/>
      <c r="S63" s="195"/>
      <c r="T63" s="197"/>
    </row>
    <row r="64" spans="1:20" s="198" customFormat="1" ht="25.05" customHeight="1">
      <c r="A64" s="26">
        <v>50</v>
      </c>
      <c r="B64" s="139"/>
      <c r="C64" s="27" t="s">
        <v>169</v>
      </c>
      <c r="D64" s="288" t="s">
        <v>170</v>
      </c>
      <c r="E64" s="146" t="s">
        <v>135</v>
      </c>
      <c r="F64" s="145">
        <v>1</v>
      </c>
      <c r="G64" s="30" t="s">
        <v>2011</v>
      </c>
      <c r="H64" s="60">
        <v>80</v>
      </c>
      <c r="I64" s="60">
        <v>120</v>
      </c>
      <c r="J64" s="60">
        <v>145</v>
      </c>
      <c r="K64" s="199">
        <v>1.3919999999999999</v>
      </c>
      <c r="L64" s="60">
        <v>100</v>
      </c>
      <c r="M64" s="60">
        <v>180</v>
      </c>
      <c r="N64" s="31"/>
      <c r="O64" s="192"/>
      <c r="P64" s="153"/>
      <c r="Q64" s="194"/>
      <c r="R64" s="33"/>
      <c r="S64" s="195"/>
      <c r="T64" s="197"/>
    </row>
    <row r="65" spans="1:20" s="198" customFormat="1" ht="25.05" customHeight="1">
      <c r="A65" s="26">
        <v>51</v>
      </c>
      <c r="B65" s="139"/>
      <c r="C65" s="27" t="s">
        <v>171</v>
      </c>
      <c r="D65" s="288" t="s">
        <v>172</v>
      </c>
      <c r="E65" s="146" t="s">
        <v>173</v>
      </c>
      <c r="F65" s="145">
        <v>1</v>
      </c>
      <c r="G65" s="30" t="s">
        <v>2011</v>
      </c>
      <c r="H65" s="60">
        <v>135</v>
      </c>
      <c r="I65" s="60">
        <v>100</v>
      </c>
      <c r="J65" s="60">
        <v>255</v>
      </c>
      <c r="K65" s="199">
        <v>3.4430000000000001</v>
      </c>
      <c r="L65" s="60">
        <v>350</v>
      </c>
      <c r="M65" s="60">
        <v>550</v>
      </c>
      <c r="N65" s="31"/>
      <c r="O65" s="192"/>
      <c r="P65" s="153"/>
      <c r="Q65" s="194"/>
      <c r="R65" s="33"/>
      <c r="S65" s="195"/>
      <c r="T65" s="197"/>
    </row>
    <row r="66" spans="1:20" s="198" customFormat="1" ht="25.05" customHeight="1">
      <c r="A66" s="26">
        <v>52</v>
      </c>
      <c r="B66" s="139"/>
      <c r="C66" s="27" t="s">
        <v>174</v>
      </c>
      <c r="D66" s="288" t="s">
        <v>175</v>
      </c>
      <c r="E66" s="146" t="s">
        <v>173</v>
      </c>
      <c r="F66" s="145">
        <v>1</v>
      </c>
      <c r="G66" s="30" t="s">
        <v>2011</v>
      </c>
      <c r="H66" s="60">
        <v>122</v>
      </c>
      <c r="I66" s="60">
        <v>122</v>
      </c>
      <c r="J66" s="60">
        <v>145</v>
      </c>
      <c r="K66" s="199">
        <v>2.1579999999999999</v>
      </c>
      <c r="L66" s="60">
        <v>200</v>
      </c>
      <c r="M66" s="60">
        <v>350</v>
      </c>
      <c r="N66" s="31"/>
      <c r="O66" s="192"/>
      <c r="P66" s="153"/>
      <c r="Q66" s="194"/>
      <c r="R66" s="33"/>
      <c r="S66" s="195"/>
      <c r="T66" s="197"/>
    </row>
    <row r="67" spans="1:20" s="198" customFormat="1" ht="25.05" customHeight="1">
      <c r="A67" s="26">
        <v>53</v>
      </c>
      <c r="B67" s="139"/>
      <c r="C67" s="27" t="s">
        <v>176</v>
      </c>
      <c r="D67" s="288" t="s">
        <v>177</v>
      </c>
      <c r="E67" s="146" t="s">
        <v>135</v>
      </c>
      <c r="F67" s="145">
        <v>1</v>
      </c>
      <c r="G67" s="30" t="s">
        <v>2011</v>
      </c>
      <c r="H67" s="60">
        <v>165</v>
      </c>
      <c r="I67" s="60">
        <v>140</v>
      </c>
      <c r="J67" s="60">
        <v>277</v>
      </c>
      <c r="K67" s="199">
        <v>6.399</v>
      </c>
      <c r="L67" s="60">
        <v>800</v>
      </c>
      <c r="M67" s="60">
        <v>1000</v>
      </c>
      <c r="N67" s="31"/>
      <c r="O67" s="192"/>
      <c r="P67" s="153"/>
      <c r="Q67" s="194"/>
      <c r="R67" s="33"/>
      <c r="S67" s="195"/>
      <c r="T67" s="197"/>
    </row>
    <row r="68" spans="1:20" s="198" customFormat="1" ht="25.05" customHeight="1">
      <c r="A68" s="26">
        <v>54</v>
      </c>
      <c r="B68" s="139"/>
      <c r="C68" s="27" t="s">
        <v>178</v>
      </c>
      <c r="D68" s="288" t="s">
        <v>179</v>
      </c>
      <c r="E68" s="146" t="s">
        <v>135</v>
      </c>
      <c r="F68" s="145">
        <v>1</v>
      </c>
      <c r="G68" s="30" t="s">
        <v>2011</v>
      </c>
      <c r="H68" s="60">
        <v>230</v>
      </c>
      <c r="I68" s="60">
        <v>80</v>
      </c>
      <c r="J68" s="60">
        <v>190</v>
      </c>
      <c r="K68" s="199">
        <v>3.496</v>
      </c>
      <c r="L68" s="60">
        <v>550</v>
      </c>
      <c r="M68" s="60">
        <v>650</v>
      </c>
      <c r="N68" s="31"/>
      <c r="O68" s="192"/>
      <c r="P68" s="153"/>
      <c r="Q68" s="194"/>
      <c r="R68" s="33"/>
      <c r="S68" s="195"/>
      <c r="T68" s="197"/>
    </row>
    <row r="69" spans="1:20" s="198" customFormat="1" ht="25.05" customHeight="1">
      <c r="A69" s="26">
        <v>55</v>
      </c>
      <c r="B69" s="139"/>
      <c r="C69" s="27" t="s">
        <v>180</v>
      </c>
      <c r="D69" s="288" t="s">
        <v>2058</v>
      </c>
      <c r="E69" s="146" t="s">
        <v>135</v>
      </c>
      <c r="F69" s="145">
        <v>1</v>
      </c>
      <c r="G69" s="30" t="s">
        <v>2011</v>
      </c>
      <c r="H69" s="60">
        <v>142</v>
      </c>
      <c r="I69" s="60">
        <v>142</v>
      </c>
      <c r="J69" s="60">
        <v>82</v>
      </c>
      <c r="K69" s="199">
        <v>1.653</v>
      </c>
      <c r="L69" s="60">
        <v>38</v>
      </c>
      <c r="M69" s="60">
        <v>143</v>
      </c>
      <c r="N69" s="31"/>
      <c r="O69" s="192"/>
      <c r="P69" s="153"/>
      <c r="Q69" s="194"/>
      <c r="R69" s="33"/>
      <c r="S69" s="195"/>
      <c r="T69" s="197"/>
    </row>
    <row r="70" spans="1:20" s="198" customFormat="1" ht="25.05" customHeight="1">
      <c r="A70" s="26">
        <v>56</v>
      </c>
      <c r="B70" s="139"/>
      <c r="C70" s="27" t="s">
        <v>181</v>
      </c>
      <c r="D70" s="288" t="s">
        <v>2059</v>
      </c>
      <c r="E70" s="146" t="s">
        <v>135</v>
      </c>
      <c r="F70" s="145">
        <v>1</v>
      </c>
      <c r="G70" s="30" t="s">
        <v>2011</v>
      </c>
      <c r="H70" s="60">
        <v>80</v>
      </c>
      <c r="I70" s="60">
        <v>80</v>
      </c>
      <c r="J70" s="60">
        <v>141</v>
      </c>
      <c r="K70" s="199">
        <v>0.90200000000000002</v>
      </c>
      <c r="L70" s="60">
        <v>100</v>
      </c>
      <c r="M70" s="60">
        <v>200</v>
      </c>
      <c r="N70" s="31"/>
      <c r="O70" s="192"/>
      <c r="P70" s="153"/>
      <c r="Q70" s="194"/>
      <c r="R70" s="33"/>
      <c r="S70" s="195"/>
      <c r="T70" s="197"/>
    </row>
    <row r="71" spans="1:20" s="198" customFormat="1" ht="25.05" customHeight="1">
      <c r="A71" s="26">
        <v>57</v>
      </c>
      <c r="B71" s="139"/>
      <c r="C71" s="27" t="s">
        <v>182</v>
      </c>
      <c r="D71" s="288" t="s">
        <v>2060</v>
      </c>
      <c r="E71" s="146" t="s">
        <v>129</v>
      </c>
      <c r="F71" s="145">
        <v>1</v>
      </c>
      <c r="G71" s="30" t="s">
        <v>2011</v>
      </c>
      <c r="H71" s="60">
        <v>80</v>
      </c>
      <c r="I71" s="60">
        <v>60</v>
      </c>
      <c r="J71" s="60">
        <v>90</v>
      </c>
      <c r="K71" s="199">
        <v>0.432</v>
      </c>
      <c r="L71" s="60">
        <v>20</v>
      </c>
      <c r="M71" s="60">
        <v>70</v>
      </c>
      <c r="N71" s="31"/>
      <c r="O71" s="192"/>
      <c r="P71" s="153"/>
      <c r="Q71" s="194"/>
      <c r="R71" s="33"/>
      <c r="S71" s="195"/>
      <c r="T71" s="197"/>
    </row>
    <row r="72" spans="1:20" s="198" customFormat="1" ht="25.05" customHeight="1">
      <c r="A72" s="26">
        <v>58</v>
      </c>
      <c r="B72" s="139"/>
      <c r="C72" s="27" t="s">
        <v>183</v>
      </c>
      <c r="D72" s="288" t="s">
        <v>2060</v>
      </c>
      <c r="E72" s="146" t="s">
        <v>129</v>
      </c>
      <c r="F72" s="145">
        <v>1</v>
      </c>
      <c r="G72" s="30" t="s">
        <v>2011</v>
      </c>
      <c r="H72" s="60">
        <v>170</v>
      </c>
      <c r="I72" s="60">
        <v>95</v>
      </c>
      <c r="J72" s="60">
        <v>180</v>
      </c>
      <c r="K72" s="199">
        <v>2.907</v>
      </c>
      <c r="L72" s="60">
        <v>718</v>
      </c>
      <c r="M72" s="60">
        <v>768</v>
      </c>
      <c r="N72" s="31"/>
      <c r="O72" s="192"/>
      <c r="P72" s="153"/>
      <c r="Q72" s="194"/>
      <c r="R72" s="33"/>
      <c r="S72" s="195"/>
      <c r="T72" s="197"/>
    </row>
    <row r="73" spans="1:20" s="198" customFormat="1" ht="25.05" customHeight="1">
      <c r="A73" s="26">
        <v>59</v>
      </c>
      <c r="B73" s="139"/>
      <c r="C73" s="27" t="s">
        <v>184</v>
      </c>
      <c r="D73" s="288" t="s">
        <v>2060</v>
      </c>
      <c r="E73" s="146" t="s">
        <v>129</v>
      </c>
      <c r="F73" s="145">
        <v>1</v>
      </c>
      <c r="G73" s="30" t="s">
        <v>2011</v>
      </c>
      <c r="H73" s="60">
        <v>145</v>
      </c>
      <c r="I73" s="60">
        <v>95</v>
      </c>
      <c r="J73" s="60">
        <v>145</v>
      </c>
      <c r="K73" s="199">
        <v>1.9970000000000001</v>
      </c>
      <c r="L73" s="60">
        <v>444</v>
      </c>
      <c r="M73" s="60">
        <v>494</v>
      </c>
      <c r="N73" s="31"/>
      <c r="O73" s="192"/>
      <c r="P73" s="153"/>
      <c r="Q73" s="194"/>
      <c r="R73" s="33"/>
      <c r="S73" s="195"/>
      <c r="T73" s="197"/>
    </row>
    <row r="74" spans="1:20" s="198" customFormat="1" ht="25.05" customHeight="1">
      <c r="A74" s="26">
        <v>60</v>
      </c>
      <c r="B74" s="139"/>
      <c r="C74" s="27" t="s">
        <v>185</v>
      </c>
      <c r="D74" s="288" t="s">
        <v>2060</v>
      </c>
      <c r="E74" s="146" t="s">
        <v>129</v>
      </c>
      <c r="F74" s="145">
        <v>1</v>
      </c>
      <c r="G74" s="30" t="s">
        <v>2011</v>
      </c>
      <c r="H74" s="60">
        <v>190</v>
      </c>
      <c r="I74" s="60">
        <v>110</v>
      </c>
      <c r="J74" s="60">
        <v>190</v>
      </c>
      <c r="K74" s="199">
        <v>3.9710000000000001</v>
      </c>
      <c r="L74" s="60">
        <v>1124</v>
      </c>
      <c r="M74" s="60">
        <v>1174</v>
      </c>
      <c r="N74" s="31"/>
      <c r="O74" s="192"/>
      <c r="P74" s="153"/>
      <c r="Q74" s="194"/>
      <c r="R74" s="33"/>
      <c r="S74" s="195"/>
      <c r="T74" s="197"/>
    </row>
    <row r="75" spans="1:20" s="198" customFormat="1" ht="25.05" customHeight="1">
      <c r="A75" s="26">
        <v>61</v>
      </c>
      <c r="B75" s="139"/>
      <c r="C75" s="27" t="s">
        <v>186</v>
      </c>
      <c r="D75" s="288" t="s">
        <v>2060</v>
      </c>
      <c r="E75" s="146" t="s">
        <v>129</v>
      </c>
      <c r="F75" s="145">
        <v>1</v>
      </c>
      <c r="G75" s="30" t="s">
        <v>2011</v>
      </c>
      <c r="H75" s="60">
        <v>145</v>
      </c>
      <c r="I75" s="60">
        <v>95</v>
      </c>
      <c r="J75" s="60">
        <v>147</v>
      </c>
      <c r="K75" s="199">
        <v>2.0249999999999999</v>
      </c>
      <c r="L75" s="60">
        <v>435</v>
      </c>
      <c r="M75" s="60">
        <v>485</v>
      </c>
      <c r="N75" s="31"/>
      <c r="O75" s="192"/>
      <c r="P75" s="153"/>
      <c r="Q75" s="194"/>
      <c r="R75" s="33"/>
      <c r="S75" s="195"/>
      <c r="T75" s="197"/>
    </row>
    <row r="76" spans="1:20" s="198" customFormat="1" ht="25.05" customHeight="1">
      <c r="A76" s="26">
        <v>62</v>
      </c>
      <c r="B76" s="139"/>
      <c r="C76" s="27" t="s">
        <v>187</v>
      </c>
      <c r="D76" s="288" t="s">
        <v>2060</v>
      </c>
      <c r="E76" s="146" t="s">
        <v>129</v>
      </c>
      <c r="F76" s="145">
        <v>1</v>
      </c>
      <c r="G76" s="30" t="s">
        <v>2011</v>
      </c>
      <c r="H76" s="60">
        <v>80</v>
      </c>
      <c r="I76" s="60">
        <v>60</v>
      </c>
      <c r="J76" s="60">
        <v>85</v>
      </c>
      <c r="K76" s="199">
        <v>0.40799999999999997</v>
      </c>
      <c r="L76" s="60">
        <v>20</v>
      </c>
      <c r="M76" s="60">
        <v>70</v>
      </c>
      <c r="N76" s="31"/>
      <c r="O76" s="192"/>
      <c r="P76" s="153"/>
      <c r="Q76" s="194"/>
      <c r="R76" s="33"/>
      <c r="S76" s="195"/>
      <c r="T76" s="197"/>
    </row>
    <row r="77" spans="1:20" s="198" customFormat="1" ht="25.05" customHeight="1">
      <c r="A77" s="26">
        <v>63</v>
      </c>
      <c r="B77" s="139"/>
      <c r="C77" s="27" t="s">
        <v>188</v>
      </c>
      <c r="D77" s="288" t="s">
        <v>2060</v>
      </c>
      <c r="E77" s="146" t="s">
        <v>129</v>
      </c>
      <c r="F77" s="145">
        <v>1</v>
      </c>
      <c r="G77" s="30" t="s">
        <v>2011</v>
      </c>
      <c r="H77" s="60">
        <v>140</v>
      </c>
      <c r="I77" s="60">
        <v>95</v>
      </c>
      <c r="J77" s="60">
        <v>147</v>
      </c>
      <c r="K77" s="199">
        <v>1.9550000000000001</v>
      </c>
      <c r="L77" s="60">
        <v>478</v>
      </c>
      <c r="M77" s="60">
        <v>528</v>
      </c>
      <c r="N77" s="31"/>
      <c r="O77" s="192"/>
      <c r="P77" s="153"/>
      <c r="Q77" s="194"/>
      <c r="R77" s="33"/>
      <c r="S77" s="195"/>
      <c r="T77" s="197"/>
    </row>
    <row r="78" spans="1:20" s="198" customFormat="1" ht="25.05" customHeight="1">
      <c r="A78" s="26">
        <v>64</v>
      </c>
      <c r="B78" s="139"/>
      <c r="C78" s="27" t="s">
        <v>190</v>
      </c>
      <c r="D78" s="288" t="s">
        <v>2060</v>
      </c>
      <c r="E78" s="146" t="s">
        <v>129</v>
      </c>
      <c r="F78" s="145">
        <v>1</v>
      </c>
      <c r="G78" s="30" t="s">
        <v>2011</v>
      </c>
      <c r="H78" s="60">
        <v>145</v>
      </c>
      <c r="I78" s="60">
        <v>95</v>
      </c>
      <c r="J78" s="60">
        <v>150</v>
      </c>
      <c r="K78" s="199">
        <v>2.0659999999999998</v>
      </c>
      <c r="L78" s="60">
        <v>599</v>
      </c>
      <c r="M78" s="60">
        <v>649</v>
      </c>
      <c r="N78" s="31"/>
      <c r="O78" s="192"/>
      <c r="P78" s="153"/>
      <c r="Q78" s="194"/>
      <c r="R78" s="33"/>
      <c r="S78" s="195"/>
      <c r="T78" s="197"/>
    </row>
    <row r="79" spans="1:20" s="198" customFormat="1" ht="25.05" customHeight="1">
      <c r="A79" s="26">
        <v>65</v>
      </c>
      <c r="B79" s="139"/>
      <c r="C79" s="27" t="s">
        <v>191</v>
      </c>
      <c r="D79" s="288" t="s">
        <v>2060</v>
      </c>
      <c r="E79" s="146" t="s">
        <v>129</v>
      </c>
      <c r="F79" s="145">
        <v>1</v>
      </c>
      <c r="G79" s="30" t="s">
        <v>2011</v>
      </c>
      <c r="H79" s="60">
        <v>170</v>
      </c>
      <c r="I79" s="60">
        <v>95</v>
      </c>
      <c r="J79" s="60">
        <v>180</v>
      </c>
      <c r="K79" s="199">
        <v>2.907</v>
      </c>
      <c r="L79" s="60">
        <v>1059</v>
      </c>
      <c r="M79" s="60">
        <v>1109</v>
      </c>
      <c r="N79" s="31"/>
      <c r="O79" s="192"/>
      <c r="P79" s="153"/>
      <c r="Q79" s="194"/>
      <c r="R79" s="33"/>
      <c r="S79" s="195"/>
      <c r="T79" s="197"/>
    </row>
    <row r="80" spans="1:20" s="198" customFormat="1" ht="25.05" customHeight="1">
      <c r="A80" s="26">
        <v>66</v>
      </c>
      <c r="B80" s="139"/>
      <c r="C80" s="27" t="s">
        <v>192</v>
      </c>
      <c r="D80" s="288" t="s">
        <v>2060</v>
      </c>
      <c r="E80" s="146" t="s">
        <v>129</v>
      </c>
      <c r="F80" s="145">
        <v>1</v>
      </c>
      <c r="G80" s="30" t="s">
        <v>2011</v>
      </c>
      <c r="H80" s="60">
        <v>145</v>
      </c>
      <c r="I80" s="60">
        <v>95</v>
      </c>
      <c r="J80" s="60">
        <v>155</v>
      </c>
      <c r="K80" s="199">
        <v>2.1349999999999998</v>
      </c>
      <c r="L80" s="60">
        <v>652</v>
      </c>
      <c r="M80" s="60">
        <v>702</v>
      </c>
      <c r="N80" s="31"/>
      <c r="O80" s="192"/>
      <c r="P80" s="153"/>
      <c r="Q80" s="194"/>
      <c r="R80" s="33"/>
      <c r="S80" s="195"/>
      <c r="T80" s="197"/>
    </row>
    <row r="81" spans="1:20" s="198" customFormat="1" ht="25.05" customHeight="1">
      <c r="A81" s="26">
        <v>67</v>
      </c>
      <c r="B81" s="139"/>
      <c r="C81" s="27" t="s">
        <v>193</v>
      </c>
      <c r="D81" s="288" t="s">
        <v>2060</v>
      </c>
      <c r="E81" s="146" t="s">
        <v>129</v>
      </c>
      <c r="F81" s="145">
        <v>1</v>
      </c>
      <c r="G81" s="30" t="s">
        <v>2011</v>
      </c>
      <c r="H81" s="60">
        <v>145</v>
      </c>
      <c r="I81" s="60">
        <v>95</v>
      </c>
      <c r="J81" s="60">
        <v>155</v>
      </c>
      <c r="K81" s="199">
        <v>2.1349999999999998</v>
      </c>
      <c r="L81" s="60">
        <v>648</v>
      </c>
      <c r="M81" s="60">
        <v>698</v>
      </c>
      <c r="N81" s="31"/>
      <c r="O81" s="192"/>
      <c r="P81" s="153"/>
      <c r="Q81" s="194"/>
      <c r="R81" s="33"/>
      <c r="S81" s="195"/>
      <c r="T81" s="197"/>
    </row>
    <row r="82" spans="1:20" s="198" customFormat="1" ht="25.05" customHeight="1">
      <c r="A82" s="26">
        <v>68</v>
      </c>
      <c r="B82" s="139"/>
      <c r="C82" s="27" t="s">
        <v>194</v>
      </c>
      <c r="D82" s="288" t="s">
        <v>2060</v>
      </c>
      <c r="E82" s="146" t="s">
        <v>129</v>
      </c>
      <c r="F82" s="145">
        <v>1</v>
      </c>
      <c r="G82" s="30" t="s">
        <v>2011</v>
      </c>
      <c r="H82" s="60">
        <v>190</v>
      </c>
      <c r="I82" s="60">
        <v>110</v>
      </c>
      <c r="J82" s="60">
        <v>190</v>
      </c>
      <c r="K82" s="199">
        <v>3.9710000000000001</v>
      </c>
      <c r="L82" s="60">
        <v>1308</v>
      </c>
      <c r="M82" s="60">
        <v>1358</v>
      </c>
      <c r="N82" s="31"/>
      <c r="O82" s="192"/>
      <c r="P82" s="153"/>
      <c r="Q82" s="194"/>
      <c r="R82" s="33"/>
      <c r="S82" s="195"/>
      <c r="T82" s="197"/>
    </row>
    <row r="83" spans="1:20" s="198" customFormat="1" ht="25.05" customHeight="1">
      <c r="A83" s="26">
        <v>69</v>
      </c>
      <c r="B83" s="139"/>
      <c r="C83" s="27" t="s">
        <v>195</v>
      </c>
      <c r="D83" s="288" t="s">
        <v>2060</v>
      </c>
      <c r="E83" s="146" t="s">
        <v>129</v>
      </c>
      <c r="F83" s="145">
        <v>1</v>
      </c>
      <c r="G83" s="30" t="s">
        <v>2011</v>
      </c>
      <c r="H83" s="60">
        <v>149</v>
      </c>
      <c r="I83" s="60">
        <v>92</v>
      </c>
      <c r="J83" s="60">
        <v>146</v>
      </c>
      <c r="K83" s="199">
        <v>2.0009999999999999</v>
      </c>
      <c r="L83" s="60">
        <v>518</v>
      </c>
      <c r="M83" s="60">
        <v>568</v>
      </c>
      <c r="N83" s="31"/>
      <c r="O83" s="192"/>
      <c r="P83" s="153"/>
      <c r="Q83" s="194"/>
      <c r="R83" s="33"/>
      <c r="S83" s="195"/>
      <c r="T83" s="197"/>
    </row>
    <row r="84" spans="1:20" s="198" customFormat="1" ht="25.05" customHeight="1">
      <c r="A84" s="26">
        <v>70</v>
      </c>
      <c r="B84" s="139"/>
      <c r="C84" s="27" t="s">
        <v>196</v>
      </c>
      <c r="D84" s="288" t="s">
        <v>2060</v>
      </c>
      <c r="E84" s="146" t="s">
        <v>129</v>
      </c>
      <c r="F84" s="145">
        <v>1</v>
      </c>
      <c r="G84" s="30" t="s">
        <v>2011</v>
      </c>
      <c r="H84" s="60">
        <v>145</v>
      </c>
      <c r="I84" s="60">
        <v>95</v>
      </c>
      <c r="J84" s="60">
        <v>155</v>
      </c>
      <c r="K84" s="199">
        <v>2.1349999999999998</v>
      </c>
      <c r="L84" s="60">
        <v>629</v>
      </c>
      <c r="M84" s="60">
        <v>679</v>
      </c>
      <c r="N84" s="31"/>
      <c r="O84" s="192"/>
      <c r="P84" s="153"/>
      <c r="Q84" s="194"/>
      <c r="R84" s="33"/>
      <c r="S84" s="195"/>
      <c r="T84" s="197"/>
    </row>
    <row r="85" spans="1:20" s="198" customFormat="1" ht="25.05" customHeight="1">
      <c r="A85" s="26">
        <v>71</v>
      </c>
      <c r="B85" s="139"/>
      <c r="C85" s="27" t="s">
        <v>197</v>
      </c>
      <c r="D85" s="288" t="s">
        <v>2060</v>
      </c>
      <c r="E85" s="146" t="s">
        <v>129</v>
      </c>
      <c r="F85" s="145">
        <v>1</v>
      </c>
      <c r="G85" s="30" t="s">
        <v>2011</v>
      </c>
      <c r="H85" s="60">
        <v>145</v>
      </c>
      <c r="I85" s="60">
        <v>95</v>
      </c>
      <c r="J85" s="60">
        <v>152</v>
      </c>
      <c r="K85" s="199">
        <v>2.0939999999999999</v>
      </c>
      <c r="L85" s="60">
        <v>600</v>
      </c>
      <c r="M85" s="60">
        <v>650</v>
      </c>
      <c r="N85" s="31"/>
      <c r="O85" s="192"/>
      <c r="P85" s="153"/>
      <c r="Q85" s="194"/>
      <c r="R85" s="33"/>
      <c r="S85" s="195"/>
      <c r="T85" s="197"/>
    </row>
    <row r="86" spans="1:20" s="198" customFormat="1" ht="25.05" customHeight="1">
      <c r="A86" s="26">
        <v>72</v>
      </c>
      <c r="B86" s="139"/>
      <c r="C86" s="27" t="s">
        <v>198</v>
      </c>
      <c r="D86" s="288" t="s">
        <v>2060</v>
      </c>
      <c r="E86" s="146" t="s">
        <v>129</v>
      </c>
      <c r="F86" s="145">
        <v>1</v>
      </c>
      <c r="G86" s="30" t="s">
        <v>2011</v>
      </c>
      <c r="H86" s="60">
        <v>145</v>
      </c>
      <c r="I86" s="60">
        <v>95</v>
      </c>
      <c r="J86" s="60">
        <v>146</v>
      </c>
      <c r="K86" s="199">
        <v>2.0110000000000001</v>
      </c>
      <c r="L86" s="60">
        <v>496</v>
      </c>
      <c r="M86" s="60">
        <v>546</v>
      </c>
      <c r="N86" s="31"/>
      <c r="O86" s="192"/>
      <c r="P86" s="153"/>
      <c r="Q86" s="194"/>
      <c r="R86" s="33"/>
      <c r="S86" s="195"/>
      <c r="T86" s="197"/>
    </row>
    <row r="87" spans="1:20" s="198" customFormat="1" ht="25.05" customHeight="1">
      <c r="A87" s="26">
        <v>73</v>
      </c>
      <c r="B87" s="139"/>
      <c r="C87" s="27" t="s">
        <v>199</v>
      </c>
      <c r="D87" s="288" t="s">
        <v>2060</v>
      </c>
      <c r="E87" s="146" t="s">
        <v>129</v>
      </c>
      <c r="F87" s="145">
        <v>1</v>
      </c>
      <c r="G87" s="30" t="s">
        <v>2011</v>
      </c>
      <c r="H87" s="60">
        <v>130</v>
      </c>
      <c r="I87" s="60">
        <v>80</v>
      </c>
      <c r="J87" s="60">
        <v>123</v>
      </c>
      <c r="K87" s="199">
        <v>1.2789999999999999</v>
      </c>
      <c r="L87" s="60">
        <v>270</v>
      </c>
      <c r="M87" s="60">
        <v>320</v>
      </c>
      <c r="N87" s="31"/>
      <c r="O87" s="192"/>
      <c r="P87" s="153"/>
      <c r="Q87" s="194"/>
      <c r="R87" s="33"/>
      <c r="S87" s="195"/>
      <c r="T87" s="197"/>
    </row>
    <row r="88" spans="1:20" s="198" customFormat="1" ht="25.05" customHeight="1">
      <c r="A88" s="26">
        <v>74</v>
      </c>
      <c r="B88" s="139"/>
      <c r="C88" s="27" t="s">
        <v>200</v>
      </c>
      <c r="D88" s="288" t="s">
        <v>2060</v>
      </c>
      <c r="E88" s="146" t="s">
        <v>129</v>
      </c>
      <c r="F88" s="145">
        <v>1</v>
      </c>
      <c r="G88" s="30" t="s">
        <v>2011</v>
      </c>
      <c r="H88" s="60">
        <v>130</v>
      </c>
      <c r="I88" s="60">
        <v>80</v>
      </c>
      <c r="J88" s="60">
        <v>130</v>
      </c>
      <c r="K88" s="199">
        <v>1.3520000000000001</v>
      </c>
      <c r="L88" s="60">
        <v>407</v>
      </c>
      <c r="M88" s="60">
        <v>457</v>
      </c>
      <c r="N88" s="31"/>
      <c r="O88" s="192"/>
      <c r="P88" s="153"/>
      <c r="Q88" s="194"/>
      <c r="R88" s="33"/>
      <c r="S88" s="195"/>
      <c r="T88" s="197"/>
    </row>
    <row r="89" spans="1:20" s="198" customFormat="1" ht="25.05" customHeight="1">
      <c r="A89" s="26">
        <v>75</v>
      </c>
      <c r="B89" s="139"/>
      <c r="C89" s="27" t="s">
        <v>201</v>
      </c>
      <c r="D89" s="288" t="s">
        <v>2060</v>
      </c>
      <c r="E89" s="146" t="s">
        <v>129</v>
      </c>
      <c r="F89" s="145">
        <v>1</v>
      </c>
      <c r="G89" s="30" t="s">
        <v>2011</v>
      </c>
      <c r="H89" s="60">
        <v>130</v>
      </c>
      <c r="I89" s="60">
        <v>80</v>
      </c>
      <c r="J89" s="60">
        <v>130</v>
      </c>
      <c r="K89" s="199">
        <v>1.3520000000000001</v>
      </c>
      <c r="L89" s="60">
        <v>563</v>
      </c>
      <c r="M89" s="60">
        <v>613</v>
      </c>
      <c r="N89" s="31"/>
      <c r="O89" s="192"/>
      <c r="P89" s="153"/>
      <c r="Q89" s="194"/>
      <c r="R89" s="33"/>
      <c r="S89" s="195"/>
      <c r="T89" s="197"/>
    </row>
    <row r="90" spans="1:20" s="198" customFormat="1" ht="25.05" customHeight="1">
      <c r="A90" s="26">
        <v>76</v>
      </c>
      <c r="B90" s="139"/>
      <c r="C90" s="27" t="s">
        <v>202</v>
      </c>
      <c r="D90" s="288" t="s">
        <v>2060</v>
      </c>
      <c r="E90" s="146" t="s">
        <v>129</v>
      </c>
      <c r="F90" s="145">
        <v>1</v>
      </c>
      <c r="G90" s="30" t="s">
        <v>2011</v>
      </c>
      <c r="H90" s="60">
        <v>90</v>
      </c>
      <c r="I90" s="60">
        <v>60</v>
      </c>
      <c r="J90" s="60">
        <v>95</v>
      </c>
      <c r="K90" s="199">
        <v>0.51300000000000001</v>
      </c>
      <c r="L90" s="60">
        <v>97</v>
      </c>
      <c r="M90" s="60">
        <v>147</v>
      </c>
      <c r="N90" s="31"/>
      <c r="O90" s="192"/>
      <c r="P90" s="153"/>
      <c r="Q90" s="194"/>
      <c r="R90" s="33"/>
      <c r="S90" s="195"/>
      <c r="T90" s="197"/>
    </row>
    <row r="91" spans="1:20" s="198" customFormat="1" ht="25.05" customHeight="1">
      <c r="A91" s="26">
        <v>77</v>
      </c>
      <c r="B91" s="139"/>
      <c r="C91" s="27" t="s">
        <v>203</v>
      </c>
      <c r="D91" s="288" t="s">
        <v>2060</v>
      </c>
      <c r="E91" s="146" t="s">
        <v>129</v>
      </c>
      <c r="F91" s="145">
        <v>1</v>
      </c>
      <c r="G91" s="30" t="s">
        <v>2011</v>
      </c>
      <c r="H91" s="60">
        <v>110</v>
      </c>
      <c r="I91" s="60">
        <v>70</v>
      </c>
      <c r="J91" s="60">
        <v>115</v>
      </c>
      <c r="K91" s="199">
        <v>0.88600000000000001</v>
      </c>
      <c r="L91" s="60">
        <v>335</v>
      </c>
      <c r="M91" s="60">
        <v>385</v>
      </c>
      <c r="N91" s="31"/>
      <c r="O91" s="192"/>
      <c r="P91" s="153"/>
      <c r="Q91" s="194"/>
      <c r="R91" s="33"/>
      <c r="S91" s="195"/>
      <c r="T91" s="197"/>
    </row>
    <row r="92" spans="1:20" s="198" customFormat="1" ht="25.05" customHeight="1">
      <c r="A92" s="26">
        <v>78</v>
      </c>
      <c r="B92" s="139"/>
      <c r="C92" s="27" t="s">
        <v>204</v>
      </c>
      <c r="D92" s="288" t="s">
        <v>2061</v>
      </c>
      <c r="E92" s="146" t="s">
        <v>135</v>
      </c>
      <c r="F92" s="145">
        <v>1</v>
      </c>
      <c r="G92" s="30" t="s">
        <v>2011</v>
      </c>
      <c r="H92" s="60">
        <v>135</v>
      </c>
      <c r="I92" s="60">
        <v>136</v>
      </c>
      <c r="J92" s="60">
        <v>71</v>
      </c>
      <c r="K92" s="199">
        <v>1.304</v>
      </c>
      <c r="L92" s="60">
        <v>101</v>
      </c>
      <c r="M92" s="60">
        <v>200</v>
      </c>
      <c r="N92" s="31"/>
      <c r="O92" s="192"/>
      <c r="P92" s="153"/>
      <c r="Q92" s="194"/>
      <c r="R92" s="33"/>
      <c r="S92" s="195"/>
      <c r="T92" s="197"/>
    </row>
    <row r="93" spans="1:20" s="198" customFormat="1" ht="25.05" customHeight="1">
      <c r="A93" s="26">
        <v>79</v>
      </c>
      <c r="B93" s="139"/>
      <c r="C93" s="27" t="s">
        <v>205</v>
      </c>
      <c r="D93" s="288" t="s">
        <v>2062</v>
      </c>
      <c r="E93" s="146" t="s">
        <v>135</v>
      </c>
      <c r="F93" s="145">
        <v>1</v>
      </c>
      <c r="G93" s="30" t="s">
        <v>2011</v>
      </c>
      <c r="H93" s="60">
        <v>340</v>
      </c>
      <c r="I93" s="60">
        <v>120</v>
      </c>
      <c r="J93" s="60">
        <v>160</v>
      </c>
      <c r="K93" s="199">
        <v>6.5279999999999996</v>
      </c>
      <c r="L93" s="60">
        <v>804.40000000000009</v>
      </c>
      <c r="M93" s="60">
        <v>900</v>
      </c>
      <c r="N93" s="31"/>
      <c r="O93" s="192"/>
      <c r="P93" s="153"/>
      <c r="Q93" s="194"/>
      <c r="R93" s="33"/>
      <c r="S93" s="195"/>
      <c r="T93" s="197"/>
    </row>
    <row r="94" spans="1:20" s="198" customFormat="1" ht="25.05" customHeight="1">
      <c r="A94" s="26">
        <v>80</v>
      </c>
      <c r="B94" s="139"/>
      <c r="C94" s="27" t="s">
        <v>206</v>
      </c>
      <c r="D94" s="288" t="s">
        <v>2062</v>
      </c>
      <c r="E94" s="146" t="s">
        <v>135</v>
      </c>
      <c r="F94" s="145">
        <v>1</v>
      </c>
      <c r="G94" s="30" t="s">
        <v>2011</v>
      </c>
      <c r="H94" s="60">
        <v>220</v>
      </c>
      <c r="I94" s="60">
        <v>220</v>
      </c>
      <c r="J94" s="60">
        <v>235</v>
      </c>
      <c r="K94" s="199">
        <v>11.374000000000001</v>
      </c>
      <c r="L94" s="60">
        <v>720</v>
      </c>
      <c r="M94" s="60">
        <v>870</v>
      </c>
      <c r="N94" s="31"/>
      <c r="O94" s="192"/>
      <c r="P94" s="153"/>
      <c r="Q94" s="194"/>
      <c r="R94" s="33"/>
      <c r="S94" s="195"/>
      <c r="T94" s="197"/>
    </row>
    <row r="95" spans="1:20" s="198" customFormat="1" ht="25.05" customHeight="1">
      <c r="A95" s="26">
        <v>81</v>
      </c>
      <c r="B95" s="139"/>
      <c r="C95" s="27" t="s">
        <v>207</v>
      </c>
      <c r="D95" s="288" t="s">
        <v>2062</v>
      </c>
      <c r="E95" s="146" t="s">
        <v>135</v>
      </c>
      <c r="F95" s="145">
        <v>1</v>
      </c>
      <c r="G95" s="30" t="s">
        <v>2011</v>
      </c>
      <c r="H95" s="60">
        <v>220</v>
      </c>
      <c r="I95" s="60">
        <v>220</v>
      </c>
      <c r="J95" s="60">
        <v>235</v>
      </c>
      <c r="K95" s="199">
        <v>11.374000000000001</v>
      </c>
      <c r="L95" s="60">
        <v>650</v>
      </c>
      <c r="M95" s="60">
        <v>770</v>
      </c>
      <c r="N95" s="31"/>
      <c r="O95" s="192"/>
      <c r="P95" s="153"/>
      <c r="Q95" s="194"/>
      <c r="R95" s="33"/>
      <c r="S95" s="195"/>
      <c r="T95" s="197"/>
    </row>
    <row r="96" spans="1:20" s="198" customFormat="1" ht="25.05" customHeight="1">
      <c r="A96" s="26">
        <v>82</v>
      </c>
      <c r="B96" s="139"/>
      <c r="C96" s="27" t="s">
        <v>208</v>
      </c>
      <c r="D96" s="288" t="s">
        <v>2062</v>
      </c>
      <c r="E96" s="146" t="s">
        <v>135</v>
      </c>
      <c r="F96" s="145">
        <v>1</v>
      </c>
      <c r="G96" s="30" t="s">
        <v>2011</v>
      </c>
      <c r="H96" s="60">
        <v>220</v>
      </c>
      <c r="I96" s="60">
        <v>220</v>
      </c>
      <c r="J96" s="60">
        <v>235</v>
      </c>
      <c r="K96" s="199">
        <v>11.374000000000001</v>
      </c>
      <c r="L96" s="60">
        <v>650</v>
      </c>
      <c r="M96" s="60">
        <v>770</v>
      </c>
      <c r="N96" s="31"/>
      <c r="O96" s="192"/>
      <c r="P96" s="153"/>
      <c r="Q96" s="194"/>
      <c r="R96" s="33"/>
      <c r="S96" s="195"/>
      <c r="T96" s="197"/>
    </row>
    <row r="97" spans="1:20" s="198" customFormat="1" ht="25.05" customHeight="1">
      <c r="A97" s="26">
        <v>83</v>
      </c>
      <c r="B97" s="139"/>
      <c r="C97" s="27" t="s">
        <v>209</v>
      </c>
      <c r="D97" s="288" t="s">
        <v>2062</v>
      </c>
      <c r="E97" s="146" t="s">
        <v>135</v>
      </c>
      <c r="F97" s="145">
        <v>1</v>
      </c>
      <c r="G97" s="30" t="s">
        <v>2011</v>
      </c>
      <c r="H97" s="60">
        <v>341</v>
      </c>
      <c r="I97" s="60">
        <v>162</v>
      </c>
      <c r="J97" s="60">
        <v>171</v>
      </c>
      <c r="K97" s="199">
        <v>9.4459999999999997</v>
      </c>
      <c r="L97" s="60">
        <v>3349.2</v>
      </c>
      <c r="M97" s="60">
        <v>3500</v>
      </c>
      <c r="N97" s="31"/>
      <c r="O97" s="192"/>
      <c r="P97" s="153"/>
      <c r="Q97" s="194"/>
      <c r="R97" s="33"/>
      <c r="S97" s="195"/>
      <c r="T97" s="197"/>
    </row>
    <row r="98" spans="1:20" s="198" customFormat="1" ht="25.05" customHeight="1">
      <c r="A98" s="26">
        <v>84</v>
      </c>
      <c r="B98" s="139"/>
      <c r="C98" s="27" t="s">
        <v>210</v>
      </c>
      <c r="D98" s="288" t="s">
        <v>2063</v>
      </c>
      <c r="E98" s="146" t="s">
        <v>135</v>
      </c>
      <c r="F98" s="145">
        <v>1</v>
      </c>
      <c r="G98" s="30" t="s">
        <v>2011</v>
      </c>
      <c r="H98" s="60">
        <v>240</v>
      </c>
      <c r="I98" s="60">
        <v>140</v>
      </c>
      <c r="J98" s="60">
        <v>200</v>
      </c>
      <c r="K98" s="199">
        <v>6.72</v>
      </c>
      <c r="L98" s="60">
        <v>300</v>
      </c>
      <c r="M98" s="60">
        <v>340</v>
      </c>
      <c r="N98" s="31"/>
      <c r="O98" s="192"/>
      <c r="P98" s="153"/>
      <c r="Q98" s="194"/>
      <c r="R98" s="33"/>
      <c r="S98" s="195"/>
      <c r="T98" s="197"/>
    </row>
    <row r="99" spans="1:20" s="198" customFormat="1" ht="25.05" customHeight="1">
      <c r="A99" s="26">
        <v>85</v>
      </c>
      <c r="B99" s="139"/>
      <c r="C99" s="27" t="s">
        <v>211</v>
      </c>
      <c r="D99" s="288" t="s">
        <v>2063</v>
      </c>
      <c r="E99" s="146" t="s">
        <v>135</v>
      </c>
      <c r="F99" s="145">
        <v>1</v>
      </c>
      <c r="G99" s="30" t="s">
        <v>2011</v>
      </c>
      <c r="H99" s="60">
        <v>122</v>
      </c>
      <c r="I99" s="60">
        <v>122</v>
      </c>
      <c r="J99" s="60">
        <v>140</v>
      </c>
      <c r="K99" s="199">
        <v>2.0840000000000001</v>
      </c>
      <c r="L99" s="60">
        <v>250</v>
      </c>
      <c r="M99" s="60">
        <v>300</v>
      </c>
      <c r="N99" s="31"/>
      <c r="O99" s="192"/>
      <c r="P99" s="153"/>
      <c r="Q99" s="194"/>
      <c r="R99" s="33"/>
      <c r="S99" s="195"/>
      <c r="T99" s="197"/>
    </row>
    <row r="100" spans="1:20" s="198" customFormat="1" ht="25.05" customHeight="1">
      <c r="A100" s="26">
        <v>86</v>
      </c>
      <c r="B100" s="139"/>
      <c r="C100" s="27" t="s">
        <v>212</v>
      </c>
      <c r="D100" s="288" t="s">
        <v>2063</v>
      </c>
      <c r="E100" s="146" t="s">
        <v>135</v>
      </c>
      <c r="F100" s="145">
        <v>1</v>
      </c>
      <c r="G100" s="30" t="s">
        <v>2011</v>
      </c>
      <c r="H100" s="60">
        <v>230</v>
      </c>
      <c r="I100" s="60">
        <v>180</v>
      </c>
      <c r="J100" s="60">
        <v>195</v>
      </c>
      <c r="K100" s="199">
        <v>8.0730000000000004</v>
      </c>
      <c r="L100" s="60">
        <v>586</v>
      </c>
      <c r="M100" s="60">
        <v>950</v>
      </c>
      <c r="N100" s="31"/>
      <c r="O100" s="192"/>
      <c r="P100" s="153"/>
      <c r="Q100" s="194"/>
      <c r="R100" s="33"/>
      <c r="S100" s="195"/>
      <c r="T100" s="197"/>
    </row>
    <row r="101" spans="1:20" s="107" customFormat="1" ht="25.05" customHeight="1">
      <c r="A101" s="26">
        <v>87</v>
      </c>
      <c r="B101" s="139"/>
      <c r="C101" s="27" t="s">
        <v>213</v>
      </c>
      <c r="D101" s="288" t="s">
        <v>2063</v>
      </c>
      <c r="E101" s="146" t="s">
        <v>135</v>
      </c>
      <c r="F101" s="145">
        <v>1</v>
      </c>
      <c r="G101" s="30" t="s">
        <v>2011</v>
      </c>
      <c r="H101" s="60">
        <v>290</v>
      </c>
      <c r="I101" s="60">
        <v>240</v>
      </c>
      <c r="J101" s="60">
        <v>254</v>
      </c>
      <c r="K101" s="199">
        <v>17.678000000000001</v>
      </c>
      <c r="L101" s="60">
        <v>1200</v>
      </c>
      <c r="M101" s="60">
        <v>1400</v>
      </c>
      <c r="N101" s="31"/>
      <c r="O101" s="28"/>
      <c r="P101" s="153"/>
      <c r="Q101" s="32"/>
      <c r="R101" s="33"/>
      <c r="S101" s="33"/>
      <c r="T101" s="106"/>
    </row>
    <row r="102" spans="1:20" s="107" customFormat="1" ht="25.05" customHeight="1">
      <c r="A102" s="26">
        <v>88</v>
      </c>
      <c r="B102" s="139"/>
      <c r="C102" s="27" t="s">
        <v>214</v>
      </c>
      <c r="D102" s="288" t="s">
        <v>2063</v>
      </c>
      <c r="E102" s="146" t="s">
        <v>135</v>
      </c>
      <c r="F102" s="145">
        <v>1</v>
      </c>
      <c r="G102" s="30" t="s">
        <v>2011</v>
      </c>
      <c r="H102" s="60">
        <v>250</v>
      </c>
      <c r="I102" s="60">
        <v>250</v>
      </c>
      <c r="J102" s="60">
        <v>173</v>
      </c>
      <c r="K102" s="199">
        <v>10.813000000000001</v>
      </c>
      <c r="L102" s="60">
        <v>500</v>
      </c>
      <c r="M102" s="60">
        <v>700</v>
      </c>
      <c r="N102" s="31"/>
      <c r="O102" s="28"/>
      <c r="P102" s="153"/>
      <c r="Q102" s="32"/>
      <c r="R102" s="33"/>
      <c r="S102" s="33"/>
      <c r="T102" s="106"/>
    </row>
    <row r="103" spans="1:20" s="107" customFormat="1" ht="25.05" customHeight="1">
      <c r="A103" s="26">
        <v>89</v>
      </c>
      <c r="B103" s="139"/>
      <c r="C103" s="27" t="s">
        <v>215</v>
      </c>
      <c r="D103" s="288" t="s">
        <v>2063</v>
      </c>
      <c r="E103" s="146" t="s">
        <v>135</v>
      </c>
      <c r="F103" s="145">
        <v>1</v>
      </c>
      <c r="G103" s="30" t="s">
        <v>2011</v>
      </c>
      <c r="H103" s="60">
        <v>250</v>
      </c>
      <c r="I103" s="60">
        <v>250</v>
      </c>
      <c r="J103" s="60">
        <v>173</v>
      </c>
      <c r="K103" s="199">
        <v>10.813000000000001</v>
      </c>
      <c r="L103" s="60">
        <v>530</v>
      </c>
      <c r="M103" s="60">
        <v>730</v>
      </c>
      <c r="N103" s="31"/>
      <c r="O103" s="28"/>
      <c r="P103" s="153"/>
      <c r="Q103" s="32"/>
      <c r="R103" s="33"/>
      <c r="S103" s="33"/>
      <c r="T103" s="106"/>
    </row>
    <row r="104" spans="1:20" s="107" customFormat="1" ht="25.05" customHeight="1">
      <c r="A104" s="26">
        <v>90</v>
      </c>
      <c r="B104" s="139"/>
      <c r="C104" s="27" t="s">
        <v>216</v>
      </c>
      <c r="D104" s="288" t="s">
        <v>2063</v>
      </c>
      <c r="E104" s="146" t="s">
        <v>135</v>
      </c>
      <c r="F104" s="145">
        <v>1</v>
      </c>
      <c r="G104" s="30" t="s">
        <v>2011</v>
      </c>
      <c r="H104" s="60">
        <v>240</v>
      </c>
      <c r="I104" s="60">
        <v>180</v>
      </c>
      <c r="J104" s="60">
        <v>254</v>
      </c>
      <c r="K104" s="199">
        <v>10.973000000000001</v>
      </c>
      <c r="L104" s="60">
        <v>1100</v>
      </c>
      <c r="M104" s="60">
        <v>1300</v>
      </c>
      <c r="N104" s="31"/>
      <c r="O104" s="28"/>
      <c r="P104" s="153"/>
      <c r="Q104" s="32"/>
      <c r="R104" s="33"/>
      <c r="S104" s="33"/>
      <c r="T104" s="106"/>
    </row>
    <row r="105" spans="1:20" s="107" customFormat="1" ht="25.05" customHeight="1">
      <c r="A105" s="26">
        <v>91</v>
      </c>
      <c r="B105" s="139"/>
      <c r="C105" s="27" t="s">
        <v>217</v>
      </c>
      <c r="D105" s="288" t="s">
        <v>2063</v>
      </c>
      <c r="E105" s="146" t="s">
        <v>135</v>
      </c>
      <c r="F105" s="145">
        <v>1</v>
      </c>
      <c r="G105" s="30" t="s">
        <v>2011</v>
      </c>
      <c r="H105" s="60">
        <v>240</v>
      </c>
      <c r="I105" s="60">
        <v>180</v>
      </c>
      <c r="J105" s="60">
        <v>254</v>
      </c>
      <c r="K105" s="199">
        <v>10.973000000000001</v>
      </c>
      <c r="L105" s="60">
        <v>1100</v>
      </c>
      <c r="M105" s="60">
        <v>1300</v>
      </c>
      <c r="N105" s="31"/>
      <c r="O105" s="28"/>
      <c r="P105" s="153"/>
      <c r="Q105" s="32"/>
      <c r="R105" s="33"/>
      <c r="S105" s="33"/>
      <c r="T105" s="106"/>
    </row>
    <row r="106" spans="1:20" s="107" customFormat="1" ht="25.05" customHeight="1">
      <c r="A106" s="26">
        <v>92</v>
      </c>
      <c r="B106" s="139"/>
      <c r="C106" s="27" t="s">
        <v>218</v>
      </c>
      <c r="D106" s="288" t="s">
        <v>2063</v>
      </c>
      <c r="E106" s="146" t="s">
        <v>135</v>
      </c>
      <c r="F106" s="145">
        <v>1</v>
      </c>
      <c r="G106" s="30" t="s">
        <v>2011</v>
      </c>
      <c r="H106" s="60">
        <v>240</v>
      </c>
      <c r="I106" s="60">
        <v>180</v>
      </c>
      <c r="J106" s="60">
        <v>254</v>
      </c>
      <c r="K106" s="199">
        <v>10.973000000000001</v>
      </c>
      <c r="L106" s="60">
        <v>970</v>
      </c>
      <c r="M106" s="60">
        <v>1170</v>
      </c>
      <c r="N106" s="31"/>
      <c r="O106" s="28"/>
      <c r="P106" s="153"/>
      <c r="Q106" s="32"/>
      <c r="R106" s="33"/>
      <c r="S106" s="33"/>
      <c r="T106" s="106"/>
    </row>
    <row r="107" spans="1:20" s="107" customFormat="1" ht="25.05" customHeight="1">
      <c r="A107" s="26">
        <v>93</v>
      </c>
      <c r="B107" s="139"/>
      <c r="C107" s="27" t="s">
        <v>219</v>
      </c>
      <c r="D107" s="288" t="s">
        <v>2063</v>
      </c>
      <c r="E107" s="146" t="s">
        <v>135</v>
      </c>
      <c r="F107" s="145">
        <v>1</v>
      </c>
      <c r="G107" s="30" t="s">
        <v>2011</v>
      </c>
      <c r="H107" s="60">
        <v>240</v>
      </c>
      <c r="I107" s="60">
        <v>180</v>
      </c>
      <c r="J107" s="60">
        <v>254</v>
      </c>
      <c r="K107" s="199">
        <v>10.973000000000001</v>
      </c>
      <c r="L107" s="60">
        <v>500</v>
      </c>
      <c r="M107" s="60">
        <v>585</v>
      </c>
      <c r="N107" s="31"/>
      <c r="O107" s="28"/>
      <c r="P107" s="153"/>
      <c r="Q107" s="32"/>
      <c r="R107" s="33"/>
      <c r="S107" s="33"/>
      <c r="T107" s="106"/>
    </row>
    <row r="108" spans="1:20" s="107" customFormat="1" ht="25.05" customHeight="1">
      <c r="A108" s="26">
        <v>94</v>
      </c>
      <c r="B108" s="139"/>
      <c r="C108" s="27" t="s">
        <v>220</v>
      </c>
      <c r="D108" s="288" t="s">
        <v>2063</v>
      </c>
      <c r="E108" s="146" t="s">
        <v>135</v>
      </c>
      <c r="F108" s="145">
        <v>1</v>
      </c>
      <c r="G108" s="30" t="s">
        <v>2011</v>
      </c>
      <c r="H108" s="60">
        <v>240</v>
      </c>
      <c r="I108" s="60">
        <v>180</v>
      </c>
      <c r="J108" s="60">
        <v>254</v>
      </c>
      <c r="K108" s="199">
        <v>10.973000000000001</v>
      </c>
      <c r="L108" s="60">
        <v>1000</v>
      </c>
      <c r="M108" s="60">
        <v>1200</v>
      </c>
      <c r="N108" s="31"/>
      <c r="O108" s="28"/>
      <c r="P108" s="153"/>
      <c r="Q108" s="32"/>
      <c r="R108" s="33"/>
      <c r="S108" s="33"/>
      <c r="T108" s="106"/>
    </row>
    <row r="109" spans="1:20" s="107" customFormat="1" ht="25.05" customHeight="1">
      <c r="A109" s="26">
        <v>95</v>
      </c>
      <c r="B109" s="139"/>
      <c r="C109" s="27" t="s">
        <v>221</v>
      </c>
      <c r="D109" s="288" t="s">
        <v>2063</v>
      </c>
      <c r="E109" s="146" t="s">
        <v>135</v>
      </c>
      <c r="F109" s="145">
        <v>1</v>
      </c>
      <c r="G109" s="30" t="s">
        <v>2011</v>
      </c>
      <c r="H109" s="60">
        <v>240</v>
      </c>
      <c r="I109" s="60">
        <v>180</v>
      </c>
      <c r="J109" s="60">
        <v>254</v>
      </c>
      <c r="K109" s="199">
        <v>10.973000000000001</v>
      </c>
      <c r="L109" s="60">
        <v>970</v>
      </c>
      <c r="M109" s="60">
        <v>1170</v>
      </c>
      <c r="N109" s="31"/>
      <c r="O109" s="28"/>
      <c r="P109" s="153"/>
      <c r="Q109" s="32"/>
      <c r="R109" s="33"/>
      <c r="S109" s="33"/>
      <c r="T109" s="106"/>
    </row>
    <row r="110" spans="1:20" s="107" customFormat="1" ht="25.05" customHeight="1">
      <c r="A110" s="26">
        <v>96</v>
      </c>
      <c r="B110" s="139"/>
      <c r="C110" s="27" t="s">
        <v>222</v>
      </c>
      <c r="D110" s="288" t="s">
        <v>2063</v>
      </c>
      <c r="E110" s="146" t="s">
        <v>135</v>
      </c>
      <c r="F110" s="145">
        <v>1</v>
      </c>
      <c r="G110" s="30" t="s">
        <v>2011</v>
      </c>
      <c r="H110" s="60">
        <v>240</v>
      </c>
      <c r="I110" s="60">
        <v>180</v>
      </c>
      <c r="J110" s="60">
        <v>254</v>
      </c>
      <c r="K110" s="199">
        <v>10.973000000000001</v>
      </c>
      <c r="L110" s="60">
        <v>900</v>
      </c>
      <c r="M110" s="60">
        <v>1100</v>
      </c>
      <c r="N110" s="31"/>
      <c r="O110" s="28"/>
      <c r="P110" s="153"/>
      <c r="Q110" s="32"/>
      <c r="R110" s="33"/>
      <c r="S110" s="33"/>
      <c r="T110" s="106"/>
    </row>
    <row r="111" spans="1:20" s="107" customFormat="1" ht="25.05" customHeight="1">
      <c r="A111" s="26">
        <v>97</v>
      </c>
      <c r="B111" s="139"/>
      <c r="C111" s="27" t="s">
        <v>223</v>
      </c>
      <c r="D111" s="288" t="s">
        <v>2063</v>
      </c>
      <c r="E111" s="146" t="s">
        <v>135</v>
      </c>
      <c r="F111" s="145">
        <v>1</v>
      </c>
      <c r="G111" s="30" t="s">
        <v>2011</v>
      </c>
      <c r="H111" s="60">
        <v>131</v>
      </c>
      <c r="I111" s="60">
        <v>156</v>
      </c>
      <c r="J111" s="60">
        <v>166</v>
      </c>
      <c r="K111" s="199">
        <v>3.3919999999999999</v>
      </c>
      <c r="L111" s="60">
        <v>2550</v>
      </c>
      <c r="M111" s="60">
        <v>2750</v>
      </c>
      <c r="N111" s="31"/>
      <c r="O111" s="28"/>
      <c r="P111" s="153"/>
      <c r="Q111" s="32"/>
      <c r="R111" s="33"/>
      <c r="S111" s="33"/>
      <c r="T111" s="106"/>
    </row>
    <row r="112" spans="1:20" s="107" customFormat="1" ht="25.05" customHeight="1">
      <c r="A112" s="26">
        <v>98</v>
      </c>
      <c r="B112" s="139"/>
      <c r="C112" s="27" t="s">
        <v>224</v>
      </c>
      <c r="D112" s="288" t="s">
        <v>2063</v>
      </c>
      <c r="E112" s="146" t="s">
        <v>135</v>
      </c>
      <c r="F112" s="145">
        <v>1</v>
      </c>
      <c r="G112" s="30" t="s">
        <v>2011</v>
      </c>
      <c r="H112" s="60">
        <v>221</v>
      </c>
      <c r="I112" s="60">
        <v>135</v>
      </c>
      <c r="J112" s="60">
        <v>135</v>
      </c>
      <c r="K112" s="199">
        <v>4.0279999999999996</v>
      </c>
      <c r="L112" s="60">
        <v>1300</v>
      </c>
      <c r="M112" s="60">
        <v>1500</v>
      </c>
      <c r="N112" s="31"/>
      <c r="O112" s="28"/>
      <c r="P112" s="153"/>
      <c r="Q112" s="32"/>
      <c r="R112" s="33"/>
      <c r="S112" s="33"/>
      <c r="T112" s="106"/>
    </row>
    <row r="113" spans="1:20" s="107" customFormat="1" ht="25.05" customHeight="1">
      <c r="A113" s="26">
        <v>99</v>
      </c>
      <c r="B113" s="139"/>
      <c r="C113" s="27" t="s">
        <v>225</v>
      </c>
      <c r="D113" s="288" t="s">
        <v>2063</v>
      </c>
      <c r="E113" s="146" t="s">
        <v>135</v>
      </c>
      <c r="F113" s="145">
        <v>1</v>
      </c>
      <c r="G113" s="30" t="s">
        <v>2011</v>
      </c>
      <c r="H113" s="60">
        <v>240</v>
      </c>
      <c r="I113" s="60">
        <v>140</v>
      </c>
      <c r="J113" s="60">
        <v>190</v>
      </c>
      <c r="K113" s="199">
        <v>6.3840000000000003</v>
      </c>
      <c r="L113" s="60">
        <v>400</v>
      </c>
      <c r="M113" s="60">
        <v>500</v>
      </c>
      <c r="N113" s="31"/>
      <c r="O113" s="28"/>
      <c r="P113" s="153"/>
      <c r="Q113" s="32"/>
      <c r="R113" s="33"/>
      <c r="S113" s="33"/>
      <c r="T113" s="106"/>
    </row>
    <row r="114" spans="1:20" s="107" customFormat="1" ht="25.05" customHeight="1">
      <c r="A114" s="26">
        <v>100</v>
      </c>
      <c r="B114" s="139"/>
      <c r="C114" s="27" t="s">
        <v>226</v>
      </c>
      <c r="D114" s="288" t="s">
        <v>2063</v>
      </c>
      <c r="E114" s="146" t="s">
        <v>135</v>
      </c>
      <c r="F114" s="145">
        <v>1</v>
      </c>
      <c r="G114" s="30" t="s">
        <v>2011</v>
      </c>
      <c r="H114" s="60">
        <v>130</v>
      </c>
      <c r="I114" s="60">
        <v>100</v>
      </c>
      <c r="J114" s="60">
        <v>80</v>
      </c>
      <c r="K114" s="199">
        <v>1.04</v>
      </c>
      <c r="L114" s="60">
        <v>300</v>
      </c>
      <c r="M114" s="60">
        <v>400</v>
      </c>
      <c r="N114" s="31"/>
      <c r="O114" s="28"/>
      <c r="P114" s="153"/>
      <c r="Q114" s="32"/>
      <c r="R114" s="33"/>
      <c r="S114" s="33"/>
      <c r="T114" s="106"/>
    </row>
    <row r="115" spans="1:20" s="107" customFormat="1" ht="25.05" customHeight="1">
      <c r="A115" s="26">
        <v>101</v>
      </c>
      <c r="B115" s="139"/>
      <c r="C115" s="27" t="s">
        <v>227</v>
      </c>
      <c r="D115" s="288" t="s">
        <v>2064</v>
      </c>
      <c r="E115" s="146" t="s">
        <v>104</v>
      </c>
      <c r="F115" s="145">
        <v>1</v>
      </c>
      <c r="G115" s="30" t="s">
        <v>2011</v>
      </c>
      <c r="H115" s="60">
        <v>1580</v>
      </c>
      <c r="I115" s="60">
        <v>110</v>
      </c>
      <c r="J115" s="60">
        <v>140</v>
      </c>
      <c r="K115" s="199">
        <v>24.332000000000001</v>
      </c>
      <c r="L115" s="60">
        <v>2500</v>
      </c>
      <c r="M115" s="60">
        <v>2850</v>
      </c>
      <c r="N115" s="31" t="s">
        <v>229</v>
      </c>
      <c r="O115" s="28" t="s">
        <v>230</v>
      </c>
      <c r="P115" s="153" t="s">
        <v>229</v>
      </c>
      <c r="Q115" s="32"/>
      <c r="R115" s="33"/>
      <c r="S115" s="33"/>
      <c r="T115" s="106"/>
    </row>
    <row r="116" spans="1:20" s="107" customFormat="1" ht="25.05" customHeight="1">
      <c r="A116" s="26">
        <v>102</v>
      </c>
      <c r="B116" s="139"/>
      <c r="C116" s="27" t="s">
        <v>231</v>
      </c>
      <c r="D116" s="288" t="s">
        <v>2065</v>
      </c>
      <c r="E116" s="146" t="s">
        <v>135</v>
      </c>
      <c r="F116" s="145">
        <v>1</v>
      </c>
      <c r="G116" s="30" t="s">
        <v>2011</v>
      </c>
      <c r="H116" s="60">
        <v>110</v>
      </c>
      <c r="I116" s="60">
        <v>130</v>
      </c>
      <c r="J116" s="60">
        <v>125</v>
      </c>
      <c r="K116" s="199">
        <v>1.788</v>
      </c>
      <c r="L116" s="60">
        <v>172</v>
      </c>
      <c r="M116" s="60">
        <v>372</v>
      </c>
      <c r="N116" s="31" t="s">
        <v>229</v>
      </c>
      <c r="O116" s="28" t="s">
        <v>230</v>
      </c>
      <c r="P116" s="153" t="s">
        <v>229</v>
      </c>
      <c r="Q116" s="32"/>
      <c r="R116" s="33"/>
      <c r="S116" s="33"/>
      <c r="T116" s="106"/>
    </row>
    <row r="117" spans="1:20" s="107" customFormat="1" ht="25.05" customHeight="1">
      <c r="A117" s="26">
        <v>103</v>
      </c>
      <c r="B117" s="139"/>
      <c r="C117" s="27" t="s">
        <v>232</v>
      </c>
      <c r="D117" s="288" t="s">
        <v>233</v>
      </c>
      <c r="E117" s="146" t="s">
        <v>104</v>
      </c>
      <c r="F117" s="145">
        <v>1</v>
      </c>
      <c r="G117" s="30" t="s">
        <v>2011</v>
      </c>
      <c r="H117" s="60">
        <v>1300</v>
      </c>
      <c r="I117" s="60">
        <v>350</v>
      </c>
      <c r="J117" s="60">
        <v>402.5</v>
      </c>
      <c r="K117" s="199">
        <v>183.13800000000001</v>
      </c>
      <c r="L117" s="60">
        <v>42200</v>
      </c>
      <c r="M117" s="60">
        <v>42700</v>
      </c>
      <c r="N117" s="31"/>
      <c r="O117" s="28"/>
      <c r="P117" s="153"/>
      <c r="Q117" s="32"/>
      <c r="R117" s="33"/>
      <c r="S117" s="33"/>
      <c r="T117" s="106"/>
    </row>
    <row r="118" spans="1:20" s="107" customFormat="1" ht="25.05" customHeight="1">
      <c r="A118" s="26">
        <v>104</v>
      </c>
      <c r="B118" s="139"/>
      <c r="C118" s="27" t="s">
        <v>234</v>
      </c>
      <c r="D118" s="288" t="s">
        <v>233</v>
      </c>
      <c r="E118" s="146" t="s">
        <v>104</v>
      </c>
      <c r="F118" s="145">
        <v>1</v>
      </c>
      <c r="G118" s="30" t="s">
        <v>2011</v>
      </c>
      <c r="H118" s="60">
        <v>1300</v>
      </c>
      <c r="I118" s="60">
        <v>350</v>
      </c>
      <c r="J118" s="60">
        <v>402.5</v>
      </c>
      <c r="K118" s="199">
        <v>183.13800000000001</v>
      </c>
      <c r="L118" s="60">
        <v>42200</v>
      </c>
      <c r="M118" s="60">
        <v>42700</v>
      </c>
      <c r="N118" s="31"/>
      <c r="O118" s="28"/>
      <c r="P118" s="153"/>
      <c r="Q118" s="32"/>
      <c r="R118" s="33"/>
      <c r="S118" s="33"/>
      <c r="T118" s="106"/>
    </row>
    <row r="119" spans="1:20" s="107" customFormat="1" ht="25.05" customHeight="1">
      <c r="A119" s="26">
        <v>105</v>
      </c>
      <c r="B119" s="139"/>
      <c r="C119" s="27" t="s">
        <v>235</v>
      </c>
      <c r="D119" s="288" t="s">
        <v>236</v>
      </c>
      <c r="E119" s="146" t="s">
        <v>129</v>
      </c>
      <c r="F119" s="145">
        <v>1</v>
      </c>
      <c r="G119" s="30" t="s">
        <v>2011</v>
      </c>
      <c r="H119" s="60">
        <v>455</v>
      </c>
      <c r="I119" s="60">
        <v>250</v>
      </c>
      <c r="J119" s="60">
        <v>230</v>
      </c>
      <c r="K119" s="199">
        <v>26.163</v>
      </c>
      <c r="L119" s="60">
        <v>2000</v>
      </c>
      <c r="M119" s="60">
        <v>2200</v>
      </c>
      <c r="N119" s="31"/>
      <c r="O119" s="28"/>
      <c r="P119" s="153"/>
      <c r="Q119" s="32"/>
      <c r="R119" s="33"/>
      <c r="S119" s="33"/>
      <c r="T119" s="106"/>
    </row>
    <row r="120" spans="1:20" s="107" customFormat="1" ht="25.05" customHeight="1">
      <c r="A120" s="26">
        <v>106</v>
      </c>
      <c r="B120" s="139"/>
      <c r="C120" s="27" t="s">
        <v>237</v>
      </c>
      <c r="D120" s="288" t="s">
        <v>238</v>
      </c>
      <c r="E120" s="146" t="s">
        <v>129</v>
      </c>
      <c r="F120" s="145">
        <v>1</v>
      </c>
      <c r="G120" s="30" t="s">
        <v>2011</v>
      </c>
      <c r="H120" s="60">
        <v>605</v>
      </c>
      <c r="I120" s="60">
        <v>255</v>
      </c>
      <c r="J120" s="60">
        <v>170</v>
      </c>
      <c r="K120" s="199">
        <v>26.227</v>
      </c>
      <c r="L120" s="60">
        <v>3240</v>
      </c>
      <c r="M120" s="60">
        <v>3500</v>
      </c>
      <c r="N120" s="31"/>
      <c r="O120" s="28"/>
      <c r="P120" s="153"/>
      <c r="Q120" s="32"/>
      <c r="R120" s="33"/>
      <c r="S120" s="33"/>
      <c r="T120" s="106"/>
    </row>
    <row r="121" spans="1:20" s="107" customFormat="1" ht="25.05" customHeight="1">
      <c r="A121" s="26">
        <v>107</v>
      </c>
      <c r="B121" s="139"/>
      <c r="C121" s="27" t="s">
        <v>239</v>
      </c>
      <c r="D121" s="288" t="s">
        <v>240</v>
      </c>
      <c r="E121" s="146" t="s">
        <v>129</v>
      </c>
      <c r="F121" s="145">
        <v>1</v>
      </c>
      <c r="G121" s="30" t="s">
        <v>2011</v>
      </c>
      <c r="H121" s="60">
        <v>310</v>
      </c>
      <c r="I121" s="60">
        <v>165</v>
      </c>
      <c r="J121" s="60">
        <v>270</v>
      </c>
      <c r="K121" s="199">
        <v>13.811</v>
      </c>
      <c r="L121" s="60">
        <v>1000</v>
      </c>
      <c r="M121" s="60">
        <v>1200</v>
      </c>
      <c r="N121" s="31"/>
      <c r="O121" s="28"/>
      <c r="P121" s="153"/>
      <c r="Q121" s="32"/>
      <c r="R121" s="33"/>
      <c r="S121" s="33"/>
      <c r="T121" s="106"/>
    </row>
    <row r="122" spans="1:20" s="107" customFormat="1" ht="25.05" customHeight="1">
      <c r="A122" s="26">
        <v>108</v>
      </c>
      <c r="B122" s="139"/>
      <c r="C122" s="27" t="s">
        <v>241</v>
      </c>
      <c r="D122" s="288" t="s">
        <v>240</v>
      </c>
      <c r="E122" s="146" t="s">
        <v>129</v>
      </c>
      <c r="F122" s="145">
        <v>1</v>
      </c>
      <c r="G122" s="30" t="s">
        <v>2011</v>
      </c>
      <c r="H122" s="60">
        <v>310</v>
      </c>
      <c r="I122" s="60">
        <v>165</v>
      </c>
      <c r="J122" s="60">
        <v>270</v>
      </c>
      <c r="K122" s="199">
        <v>13.811</v>
      </c>
      <c r="L122" s="60">
        <v>1000</v>
      </c>
      <c r="M122" s="60">
        <v>1200</v>
      </c>
      <c r="N122" s="31"/>
      <c r="O122" s="28"/>
      <c r="P122" s="153"/>
      <c r="Q122" s="32"/>
      <c r="R122" s="33"/>
      <c r="S122" s="33"/>
      <c r="T122" s="106"/>
    </row>
    <row r="123" spans="1:20" s="107" customFormat="1" ht="25.05" customHeight="1">
      <c r="A123" s="26">
        <v>109</v>
      </c>
      <c r="B123" s="139"/>
      <c r="C123" s="27" t="s">
        <v>242</v>
      </c>
      <c r="D123" s="288" t="s">
        <v>243</v>
      </c>
      <c r="E123" s="146" t="s">
        <v>129</v>
      </c>
      <c r="F123" s="145">
        <v>1</v>
      </c>
      <c r="G123" s="30" t="s">
        <v>2011</v>
      </c>
      <c r="H123" s="60">
        <v>300</v>
      </c>
      <c r="I123" s="60">
        <v>235</v>
      </c>
      <c r="J123" s="60">
        <v>300</v>
      </c>
      <c r="K123" s="199">
        <v>21.15</v>
      </c>
      <c r="L123" s="60">
        <v>300</v>
      </c>
      <c r="M123" s="60">
        <v>500</v>
      </c>
      <c r="N123" s="31"/>
      <c r="O123" s="28"/>
      <c r="P123" s="153"/>
      <c r="Q123" s="32"/>
      <c r="R123" s="33"/>
      <c r="S123" s="33"/>
      <c r="T123" s="106"/>
    </row>
    <row r="124" spans="1:20" s="107" customFormat="1" ht="25.05" customHeight="1">
      <c r="A124" s="26">
        <v>110</v>
      </c>
      <c r="B124" s="139"/>
      <c r="C124" s="27" t="s">
        <v>244</v>
      </c>
      <c r="D124" s="288" t="s">
        <v>243</v>
      </c>
      <c r="E124" s="146" t="s">
        <v>129</v>
      </c>
      <c r="F124" s="145">
        <v>1</v>
      </c>
      <c r="G124" s="30" t="s">
        <v>2011</v>
      </c>
      <c r="H124" s="60">
        <v>300</v>
      </c>
      <c r="I124" s="60">
        <v>230</v>
      </c>
      <c r="J124" s="60">
        <v>300</v>
      </c>
      <c r="K124" s="199">
        <v>20.7</v>
      </c>
      <c r="L124" s="60">
        <v>300</v>
      </c>
      <c r="M124" s="60">
        <v>500</v>
      </c>
      <c r="N124" s="31"/>
      <c r="O124" s="28"/>
      <c r="P124" s="153"/>
      <c r="Q124" s="32"/>
      <c r="R124" s="33"/>
      <c r="S124" s="33"/>
      <c r="T124" s="106"/>
    </row>
    <row r="125" spans="1:20" s="107" customFormat="1" ht="25.05" customHeight="1">
      <c r="A125" s="26">
        <v>111</v>
      </c>
      <c r="B125" s="139"/>
      <c r="C125" s="27" t="s">
        <v>245</v>
      </c>
      <c r="D125" s="288" t="s">
        <v>246</v>
      </c>
      <c r="E125" s="146" t="s">
        <v>129</v>
      </c>
      <c r="F125" s="145">
        <v>1</v>
      </c>
      <c r="G125" s="30" t="s">
        <v>2011</v>
      </c>
      <c r="H125" s="60">
        <v>220</v>
      </c>
      <c r="I125" s="60">
        <v>180</v>
      </c>
      <c r="J125" s="60">
        <v>215</v>
      </c>
      <c r="K125" s="199">
        <v>8.5139999999999993</v>
      </c>
      <c r="L125" s="60">
        <v>200</v>
      </c>
      <c r="M125" s="60">
        <v>400</v>
      </c>
      <c r="N125" s="31"/>
      <c r="O125" s="28"/>
      <c r="P125" s="153"/>
      <c r="Q125" s="32"/>
      <c r="R125" s="33"/>
      <c r="S125" s="33"/>
      <c r="T125" s="106"/>
    </row>
    <row r="126" spans="1:20" s="107" customFormat="1" ht="25.05" customHeight="1">
      <c r="A126" s="26">
        <v>112</v>
      </c>
      <c r="B126" s="139"/>
      <c r="C126" s="27" t="s">
        <v>247</v>
      </c>
      <c r="D126" s="288" t="s">
        <v>246</v>
      </c>
      <c r="E126" s="146" t="s">
        <v>129</v>
      </c>
      <c r="F126" s="145">
        <v>1</v>
      </c>
      <c r="G126" s="30" t="s">
        <v>2011</v>
      </c>
      <c r="H126" s="60">
        <v>220</v>
      </c>
      <c r="I126" s="60">
        <v>180</v>
      </c>
      <c r="J126" s="60">
        <v>215</v>
      </c>
      <c r="K126" s="199">
        <v>8.5139999999999993</v>
      </c>
      <c r="L126" s="60">
        <v>200</v>
      </c>
      <c r="M126" s="60">
        <v>400</v>
      </c>
      <c r="N126" s="31"/>
      <c r="O126" s="28"/>
      <c r="P126" s="153"/>
      <c r="Q126" s="32"/>
      <c r="R126" s="33"/>
      <c r="S126" s="33"/>
      <c r="T126" s="106"/>
    </row>
    <row r="127" spans="1:20" s="107" customFormat="1" ht="25.05" customHeight="1">
      <c r="A127" s="26">
        <v>113</v>
      </c>
      <c r="B127" s="139"/>
      <c r="C127" s="27" t="s">
        <v>248</v>
      </c>
      <c r="D127" s="288" t="s">
        <v>2067</v>
      </c>
      <c r="E127" s="146" t="s">
        <v>129</v>
      </c>
      <c r="F127" s="145">
        <v>1</v>
      </c>
      <c r="G127" s="30" t="s">
        <v>2011</v>
      </c>
      <c r="H127" s="60">
        <v>480</v>
      </c>
      <c r="I127" s="60">
        <v>240</v>
      </c>
      <c r="J127" s="60">
        <v>165</v>
      </c>
      <c r="K127" s="199">
        <v>19.007999999999999</v>
      </c>
      <c r="L127" s="60">
        <v>1200</v>
      </c>
      <c r="M127" s="60">
        <v>1400</v>
      </c>
      <c r="N127" s="31"/>
      <c r="O127" s="28"/>
      <c r="P127" s="153"/>
      <c r="Q127" s="32"/>
      <c r="R127" s="33"/>
      <c r="S127" s="33"/>
      <c r="T127" s="106"/>
    </row>
    <row r="128" spans="1:20" s="107" customFormat="1" ht="25.05" customHeight="1">
      <c r="A128" s="26">
        <v>114</v>
      </c>
      <c r="B128" s="139"/>
      <c r="C128" s="27" t="s">
        <v>249</v>
      </c>
      <c r="D128" s="288" t="s">
        <v>2067</v>
      </c>
      <c r="E128" s="146" t="s">
        <v>129</v>
      </c>
      <c r="F128" s="145">
        <v>1</v>
      </c>
      <c r="G128" s="30" t="s">
        <v>2011</v>
      </c>
      <c r="H128" s="60">
        <v>310</v>
      </c>
      <c r="I128" s="60">
        <v>300</v>
      </c>
      <c r="J128" s="60">
        <v>165</v>
      </c>
      <c r="K128" s="199">
        <v>15.345000000000001</v>
      </c>
      <c r="L128" s="60">
        <v>1619.5</v>
      </c>
      <c r="M128" s="60">
        <v>2000</v>
      </c>
      <c r="N128" s="31"/>
      <c r="O128" s="28"/>
      <c r="P128" s="153"/>
      <c r="Q128" s="32"/>
      <c r="R128" s="33"/>
      <c r="S128" s="33"/>
      <c r="T128" s="106"/>
    </row>
    <row r="129" spans="1:20" s="107" customFormat="1" ht="25.05" customHeight="1">
      <c r="A129" s="26">
        <v>115</v>
      </c>
      <c r="B129" s="139"/>
      <c r="C129" s="27" t="s">
        <v>250</v>
      </c>
      <c r="D129" s="288" t="s">
        <v>2067</v>
      </c>
      <c r="E129" s="146" t="s">
        <v>129</v>
      </c>
      <c r="F129" s="145">
        <v>1</v>
      </c>
      <c r="G129" s="30" t="s">
        <v>2011</v>
      </c>
      <c r="H129" s="60">
        <v>300</v>
      </c>
      <c r="I129" s="60">
        <v>300</v>
      </c>
      <c r="J129" s="60">
        <v>165</v>
      </c>
      <c r="K129" s="199">
        <v>14.85</v>
      </c>
      <c r="L129" s="60">
        <v>1619.5</v>
      </c>
      <c r="M129" s="60">
        <v>2000</v>
      </c>
      <c r="N129" s="31"/>
      <c r="O129" s="28"/>
      <c r="P129" s="153"/>
      <c r="Q129" s="32"/>
      <c r="R129" s="33"/>
      <c r="S129" s="33"/>
      <c r="T129" s="106"/>
    </row>
    <row r="130" spans="1:20" s="107" customFormat="1" ht="25.05" customHeight="1">
      <c r="A130" s="26">
        <v>116</v>
      </c>
      <c r="B130" s="139"/>
      <c r="C130" s="27" t="s">
        <v>251</v>
      </c>
      <c r="D130" s="288" t="s">
        <v>2069</v>
      </c>
      <c r="E130" s="146" t="s">
        <v>129</v>
      </c>
      <c r="F130" s="145">
        <v>1</v>
      </c>
      <c r="G130" s="30" t="s">
        <v>2011</v>
      </c>
      <c r="H130" s="60">
        <v>245</v>
      </c>
      <c r="I130" s="60">
        <v>155</v>
      </c>
      <c r="J130" s="60">
        <v>165</v>
      </c>
      <c r="K130" s="199">
        <v>6.266</v>
      </c>
      <c r="L130" s="60">
        <v>450</v>
      </c>
      <c r="M130" s="60">
        <v>500</v>
      </c>
      <c r="N130" s="31"/>
      <c r="O130" s="28"/>
      <c r="P130" s="153"/>
      <c r="Q130" s="32"/>
      <c r="R130" s="33"/>
      <c r="S130" s="33"/>
      <c r="T130" s="106"/>
    </row>
    <row r="131" spans="1:20" s="107" customFormat="1" ht="25.05" customHeight="1">
      <c r="A131" s="26">
        <v>117</v>
      </c>
      <c r="B131" s="139"/>
      <c r="C131" s="27" t="s">
        <v>253</v>
      </c>
      <c r="D131" s="288" t="s">
        <v>254</v>
      </c>
      <c r="E131" s="146" t="s">
        <v>129</v>
      </c>
      <c r="F131" s="145">
        <v>1</v>
      </c>
      <c r="G131" s="30" t="s">
        <v>2011</v>
      </c>
      <c r="H131" s="60">
        <v>405</v>
      </c>
      <c r="I131" s="60">
        <v>245</v>
      </c>
      <c r="J131" s="60">
        <v>140</v>
      </c>
      <c r="K131" s="199">
        <v>13.891999999999999</v>
      </c>
      <c r="L131" s="60">
        <v>1619.5</v>
      </c>
      <c r="M131" s="60">
        <v>1900</v>
      </c>
      <c r="N131" s="31"/>
      <c r="O131" s="28"/>
      <c r="P131" s="153"/>
      <c r="Q131" s="32"/>
      <c r="R131" s="33"/>
      <c r="S131" s="33"/>
      <c r="T131" s="106"/>
    </row>
    <row r="132" spans="1:20" s="107" customFormat="1" ht="25.05" customHeight="1">
      <c r="A132" s="26">
        <v>118</v>
      </c>
      <c r="B132" s="139"/>
      <c r="C132" s="27" t="s">
        <v>255</v>
      </c>
      <c r="D132" s="288" t="s">
        <v>254</v>
      </c>
      <c r="E132" s="146" t="s">
        <v>129</v>
      </c>
      <c r="F132" s="145">
        <v>1</v>
      </c>
      <c r="G132" s="30" t="s">
        <v>2011</v>
      </c>
      <c r="H132" s="60">
        <v>405</v>
      </c>
      <c r="I132" s="60">
        <v>240</v>
      </c>
      <c r="J132" s="60">
        <v>140</v>
      </c>
      <c r="K132" s="199">
        <v>13.608000000000001</v>
      </c>
      <c r="L132" s="60">
        <v>1619.5</v>
      </c>
      <c r="M132" s="60">
        <v>1900</v>
      </c>
      <c r="N132" s="31"/>
      <c r="O132" s="28"/>
      <c r="P132" s="153"/>
      <c r="Q132" s="32"/>
      <c r="R132" s="33"/>
      <c r="S132" s="33"/>
      <c r="T132" s="106"/>
    </row>
    <row r="133" spans="1:20" s="107" customFormat="1" ht="25.05" customHeight="1">
      <c r="A133" s="26">
        <v>119</v>
      </c>
      <c r="B133" s="139"/>
      <c r="C133" s="27" t="s">
        <v>256</v>
      </c>
      <c r="D133" s="288" t="s">
        <v>257</v>
      </c>
      <c r="E133" s="146" t="s">
        <v>129</v>
      </c>
      <c r="F133" s="145">
        <v>1</v>
      </c>
      <c r="G133" s="30" t="s">
        <v>2011</v>
      </c>
      <c r="H133" s="60">
        <v>260</v>
      </c>
      <c r="I133" s="60">
        <v>120</v>
      </c>
      <c r="J133" s="60">
        <v>140</v>
      </c>
      <c r="K133" s="199">
        <v>4.3680000000000003</v>
      </c>
      <c r="L133" s="60">
        <v>300</v>
      </c>
      <c r="M133" s="60">
        <v>500</v>
      </c>
      <c r="N133" s="31"/>
      <c r="O133" s="28"/>
      <c r="P133" s="153"/>
      <c r="Q133" s="32"/>
      <c r="R133" s="33"/>
      <c r="S133" s="33"/>
      <c r="T133" s="106"/>
    </row>
    <row r="134" spans="1:20" s="107" customFormat="1" ht="25.05" customHeight="1">
      <c r="A134" s="26">
        <v>120</v>
      </c>
      <c r="B134" s="139"/>
      <c r="C134" s="27" t="s">
        <v>258</v>
      </c>
      <c r="D134" s="288" t="s">
        <v>259</v>
      </c>
      <c r="E134" s="146" t="s">
        <v>135</v>
      </c>
      <c r="F134" s="145">
        <v>1</v>
      </c>
      <c r="G134" s="30" t="s">
        <v>2011</v>
      </c>
      <c r="H134" s="60">
        <v>260</v>
      </c>
      <c r="I134" s="60">
        <v>230</v>
      </c>
      <c r="J134" s="60">
        <v>215</v>
      </c>
      <c r="K134" s="199">
        <v>12.856999999999999</v>
      </c>
      <c r="L134" s="60">
        <v>400</v>
      </c>
      <c r="M134" s="60">
        <v>800</v>
      </c>
      <c r="N134" s="31"/>
      <c r="O134" s="28"/>
      <c r="P134" s="153"/>
      <c r="Q134" s="32"/>
      <c r="R134" s="33"/>
      <c r="S134" s="33"/>
      <c r="T134" s="106"/>
    </row>
    <row r="135" spans="1:20" s="107" customFormat="1" ht="25.05" customHeight="1">
      <c r="A135" s="26">
        <v>121</v>
      </c>
      <c r="B135" s="139"/>
      <c r="C135" s="27" t="s">
        <v>260</v>
      </c>
      <c r="D135" s="288" t="s">
        <v>261</v>
      </c>
      <c r="E135" s="146" t="s">
        <v>135</v>
      </c>
      <c r="F135" s="145">
        <v>1</v>
      </c>
      <c r="G135" s="30" t="s">
        <v>2011</v>
      </c>
      <c r="H135" s="60">
        <v>330</v>
      </c>
      <c r="I135" s="60">
        <v>190</v>
      </c>
      <c r="J135" s="60">
        <v>205</v>
      </c>
      <c r="K135" s="199">
        <v>12.853999999999999</v>
      </c>
      <c r="L135" s="60">
        <v>2500</v>
      </c>
      <c r="M135" s="60">
        <v>3000</v>
      </c>
      <c r="N135" s="31"/>
      <c r="O135" s="28"/>
      <c r="P135" s="153"/>
      <c r="Q135" s="32"/>
      <c r="R135" s="33"/>
      <c r="S135" s="33"/>
      <c r="T135" s="106"/>
    </row>
    <row r="136" spans="1:20" s="107" customFormat="1" ht="25.05" customHeight="1">
      <c r="A136" s="26">
        <v>122</v>
      </c>
      <c r="B136" s="139"/>
      <c r="C136" s="27" t="s">
        <v>262</v>
      </c>
      <c r="D136" s="288" t="s">
        <v>263</v>
      </c>
      <c r="E136" s="146" t="s">
        <v>135</v>
      </c>
      <c r="F136" s="145">
        <v>1</v>
      </c>
      <c r="G136" s="30" t="s">
        <v>2011</v>
      </c>
      <c r="H136" s="60">
        <v>290</v>
      </c>
      <c r="I136" s="60">
        <v>190</v>
      </c>
      <c r="J136" s="60">
        <v>265</v>
      </c>
      <c r="K136" s="199">
        <v>14.602</v>
      </c>
      <c r="L136" s="60">
        <v>660</v>
      </c>
      <c r="M136" s="60">
        <v>1200</v>
      </c>
      <c r="N136" s="31"/>
      <c r="O136" s="28"/>
      <c r="P136" s="153"/>
      <c r="Q136" s="32"/>
      <c r="R136" s="33"/>
      <c r="S136" s="33"/>
      <c r="T136" s="106"/>
    </row>
    <row r="137" spans="1:20" s="107" customFormat="1" ht="25.05" customHeight="1">
      <c r="A137" s="26">
        <v>123</v>
      </c>
      <c r="B137" s="139"/>
      <c r="C137" s="27" t="s">
        <v>264</v>
      </c>
      <c r="D137" s="288" t="s">
        <v>265</v>
      </c>
      <c r="E137" s="146" t="s">
        <v>129</v>
      </c>
      <c r="F137" s="145">
        <v>1</v>
      </c>
      <c r="G137" s="30" t="s">
        <v>2011</v>
      </c>
      <c r="H137" s="60">
        <v>380</v>
      </c>
      <c r="I137" s="60">
        <v>105</v>
      </c>
      <c r="J137" s="60">
        <v>100</v>
      </c>
      <c r="K137" s="199">
        <v>3.99</v>
      </c>
      <c r="L137" s="60">
        <v>600</v>
      </c>
      <c r="M137" s="60">
        <v>900</v>
      </c>
      <c r="N137" s="31"/>
      <c r="O137" s="28"/>
      <c r="P137" s="153"/>
      <c r="Q137" s="32"/>
      <c r="R137" s="33"/>
      <c r="S137" s="33"/>
      <c r="T137" s="106"/>
    </row>
    <row r="138" spans="1:20" s="107" customFormat="1" ht="25.05" customHeight="1">
      <c r="A138" s="26">
        <v>124</v>
      </c>
      <c r="B138" s="139"/>
      <c r="C138" s="27" t="s">
        <v>266</v>
      </c>
      <c r="D138" s="288" t="s">
        <v>267</v>
      </c>
      <c r="E138" s="146" t="s">
        <v>129</v>
      </c>
      <c r="F138" s="145">
        <v>1</v>
      </c>
      <c r="G138" s="30" t="s">
        <v>2011</v>
      </c>
      <c r="H138" s="60">
        <v>288</v>
      </c>
      <c r="I138" s="60">
        <v>125</v>
      </c>
      <c r="J138" s="60">
        <v>110</v>
      </c>
      <c r="K138" s="199">
        <v>3.96</v>
      </c>
      <c r="L138" s="60">
        <v>300</v>
      </c>
      <c r="M138" s="60">
        <v>500</v>
      </c>
      <c r="N138" s="31"/>
      <c r="O138" s="28"/>
      <c r="P138" s="153"/>
      <c r="Q138" s="32"/>
      <c r="R138" s="33"/>
      <c r="S138" s="33"/>
      <c r="T138" s="106"/>
    </row>
    <row r="139" spans="1:20" s="107" customFormat="1" ht="25.05" customHeight="1">
      <c r="A139" s="26">
        <v>125</v>
      </c>
      <c r="B139" s="139"/>
      <c r="C139" s="27" t="s">
        <v>268</v>
      </c>
      <c r="D139" s="288" t="s">
        <v>269</v>
      </c>
      <c r="E139" s="146" t="s">
        <v>129</v>
      </c>
      <c r="F139" s="145">
        <v>1</v>
      </c>
      <c r="G139" s="30" t="s">
        <v>2011</v>
      </c>
      <c r="H139" s="60">
        <v>350</v>
      </c>
      <c r="I139" s="60">
        <v>175</v>
      </c>
      <c r="J139" s="60">
        <v>170</v>
      </c>
      <c r="K139" s="199">
        <v>10.413</v>
      </c>
      <c r="L139" s="60">
        <v>300</v>
      </c>
      <c r="M139" s="60">
        <v>500</v>
      </c>
      <c r="N139" s="31"/>
      <c r="O139" s="28"/>
      <c r="P139" s="153"/>
      <c r="Q139" s="32"/>
      <c r="R139" s="33"/>
      <c r="S139" s="33"/>
      <c r="T139" s="106"/>
    </row>
    <row r="140" spans="1:20" s="107" customFormat="1" ht="25.05" customHeight="1">
      <c r="A140" s="26">
        <v>126</v>
      </c>
      <c r="B140" s="139"/>
      <c r="C140" s="27" t="s">
        <v>270</v>
      </c>
      <c r="D140" s="288" t="s">
        <v>2070</v>
      </c>
      <c r="E140" s="146" t="s">
        <v>135</v>
      </c>
      <c r="F140" s="145">
        <v>1</v>
      </c>
      <c r="G140" s="30" t="s">
        <v>2011</v>
      </c>
      <c r="H140" s="60">
        <v>100</v>
      </c>
      <c r="I140" s="60">
        <v>100</v>
      </c>
      <c r="J140" s="60">
        <v>60</v>
      </c>
      <c r="K140" s="199">
        <v>0.6</v>
      </c>
      <c r="L140" s="60">
        <v>10</v>
      </c>
      <c r="M140" s="60">
        <v>80</v>
      </c>
      <c r="N140" s="31"/>
      <c r="O140" s="28"/>
      <c r="P140" s="153"/>
      <c r="Q140" s="32"/>
      <c r="R140" s="33"/>
      <c r="S140" s="33"/>
      <c r="T140" s="106"/>
    </row>
    <row r="141" spans="1:20" s="107" customFormat="1" ht="25.05" customHeight="1">
      <c r="A141" s="26">
        <v>127</v>
      </c>
      <c r="B141" s="139"/>
      <c r="C141" s="27" t="s">
        <v>271</v>
      </c>
      <c r="D141" s="288" t="s">
        <v>2072</v>
      </c>
      <c r="E141" s="146" t="s">
        <v>135</v>
      </c>
      <c r="F141" s="145">
        <v>1</v>
      </c>
      <c r="G141" s="30" t="s">
        <v>2011</v>
      </c>
      <c r="H141" s="60">
        <v>450</v>
      </c>
      <c r="I141" s="60">
        <v>225</v>
      </c>
      <c r="J141" s="60">
        <v>225</v>
      </c>
      <c r="K141" s="199">
        <v>22.780999999999999</v>
      </c>
      <c r="L141" s="60">
        <v>1600</v>
      </c>
      <c r="M141" s="60">
        <v>2200</v>
      </c>
      <c r="N141" s="31"/>
      <c r="O141" s="28"/>
      <c r="P141" s="153"/>
      <c r="Q141" s="32"/>
      <c r="R141" s="33"/>
      <c r="S141" s="33"/>
      <c r="T141" s="106"/>
    </row>
    <row r="142" spans="1:20" s="107" customFormat="1" ht="25.05" customHeight="1">
      <c r="A142" s="26">
        <v>128</v>
      </c>
      <c r="B142" s="139"/>
      <c r="C142" s="27" t="s">
        <v>272</v>
      </c>
      <c r="D142" s="288" t="s">
        <v>2072</v>
      </c>
      <c r="E142" s="146" t="s">
        <v>135</v>
      </c>
      <c r="F142" s="145">
        <v>1</v>
      </c>
      <c r="G142" s="30" t="s">
        <v>2011</v>
      </c>
      <c r="H142" s="60">
        <v>225</v>
      </c>
      <c r="I142" s="60">
        <v>225</v>
      </c>
      <c r="J142" s="60">
        <v>220</v>
      </c>
      <c r="K142" s="199">
        <v>11.138</v>
      </c>
      <c r="L142" s="60">
        <v>1200</v>
      </c>
      <c r="M142" s="60">
        <v>1900</v>
      </c>
      <c r="N142" s="31"/>
      <c r="O142" s="28"/>
      <c r="P142" s="153"/>
      <c r="Q142" s="32"/>
      <c r="R142" s="33"/>
      <c r="S142" s="33"/>
      <c r="T142" s="106"/>
    </row>
    <row r="143" spans="1:20" s="107" customFormat="1" ht="25.05" customHeight="1">
      <c r="A143" s="26">
        <v>129</v>
      </c>
      <c r="B143" s="139"/>
      <c r="C143" s="27" t="s">
        <v>273</v>
      </c>
      <c r="D143" s="288" t="s">
        <v>274</v>
      </c>
      <c r="E143" s="146" t="s">
        <v>135</v>
      </c>
      <c r="F143" s="145">
        <v>1</v>
      </c>
      <c r="G143" s="30" t="s">
        <v>2011</v>
      </c>
      <c r="H143" s="60">
        <v>270</v>
      </c>
      <c r="I143" s="60">
        <v>190</v>
      </c>
      <c r="J143" s="60">
        <v>170</v>
      </c>
      <c r="K143" s="199">
        <v>8.7210000000000001</v>
      </c>
      <c r="L143" s="60">
        <v>1100</v>
      </c>
      <c r="M143" s="60">
        <v>1600</v>
      </c>
      <c r="N143" s="31"/>
      <c r="O143" s="28"/>
      <c r="P143" s="153"/>
      <c r="Q143" s="32"/>
      <c r="R143" s="33"/>
      <c r="S143" s="33"/>
      <c r="T143" s="106"/>
    </row>
    <row r="144" spans="1:20" s="37" customFormat="1" ht="28.05" customHeight="1" thickBot="1">
      <c r="A144" s="432" t="s">
        <v>275</v>
      </c>
      <c r="B144" s="433"/>
      <c r="C144" s="433"/>
      <c r="D144" s="433"/>
      <c r="E144" s="434"/>
      <c r="F144" s="154">
        <v>1</v>
      </c>
      <c r="G144" s="155" t="s">
        <v>2073</v>
      </c>
      <c r="H144" s="156"/>
      <c r="I144" s="156"/>
      <c r="J144" s="156"/>
      <c r="K144" s="280">
        <f>SUM(K15:K143)</f>
        <v>2823.0409999999988</v>
      </c>
      <c r="L144" s="280">
        <f>SUM(L15:L143)</f>
        <v>503160.47999999992</v>
      </c>
      <c r="M144" s="280">
        <f>SUM(M15:M143)</f>
        <v>524302.29999999993</v>
      </c>
      <c r="N144" s="253"/>
      <c r="O144" s="254"/>
      <c r="P144" s="255"/>
      <c r="Q144" s="35"/>
      <c r="R144" s="35"/>
      <c r="S144" s="36"/>
      <c r="T144" s="36"/>
    </row>
    <row r="145" spans="1:20" s="9" customFormat="1" ht="22.5" customHeight="1">
      <c r="A145" s="5"/>
      <c r="B145" s="5"/>
      <c r="C145" s="8"/>
      <c r="D145" s="8"/>
      <c r="E145" s="38"/>
      <c r="F145" s="39"/>
      <c r="G145" s="8"/>
      <c r="H145" s="61"/>
      <c r="I145" s="61"/>
      <c r="J145" s="63"/>
      <c r="K145" s="63"/>
      <c r="L145" s="61"/>
      <c r="M145" s="61"/>
      <c r="N145" s="40"/>
      <c r="O145" s="42"/>
      <c r="P145" s="20"/>
      <c r="Q145" s="43"/>
      <c r="R145" s="43"/>
      <c r="S145" s="11"/>
      <c r="T145" s="11"/>
    </row>
    <row r="146" spans="1:20" s="9" customFormat="1" ht="12" customHeight="1">
      <c r="A146" s="5"/>
      <c r="B146" s="5"/>
      <c r="C146" s="8"/>
      <c r="D146" s="8"/>
      <c r="F146" s="39"/>
      <c r="G146" s="8"/>
      <c r="H146" s="61"/>
      <c r="I146" s="61"/>
      <c r="J146" s="63"/>
      <c r="K146" s="63"/>
      <c r="L146" s="61"/>
      <c r="M146" s="61"/>
      <c r="N146" s="40"/>
      <c r="O146" s="42"/>
      <c r="P146" s="20"/>
      <c r="Q146" s="6"/>
      <c r="R146" s="6"/>
      <c r="S146" s="11"/>
      <c r="T146" s="11"/>
    </row>
    <row r="147" spans="1:20" s="9" customFormat="1" ht="22.5" customHeight="1">
      <c r="A147" s="5"/>
      <c r="B147" s="5"/>
      <c r="C147" s="8"/>
      <c r="D147" s="8"/>
      <c r="F147" s="39"/>
      <c r="G147" s="8"/>
      <c r="H147" s="61"/>
      <c r="I147" s="61"/>
      <c r="J147" s="63"/>
      <c r="K147" s="63"/>
      <c r="M147" s="61"/>
      <c r="N147" s="40"/>
      <c r="O147" s="42"/>
      <c r="P147" s="20"/>
      <c r="Q147" s="6"/>
      <c r="R147" s="6"/>
      <c r="S147" s="11"/>
      <c r="T147" s="11"/>
    </row>
    <row r="148" spans="1:20" s="9" customFormat="1" ht="12" customHeight="1">
      <c r="A148" s="5"/>
      <c r="B148" s="5"/>
      <c r="C148" s="8"/>
      <c r="D148" s="8"/>
      <c r="F148" s="39"/>
      <c r="G148" s="8"/>
      <c r="H148" s="61"/>
      <c r="I148" s="61"/>
      <c r="J148" s="63"/>
      <c r="K148" s="63"/>
      <c r="M148" s="61"/>
      <c r="N148" s="40"/>
      <c r="O148" s="42"/>
      <c r="P148" s="20"/>
      <c r="Q148" s="6"/>
      <c r="R148" s="6"/>
      <c r="S148" s="11"/>
      <c r="T148" s="11"/>
    </row>
    <row r="149" spans="1:20" s="9" customFormat="1" ht="12" customHeight="1">
      <c r="A149" s="5"/>
      <c r="B149" s="5"/>
      <c r="C149" s="8"/>
      <c r="D149" s="8"/>
      <c r="F149" s="44"/>
      <c r="G149" s="45"/>
      <c r="H149" s="61"/>
      <c r="I149" s="61"/>
      <c r="J149" s="63"/>
      <c r="K149" s="63"/>
      <c r="L149" s="61"/>
      <c r="M149" s="61"/>
      <c r="N149" s="40"/>
      <c r="O149" s="42"/>
      <c r="P149" s="20"/>
      <c r="Q149" s="6"/>
      <c r="R149" s="6"/>
      <c r="S149" s="11"/>
      <c r="T149" s="11"/>
    </row>
    <row r="150" spans="1:20" s="9" customFormat="1" ht="12" customHeight="1">
      <c r="A150" s="5"/>
      <c r="B150" s="5"/>
      <c r="C150" s="8"/>
      <c r="D150" s="8"/>
      <c r="F150" s="44"/>
      <c r="G150" s="45"/>
      <c r="H150" s="61"/>
      <c r="I150" s="61"/>
      <c r="J150" s="63"/>
      <c r="K150" s="63"/>
      <c r="L150" s="61"/>
      <c r="M150" s="61"/>
      <c r="N150" s="40"/>
      <c r="O150" s="42"/>
      <c r="P150" s="20"/>
      <c r="Q150" s="6"/>
      <c r="R150" s="6"/>
      <c r="S150" s="11"/>
      <c r="T150" s="11"/>
    </row>
    <row r="151" spans="1:20" s="9" customFormat="1" ht="12" customHeight="1">
      <c r="A151" s="5"/>
      <c r="B151" s="5"/>
      <c r="C151" s="8"/>
      <c r="D151" s="8"/>
      <c r="F151" s="44"/>
      <c r="G151" s="45"/>
      <c r="H151" s="61"/>
      <c r="I151" s="61"/>
      <c r="J151" s="63"/>
      <c r="K151" s="63"/>
      <c r="L151" s="61"/>
      <c r="M151" s="61"/>
      <c r="N151" s="40"/>
      <c r="O151" s="42"/>
      <c r="P151" s="20"/>
      <c r="Q151" s="6"/>
      <c r="R151" s="6"/>
      <c r="S151" s="11"/>
      <c r="T151" s="11"/>
    </row>
    <row r="152" spans="1:20" s="49" customFormat="1" ht="29.25" customHeight="1">
      <c r="A152" s="10"/>
      <c r="B152" s="10"/>
      <c r="C152" s="10"/>
      <c r="D152" s="10"/>
      <c r="F152" s="46"/>
      <c r="G152" s="45"/>
      <c r="H152" s="62"/>
      <c r="I152" s="62"/>
      <c r="J152" s="113"/>
      <c r="K152" s="113"/>
      <c r="L152" s="62"/>
      <c r="M152" s="62"/>
      <c r="N152" s="47"/>
      <c r="O152" s="20"/>
      <c r="P152" s="20"/>
      <c r="Q152" s="6"/>
      <c r="R152" s="6"/>
      <c r="S152" s="48"/>
      <c r="T152" s="48"/>
    </row>
    <row r="153" spans="1:20" s="49" customFormat="1" ht="29.25" customHeight="1">
      <c r="A153" s="10"/>
      <c r="B153" s="10"/>
      <c r="C153" s="10"/>
      <c r="D153" s="10"/>
      <c r="F153" s="46"/>
      <c r="G153" s="45"/>
      <c r="H153" s="62"/>
      <c r="I153" s="62"/>
      <c r="J153" s="113"/>
      <c r="K153" s="113"/>
      <c r="L153" s="62"/>
      <c r="M153" s="62"/>
      <c r="N153" s="47"/>
      <c r="O153" s="20"/>
      <c r="P153" s="20"/>
      <c r="Q153" s="6"/>
      <c r="R153" s="6"/>
      <c r="S153" s="48"/>
      <c r="T153" s="48"/>
    </row>
    <row r="154" spans="1:20" s="9" customFormat="1" ht="12" customHeight="1">
      <c r="A154" s="5"/>
      <c r="B154" s="5"/>
      <c r="C154" s="8"/>
      <c r="D154" s="8"/>
      <c r="F154" s="44"/>
      <c r="G154" s="8"/>
      <c r="H154" s="61"/>
      <c r="I154" s="61"/>
      <c r="J154" s="63"/>
      <c r="K154" s="63"/>
      <c r="L154" s="61"/>
      <c r="M154" s="61"/>
      <c r="N154" s="40"/>
      <c r="O154" s="42"/>
      <c r="P154" s="20"/>
      <c r="Q154" s="6"/>
      <c r="R154" s="6"/>
      <c r="S154" s="11"/>
      <c r="T154" s="11"/>
    </row>
    <row r="155" spans="1:20" s="9" customFormat="1" ht="18" customHeight="1">
      <c r="A155" s="5"/>
      <c r="B155" s="5"/>
      <c r="C155" s="8"/>
      <c r="D155" s="8"/>
      <c r="E155" s="5"/>
      <c r="F155" s="44"/>
      <c r="G155" s="8"/>
      <c r="H155" s="61"/>
      <c r="I155" s="61"/>
      <c r="J155" s="63"/>
      <c r="K155" s="63"/>
      <c r="L155" s="61"/>
      <c r="M155" s="61"/>
      <c r="N155" s="40"/>
      <c r="O155" s="42"/>
      <c r="P155" s="20"/>
      <c r="Q155" s="6"/>
      <c r="R155" s="6"/>
      <c r="S155" s="11"/>
      <c r="T155" s="11"/>
    </row>
    <row r="156" spans="1:20" s="9" customFormat="1" ht="12" customHeight="1">
      <c r="A156" s="5"/>
      <c r="B156" s="5"/>
      <c r="C156" s="8"/>
      <c r="D156" s="8"/>
      <c r="E156" s="5"/>
      <c r="F156" s="44"/>
      <c r="G156" s="8"/>
      <c r="H156" s="61"/>
      <c r="I156" s="61"/>
      <c r="J156" s="63"/>
      <c r="K156" s="63"/>
      <c r="L156" s="61"/>
      <c r="M156" s="61"/>
      <c r="N156" s="40"/>
      <c r="O156" s="42"/>
      <c r="P156" s="20"/>
      <c r="Q156" s="6"/>
      <c r="R156" s="6"/>
      <c r="S156" s="11"/>
      <c r="T156" s="11"/>
    </row>
    <row r="157" spans="1:20" s="9" customFormat="1" ht="12" customHeight="1">
      <c r="A157" s="5"/>
      <c r="B157" s="5"/>
      <c r="C157" s="8"/>
      <c r="D157" s="8"/>
      <c r="E157" s="5"/>
      <c r="F157" s="44"/>
      <c r="G157" s="8"/>
      <c r="H157" s="61"/>
      <c r="I157" s="61"/>
      <c r="J157" s="63"/>
      <c r="K157" s="63"/>
      <c r="L157" s="61"/>
      <c r="M157" s="61"/>
      <c r="N157" s="40"/>
      <c r="O157" s="42"/>
      <c r="P157" s="20"/>
      <c r="Q157" s="6"/>
      <c r="R157" s="6"/>
      <c r="S157" s="11"/>
      <c r="T157" s="11"/>
    </row>
    <row r="158" spans="1:20" s="9" customFormat="1" ht="12" customHeight="1">
      <c r="A158" s="5"/>
      <c r="B158" s="5"/>
      <c r="C158" s="8"/>
      <c r="D158" s="8"/>
      <c r="E158" s="5"/>
      <c r="F158" s="44"/>
      <c r="G158" s="8"/>
      <c r="H158" s="61"/>
      <c r="I158" s="61"/>
      <c r="J158" s="63"/>
      <c r="K158" s="63"/>
      <c r="L158" s="61"/>
      <c r="M158" s="61"/>
      <c r="N158" s="40"/>
      <c r="O158" s="42"/>
      <c r="P158" s="20"/>
      <c r="Q158" s="6"/>
      <c r="R158" s="6"/>
      <c r="S158" s="11"/>
      <c r="T158" s="11"/>
    </row>
    <row r="159" spans="1:20" s="9" customFormat="1" ht="12" customHeight="1">
      <c r="A159" s="5"/>
      <c r="B159" s="5"/>
      <c r="C159" s="8"/>
      <c r="D159" s="8"/>
      <c r="E159" s="5"/>
      <c r="F159" s="44"/>
      <c r="G159" s="8"/>
      <c r="H159" s="61"/>
      <c r="I159" s="61"/>
      <c r="J159" s="63"/>
      <c r="K159" s="63"/>
      <c r="L159" s="61"/>
      <c r="M159" s="61"/>
      <c r="N159" s="40"/>
      <c r="O159" s="42"/>
      <c r="P159" s="20"/>
      <c r="Q159" s="6"/>
      <c r="R159" s="6"/>
      <c r="S159" s="11"/>
      <c r="T159" s="11"/>
    </row>
    <row r="160" spans="1:20" s="9" customFormat="1" ht="12" customHeight="1">
      <c r="A160" s="5"/>
      <c r="B160" s="5"/>
      <c r="C160" s="8"/>
      <c r="D160" s="8"/>
      <c r="E160" s="5"/>
      <c r="F160" s="44"/>
      <c r="G160" s="8"/>
      <c r="H160" s="61"/>
      <c r="I160" s="61"/>
      <c r="J160" s="63"/>
      <c r="K160" s="63"/>
      <c r="L160" s="61"/>
      <c r="M160" s="61"/>
      <c r="N160" s="40"/>
      <c r="O160" s="42"/>
      <c r="P160" s="20"/>
      <c r="Q160" s="6"/>
      <c r="R160" s="6"/>
      <c r="S160" s="11"/>
      <c r="T160" s="11"/>
    </row>
    <row r="161" spans="1:20" s="9" customFormat="1" ht="13.5" customHeight="1">
      <c r="A161" s="5"/>
      <c r="B161" s="5"/>
      <c r="C161" s="8"/>
      <c r="D161" s="8"/>
      <c r="E161" s="5"/>
      <c r="F161" s="44"/>
      <c r="G161" s="8"/>
      <c r="H161" s="61"/>
      <c r="I161" s="61"/>
      <c r="J161" s="63"/>
      <c r="K161" s="63"/>
      <c r="L161" s="61"/>
      <c r="M161" s="61"/>
      <c r="N161" s="40"/>
      <c r="O161" s="42"/>
      <c r="P161" s="20"/>
      <c r="Q161" s="6"/>
      <c r="R161" s="6"/>
      <c r="S161" s="11"/>
      <c r="T161" s="11"/>
    </row>
    <row r="162" spans="1:20" s="9" customFormat="1" ht="13.5" customHeight="1">
      <c r="A162" s="5"/>
      <c r="B162" s="5"/>
      <c r="C162" s="8"/>
      <c r="D162" s="8"/>
      <c r="E162" s="5"/>
      <c r="F162" s="44"/>
      <c r="G162" s="8"/>
      <c r="H162" s="61"/>
      <c r="I162" s="61"/>
      <c r="J162" s="63"/>
      <c r="K162" s="63"/>
      <c r="L162" s="61"/>
      <c r="M162" s="61"/>
      <c r="N162" s="40"/>
      <c r="O162" s="42"/>
      <c r="P162" s="20"/>
      <c r="Q162" s="6"/>
      <c r="R162" s="6"/>
      <c r="S162" s="11"/>
      <c r="T162" s="11"/>
    </row>
    <row r="163" spans="1:20" s="9" customFormat="1" ht="13.5" customHeight="1">
      <c r="A163" s="5"/>
      <c r="B163" s="5"/>
      <c r="C163" s="8"/>
      <c r="D163" s="8"/>
      <c r="E163" s="5"/>
      <c r="F163" s="44"/>
      <c r="G163" s="8"/>
      <c r="H163" s="61"/>
      <c r="I163" s="61"/>
      <c r="J163" s="63"/>
      <c r="K163" s="63"/>
      <c r="L163" s="61"/>
      <c r="M163" s="61"/>
      <c r="N163" s="40"/>
      <c r="O163" s="42"/>
      <c r="P163" s="20"/>
      <c r="Q163" s="6"/>
      <c r="R163" s="6"/>
      <c r="S163" s="11"/>
      <c r="T163" s="11"/>
    </row>
    <row r="164" spans="1:20" s="9" customFormat="1" ht="29.25" customHeight="1">
      <c r="A164" s="5"/>
      <c r="B164" s="5"/>
      <c r="C164" s="8"/>
      <c r="D164" s="8"/>
      <c r="E164" s="5"/>
      <c r="F164" s="44"/>
      <c r="G164" s="8"/>
      <c r="H164" s="61"/>
      <c r="I164" s="61"/>
      <c r="J164" s="63"/>
      <c r="K164" s="63"/>
      <c r="L164" s="61"/>
      <c r="M164" s="61"/>
      <c r="N164" s="40"/>
      <c r="O164" s="42"/>
      <c r="P164" s="20"/>
      <c r="Q164" s="6"/>
      <c r="R164" s="6"/>
      <c r="S164" s="11"/>
      <c r="T164" s="11"/>
    </row>
    <row r="165" spans="1:20" s="9" customFormat="1" ht="13.5" customHeight="1">
      <c r="A165" s="5"/>
      <c r="B165" s="5"/>
      <c r="C165" s="8"/>
      <c r="D165" s="8"/>
      <c r="E165" s="5"/>
      <c r="F165" s="44"/>
      <c r="G165" s="8"/>
      <c r="H165" s="61"/>
      <c r="I165" s="61"/>
      <c r="J165" s="63"/>
      <c r="K165" s="63"/>
      <c r="L165" s="61"/>
      <c r="M165" s="61"/>
      <c r="N165" s="40"/>
      <c r="O165" s="42"/>
      <c r="P165" s="20"/>
      <c r="Q165" s="6"/>
      <c r="R165" s="6"/>
      <c r="S165" s="11"/>
      <c r="T165" s="11"/>
    </row>
    <row r="166" spans="1:20" s="9" customFormat="1" ht="13.5" customHeight="1">
      <c r="A166" s="5"/>
      <c r="B166" s="5"/>
      <c r="C166" s="8"/>
      <c r="D166" s="8"/>
      <c r="E166" s="5"/>
      <c r="F166" s="44"/>
      <c r="G166" s="8"/>
      <c r="H166" s="61"/>
      <c r="I166" s="61"/>
      <c r="J166" s="63"/>
      <c r="K166" s="63"/>
      <c r="L166" s="61"/>
      <c r="M166" s="61"/>
      <c r="N166" s="40"/>
      <c r="O166" s="42"/>
      <c r="P166" s="20"/>
      <c r="Q166" s="6"/>
      <c r="R166" s="6"/>
      <c r="S166" s="11"/>
      <c r="T166" s="11"/>
    </row>
    <row r="167" spans="1:20" s="9" customFormat="1" ht="13.5" customHeight="1">
      <c r="A167" s="5"/>
      <c r="B167" s="5"/>
      <c r="C167" s="8"/>
      <c r="D167" s="8"/>
      <c r="E167" s="5"/>
      <c r="F167" s="44"/>
      <c r="G167" s="8"/>
      <c r="H167" s="61"/>
      <c r="I167" s="61"/>
      <c r="J167" s="63"/>
      <c r="K167" s="63"/>
      <c r="L167" s="61"/>
      <c r="M167" s="61"/>
      <c r="N167" s="40"/>
      <c r="O167" s="42"/>
      <c r="P167" s="20"/>
      <c r="Q167" s="6"/>
      <c r="R167" s="6"/>
      <c r="S167" s="11"/>
      <c r="T167" s="11"/>
    </row>
    <row r="168" spans="1:20" s="9" customFormat="1" ht="13.5" customHeight="1">
      <c r="A168" s="5"/>
      <c r="B168" s="5"/>
      <c r="C168" s="8"/>
      <c r="D168" s="8"/>
      <c r="E168" s="5"/>
      <c r="F168" s="44"/>
      <c r="G168" s="8"/>
      <c r="H168" s="61"/>
      <c r="I168" s="61"/>
      <c r="J168" s="63"/>
      <c r="K168" s="63"/>
      <c r="L168" s="61"/>
      <c r="M168" s="61"/>
      <c r="N168" s="40"/>
      <c r="O168" s="42"/>
      <c r="P168" s="20"/>
      <c r="Q168" s="6"/>
      <c r="R168" s="6"/>
      <c r="S168" s="11"/>
      <c r="T168" s="11"/>
    </row>
    <row r="169" spans="1:20" s="9" customFormat="1" ht="13.5" customHeight="1">
      <c r="A169" s="5"/>
      <c r="B169" s="5"/>
      <c r="C169" s="8"/>
      <c r="D169" s="8"/>
      <c r="E169" s="5"/>
      <c r="F169" s="44"/>
      <c r="G169" s="8"/>
      <c r="H169" s="61"/>
      <c r="I169" s="61"/>
      <c r="J169" s="63"/>
      <c r="K169" s="63"/>
      <c r="L169" s="61"/>
      <c r="M169" s="61"/>
      <c r="N169" s="40"/>
      <c r="O169" s="42"/>
      <c r="P169" s="20"/>
      <c r="Q169" s="6"/>
      <c r="R169" s="6"/>
      <c r="S169" s="11"/>
      <c r="T169" s="11"/>
    </row>
    <row r="170" spans="1:20" s="9" customFormat="1" ht="13.5" customHeight="1">
      <c r="A170" s="5"/>
      <c r="B170" s="5"/>
      <c r="C170" s="8"/>
      <c r="D170" s="8"/>
      <c r="E170" s="5"/>
      <c r="F170" s="44"/>
      <c r="G170" s="8"/>
      <c r="H170" s="61"/>
      <c r="I170" s="61"/>
      <c r="J170" s="63"/>
      <c r="K170" s="63"/>
      <c r="L170" s="61"/>
      <c r="M170" s="61"/>
      <c r="N170" s="40"/>
      <c r="O170" s="42"/>
      <c r="P170" s="20"/>
      <c r="Q170" s="6"/>
      <c r="R170" s="6"/>
      <c r="S170" s="11"/>
      <c r="T170" s="11"/>
    </row>
    <row r="171" spans="1:20" s="9" customFormat="1" ht="13.5" customHeight="1">
      <c r="A171" s="5"/>
      <c r="B171" s="5"/>
      <c r="C171" s="8"/>
      <c r="D171" s="8"/>
      <c r="E171" s="5"/>
      <c r="F171" s="44"/>
      <c r="G171" s="8"/>
      <c r="H171" s="61"/>
      <c r="I171" s="61"/>
      <c r="J171" s="63"/>
      <c r="K171" s="63"/>
      <c r="L171" s="61"/>
      <c r="M171" s="61"/>
      <c r="N171" s="40"/>
      <c r="O171" s="42"/>
      <c r="P171" s="20"/>
      <c r="Q171" s="6"/>
      <c r="R171" s="6"/>
      <c r="S171" s="11"/>
      <c r="T171" s="11"/>
    </row>
    <row r="172" spans="1:20" s="9" customFormat="1" ht="13.5" customHeight="1">
      <c r="A172" s="5"/>
      <c r="B172" s="5"/>
      <c r="C172" s="8"/>
      <c r="D172" s="8"/>
      <c r="E172" s="5"/>
      <c r="F172" s="44"/>
      <c r="G172" s="8"/>
      <c r="H172" s="61"/>
      <c r="I172" s="61"/>
      <c r="J172" s="63"/>
      <c r="K172" s="63"/>
      <c r="L172" s="61"/>
      <c r="M172" s="61"/>
      <c r="N172" s="40"/>
      <c r="O172" s="42"/>
      <c r="P172" s="20"/>
      <c r="Q172" s="6"/>
      <c r="R172" s="6"/>
      <c r="S172" s="11"/>
      <c r="T172" s="11"/>
    </row>
    <row r="173" spans="1:20" s="9" customFormat="1" ht="13.5" customHeight="1">
      <c r="A173" s="5"/>
      <c r="B173" s="5"/>
      <c r="C173" s="8"/>
      <c r="D173" s="8"/>
      <c r="E173" s="5"/>
      <c r="F173" s="44"/>
      <c r="G173" s="8"/>
      <c r="H173" s="61"/>
      <c r="I173" s="61"/>
      <c r="J173" s="63"/>
      <c r="K173" s="63"/>
      <c r="L173" s="61"/>
      <c r="M173" s="61"/>
      <c r="N173" s="40"/>
      <c r="O173" s="42"/>
      <c r="P173" s="20"/>
      <c r="Q173" s="6"/>
      <c r="R173" s="6"/>
      <c r="S173" s="11"/>
      <c r="T173" s="11"/>
    </row>
    <row r="174" spans="1:20" s="9" customFormat="1" ht="13.5" customHeight="1">
      <c r="A174" s="5"/>
      <c r="B174" s="5"/>
      <c r="C174" s="8"/>
      <c r="D174" s="8"/>
      <c r="E174" s="5"/>
      <c r="F174" s="44"/>
      <c r="G174" s="8"/>
      <c r="H174" s="61"/>
      <c r="I174" s="61"/>
      <c r="J174" s="63"/>
      <c r="K174" s="63"/>
      <c r="L174" s="61"/>
      <c r="M174" s="61"/>
      <c r="N174" s="40"/>
      <c r="O174" s="42"/>
      <c r="P174" s="20"/>
      <c r="Q174" s="6"/>
      <c r="R174" s="6"/>
      <c r="S174" s="11"/>
      <c r="T174" s="11"/>
    </row>
    <row r="175" spans="1:20" s="9" customFormat="1" ht="13.5" customHeight="1">
      <c r="A175" s="5"/>
      <c r="B175" s="5"/>
      <c r="C175" s="8"/>
      <c r="D175" s="8"/>
      <c r="E175" s="5"/>
      <c r="F175" s="44"/>
      <c r="G175" s="8"/>
      <c r="H175" s="61"/>
      <c r="I175" s="61"/>
      <c r="J175" s="63"/>
      <c r="K175" s="63"/>
      <c r="L175" s="61"/>
      <c r="M175" s="61"/>
      <c r="N175" s="40"/>
      <c r="O175" s="42"/>
      <c r="P175" s="20"/>
      <c r="Q175" s="6"/>
      <c r="R175" s="6"/>
      <c r="S175" s="11"/>
      <c r="T175" s="11"/>
    </row>
    <row r="176" spans="1:20" s="9" customFormat="1" ht="13.5" customHeight="1">
      <c r="A176" s="5"/>
      <c r="B176" s="5"/>
      <c r="C176" s="8"/>
      <c r="D176" s="8"/>
      <c r="E176" s="5"/>
      <c r="F176" s="44"/>
      <c r="G176" s="8"/>
      <c r="H176" s="61"/>
      <c r="I176" s="61"/>
      <c r="J176" s="63"/>
      <c r="K176" s="63"/>
      <c r="L176" s="61"/>
      <c r="M176" s="61"/>
      <c r="N176" s="40"/>
      <c r="O176" s="42"/>
      <c r="P176" s="20"/>
      <c r="Q176" s="6"/>
      <c r="R176" s="6"/>
      <c r="S176" s="11"/>
      <c r="T176" s="11"/>
    </row>
    <row r="177" spans="1:20" s="9" customFormat="1" ht="13.5" customHeight="1">
      <c r="A177" s="5"/>
      <c r="B177" s="5"/>
      <c r="C177" s="8"/>
      <c r="D177" s="8"/>
      <c r="E177" s="5"/>
      <c r="F177" s="44"/>
      <c r="G177" s="8"/>
      <c r="H177" s="61"/>
      <c r="I177" s="61"/>
      <c r="J177" s="63"/>
      <c r="K177" s="63"/>
      <c r="L177" s="61"/>
      <c r="M177" s="61"/>
      <c r="N177" s="40"/>
      <c r="O177" s="42"/>
      <c r="P177" s="20"/>
      <c r="Q177" s="6"/>
      <c r="R177" s="6"/>
      <c r="S177" s="11"/>
      <c r="T177" s="11"/>
    </row>
    <row r="178" spans="1:20" s="9" customFormat="1" ht="13.5" customHeight="1">
      <c r="A178" s="5"/>
      <c r="B178" s="5"/>
      <c r="C178" s="8"/>
      <c r="D178" s="8"/>
      <c r="E178" s="5"/>
      <c r="F178" s="44"/>
      <c r="G178" s="8"/>
      <c r="H178" s="61"/>
      <c r="I178" s="61"/>
      <c r="J178" s="63"/>
      <c r="K178" s="63"/>
      <c r="L178" s="61"/>
      <c r="M178" s="61"/>
      <c r="N178" s="40"/>
      <c r="O178" s="42"/>
      <c r="P178" s="20"/>
      <c r="Q178" s="6"/>
      <c r="R178" s="6"/>
      <c r="S178" s="11"/>
      <c r="T178" s="11"/>
    </row>
    <row r="179" spans="1:20" s="9" customFormat="1" ht="13.5" customHeight="1">
      <c r="A179" s="5"/>
      <c r="B179" s="5"/>
      <c r="C179" s="8"/>
      <c r="D179" s="8"/>
      <c r="E179" s="5"/>
      <c r="F179" s="44"/>
      <c r="G179" s="8"/>
      <c r="H179" s="61"/>
      <c r="I179" s="61"/>
      <c r="J179" s="63"/>
      <c r="K179" s="63"/>
      <c r="L179" s="61"/>
      <c r="M179" s="61"/>
      <c r="N179" s="40"/>
      <c r="O179" s="42"/>
      <c r="P179" s="20"/>
      <c r="Q179" s="12"/>
      <c r="R179" s="12"/>
      <c r="S179" s="11"/>
      <c r="T179" s="11"/>
    </row>
    <row r="180" spans="1:20" s="9" customFormat="1" ht="13.5" customHeight="1">
      <c r="A180" s="5"/>
      <c r="B180" s="5"/>
      <c r="C180" s="8"/>
      <c r="D180" s="8"/>
      <c r="E180" s="5"/>
      <c r="F180" s="44"/>
      <c r="G180" s="8"/>
      <c r="H180" s="61"/>
      <c r="I180" s="61"/>
      <c r="J180" s="63"/>
      <c r="K180" s="63"/>
      <c r="L180" s="61"/>
      <c r="M180" s="61"/>
      <c r="N180" s="40"/>
      <c r="O180" s="42"/>
      <c r="P180" s="20"/>
      <c r="Q180" s="12"/>
      <c r="R180" s="12"/>
      <c r="S180" s="11"/>
      <c r="T180" s="11"/>
    </row>
    <row r="181" spans="1:20" s="9" customFormat="1" ht="13.5" customHeight="1">
      <c r="A181" s="5"/>
      <c r="B181" s="5"/>
      <c r="C181" s="8"/>
      <c r="D181" s="8"/>
      <c r="E181" s="5"/>
      <c r="F181" s="44"/>
      <c r="G181" s="8"/>
      <c r="H181" s="61"/>
      <c r="I181" s="61"/>
      <c r="J181" s="63"/>
      <c r="K181" s="63"/>
      <c r="L181" s="61"/>
      <c r="M181" s="61"/>
      <c r="N181" s="40"/>
      <c r="O181" s="42"/>
      <c r="P181" s="20"/>
      <c r="Q181" s="12"/>
      <c r="R181" s="12"/>
      <c r="S181" s="11"/>
      <c r="T181" s="11"/>
    </row>
    <row r="182" spans="1:20" s="9" customFormat="1" ht="13.5" customHeight="1">
      <c r="A182" s="5"/>
      <c r="B182" s="5"/>
      <c r="C182" s="8"/>
      <c r="D182" s="8"/>
      <c r="E182" s="5"/>
      <c r="F182" s="44"/>
      <c r="G182" s="8"/>
      <c r="H182" s="61"/>
      <c r="I182" s="61"/>
      <c r="J182" s="63"/>
      <c r="K182" s="63"/>
      <c r="L182" s="61"/>
      <c r="M182" s="61"/>
      <c r="N182" s="40"/>
      <c r="O182" s="42"/>
      <c r="P182" s="20"/>
      <c r="Q182" s="12"/>
      <c r="R182" s="12"/>
      <c r="S182" s="11"/>
      <c r="T182" s="11"/>
    </row>
    <row r="183" spans="1:20" s="9" customFormat="1" ht="13.5" customHeight="1">
      <c r="A183" s="5"/>
      <c r="B183" s="5"/>
      <c r="C183" s="8"/>
      <c r="D183" s="8"/>
      <c r="E183" s="5"/>
      <c r="F183" s="44"/>
      <c r="G183" s="8"/>
      <c r="H183" s="61"/>
      <c r="I183" s="61"/>
      <c r="J183" s="63"/>
      <c r="K183" s="63"/>
      <c r="L183" s="61"/>
      <c r="M183" s="61"/>
      <c r="N183" s="40"/>
      <c r="O183" s="42"/>
      <c r="P183" s="20"/>
      <c r="Q183" s="12"/>
      <c r="R183" s="12"/>
      <c r="S183" s="11"/>
      <c r="T183" s="11"/>
    </row>
    <row r="184" spans="1:20" s="9" customFormat="1" ht="13.5" customHeight="1">
      <c r="A184" s="5"/>
      <c r="B184" s="5"/>
      <c r="C184" s="8"/>
      <c r="D184" s="8"/>
      <c r="E184" s="5"/>
      <c r="F184" s="44"/>
      <c r="G184" s="8"/>
      <c r="H184" s="61"/>
      <c r="I184" s="61"/>
      <c r="J184" s="63"/>
      <c r="K184" s="63"/>
      <c r="L184" s="61"/>
      <c r="M184" s="61"/>
      <c r="N184" s="40"/>
      <c r="O184" s="42"/>
      <c r="P184" s="20"/>
      <c r="Q184" s="12"/>
      <c r="R184" s="12"/>
      <c r="S184" s="11"/>
      <c r="T184" s="11"/>
    </row>
    <row r="185" spans="1:20" s="9" customFormat="1" ht="13.5" customHeight="1">
      <c r="A185" s="5"/>
      <c r="B185" s="5"/>
      <c r="C185" s="8"/>
      <c r="D185" s="8"/>
      <c r="E185" s="5"/>
      <c r="F185" s="39"/>
      <c r="G185" s="8"/>
      <c r="H185" s="61"/>
      <c r="I185" s="61"/>
      <c r="J185" s="63"/>
      <c r="K185" s="63"/>
      <c r="L185" s="61"/>
      <c r="M185" s="61"/>
      <c r="N185" s="40"/>
      <c r="O185" s="42"/>
      <c r="P185" s="20"/>
      <c r="Q185" s="12"/>
      <c r="R185" s="12"/>
      <c r="S185" s="11"/>
      <c r="T185" s="11"/>
    </row>
    <row r="186" spans="1:20" s="9" customFormat="1" ht="22.5" customHeight="1">
      <c r="A186" s="5"/>
      <c r="B186" s="5"/>
      <c r="C186" s="435"/>
      <c r="D186" s="435"/>
      <c r="E186" s="435"/>
      <c r="F186" s="39"/>
      <c r="G186" s="8"/>
      <c r="H186" s="63"/>
      <c r="I186" s="63"/>
      <c r="J186" s="63"/>
      <c r="K186" s="114"/>
      <c r="L186" s="63"/>
      <c r="M186" s="63"/>
      <c r="N186" s="41"/>
      <c r="O186" s="50"/>
      <c r="P186" s="104"/>
      <c r="Q186" s="12"/>
      <c r="R186" s="12"/>
      <c r="S186" s="11"/>
      <c r="T186" s="11"/>
    </row>
    <row r="187" spans="1:20">
      <c r="F187" s="52"/>
      <c r="H187" s="64"/>
      <c r="I187" s="64"/>
      <c r="L187" s="64"/>
      <c r="M187" s="64"/>
      <c r="N187" s="54"/>
    </row>
    <row r="188" spans="1:20">
      <c r="F188" s="52"/>
      <c r="H188" s="64"/>
      <c r="I188" s="64"/>
      <c r="L188" s="64"/>
      <c r="M188" s="64"/>
      <c r="N188" s="54"/>
    </row>
    <row r="189" spans="1:20">
      <c r="F189" s="52"/>
      <c r="H189" s="64"/>
      <c r="I189" s="64"/>
      <c r="L189" s="64"/>
      <c r="M189" s="64"/>
      <c r="N189" s="54"/>
    </row>
    <row r="190" spans="1:20">
      <c r="F190" s="52"/>
      <c r="H190" s="64"/>
      <c r="I190" s="64"/>
      <c r="L190" s="64"/>
      <c r="M190" s="64"/>
      <c r="N190" s="54"/>
    </row>
    <row r="191" spans="1:20">
      <c r="F191" s="52"/>
      <c r="H191" s="64"/>
      <c r="I191" s="64"/>
      <c r="L191" s="64"/>
      <c r="M191" s="64"/>
      <c r="N191" s="54"/>
    </row>
    <row r="192" spans="1:20" s="12" customFormat="1">
      <c r="A192" s="51"/>
      <c r="B192" s="51"/>
      <c r="C192" s="51"/>
      <c r="D192" s="51"/>
      <c r="F192" s="52"/>
      <c r="G192" s="53"/>
      <c r="H192" s="64"/>
      <c r="I192" s="64"/>
      <c r="J192" s="65"/>
      <c r="K192" s="65"/>
      <c r="L192" s="64"/>
      <c r="M192" s="64"/>
      <c r="N192" s="54"/>
      <c r="O192" s="55"/>
      <c r="P192" s="105"/>
      <c r="S192" s="13"/>
      <c r="T192" s="13"/>
    </row>
  </sheetData>
  <autoFilter ref="A13:P144" xr:uid="{EEC8972D-56AD-4F6D-B5B0-4E29749415B4}">
    <filterColumn colId="5" showButton="0"/>
    <filterColumn colId="7" showButton="0"/>
    <filterColumn colId="8" showButton="0"/>
    <filterColumn colId="9" showButton="0"/>
  </autoFilter>
  <mergeCells count="15">
    <mergeCell ref="O13:O14"/>
    <mergeCell ref="P13:P14"/>
    <mergeCell ref="A144:E144"/>
    <mergeCell ref="C186:E186"/>
    <mergeCell ref="A6:P6"/>
    <mergeCell ref="A13:A14"/>
    <mergeCell ref="C13:C14"/>
    <mergeCell ref="D13:D14"/>
    <mergeCell ref="E13:E14"/>
    <mergeCell ref="F13:G13"/>
    <mergeCell ref="H13:K13"/>
    <mergeCell ref="L13:L14"/>
    <mergeCell ref="M13:M14"/>
    <mergeCell ref="N13:N14"/>
    <mergeCell ref="B13:B14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9" scale="46" fitToHeight="0" orientation="landscape" horizontalDpi="1200" verticalDpi="1200" r:id="rId1"/>
  <headerFooter>
    <oddFooter>&amp;C&amp;"Calibri,보통"&amp;12Doosan Enerbility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026F-A11C-4495-874D-1DE93800E339}">
  <sheetPr>
    <tabColor rgb="FF00B0F0"/>
    <pageSetUpPr fitToPage="1"/>
  </sheetPr>
  <dimension ref="A1:V1030"/>
  <sheetViews>
    <sheetView showGridLines="0" zoomScale="85" zoomScaleNormal="85" zoomScaleSheetLayoutView="70" workbookViewId="0">
      <pane ySplit="14" topLeftCell="A51" activePane="bottomLeft" state="frozen"/>
      <selection activeCell="V8" sqref="V8:Z8"/>
      <selection pane="bottomLeft" activeCell="C71" sqref="C71"/>
    </sheetView>
  </sheetViews>
  <sheetFormatPr defaultColWidth="10" defaultRowHeight="13.8"/>
  <cols>
    <col min="1" max="1" width="14.796875" style="51" customWidth="1"/>
    <col min="2" max="2" width="22.796875" style="51" customWidth="1"/>
    <col min="3" max="3" width="92.09765625" style="295" customWidth="1"/>
    <col min="4" max="4" width="24.19921875" style="209" customWidth="1"/>
    <col min="5" max="5" width="11.69921875" style="56" customWidth="1"/>
    <col min="6" max="6" width="10.09765625" style="53" customWidth="1"/>
    <col min="7" max="9" width="11.5" style="65" customWidth="1"/>
    <col min="10" max="10" width="14.59765625" style="65" customWidth="1"/>
    <col min="11" max="11" width="15.09765625" style="65" customWidth="1"/>
    <col min="12" max="12" width="16.19921875" style="65" customWidth="1"/>
    <col min="13" max="13" width="43.796875" style="65" customWidth="1"/>
    <col min="14" max="14" width="25" style="65" bestFit="1" customWidth="1"/>
    <col min="15" max="15" width="16" style="57" customWidth="1"/>
    <col min="16" max="16" width="14.296875" style="55" customWidth="1"/>
    <col min="17" max="17" width="64.5" style="105" bestFit="1" customWidth="1"/>
    <col min="18" max="18" width="10" style="12"/>
    <col min="19" max="19" width="20" style="12" bestFit="1" customWidth="1"/>
    <col min="20" max="20" width="28" style="12" customWidth="1"/>
    <col min="21" max="22" width="10" style="13"/>
    <col min="23" max="16384" width="10" style="14"/>
  </cols>
  <sheetData>
    <row r="1" spans="1:22" s="9" customFormat="1" ht="12">
      <c r="A1" s="5"/>
      <c r="B1" s="5"/>
      <c r="C1" s="10"/>
      <c r="D1" s="201"/>
      <c r="E1" s="7"/>
      <c r="F1" s="8"/>
      <c r="G1" s="109"/>
      <c r="H1" s="58"/>
      <c r="I1" s="58"/>
      <c r="J1" s="58"/>
      <c r="K1" s="278"/>
      <c r="L1" s="58"/>
      <c r="M1" s="58"/>
      <c r="N1" s="58"/>
      <c r="O1" s="5"/>
      <c r="P1" s="10" t="s">
        <v>276</v>
      </c>
      <c r="Q1" s="49"/>
      <c r="R1" s="6"/>
      <c r="S1" s="5"/>
      <c r="T1" s="6"/>
      <c r="U1" s="11"/>
      <c r="V1" s="11"/>
    </row>
    <row r="2" spans="1:22" s="9" customFormat="1" ht="12">
      <c r="A2" s="5"/>
      <c r="B2" s="5"/>
      <c r="C2" s="10"/>
      <c r="D2" s="201"/>
      <c r="E2" s="7"/>
      <c r="F2" s="8"/>
      <c r="G2" s="109"/>
      <c r="H2" s="58"/>
      <c r="I2" s="58"/>
      <c r="J2" s="58"/>
      <c r="K2" s="278"/>
      <c r="L2" s="58"/>
      <c r="M2" s="58"/>
      <c r="N2" s="58"/>
      <c r="O2" s="5"/>
      <c r="P2" s="10" t="s">
        <v>1</v>
      </c>
      <c r="Q2" s="49"/>
      <c r="R2" s="132" t="s">
        <v>70</v>
      </c>
      <c r="S2" s="131" t="s">
        <v>68</v>
      </c>
      <c r="T2" s="133" t="s">
        <v>69</v>
      </c>
      <c r="U2" s="11"/>
      <c r="V2" s="11"/>
    </row>
    <row r="3" spans="1:22" s="9" customFormat="1" ht="12">
      <c r="A3" s="5"/>
      <c r="B3" s="5"/>
      <c r="C3" s="10"/>
      <c r="D3" s="201"/>
      <c r="E3" s="7"/>
      <c r="F3" s="8"/>
      <c r="G3" s="109"/>
      <c r="H3" s="58"/>
      <c r="I3" s="58"/>
      <c r="J3" s="58"/>
      <c r="K3" s="278"/>
      <c r="L3" s="58"/>
      <c r="M3" s="58"/>
      <c r="N3" s="58"/>
      <c r="O3" s="5"/>
      <c r="P3" s="10" t="s">
        <v>2</v>
      </c>
      <c r="Q3" s="49"/>
      <c r="R3" s="6"/>
      <c r="S3" s="131" t="s">
        <v>71</v>
      </c>
      <c r="T3" s="133" t="s">
        <v>72</v>
      </c>
      <c r="U3" s="11"/>
      <c r="V3" s="11"/>
    </row>
    <row r="4" spans="1:22" s="9" customFormat="1" ht="12">
      <c r="A4" s="5"/>
      <c r="B4" s="5"/>
      <c r="C4" s="10"/>
      <c r="D4" s="201"/>
      <c r="E4" s="7"/>
      <c r="F4" s="8"/>
      <c r="G4" s="109"/>
      <c r="H4" s="58"/>
      <c r="I4" s="58"/>
      <c r="J4" s="58"/>
      <c r="K4" s="278"/>
      <c r="L4" s="58"/>
      <c r="M4" s="58"/>
      <c r="N4" s="58"/>
      <c r="O4" s="5"/>
      <c r="P4" s="10" t="s">
        <v>3</v>
      </c>
      <c r="Q4" s="49"/>
      <c r="R4" s="6"/>
      <c r="S4" s="131" t="s">
        <v>73</v>
      </c>
      <c r="T4" s="133" t="s">
        <v>74</v>
      </c>
      <c r="U4" s="11"/>
      <c r="V4" s="11"/>
    </row>
    <row r="5" spans="1:22" s="9" customFormat="1" ht="12">
      <c r="A5" s="5"/>
      <c r="B5" s="5"/>
      <c r="C5" s="10"/>
      <c r="D5" s="201"/>
      <c r="E5" s="7"/>
      <c r="F5" s="8"/>
      <c r="G5" s="109"/>
      <c r="H5" s="58"/>
      <c r="I5" s="58"/>
      <c r="J5" s="58"/>
      <c r="K5" s="278"/>
      <c r="L5" s="58"/>
      <c r="M5" s="58"/>
      <c r="N5" s="58"/>
      <c r="O5" s="5"/>
      <c r="P5" s="10" t="s">
        <v>4</v>
      </c>
      <c r="Q5" s="49"/>
      <c r="R5" s="6"/>
      <c r="S5" s="131" t="s">
        <v>75</v>
      </c>
      <c r="T5" s="133" t="s">
        <v>76</v>
      </c>
      <c r="U5" s="11"/>
      <c r="V5" s="11"/>
    </row>
    <row r="6" spans="1:22" ht="47.55" customHeight="1">
      <c r="A6" s="410" t="s">
        <v>277</v>
      </c>
      <c r="B6" s="402"/>
      <c r="C6" s="402"/>
      <c r="D6" s="402"/>
      <c r="E6" s="402"/>
      <c r="F6" s="402"/>
      <c r="G6" s="402"/>
      <c r="H6" s="402"/>
      <c r="I6" s="402"/>
      <c r="J6" s="453"/>
      <c r="K6" s="453"/>
      <c r="L6" s="453"/>
      <c r="M6" s="402"/>
      <c r="N6" s="402"/>
      <c r="O6" s="402"/>
      <c r="P6" s="402"/>
      <c r="Q6" s="402"/>
    </row>
    <row r="7" spans="1:22" ht="17.100000000000001" customHeight="1">
      <c r="A7" s="157"/>
      <c r="B7" s="137"/>
      <c r="C7" s="284"/>
      <c r="D7" s="137"/>
      <c r="E7" s="137"/>
      <c r="F7" s="137"/>
      <c r="G7" s="137"/>
      <c r="H7" s="137"/>
      <c r="I7" s="137"/>
      <c r="J7" s="279"/>
      <c r="K7" s="279"/>
      <c r="L7" s="279"/>
      <c r="M7" s="137"/>
      <c r="N7" s="137"/>
      <c r="O7" s="137"/>
      <c r="P7" s="137"/>
      <c r="Q7" s="137"/>
    </row>
    <row r="8" spans="1:22" ht="21" customHeight="1">
      <c r="A8" s="164" t="s">
        <v>78</v>
      </c>
      <c r="B8" s="164" t="s">
        <v>79</v>
      </c>
      <c r="C8" s="285"/>
      <c r="D8" s="165"/>
      <c r="E8" s="165"/>
      <c r="F8" s="165"/>
      <c r="G8" s="137"/>
      <c r="H8" s="137"/>
      <c r="I8" s="137"/>
      <c r="J8" s="279"/>
      <c r="K8" s="279"/>
      <c r="L8" s="279"/>
      <c r="M8" s="137"/>
      <c r="N8" s="137"/>
      <c r="O8" s="137"/>
      <c r="P8" s="137"/>
      <c r="Q8" s="12"/>
      <c r="S8" s="13"/>
      <c r="T8" s="13"/>
      <c r="U8" s="14"/>
      <c r="V8" s="14"/>
    </row>
    <row r="9" spans="1:22" ht="21" customHeight="1">
      <c r="A9" s="164"/>
      <c r="B9" s="164" t="s">
        <v>80</v>
      </c>
      <c r="C9" s="285"/>
      <c r="D9" s="165"/>
      <c r="E9" s="165"/>
      <c r="F9" s="165"/>
      <c r="G9" s="137"/>
      <c r="H9" s="137"/>
      <c r="I9" s="137"/>
      <c r="J9" s="279"/>
      <c r="K9" s="279"/>
      <c r="L9" s="279"/>
      <c r="M9" s="137"/>
      <c r="N9" s="137"/>
      <c r="O9" s="137"/>
      <c r="P9" s="137"/>
      <c r="Q9" s="12"/>
      <c r="S9" s="13"/>
      <c r="T9" s="13"/>
      <c r="U9" s="14"/>
      <c r="V9" s="14"/>
    </row>
    <row r="10" spans="1:22" s="22" customFormat="1" ht="21" customHeight="1" thickBot="1">
      <c r="A10" s="164" t="s">
        <v>81</v>
      </c>
      <c r="B10" s="164" t="s">
        <v>278</v>
      </c>
      <c r="C10" s="285"/>
      <c r="D10" s="166"/>
      <c r="E10" s="33"/>
      <c r="F10" s="175"/>
      <c r="G10" s="17"/>
      <c r="H10" s="59"/>
      <c r="I10" s="59"/>
      <c r="J10" s="59"/>
      <c r="K10" s="110"/>
      <c r="L10" s="59"/>
      <c r="M10" s="59"/>
      <c r="N10" s="18"/>
      <c r="O10" s="20"/>
      <c r="P10" s="20"/>
      <c r="Q10" s="15"/>
      <c r="R10" s="15"/>
      <c r="S10" s="21"/>
      <c r="T10" s="21"/>
    </row>
    <row r="11" spans="1:22" s="22" customFormat="1" ht="21" customHeight="1">
      <c r="A11" s="167" t="s">
        <v>83</v>
      </c>
      <c r="B11" s="168"/>
      <c r="C11" s="286"/>
      <c r="D11" s="176"/>
      <c r="E11" s="33"/>
      <c r="F11" s="175"/>
      <c r="G11" s="17"/>
      <c r="H11" s="59"/>
      <c r="I11" s="59"/>
      <c r="J11" s="59"/>
      <c r="K11" s="110"/>
      <c r="L11" s="59"/>
      <c r="M11" s="59"/>
      <c r="N11" s="18"/>
      <c r="O11" s="20"/>
      <c r="P11" s="20"/>
      <c r="Q11" s="15"/>
      <c r="R11" s="15"/>
      <c r="S11" s="21"/>
      <c r="T11" s="21"/>
    </row>
    <row r="12" spans="1:22" s="22" customFormat="1" ht="21" customHeight="1" thickBot="1">
      <c r="A12" s="171" t="s">
        <v>84</v>
      </c>
      <c r="B12" s="172"/>
      <c r="C12" s="287"/>
      <c r="D12" s="177"/>
      <c r="E12" s="178"/>
      <c r="F12" s="175"/>
      <c r="G12" s="17"/>
      <c r="H12" s="59"/>
      <c r="I12" s="59"/>
      <c r="J12" s="59"/>
      <c r="K12" s="110"/>
      <c r="L12" s="59"/>
      <c r="M12" s="59"/>
      <c r="N12" s="18"/>
      <c r="O12" s="20"/>
      <c r="P12" s="20"/>
      <c r="Q12" s="15"/>
      <c r="R12" s="15"/>
      <c r="S12" s="21"/>
      <c r="T12" s="21"/>
    </row>
    <row r="13" spans="1:22" s="25" customFormat="1" ht="23.55" customHeight="1">
      <c r="A13" s="436" t="s">
        <v>85</v>
      </c>
      <c r="B13" s="438" t="s">
        <v>279</v>
      </c>
      <c r="C13" s="438" t="s">
        <v>280</v>
      </c>
      <c r="D13" s="438" t="s">
        <v>281</v>
      </c>
      <c r="E13" s="454" t="s">
        <v>90</v>
      </c>
      <c r="F13" s="454"/>
      <c r="G13" s="455" t="s">
        <v>91</v>
      </c>
      <c r="H13" s="455"/>
      <c r="I13" s="455"/>
      <c r="J13" s="455"/>
      <c r="K13" s="446" t="s">
        <v>92</v>
      </c>
      <c r="L13" s="446" t="s">
        <v>93</v>
      </c>
      <c r="M13" s="446" t="s">
        <v>282</v>
      </c>
      <c r="N13" s="446" t="s">
        <v>283</v>
      </c>
      <c r="O13" s="448" t="s">
        <v>284</v>
      </c>
      <c r="P13" s="428" t="s">
        <v>285</v>
      </c>
      <c r="Q13" s="430" t="s">
        <v>286</v>
      </c>
      <c r="R13" s="23"/>
      <c r="S13" s="24"/>
      <c r="T13" s="24"/>
      <c r="U13" s="24"/>
      <c r="V13" s="24"/>
    </row>
    <row r="14" spans="1:22" s="25" customFormat="1" ht="39" customHeight="1">
      <c r="A14" s="437"/>
      <c r="B14" s="439"/>
      <c r="C14" s="439"/>
      <c r="D14" s="439"/>
      <c r="E14" s="272" t="s">
        <v>287</v>
      </c>
      <c r="F14" s="271" t="s">
        <v>288</v>
      </c>
      <c r="G14" s="111" t="s">
        <v>99</v>
      </c>
      <c r="H14" s="111" t="s">
        <v>100</v>
      </c>
      <c r="I14" s="111" t="s">
        <v>101</v>
      </c>
      <c r="J14" s="111" t="s">
        <v>102</v>
      </c>
      <c r="K14" s="447"/>
      <c r="L14" s="447"/>
      <c r="M14" s="447"/>
      <c r="N14" s="447"/>
      <c r="O14" s="449"/>
      <c r="P14" s="429"/>
      <c r="Q14" s="431"/>
      <c r="R14" s="23"/>
      <c r="S14" s="24"/>
      <c r="T14" s="24"/>
      <c r="U14" s="24"/>
      <c r="V14" s="24"/>
    </row>
    <row r="15" spans="1:22" s="198" customFormat="1" ht="25.05" customHeight="1">
      <c r="A15" s="263">
        <v>1</v>
      </c>
      <c r="B15" s="27" t="s">
        <v>103</v>
      </c>
      <c r="C15" s="288" t="s">
        <v>2076</v>
      </c>
      <c r="D15" s="191"/>
      <c r="E15" s="29">
        <v>1</v>
      </c>
      <c r="F15" s="30" t="s">
        <v>289</v>
      </c>
      <c r="G15" s="60"/>
      <c r="H15" s="60"/>
      <c r="I15" s="193"/>
      <c r="J15" s="200"/>
      <c r="K15" s="60"/>
      <c r="L15" s="60"/>
      <c r="M15" s="226"/>
      <c r="N15" s="250"/>
      <c r="O15" s="227"/>
      <c r="P15" s="227"/>
      <c r="Q15" s="249"/>
      <c r="R15" s="194"/>
      <c r="S15" s="195"/>
      <c r="T15" s="196"/>
      <c r="U15" s="195"/>
      <c r="V15" s="197"/>
    </row>
    <row r="16" spans="1:22" s="107" customFormat="1" ht="25.05" customHeight="1">
      <c r="A16" s="264"/>
      <c r="B16" s="265"/>
      <c r="C16" s="289"/>
      <c r="D16" s="202"/>
      <c r="E16" s="266"/>
      <c r="F16" s="202"/>
      <c r="G16" s="267">
        <v>1091</v>
      </c>
      <c r="H16" s="267">
        <v>194</v>
      </c>
      <c r="I16" s="268">
        <v>281</v>
      </c>
      <c r="J16" s="269">
        <f>ROUND(I16*H16*G16/1000000,3)</f>
        <v>59.475000000000001</v>
      </c>
      <c r="K16" s="267">
        <v>13800</v>
      </c>
      <c r="L16" s="267">
        <v>14000</v>
      </c>
      <c r="M16" s="224"/>
      <c r="N16" s="246"/>
      <c r="O16" s="225"/>
      <c r="P16" s="225"/>
      <c r="Q16" s="247"/>
      <c r="R16" s="32"/>
      <c r="S16" s="33"/>
      <c r="T16" s="34"/>
      <c r="U16" s="33"/>
      <c r="V16" s="106"/>
    </row>
    <row r="17" spans="1:22" s="198" customFormat="1" ht="25.05" customHeight="1">
      <c r="A17" s="263">
        <v>1</v>
      </c>
      <c r="B17" s="27" t="s">
        <v>106</v>
      </c>
      <c r="C17" s="288" t="s">
        <v>107</v>
      </c>
      <c r="D17" s="191"/>
      <c r="E17" s="29">
        <v>1</v>
      </c>
      <c r="F17" s="30" t="s">
        <v>289</v>
      </c>
      <c r="G17" s="60"/>
      <c r="H17" s="60"/>
      <c r="I17" s="193"/>
      <c r="J17" s="200"/>
      <c r="K17" s="60"/>
      <c r="L17" s="60"/>
      <c r="M17" s="226"/>
      <c r="N17" s="250"/>
      <c r="O17" s="227"/>
      <c r="P17" s="227"/>
      <c r="Q17" s="249"/>
      <c r="R17" s="194"/>
      <c r="S17" s="195"/>
      <c r="T17" s="196"/>
      <c r="U17" s="195"/>
      <c r="V17" s="197"/>
    </row>
    <row r="18" spans="1:22" s="107" customFormat="1" ht="25.05" customHeight="1">
      <c r="A18" s="264"/>
      <c r="B18" s="265"/>
      <c r="C18" s="289"/>
      <c r="D18" s="202"/>
      <c r="E18" s="266"/>
      <c r="F18" s="202"/>
      <c r="G18" s="267">
        <v>1291</v>
      </c>
      <c r="H18" s="267">
        <v>301</v>
      </c>
      <c r="I18" s="268">
        <v>447</v>
      </c>
      <c r="J18" s="269">
        <f t="shared" ref="J18:J97" si="0">ROUND(I18*H18*G18/1000000,3)</f>
        <v>173.7</v>
      </c>
      <c r="K18" s="267">
        <v>33600</v>
      </c>
      <c r="L18" s="267">
        <v>33800</v>
      </c>
      <c r="M18" s="224"/>
      <c r="N18" s="246"/>
      <c r="O18" s="225"/>
      <c r="P18" s="225"/>
      <c r="Q18" s="247"/>
      <c r="R18" s="32"/>
      <c r="S18" s="33"/>
      <c r="T18" s="34"/>
      <c r="U18" s="33"/>
      <c r="V18" s="106"/>
    </row>
    <row r="19" spans="1:22" s="198" customFormat="1" ht="25.05" customHeight="1">
      <c r="A19" s="263">
        <v>1</v>
      </c>
      <c r="B19" s="27" t="s">
        <v>108</v>
      </c>
      <c r="C19" s="288" t="s">
        <v>109</v>
      </c>
      <c r="D19" s="191"/>
      <c r="E19" s="29">
        <v>1</v>
      </c>
      <c r="F19" s="30" t="s">
        <v>289</v>
      </c>
      <c r="G19" s="60"/>
      <c r="H19" s="60"/>
      <c r="I19" s="193"/>
      <c r="J19" s="200"/>
      <c r="K19" s="60"/>
      <c r="L19" s="60"/>
      <c r="M19" s="226"/>
      <c r="N19" s="250"/>
      <c r="O19" s="227"/>
      <c r="P19" s="227"/>
      <c r="Q19" s="249"/>
      <c r="R19" s="194"/>
      <c r="S19" s="195"/>
      <c r="T19" s="196"/>
      <c r="U19" s="195"/>
      <c r="V19" s="197"/>
    </row>
    <row r="20" spans="1:22" s="107" customFormat="1" ht="25.05" customHeight="1">
      <c r="A20" s="264"/>
      <c r="B20" s="265"/>
      <c r="C20" s="289"/>
      <c r="D20" s="202"/>
      <c r="E20" s="266"/>
      <c r="F20" s="202"/>
      <c r="G20" s="267">
        <v>1291</v>
      </c>
      <c r="H20" s="267">
        <v>301</v>
      </c>
      <c r="I20" s="268">
        <v>447</v>
      </c>
      <c r="J20" s="269">
        <f t="shared" si="0"/>
        <v>173.7</v>
      </c>
      <c r="K20" s="267">
        <v>33600</v>
      </c>
      <c r="L20" s="267">
        <v>33800</v>
      </c>
      <c r="M20" s="224"/>
      <c r="N20" s="246"/>
      <c r="O20" s="225"/>
      <c r="P20" s="225"/>
      <c r="Q20" s="247"/>
      <c r="R20" s="32"/>
      <c r="S20" s="33"/>
      <c r="T20" s="34"/>
      <c r="U20" s="33"/>
      <c r="V20" s="106"/>
    </row>
    <row r="21" spans="1:22" s="198" customFormat="1" ht="25.05" customHeight="1">
      <c r="A21" s="263">
        <v>1</v>
      </c>
      <c r="B21" s="27" t="s">
        <v>110</v>
      </c>
      <c r="C21" s="288" t="s">
        <v>290</v>
      </c>
      <c r="D21" s="191"/>
      <c r="E21" s="29">
        <v>1</v>
      </c>
      <c r="F21" s="30" t="s">
        <v>289</v>
      </c>
      <c r="G21" s="60"/>
      <c r="H21" s="60"/>
      <c r="I21" s="193"/>
      <c r="J21" s="200"/>
      <c r="K21" s="60"/>
      <c r="L21" s="60"/>
      <c r="M21" s="226"/>
      <c r="N21" s="250"/>
      <c r="O21" s="227"/>
      <c r="P21" s="227"/>
      <c r="Q21" s="249"/>
      <c r="R21" s="194"/>
      <c r="S21" s="195"/>
      <c r="T21" s="196"/>
      <c r="U21" s="195"/>
      <c r="V21" s="197"/>
    </row>
    <row r="22" spans="1:22" s="107" customFormat="1" ht="25.05" customHeight="1">
      <c r="A22" s="264"/>
      <c r="B22" s="265"/>
      <c r="C22" s="289"/>
      <c r="D22" s="202"/>
      <c r="E22" s="266"/>
      <c r="F22" s="202"/>
      <c r="G22" s="267">
        <v>590</v>
      </c>
      <c r="H22" s="267">
        <v>310</v>
      </c>
      <c r="I22" s="268">
        <v>251.5</v>
      </c>
      <c r="J22" s="269">
        <f t="shared" si="0"/>
        <v>45.999000000000002</v>
      </c>
      <c r="K22" s="267">
        <v>14400</v>
      </c>
      <c r="L22" s="267">
        <v>14600</v>
      </c>
      <c r="M22" s="224"/>
      <c r="N22" s="246"/>
      <c r="O22" s="225"/>
      <c r="P22" s="225"/>
      <c r="Q22" s="247"/>
      <c r="R22" s="32"/>
      <c r="S22" s="33"/>
      <c r="T22" s="34"/>
      <c r="U22" s="33"/>
      <c r="V22" s="106"/>
    </row>
    <row r="23" spans="1:22" s="198" customFormat="1" ht="25.05" customHeight="1">
      <c r="A23" s="263">
        <v>1</v>
      </c>
      <c r="B23" s="27" t="s">
        <v>111</v>
      </c>
      <c r="C23" s="288" t="s">
        <v>291</v>
      </c>
      <c r="D23" s="191"/>
      <c r="E23" s="29">
        <v>1</v>
      </c>
      <c r="F23" s="30" t="s">
        <v>289</v>
      </c>
      <c r="G23" s="60"/>
      <c r="H23" s="60"/>
      <c r="I23" s="193"/>
      <c r="J23" s="200"/>
      <c r="K23" s="60"/>
      <c r="L23" s="60"/>
      <c r="M23" s="226"/>
      <c r="N23" s="250"/>
      <c r="O23" s="227"/>
      <c r="P23" s="227"/>
      <c r="Q23" s="249"/>
      <c r="R23" s="194"/>
      <c r="S23" s="195"/>
      <c r="T23" s="196"/>
      <c r="U23" s="195"/>
      <c r="V23" s="197"/>
    </row>
    <row r="24" spans="1:22" s="107" customFormat="1" ht="25.05" customHeight="1">
      <c r="A24" s="264"/>
      <c r="B24" s="265"/>
      <c r="C24" s="289"/>
      <c r="D24" s="202"/>
      <c r="E24" s="266"/>
      <c r="F24" s="202"/>
      <c r="G24" s="267">
        <v>571</v>
      </c>
      <c r="H24" s="267">
        <v>310</v>
      </c>
      <c r="I24" s="268">
        <v>375</v>
      </c>
      <c r="J24" s="269">
        <f t="shared" si="0"/>
        <v>66.379000000000005</v>
      </c>
      <c r="K24" s="267">
        <v>14400</v>
      </c>
      <c r="L24" s="267">
        <v>14600</v>
      </c>
      <c r="M24" s="224"/>
      <c r="N24" s="246"/>
      <c r="O24" s="225"/>
      <c r="P24" s="225"/>
      <c r="Q24" s="247"/>
      <c r="R24" s="32"/>
      <c r="S24" s="33"/>
      <c r="T24" s="34"/>
      <c r="U24" s="33"/>
      <c r="V24" s="106"/>
    </row>
    <row r="25" spans="1:22" s="198" customFormat="1" ht="25.05" customHeight="1">
      <c r="A25" s="263">
        <v>1</v>
      </c>
      <c r="B25" s="27" t="s">
        <v>112</v>
      </c>
      <c r="C25" s="288" t="s">
        <v>292</v>
      </c>
      <c r="D25" s="191"/>
      <c r="E25" s="29">
        <v>1</v>
      </c>
      <c r="F25" s="30" t="s">
        <v>289</v>
      </c>
      <c r="G25" s="60"/>
      <c r="H25" s="60"/>
      <c r="I25" s="193"/>
      <c r="J25" s="200"/>
      <c r="K25" s="60"/>
      <c r="L25" s="60"/>
      <c r="M25" s="226"/>
      <c r="N25" s="250"/>
      <c r="O25" s="227"/>
      <c r="P25" s="227"/>
      <c r="Q25" s="249"/>
      <c r="R25" s="194"/>
      <c r="S25" s="195"/>
      <c r="T25" s="196"/>
      <c r="U25" s="195"/>
      <c r="V25" s="197"/>
    </row>
    <row r="26" spans="1:22" s="107" customFormat="1" ht="25.05" customHeight="1">
      <c r="A26" s="264"/>
      <c r="B26" s="265"/>
      <c r="C26" s="289"/>
      <c r="D26" s="202"/>
      <c r="E26" s="266"/>
      <c r="F26" s="202"/>
      <c r="G26" s="267">
        <v>891</v>
      </c>
      <c r="H26" s="267">
        <v>180</v>
      </c>
      <c r="I26" s="268">
        <v>211.2</v>
      </c>
      <c r="J26" s="269">
        <f t="shared" si="0"/>
        <v>33.872</v>
      </c>
      <c r="K26" s="267">
        <v>12900</v>
      </c>
      <c r="L26" s="267">
        <v>13100</v>
      </c>
      <c r="M26" s="224"/>
      <c r="N26" s="246"/>
      <c r="O26" s="225"/>
      <c r="P26" s="225"/>
      <c r="Q26" s="247"/>
      <c r="R26" s="32"/>
      <c r="S26" s="33"/>
      <c r="T26" s="34"/>
      <c r="U26" s="33"/>
      <c r="V26" s="106"/>
    </row>
    <row r="27" spans="1:22" s="198" customFormat="1" ht="25.05" customHeight="1">
      <c r="A27" s="263">
        <v>1</v>
      </c>
      <c r="B27" s="27" t="s">
        <v>113</v>
      </c>
      <c r="C27" s="288" t="s">
        <v>293</v>
      </c>
      <c r="D27" s="191"/>
      <c r="E27" s="29">
        <v>1</v>
      </c>
      <c r="F27" s="30" t="s">
        <v>289</v>
      </c>
      <c r="G27" s="60"/>
      <c r="H27" s="60"/>
      <c r="I27" s="193"/>
      <c r="J27" s="200"/>
      <c r="K27" s="60"/>
      <c r="L27" s="60"/>
      <c r="M27" s="226"/>
      <c r="N27" s="250"/>
      <c r="O27" s="227"/>
      <c r="P27" s="227"/>
      <c r="Q27" s="249"/>
      <c r="R27" s="194"/>
      <c r="S27" s="195"/>
      <c r="T27" s="196"/>
      <c r="U27" s="195"/>
      <c r="V27" s="197"/>
    </row>
    <row r="28" spans="1:22" s="107" customFormat="1" ht="25.05" customHeight="1">
      <c r="A28" s="264"/>
      <c r="B28" s="265"/>
      <c r="C28" s="289"/>
      <c r="D28" s="202"/>
      <c r="E28" s="266"/>
      <c r="F28" s="202"/>
      <c r="G28" s="267">
        <v>1601</v>
      </c>
      <c r="H28" s="267">
        <v>290</v>
      </c>
      <c r="I28" s="268">
        <v>231.1</v>
      </c>
      <c r="J28" s="269">
        <f t="shared" si="0"/>
        <v>107.297</v>
      </c>
      <c r="K28" s="267">
        <v>28100</v>
      </c>
      <c r="L28" s="267">
        <v>28300</v>
      </c>
      <c r="M28" s="224"/>
      <c r="N28" s="246"/>
      <c r="O28" s="225"/>
      <c r="P28" s="225"/>
      <c r="Q28" s="247"/>
      <c r="R28" s="32"/>
      <c r="S28" s="33"/>
      <c r="T28" s="34"/>
      <c r="U28" s="33"/>
      <c r="V28" s="106"/>
    </row>
    <row r="29" spans="1:22" s="198" customFormat="1" ht="25.05" customHeight="1">
      <c r="A29" s="263">
        <v>1</v>
      </c>
      <c r="B29" s="27" t="s">
        <v>114</v>
      </c>
      <c r="C29" s="288" t="s">
        <v>115</v>
      </c>
      <c r="D29" s="191"/>
      <c r="E29" s="29">
        <v>1</v>
      </c>
      <c r="F29" s="30" t="s">
        <v>289</v>
      </c>
      <c r="G29" s="60"/>
      <c r="H29" s="60"/>
      <c r="I29" s="193"/>
      <c r="J29" s="200"/>
      <c r="K29" s="60"/>
      <c r="L29" s="60"/>
      <c r="M29" s="226"/>
      <c r="N29" s="250"/>
      <c r="O29" s="227"/>
      <c r="P29" s="227"/>
      <c r="Q29" s="249"/>
      <c r="R29" s="194"/>
      <c r="S29" s="195"/>
      <c r="T29" s="196"/>
      <c r="U29" s="195"/>
      <c r="V29" s="197"/>
    </row>
    <row r="30" spans="1:22" s="107" customFormat="1" ht="25.05" customHeight="1">
      <c r="A30" s="264"/>
      <c r="B30" s="265"/>
      <c r="C30" s="289"/>
      <c r="D30" s="202"/>
      <c r="E30" s="266"/>
      <c r="F30" s="202"/>
      <c r="G30" s="267">
        <v>491</v>
      </c>
      <c r="H30" s="267">
        <v>231</v>
      </c>
      <c r="I30" s="268">
        <v>280</v>
      </c>
      <c r="J30" s="269">
        <f t="shared" si="0"/>
        <v>31.757999999999999</v>
      </c>
      <c r="K30" s="267">
        <v>5900</v>
      </c>
      <c r="L30" s="267">
        <v>6000</v>
      </c>
      <c r="M30" s="224"/>
      <c r="N30" s="246"/>
      <c r="O30" s="225"/>
      <c r="P30" s="225"/>
      <c r="Q30" s="247"/>
      <c r="R30" s="32"/>
      <c r="S30" s="33"/>
      <c r="T30" s="34"/>
      <c r="U30" s="33"/>
      <c r="V30" s="106"/>
    </row>
    <row r="31" spans="1:22" s="198" customFormat="1" ht="25.05" customHeight="1">
      <c r="A31" s="263">
        <v>1</v>
      </c>
      <c r="B31" s="27" t="s">
        <v>116</v>
      </c>
      <c r="C31" s="288" t="s">
        <v>294</v>
      </c>
      <c r="D31" s="191"/>
      <c r="E31" s="29">
        <v>1</v>
      </c>
      <c r="F31" s="30" t="s">
        <v>289</v>
      </c>
      <c r="G31" s="60"/>
      <c r="H31" s="60"/>
      <c r="I31" s="193"/>
      <c r="J31" s="200"/>
      <c r="K31" s="60"/>
      <c r="L31" s="60"/>
      <c r="M31" s="226"/>
      <c r="N31" s="250"/>
      <c r="O31" s="227"/>
      <c r="P31" s="227"/>
      <c r="Q31" s="249"/>
      <c r="R31" s="194"/>
      <c r="S31" s="195"/>
      <c r="T31" s="196"/>
      <c r="U31" s="195"/>
      <c r="V31" s="197"/>
    </row>
    <row r="32" spans="1:22" s="198" customFormat="1" ht="25.05" customHeight="1">
      <c r="A32" s="264"/>
      <c r="B32" s="265"/>
      <c r="C32" s="289"/>
      <c r="D32" s="202"/>
      <c r="E32" s="266"/>
      <c r="F32" s="202"/>
      <c r="G32" s="267">
        <v>747</v>
      </c>
      <c r="H32" s="267">
        <v>380</v>
      </c>
      <c r="I32" s="268">
        <v>344</v>
      </c>
      <c r="J32" s="269">
        <f t="shared" si="0"/>
        <v>97.647999999999996</v>
      </c>
      <c r="K32" s="267">
        <v>13500</v>
      </c>
      <c r="L32" s="267">
        <v>13700</v>
      </c>
      <c r="M32" s="224"/>
      <c r="N32" s="246"/>
      <c r="O32" s="225"/>
      <c r="P32" s="225"/>
      <c r="Q32" s="247"/>
      <c r="R32" s="194"/>
      <c r="S32" s="195"/>
      <c r="T32" s="196"/>
      <c r="U32" s="195"/>
      <c r="V32" s="197"/>
    </row>
    <row r="33" spans="1:22" s="198" customFormat="1" ht="25.05" customHeight="1">
      <c r="A33" s="263">
        <v>1</v>
      </c>
      <c r="B33" s="27" t="s">
        <v>117</v>
      </c>
      <c r="C33" s="288" t="s">
        <v>295</v>
      </c>
      <c r="D33" s="191"/>
      <c r="E33" s="29">
        <v>1</v>
      </c>
      <c r="F33" s="30" t="s">
        <v>289</v>
      </c>
      <c r="G33" s="60"/>
      <c r="H33" s="60"/>
      <c r="I33" s="193"/>
      <c r="J33" s="200"/>
      <c r="K33" s="60"/>
      <c r="L33" s="60"/>
      <c r="M33" s="226"/>
      <c r="N33" s="250"/>
      <c r="O33" s="227"/>
      <c r="P33" s="227"/>
      <c r="Q33" s="249"/>
      <c r="R33" s="194"/>
      <c r="S33" s="195"/>
      <c r="T33" s="196"/>
      <c r="U33" s="195"/>
      <c r="V33" s="197"/>
    </row>
    <row r="34" spans="1:22" s="198" customFormat="1" ht="25.05" customHeight="1">
      <c r="A34" s="264"/>
      <c r="B34" s="265"/>
      <c r="C34" s="289"/>
      <c r="D34" s="202"/>
      <c r="E34" s="266"/>
      <c r="F34" s="202"/>
      <c r="G34" s="267">
        <v>747</v>
      </c>
      <c r="H34" s="267">
        <v>380</v>
      </c>
      <c r="I34" s="268">
        <v>344</v>
      </c>
      <c r="J34" s="269">
        <f t="shared" si="0"/>
        <v>97.647999999999996</v>
      </c>
      <c r="K34" s="267">
        <v>13500</v>
      </c>
      <c r="L34" s="267">
        <v>13700</v>
      </c>
      <c r="M34" s="224"/>
      <c r="N34" s="246"/>
      <c r="O34" s="225"/>
      <c r="P34" s="225"/>
      <c r="Q34" s="247"/>
      <c r="R34" s="194"/>
      <c r="S34" s="195"/>
      <c r="T34" s="196"/>
      <c r="U34" s="195"/>
      <c r="V34" s="197"/>
    </row>
    <row r="35" spans="1:22" s="198" customFormat="1" ht="25.05" customHeight="1">
      <c r="A35" s="263">
        <v>1</v>
      </c>
      <c r="B35" s="27" t="s">
        <v>118</v>
      </c>
      <c r="C35" s="288" t="s">
        <v>296</v>
      </c>
      <c r="D35" s="191"/>
      <c r="E35" s="29">
        <v>1</v>
      </c>
      <c r="F35" s="30" t="s">
        <v>289</v>
      </c>
      <c r="G35" s="60"/>
      <c r="H35" s="60"/>
      <c r="I35" s="193"/>
      <c r="J35" s="200"/>
      <c r="K35" s="60"/>
      <c r="L35" s="60"/>
      <c r="M35" s="226"/>
      <c r="N35" s="250"/>
      <c r="O35" s="227"/>
      <c r="P35" s="227"/>
      <c r="Q35" s="249"/>
      <c r="R35" s="194"/>
      <c r="S35" s="195"/>
      <c r="T35" s="196"/>
      <c r="U35" s="195"/>
      <c r="V35" s="197"/>
    </row>
    <row r="36" spans="1:22" s="198" customFormat="1" ht="24.75" customHeight="1">
      <c r="A36" s="264"/>
      <c r="B36" s="265"/>
      <c r="C36" s="289"/>
      <c r="D36" s="202"/>
      <c r="E36" s="266"/>
      <c r="F36" s="202"/>
      <c r="G36" s="267">
        <v>747</v>
      </c>
      <c r="H36" s="267">
        <v>380</v>
      </c>
      <c r="I36" s="268">
        <v>344</v>
      </c>
      <c r="J36" s="269">
        <f t="shared" si="0"/>
        <v>97.647999999999996</v>
      </c>
      <c r="K36" s="267">
        <v>13500</v>
      </c>
      <c r="L36" s="267">
        <v>13700</v>
      </c>
      <c r="M36" s="224"/>
      <c r="N36" s="246"/>
      <c r="O36" s="225"/>
      <c r="P36" s="225"/>
      <c r="Q36" s="247"/>
      <c r="R36" s="194"/>
      <c r="S36" s="195"/>
      <c r="T36" s="196"/>
      <c r="U36" s="195"/>
      <c r="V36" s="197"/>
    </row>
    <row r="37" spans="1:22" s="198" customFormat="1" ht="25.05" customHeight="1">
      <c r="A37" s="263">
        <v>1</v>
      </c>
      <c r="B37" s="27" t="s">
        <v>119</v>
      </c>
      <c r="C37" s="288" t="s">
        <v>120</v>
      </c>
      <c r="D37" s="191"/>
      <c r="E37" s="29">
        <v>1</v>
      </c>
      <c r="F37" s="30" t="s">
        <v>289</v>
      </c>
      <c r="G37" s="60"/>
      <c r="H37" s="60"/>
      <c r="I37" s="193"/>
      <c r="J37" s="200"/>
      <c r="K37" s="60"/>
      <c r="L37" s="60"/>
      <c r="M37" s="226"/>
      <c r="N37" s="250"/>
      <c r="O37" s="227"/>
      <c r="P37" s="227"/>
      <c r="Q37" s="249"/>
      <c r="R37" s="194"/>
      <c r="S37" s="195"/>
      <c r="T37" s="196"/>
      <c r="U37" s="195"/>
      <c r="V37" s="197"/>
    </row>
    <row r="38" spans="1:22" s="198" customFormat="1" ht="25.05" customHeight="1">
      <c r="A38" s="264"/>
      <c r="B38" s="265"/>
      <c r="C38" s="289"/>
      <c r="D38" s="202"/>
      <c r="E38" s="266"/>
      <c r="F38" s="202"/>
      <c r="G38" s="267">
        <v>747</v>
      </c>
      <c r="H38" s="267">
        <v>380</v>
      </c>
      <c r="I38" s="268">
        <v>344</v>
      </c>
      <c r="J38" s="269">
        <f t="shared" si="0"/>
        <v>97.647999999999996</v>
      </c>
      <c r="K38" s="267">
        <v>13500</v>
      </c>
      <c r="L38" s="267">
        <v>13700</v>
      </c>
      <c r="M38" s="224"/>
      <c r="N38" s="246"/>
      <c r="O38" s="225"/>
      <c r="P38" s="225"/>
      <c r="Q38" s="247"/>
      <c r="R38" s="194"/>
      <c r="S38" s="195"/>
      <c r="T38" s="196"/>
      <c r="U38" s="195"/>
      <c r="V38" s="197"/>
    </row>
    <row r="39" spans="1:22" s="198" customFormat="1" ht="25.05" customHeight="1">
      <c r="A39" s="263">
        <v>1</v>
      </c>
      <c r="B39" s="27" t="s">
        <v>121</v>
      </c>
      <c r="C39" s="288" t="s">
        <v>297</v>
      </c>
      <c r="D39" s="191"/>
      <c r="E39" s="29">
        <v>1</v>
      </c>
      <c r="F39" s="30" t="s">
        <v>289</v>
      </c>
      <c r="G39" s="60"/>
      <c r="H39" s="60"/>
      <c r="I39" s="193"/>
      <c r="J39" s="200"/>
      <c r="K39" s="60"/>
      <c r="L39" s="60"/>
      <c r="M39" s="226"/>
      <c r="N39" s="250"/>
      <c r="O39" s="227"/>
      <c r="P39" s="227"/>
      <c r="Q39" s="249"/>
      <c r="R39" s="194"/>
      <c r="S39" s="195"/>
      <c r="T39" s="196"/>
      <c r="U39" s="195"/>
      <c r="V39" s="197"/>
    </row>
    <row r="40" spans="1:22" s="198" customFormat="1" ht="25.05" customHeight="1">
      <c r="A40" s="264"/>
      <c r="B40" s="265"/>
      <c r="C40" s="289"/>
      <c r="D40" s="202"/>
      <c r="E40" s="266"/>
      <c r="F40" s="202"/>
      <c r="G40" s="267">
        <v>785</v>
      </c>
      <c r="H40" s="267">
        <v>305</v>
      </c>
      <c r="I40" s="268">
        <v>423.5</v>
      </c>
      <c r="J40" s="269">
        <f t="shared" si="0"/>
        <v>101.396</v>
      </c>
      <c r="K40" s="267">
        <v>21400</v>
      </c>
      <c r="L40" s="267">
        <v>21600</v>
      </c>
      <c r="M40" s="224"/>
      <c r="N40" s="246"/>
      <c r="O40" s="225"/>
      <c r="P40" s="225"/>
      <c r="Q40" s="247"/>
      <c r="R40" s="194"/>
      <c r="S40" s="195"/>
      <c r="T40" s="196"/>
      <c r="U40" s="195"/>
      <c r="V40" s="197"/>
    </row>
    <row r="41" spans="1:22" s="198" customFormat="1" ht="25.05" customHeight="1">
      <c r="A41" s="263">
        <v>1</v>
      </c>
      <c r="B41" s="27" t="s">
        <v>122</v>
      </c>
      <c r="C41" s="288" t="s">
        <v>123</v>
      </c>
      <c r="D41" s="191"/>
      <c r="E41" s="29">
        <v>1</v>
      </c>
      <c r="F41" s="30" t="s">
        <v>289</v>
      </c>
      <c r="G41" s="60"/>
      <c r="H41" s="60"/>
      <c r="I41" s="193"/>
      <c r="J41" s="200"/>
      <c r="K41" s="60"/>
      <c r="L41" s="60"/>
      <c r="M41" s="226"/>
      <c r="N41" s="250"/>
      <c r="O41" s="227"/>
      <c r="P41" s="227"/>
      <c r="Q41" s="249"/>
      <c r="R41" s="194"/>
      <c r="S41" s="195"/>
      <c r="T41" s="196"/>
      <c r="U41" s="195"/>
      <c r="V41" s="197"/>
    </row>
    <row r="42" spans="1:22" s="198" customFormat="1" ht="25.05" customHeight="1">
      <c r="A42" s="264"/>
      <c r="B42" s="265"/>
      <c r="C42" s="289"/>
      <c r="D42" s="202"/>
      <c r="E42" s="266"/>
      <c r="F42" s="202"/>
      <c r="G42" s="267">
        <v>785</v>
      </c>
      <c r="H42" s="267">
        <v>305</v>
      </c>
      <c r="I42" s="268">
        <v>423.5</v>
      </c>
      <c r="J42" s="269">
        <f t="shared" si="0"/>
        <v>101.396</v>
      </c>
      <c r="K42" s="267">
        <v>21400</v>
      </c>
      <c r="L42" s="267">
        <v>21600</v>
      </c>
      <c r="M42" s="224"/>
      <c r="N42" s="246"/>
      <c r="O42" s="225"/>
      <c r="P42" s="225"/>
      <c r="Q42" s="247"/>
      <c r="R42" s="194"/>
      <c r="S42" s="195"/>
      <c r="T42" s="196"/>
      <c r="U42" s="195"/>
      <c r="V42" s="197"/>
    </row>
    <row r="43" spans="1:22" s="198" customFormat="1" ht="25.05" customHeight="1">
      <c r="A43" s="263">
        <v>1</v>
      </c>
      <c r="B43" s="27" t="s">
        <v>124</v>
      </c>
      <c r="C43" s="288" t="s">
        <v>125</v>
      </c>
      <c r="D43" s="191"/>
      <c r="E43" s="29">
        <v>1</v>
      </c>
      <c r="F43" s="30" t="s">
        <v>289</v>
      </c>
      <c r="G43" s="60"/>
      <c r="H43" s="60"/>
      <c r="I43" s="193"/>
      <c r="J43" s="200"/>
      <c r="K43" s="60"/>
      <c r="L43" s="60"/>
      <c r="M43" s="226"/>
      <c r="N43" s="250"/>
      <c r="O43" s="227"/>
      <c r="P43" s="227"/>
      <c r="Q43" s="249"/>
      <c r="R43" s="194"/>
      <c r="S43" s="195"/>
      <c r="T43" s="196"/>
      <c r="U43" s="195"/>
      <c r="V43" s="197"/>
    </row>
    <row r="44" spans="1:22" s="198" customFormat="1" ht="25.05" customHeight="1">
      <c r="A44" s="264"/>
      <c r="B44" s="265"/>
      <c r="C44" s="289"/>
      <c r="D44" s="202"/>
      <c r="E44" s="266"/>
      <c r="F44" s="202"/>
      <c r="G44" s="267">
        <v>785</v>
      </c>
      <c r="H44" s="267">
        <v>305</v>
      </c>
      <c r="I44" s="268">
        <v>423.5</v>
      </c>
      <c r="J44" s="269">
        <f t="shared" si="0"/>
        <v>101.396</v>
      </c>
      <c r="K44" s="267">
        <v>21400</v>
      </c>
      <c r="L44" s="267">
        <v>21600</v>
      </c>
      <c r="M44" s="224"/>
      <c r="N44" s="246"/>
      <c r="O44" s="225"/>
      <c r="P44" s="225"/>
      <c r="Q44" s="247"/>
      <c r="R44" s="194"/>
      <c r="S44" s="195"/>
      <c r="T44" s="196"/>
      <c r="U44" s="195"/>
      <c r="V44" s="197"/>
    </row>
    <row r="45" spans="1:22" s="198" customFormat="1" ht="25.05" customHeight="1">
      <c r="A45" s="263">
        <v>1</v>
      </c>
      <c r="B45" s="27" t="s">
        <v>126</v>
      </c>
      <c r="C45" s="288" t="s">
        <v>127</v>
      </c>
      <c r="D45" s="191"/>
      <c r="E45" s="29">
        <v>1</v>
      </c>
      <c r="F45" s="30" t="s">
        <v>289</v>
      </c>
      <c r="G45" s="60"/>
      <c r="H45" s="60"/>
      <c r="I45" s="193"/>
      <c r="J45" s="200"/>
      <c r="K45" s="60"/>
      <c r="L45" s="60"/>
      <c r="M45" s="226"/>
      <c r="N45" s="250"/>
      <c r="O45" s="227"/>
      <c r="P45" s="227"/>
      <c r="Q45" s="249"/>
      <c r="R45" s="194"/>
      <c r="S45" s="195"/>
      <c r="T45" s="196"/>
      <c r="U45" s="195"/>
      <c r="V45" s="197"/>
    </row>
    <row r="46" spans="1:22" s="198" customFormat="1" ht="25.05" customHeight="1">
      <c r="A46" s="264"/>
      <c r="B46" s="265"/>
      <c r="C46" s="289"/>
      <c r="D46" s="202"/>
      <c r="E46" s="266"/>
      <c r="F46" s="202"/>
      <c r="G46" s="267">
        <v>785</v>
      </c>
      <c r="H46" s="267">
        <v>305</v>
      </c>
      <c r="I46" s="268">
        <v>423.5</v>
      </c>
      <c r="J46" s="269">
        <f t="shared" si="0"/>
        <v>101.396</v>
      </c>
      <c r="K46" s="267">
        <v>21400</v>
      </c>
      <c r="L46" s="267">
        <v>21600</v>
      </c>
      <c r="M46" s="224"/>
      <c r="N46" s="246"/>
      <c r="O46" s="225"/>
      <c r="P46" s="225"/>
      <c r="Q46" s="247"/>
      <c r="R46" s="194"/>
      <c r="S46" s="195"/>
      <c r="T46" s="196"/>
      <c r="U46" s="195"/>
      <c r="V46" s="197"/>
    </row>
    <row r="47" spans="1:22" s="198" customFormat="1" ht="25.05" customHeight="1">
      <c r="A47" s="26">
        <v>1</v>
      </c>
      <c r="B47" s="27" t="s">
        <v>128</v>
      </c>
      <c r="C47" s="288" t="s">
        <v>298</v>
      </c>
      <c r="D47" s="191"/>
      <c r="E47" s="29">
        <v>1</v>
      </c>
      <c r="F47" s="30" t="s">
        <v>289</v>
      </c>
      <c r="G47" s="60"/>
      <c r="H47" s="60"/>
      <c r="I47" s="193"/>
      <c r="J47" s="200">
        <f t="shared" si="0"/>
        <v>0</v>
      </c>
      <c r="K47" s="60">
        <v>1097</v>
      </c>
      <c r="L47" s="60"/>
      <c r="M47" s="226"/>
      <c r="N47" s="248" t="s">
        <v>299</v>
      </c>
      <c r="O47" s="227"/>
      <c r="P47" s="227"/>
      <c r="Q47" s="249"/>
      <c r="R47" s="194"/>
      <c r="S47" s="195"/>
      <c r="T47" s="196"/>
      <c r="U47" s="195"/>
      <c r="V47" s="197"/>
    </row>
    <row r="48" spans="1:22" s="198" customFormat="1" ht="25.05" customHeight="1">
      <c r="A48" s="26">
        <v>2</v>
      </c>
      <c r="B48" s="27" t="s">
        <v>128</v>
      </c>
      <c r="C48" s="288" t="s">
        <v>300</v>
      </c>
      <c r="D48" s="191"/>
      <c r="E48" s="29">
        <v>1</v>
      </c>
      <c r="F48" s="30" t="s">
        <v>289</v>
      </c>
      <c r="G48" s="60"/>
      <c r="H48" s="60"/>
      <c r="I48" s="193"/>
      <c r="J48" s="200">
        <f t="shared" si="0"/>
        <v>0</v>
      </c>
      <c r="K48" s="60">
        <v>123</v>
      </c>
      <c r="L48" s="60"/>
      <c r="M48" s="226"/>
      <c r="N48" s="248" t="s">
        <v>301</v>
      </c>
      <c r="O48" s="227"/>
      <c r="P48" s="227"/>
      <c r="Q48" s="249"/>
      <c r="R48" s="194"/>
      <c r="S48" s="195"/>
      <c r="T48" s="196"/>
      <c r="U48" s="195"/>
      <c r="V48" s="197"/>
    </row>
    <row r="49" spans="1:22" s="198" customFormat="1" ht="25.05" customHeight="1">
      <c r="A49" s="26">
        <v>3</v>
      </c>
      <c r="B49" s="27" t="s">
        <v>128</v>
      </c>
      <c r="C49" s="288" t="s">
        <v>302</v>
      </c>
      <c r="D49" s="191"/>
      <c r="E49" s="29">
        <v>4</v>
      </c>
      <c r="F49" s="30" t="s">
        <v>303</v>
      </c>
      <c r="G49" s="60"/>
      <c r="H49" s="60"/>
      <c r="I49" s="193"/>
      <c r="J49" s="200">
        <f t="shared" si="0"/>
        <v>0</v>
      </c>
      <c r="K49" s="60">
        <v>16</v>
      </c>
      <c r="L49" s="60"/>
      <c r="M49" s="226"/>
      <c r="N49" s="248" t="s">
        <v>304</v>
      </c>
      <c r="O49" s="227"/>
      <c r="P49" s="227"/>
      <c r="Q49" s="249"/>
      <c r="R49" s="194"/>
      <c r="S49" s="195"/>
      <c r="T49" s="196"/>
      <c r="U49" s="195"/>
      <c r="V49" s="197"/>
    </row>
    <row r="50" spans="1:22" s="198" customFormat="1" ht="25.05" customHeight="1">
      <c r="A50" s="26">
        <v>4</v>
      </c>
      <c r="B50" s="27" t="s">
        <v>128</v>
      </c>
      <c r="C50" s="288" t="s">
        <v>305</v>
      </c>
      <c r="D50" s="191"/>
      <c r="E50" s="29">
        <v>1</v>
      </c>
      <c r="F50" s="30" t="s">
        <v>303</v>
      </c>
      <c r="G50" s="60"/>
      <c r="H50" s="60"/>
      <c r="I50" s="193"/>
      <c r="J50" s="200">
        <f t="shared" si="0"/>
        <v>0</v>
      </c>
      <c r="K50" s="60">
        <v>11</v>
      </c>
      <c r="L50" s="60"/>
      <c r="M50" s="226"/>
      <c r="N50" s="248" t="s">
        <v>306</v>
      </c>
      <c r="O50" s="227"/>
      <c r="P50" s="227"/>
      <c r="Q50" s="249"/>
      <c r="R50" s="194"/>
      <c r="S50" s="195"/>
      <c r="T50" s="196"/>
      <c r="U50" s="195"/>
      <c r="V50" s="197"/>
    </row>
    <row r="51" spans="1:22" s="198" customFormat="1" ht="25.05" customHeight="1">
      <c r="A51" s="26">
        <v>5</v>
      </c>
      <c r="B51" s="27" t="s">
        <v>128</v>
      </c>
      <c r="C51" s="288" t="s">
        <v>307</v>
      </c>
      <c r="D51" s="191"/>
      <c r="E51" s="29">
        <v>1</v>
      </c>
      <c r="F51" s="30" t="s">
        <v>303</v>
      </c>
      <c r="G51" s="60"/>
      <c r="H51" s="60"/>
      <c r="I51" s="193"/>
      <c r="J51" s="200">
        <f t="shared" si="0"/>
        <v>0</v>
      </c>
      <c r="K51" s="60">
        <v>2.5</v>
      </c>
      <c r="L51" s="60"/>
      <c r="M51" s="226"/>
      <c r="N51" s="248" t="s">
        <v>308</v>
      </c>
      <c r="O51" s="227"/>
      <c r="P51" s="227"/>
      <c r="Q51" s="249"/>
      <c r="R51" s="194"/>
      <c r="S51" s="195"/>
      <c r="T51" s="196"/>
      <c r="U51" s="195"/>
      <c r="V51" s="197"/>
    </row>
    <row r="52" spans="1:22" s="198" customFormat="1" ht="25.05" customHeight="1">
      <c r="A52" s="26">
        <v>6</v>
      </c>
      <c r="B52" s="27" t="s">
        <v>128</v>
      </c>
      <c r="C52" s="288" t="s">
        <v>309</v>
      </c>
      <c r="D52" s="191"/>
      <c r="E52" s="29">
        <v>4</v>
      </c>
      <c r="F52" s="30" t="s">
        <v>303</v>
      </c>
      <c r="G52" s="60"/>
      <c r="H52" s="60"/>
      <c r="I52" s="193"/>
      <c r="J52" s="200">
        <f t="shared" si="0"/>
        <v>0</v>
      </c>
      <c r="K52" s="60">
        <v>1</v>
      </c>
      <c r="L52" s="60"/>
      <c r="M52" s="226"/>
      <c r="N52" s="248" t="s">
        <v>310</v>
      </c>
      <c r="O52" s="227"/>
      <c r="P52" s="227"/>
      <c r="Q52" s="249"/>
      <c r="R52" s="194"/>
      <c r="S52" s="195"/>
      <c r="T52" s="196"/>
      <c r="U52" s="195"/>
      <c r="V52" s="197"/>
    </row>
    <row r="53" spans="1:22" s="198" customFormat="1" ht="25.05" customHeight="1">
      <c r="A53" s="264"/>
      <c r="B53" s="265"/>
      <c r="C53" s="289"/>
      <c r="D53" s="202"/>
      <c r="E53" s="266"/>
      <c r="F53" s="202"/>
      <c r="G53" s="267">
        <v>360</v>
      </c>
      <c r="H53" s="267">
        <v>170</v>
      </c>
      <c r="I53" s="268">
        <v>163</v>
      </c>
      <c r="J53" s="269">
        <f>ROUND(I53*H53*G53/1000000,3)</f>
        <v>9.9760000000000009</v>
      </c>
      <c r="K53" s="267">
        <v>1250.5</v>
      </c>
      <c r="L53" s="267">
        <v>1350.5</v>
      </c>
      <c r="M53" s="224"/>
      <c r="N53" s="246"/>
      <c r="O53" s="225"/>
      <c r="P53" s="225"/>
      <c r="Q53" s="247"/>
      <c r="R53" s="194"/>
      <c r="S53" s="195"/>
      <c r="T53" s="196"/>
      <c r="U53" s="195"/>
      <c r="V53" s="197"/>
    </row>
    <row r="54" spans="1:22" s="198" customFormat="1" ht="25.05" customHeight="1">
      <c r="A54" s="26">
        <v>1</v>
      </c>
      <c r="B54" s="27" t="s">
        <v>130</v>
      </c>
      <c r="C54" s="288" t="s">
        <v>311</v>
      </c>
      <c r="D54" s="191"/>
      <c r="E54" s="29">
        <v>1</v>
      </c>
      <c r="F54" s="30" t="s">
        <v>289</v>
      </c>
      <c r="G54" s="60"/>
      <c r="H54" s="60"/>
      <c r="I54" s="193"/>
      <c r="J54" s="200">
        <f t="shared" si="0"/>
        <v>0</v>
      </c>
      <c r="K54" s="60">
        <v>175</v>
      </c>
      <c r="L54" s="60"/>
      <c r="M54" s="226"/>
      <c r="N54" s="248" t="s">
        <v>312</v>
      </c>
      <c r="O54" s="227"/>
      <c r="P54" s="227"/>
      <c r="Q54" s="249"/>
      <c r="R54" s="194"/>
      <c r="S54" s="195"/>
      <c r="T54" s="196"/>
      <c r="U54" s="195"/>
      <c r="V54" s="197"/>
    </row>
    <row r="55" spans="1:22" s="198" customFormat="1" ht="25.05" customHeight="1">
      <c r="A55" s="26">
        <v>2</v>
      </c>
      <c r="B55" s="27" t="s">
        <v>130</v>
      </c>
      <c r="C55" s="288" t="s">
        <v>313</v>
      </c>
      <c r="D55" s="191"/>
      <c r="E55" s="29">
        <v>1</v>
      </c>
      <c r="F55" s="30" t="s">
        <v>289</v>
      </c>
      <c r="G55" s="60"/>
      <c r="H55" s="60"/>
      <c r="I55" s="193"/>
      <c r="J55" s="200">
        <f t="shared" si="0"/>
        <v>0</v>
      </c>
      <c r="K55" s="60">
        <v>175</v>
      </c>
      <c r="L55" s="60"/>
      <c r="M55" s="226"/>
      <c r="N55" s="248" t="s">
        <v>314</v>
      </c>
      <c r="O55" s="227"/>
      <c r="P55" s="227"/>
      <c r="Q55" s="249"/>
      <c r="R55" s="194"/>
      <c r="S55" s="195"/>
      <c r="T55" s="196"/>
      <c r="U55" s="195"/>
      <c r="V55" s="197"/>
    </row>
    <row r="56" spans="1:22" s="198" customFormat="1" ht="25.05" customHeight="1">
      <c r="A56" s="26">
        <v>3</v>
      </c>
      <c r="B56" s="27" t="s">
        <v>130</v>
      </c>
      <c r="C56" s="288" t="s">
        <v>315</v>
      </c>
      <c r="D56" s="191"/>
      <c r="E56" s="29">
        <v>1</v>
      </c>
      <c r="F56" s="30" t="s">
        <v>289</v>
      </c>
      <c r="G56" s="60"/>
      <c r="H56" s="60"/>
      <c r="I56" s="193"/>
      <c r="J56" s="200">
        <f t="shared" si="0"/>
        <v>0</v>
      </c>
      <c r="K56" s="60">
        <v>175</v>
      </c>
      <c r="L56" s="60"/>
      <c r="M56" s="226"/>
      <c r="N56" s="248" t="s">
        <v>316</v>
      </c>
      <c r="O56" s="227"/>
      <c r="P56" s="227"/>
      <c r="Q56" s="249"/>
      <c r="R56" s="194"/>
      <c r="S56" s="195"/>
      <c r="T56" s="196"/>
      <c r="U56" s="195"/>
      <c r="V56" s="197"/>
    </row>
    <row r="57" spans="1:22" s="198" customFormat="1" ht="25.05" customHeight="1">
      <c r="A57" s="26">
        <v>4</v>
      </c>
      <c r="B57" s="27" t="s">
        <v>130</v>
      </c>
      <c r="C57" s="288" t="s">
        <v>317</v>
      </c>
      <c r="D57" s="191"/>
      <c r="E57" s="29">
        <v>1</v>
      </c>
      <c r="F57" s="30" t="s">
        <v>289</v>
      </c>
      <c r="G57" s="60"/>
      <c r="H57" s="60"/>
      <c r="I57" s="193"/>
      <c r="J57" s="200">
        <f t="shared" si="0"/>
        <v>0</v>
      </c>
      <c r="K57" s="60">
        <v>175</v>
      </c>
      <c r="L57" s="60"/>
      <c r="M57" s="226"/>
      <c r="N57" s="248" t="s">
        <v>318</v>
      </c>
      <c r="O57" s="227"/>
      <c r="P57" s="227"/>
      <c r="Q57" s="249"/>
      <c r="R57" s="194"/>
      <c r="S57" s="195"/>
      <c r="T57" s="196"/>
      <c r="U57" s="195"/>
      <c r="V57" s="197"/>
    </row>
    <row r="58" spans="1:22" s="198" customFormat="1" ht="25.05" customHeight="1">
      <c r="A58" s="264"/>
      <c r="B58" s="265"/>
      <c r="C58" s="289"/>
      <c r="D58" s="202"/>
      <c r="E58" s="266"/>
      <c r="F58" s="202"/>
      <c r="G58" s="267">
        <v>500</v>
      </c>
      <c r="H58" s="267">
        <v>220</v>
      </c>
      <c r="I58" s="268">
        <v>160</v>
      </c>
      <c r="J58" s="269">
        <f>ROUND(I58*H58*G58/1000000,3)</f>
        <v>17.600000000000001</v>
      </c>
      <c r="K58" s="267">
        <v>700</v>
      </c>
      <c r="L58" s="267">
        <v>800</v>
      </c>
      <c r="M58" s="224"/>
      <c r="N58" s="246"/>
      <c r="O58" s="225"/>
      <c r="P58" s="225"/>
      <c r="Q58" s="247"/>
      <c r="R58" s="194"/>
      <c r="S58" s="195"/>
      <c r="T58" s="196"/>
      <c r="U58" s="195"/>
      <c r="V58" s="197"/>
    </row>
    <row r="59" spans="1:22" s="198" customFormat="1" ht="25.05" customHeight="1">
      <c r="A59" s="26">
        <v>1</v>
      </c>
      <c r="B59" s="27" t="s">
        <v>132</v>
      </c>
      <c r="C59" s="288" t="s">
        <v>319</v>
      </c>
      <c r="D59" s="191"/>
      <c r="E59" s="29">
        <v>1</v>
      </c>
      <c r="F59" s="30" t="s">
        <v>289</v>
      </c>
      <c r="G59" s="60"/>
      <c r="H59" s="60"/>
      <c r="I59" s="193"/>
      <c r="J59" s="200">
        <f t="shared" si="0"/>
        <v>0</v>
      </c>
      <c r="K59" s="60">
        <v>328</v>
      </c>
      <c r="L59" s="60"/>
      <c r="M59" s="226"/>
      <c r="N59" s="248" t="s">
        <v>320</v>
      </c>
      <c r="O59" s="227"/>
      <c r="P59" s="227"/>
      <c r="Q59" s="249"/>
      <c r="R59" s="194"/>
      <c r="S59" s="195"/>
      <c r="T59" s="196"/>
      <c r="U59" s="195"/>
      <c r="V59" s="197"/>
    </row>
    <row r="60" spans="1:22" s="198" customFormat="1" ht="25.05" customHeight="1">
      <c r="A60" s="26">
        <v>2</v>
      </c>
      <c r="B60" s="27" t="s">
        <v>132</v>
      </c>
      <c r="C60" s="288" t="s">
        <v>321</v>
      </c>
      <c r="D60" s="191"/>
      <c r="E60" s="29">
        <v>1</v>
      </c>
      <c r="F60" s="30" t="s">
        <v>289</v>
      </c>
      <c r="G60" s="60"/>
      <c r="H60" s="60"/>
      <c r="I60" s="193"/>
      <c r="J60" s="200">
        <f t="shared" si="0"/>
        <v>0</v>
      </c>
      <c r="K60" s="60">
        <v>209</v>
      </c>
      <c r="L60" s="60"/>
      <c r="M60" s="226"/>
      <c r="N60" s="248" t="s">
        <v>322</v>
      </c>
      <c r="O60" s="227"/>
      <c r="P60" s="227"/>
      <c r="Q60" s="249"/>
      <c r="R60" s="194"/>
      <c r="S60" s="195"/>
      <c r="T60" s="196"/>
      <c r="U60" s="195"/>
      <c r="V60" s="197"/>
    </row>
    <row r="61" spans="1:22" s="198" customFormat="1" ht="25.05" customHeight="1">
      <c r="A61" s="26">
        <v>3</v>
      </c>
      <c r="B61" s="27" t="s">
        <v>132</v>
      </c>
      <c r="C61" s="288" t="s">
        <v>323</v>
      </c>
      <c r="D61" s="191"/>
      <c r="E61" s="29">
        <v>1</v>
      </c>
      <c r="F61" s="30" t="s">
        <v>289</v>
      </c>
      <c r="G61" s="60"/>
      <c r="H61" s="60"/>
      <c r="I61" s="193"/>
      <c r="J61" s="200">
        <f t="shared" si="0"/>
        <v>0</v>
      </c>
      <c r="K61" s="60">
        <v>25</v>
      </c>
      <c r="L61" s="60"/>
      <c r="M61" s="226"/>
      <c r="N61" s="248" t="s">
        <v>324</v>
      </c>
      <c r="O61" s="227"/>
      <c r="P61" s="227"/>
      <c r="Q61" s="249"/>
      <c r="R61" s="194"/>
      <c r="S61" s="195"/>
      <c r="T61" s="196"/>
      <c r="U61" s="195"/>
      <c r="V61" s="197"/>
    </row>
    <row r="62" spans="1:22" s="198" customFormat="1" ht="25.05" customHeight="1">
      <c r="A62" s="26">
        <v>4</v>
      </c>
      <c r="B62" s="27" t="s">
        <v>132</v>
      </c>
      <c r="C62" s="288" t="s">
        <v>325</v>
      </c>
      <c r="D62" s="191"/>
      <c r="E62" s="29">
        <v>1</v>
      </c>
      <c r="F62" s="30" t="s">
        <v>289</v>
      </c>
      <c r="G62" s="60"/>
      <c r="H62" s="60"/>
      <c r="I62" s="193"/>
      <c r="J62" s="200">
        <f t="shared" si="0"/>
        <v>0</v>
      </c>
      <c r="K62" s="60">
        <v>16.899999999999999</v>
      </c>
      <c r="L62" s="60"/>
      <c r="M62" s="226"/>
      <c r="N62" s="248" t="s">
        <v>326</v>
      </c>
      <c r="O62" s="227"/>
      <c r="P62" s="227"/>
      <c r="Q62" s="249"/>
      <c r="R62" s="194"/>
      <c r="S62" s="195"/>
      <c r="T62" s="196"/>
      <c r="U62" s="195"/>
      <c r="V62" s="197"/>
    </row>
    <row r="63" spans="1:22" s="198" customFormat="1" ht="25.05" customHeight="1">
      <c r="A63" s="26">
        <v>5</v>
      </c>
      <c r="B63" s="27" t="s">
        <v>132</v>
      </c>
      <c r="C63" s="288" t="s">
        <v>327</v>
      </c>
      <c r="D63" s="191"/>
      <c r="E63" s="29">
        <v>1</v>
      </c>
      <c r="F63" s="30" t="s">
        <v>289</v>
      </c>
      <c r="G63" s="60"/>
      <c r="H63" s="60"/>
      <c r="I63" s="193"/>
      <c r="J63" s="200">
        <f t="shared" si="0"/>
        <v>0</v>
      </c>
      <c r="K63" s="60">
        <v>19</v>
      </c>
      <c r="L63" s="60"/>
      <c r="M63" s="226"/>
      <c r="N63" s="248" t="s">
        <v>328</v>
      </c>
      <c r="O63" s="227"/>
      <c r="P63" s="227"/>
      <c r="Q63" s="249"/>
      <c r="R63" s="194"/>
      <c r="S63" s="195"/>
      <c r="T63" s="196"/>
      <c r="U63" s="195"/>
      <c r="V63" s="197"/>
    </row>
    <row r="64" spans="1:22" s="198" customFormat="1" ht="25.05" customHeight="1">
      <c r="A64" s="264"/>
      <c r="B64" s="265"/>
      <c r="C64" s="289"/>
      <c r="D64" s="202"/>
      <c r="E64" s="266"/>
      <c r="F64" s="202"/>
      <c r="G64" s="267">
        <v>465</v>
      </c>
      <c r="H64" s="267">
        <v>188</v>
      </c>
      <c r="I64" s="268">
        <v>130.6</v>
      </c>
      <c r="J64" s="269">
        <f>ROUND(I64*H64*G64/1000000,3)</f>
        <v>11.417</v>
      </c>
      <c r="K64" s="267">
        <v>597.9</v>
      </c>
      <c r="L64" s="267">
        <v>697.9</v>
      </c>
      <c r="M64" s="224"/>
      <c r="N64" s="246"/>
      <c r="O64" s="225"/>
      <c r="P64" s="225"/>
      <c r="Q64" s="247"/>
      <c r="R64" s="194"/>
      <c r="S64" s="195"/>
      <c r="T64" s="196"/>
      <c r="U64" s="195"/>
      <c r="V64" s="197"/>
    </row>
    <row r="65" spans="1:22" s="198" customFormat="1" ht="25.05" customHeight="1">
      <c r="A65" s="26">
        <v>1</v>
      </c>
      <c r="B65" s="27" t="s">
        <v>134</v>
      </c>
      <c r="C65" s="288" t="s">
        <v>329</v>
      </c>
      <c r="D65" s="191"/>
      <c r="E65" s="29">
        <v>1</v>
      </c>
      <c r="F65" s="30" t="s">
        <v>289</v>
      </c>
      <c r="G65" s="60"/>
      <c r="H65" s="60"/>
      <c r="I65" s="193"/>
      <c r="J65" s="200"/>
      <c r="K65" s="60"/>
      <c r="L65" s="60"/>
      <c r="M65" s="226"/>
      <c r="N65" s="250"/>
      <c r="O65" s="227"/>
      <c r="P65" s="227"/>
      <c r="Q65" s="249"/>
      <c r="R65" s="194"/>
      <c r="S65" s="195"/>
      <c r="T65" s="196"/>
      <c r="U65" s="195"/>
      <c r="V65" s="197"/>
    </row>
    <row r="66" spans="1:22" s="198" customFormat="1" ht="25.05" customHeight="1">
      <c r="A66" s="264"/>
      <c r="B66" s="265"/>
      <c r="C66" s="289"/>
      <c r="D66" s="202"/>
      <c r="E66" s="266"/>
      <c r="F66" s="202"/>
      <c r="G66" s="267">
        <v>255</v>
      </c>
      <c r="H66" s="267">
        <v>145</v>
      </c>
      <c r="I66" s="268">
        <v>235</v>
      </c>
      <c r="J66" s="269">
        <f t="shared" si="0"/>
        <v>8.6890000000000001</v>
      </c>
      <c r="K66" s="267">
        <v>1005</v>
      </c>
      <c r="L66" s="267">
        <v>1105</v>
      </c>
      <c r="M66" s="224"/>
      <c r="N66" s="246"/>
      <c r="O66" s="225"/>
      <c r="P66" s="225"/>
      <c r="Q66" s="247"/>
      <c r="R66" s="194"/>
      <c r="S66" s="195"/>
      <c r="T66" s="196"/>
      <c r="U66" s="195"/>
      <c r="V66" s="197"/>
    </row>
    <row r="67" spans="1:22" s="198" customFormat="1" ht="25.05" customHeight="1">
      <c r="A67" s="26">
        <v>1</v>
      </c>
      <c r="B67" s="27" t="s">
        <v>136</v>
      </c>
      <c r="C67" s="288" t="s">
        <v>137</v>
      </c>
      <c r="D67" s="191"/>
      <c r="E67" s="29">
        <v>1</v>
      </c>
      <c r="F67" s="30" t="s">
        <v>289</v>
      </c>
      <c r="G67" s="60"/>
      <c r="H67" s="60"/>
      <c r="I67" s="193"/>
      <c r="J67" s="200"/>
      <c r="K67" s="60"/>
      <c r="L67" s="60"/>
      <c r="M67" s="226"/>
      <c r="N67" s="250"/>
      <c r="O67" s="227"/>
      <c r="P67" s="227"/>
      <c r="Q67" s="249"/>
      <c r="R67" s="194"/>
      <c r="S67" s="195"/>
      <c r="T67" s="196"/>
      <c r="U67" s="195"/>
      <c r="V67" s="197"/>
    </row>
    <row r="68" spans="1:22" s="198" customFormat="1" ht="25.05" customHeight="1">
      <c r="A68" s="264"/>
      <c r="B68" s="265"/>
      <c r="C68" s="289"/>
      <c r="D68" s="202"/>
      <c r="E68" s="266"/>
      <c r="F68" s="202"/>
      <c r="G68" s="267">
        <v>255</v>
      </c>
      <c r="H68" s="267">
        <v>145</v>
      </c>
      <c r="I68" s="268">
        <v>235</v>
      </c>
      <c r="J68" s="269">
        <f t="shared" si="0"/>
        <v>8.6890000000000001</v>
      </c>
      <c r="K68" s="267">
        <v>1005</v>
      </c>
      <c r="L68" s="267">
        <v>1105</v>
      </c>
      <c r="M68" s="224"/>
      <c r="N68" s="246"/>
      <c r="O68" s="225"/>
      <c r="P68" s="225"/>
      <c r="Q68" s="247"/>
      <c r="R68" s="194"/>
      <c r="S68" s="195"/>
      <c r="T68" s="196"/>
      <c r="U68" s="195"/>
      <c r="V68" s="197"/>
    </row>
    <row r="69" spans="1:22" s="198" customFormat="1" ht="25.05" customHeight="1">
      <c r="A69" s="26">
        <v>1</v>
      </c>
      <c r="B69" s="27" t="s">
        <v>138</v>
      </c>
      <c r="C69" s="288" t="s">
        <v>139</v>
      </c>
      <c r="D69" s="191"/>
      <c r="E69" s="29">
        <v>1</v>
      </c>
      <c r="F69" s="30" t="s">
        <v>289</v>
      </c>
      <c r="G69" s="60"/>
      <c r="H69" s="60"/>
      <c r="I69" s="193"/>
      <c r="J69" s="200"/>
      <c r="K69" s="60"/>
      <c r="L69" s="60"/>
      <c r="M69" s="226"/>
      <c r="N69" s="250"/>
      <c r="O69" s="227"/>
      <c r="P69" s="227"/>
      <c r="Q69" s="249"/>
      <c r="R69" s="194"/>
      <c r="S69" s="195"/>
      <c r="T69" s="196"/>
      <c r="U69" s="195"/>
      <c r="V69" s="197"/>
    </row>
    <row r="70" spans="1:22" s="198" customFormat="1" ht="25.05" customHeight="1">
      <c r="A70" s="264"/>
      <c r="B70" s="265"/>
      <c r="C70" s="289"/>
      <c r="D70" s="202"/>
      <c r="E70" s="266"/>
      <c r="F70" s="202"/>
      <c r="G70" s="267">
        <v>255</v>
      </c>
      <c r="H70" s="267">
        <v>145</v>
      </c>
      <c r="I70" s="268">
        <v>235</v>
      </c>
      <c r="J70" s="269">
        <f t="shared" si="0"/>
        <v>8.6890000000000001</v>
      </c>
      <c r="K70" s="267">
        <v>1005</v>
      </c>
      <c r="L70" s="267">
        <v>1105</v>
      </c>
      <c r="M70" s="224"/>
      <c r="N70" s="246"/>
      <c r="O70" s="225"/>
      <c r="P70" s="225"/>
      <c r="Q70" s="247"/>
      <c r="R70" s="194"/>
      <c r="S70" s="195"/>
      <c r="T70" s="196"/>
      <c r="U70" s="195"/>
      <c r="V70" s="197"/>
    </row>
    <row r="71" spans="1:22" s="198" customFormat="1" ht="25.05" customHeight="1">
      <c r="A71" s="26">
        <v>1</v>
      </c>
      <c r="B71" s="27" t="s">
        <v>140</v>
      </c>
      <c r="C71" s="288" t="s">
        <v>330</v>
      </c>
      <c r="D71" s="191"/>
      <c r="E71" s="29">
        <v>1</v>
      </c>
      <c r="F71" s="30" t="s">
        <v>289</v>
      </c>
      <c r="G71" s="60"/>
      <c r="H71" s="60"/>
      <c r="I71" s="193"/>
      <c r="J71" s="200"/>
      <c r="K71" s="60"/>
      <c r="L71" s="60"/>
      <c r="M71" s="226"/>
      <c r="N71" s="250"/>
      <c r="O71" s="227"/>
      <c r="P71" s="227"/>
      <c r="Q71" s="249"/>
      <c r="R71" s="194"/>
      <c r="S71" s="195"/>
      <c r="T71" s="196"/>
      <c r="U71" s="195"/>
      <c r="V71" s="197"/>
    </row>
    <row r="72" spans="1:22" s="198" customFormat="1" ht="25.05" customHeight="1">
      <c r="A72" s="264"/>
      <c r="B72" s="265"/>
      <c r="C72" s="289"/>
      <c r="D72" s="202"/>
      <c r="E72" s="266"/>
      <c r="F72" s="202"/>
      <c r="G72" s="267">
        <v>255</v>
      </c>
      <c r="H72" s="267">
        <v>145</v>
      </c>
      <c r="I72" s="268">
        <v>235</v>
      </c>
      <c r="J72" s="269">
        <f t="shared" si="0"/>
        <v>8.6890000000000001</v>
      </c>
      <c r="K72" s="267">
        <v>1005</v>
      </c>
      <c r="L72" s="267">
        <v>1105</v>
      </c>
      <c r="M72" s="224"/>
      <c r="N72" s="246"/>
      <c r="O72" s="225"/>
      <c r="P72" s="225"/>
      <c r="Q72" s="247"/>
      <c r="R72" s="194"/>
      <c r="S72" s="195"/>
      <c r="T72" s="196"/>
      <c r="U72" s="195"/>
      <c r="V72" s="197"/>
    </row>
    <row r="73" spans="1:22" s="198" customFormat="1" ht="25.05" customHeight="1">
      <c r="A73" s="26">
        <v>1</v>
      </c>
      <c r="B73" s="27" t="s">
        <v>141</v>
      </c>
      <c r="C73" s="288" t="s">
        <v>331</v>
      </c>
      <c r="D73" s="191"/>
      <c r="E73" s="29">
        <v>1</v>
      </c>
      <c r="F73" s="30" t="s">
        <v>289</v>
      </c>
      <c r="G73" s="60"/>
      <c r="H73" s="60"/>
      <c r="I73" s="193"/>
      <c r="J73" s="200">
        <f t="shared" si="0"/>
        <v>0</v>
      </c>
      <c r="K73" s="60">
        <v>741</v>
      </c>
      <c r="L73" s="60"/>
      <c r="M73" s="226" t="s">
        <v>332</v>
      </c>
      <c r="N73" s="248" t="s">
        <v>333</v>
      </c>
      <c r="O73" s="227"/>
      <c r="P73" s="227"/>
      <c r="Q73" s="249"/>
      <c r="R73" s="194"/>
      <c r="S73" s="195"/>
      <c r="T73" s="196"/>
      <c r="U73" s="195"/>
      <c r="V73" s="197"/>
    </row>
    <row r="74" spans="1:22" s="198" customFormat="1" ht="25.05" customHeight="1">
      <c r="A74" s="26">
        <v>2</v>
      </c>
      <c r="B74" s="27" t="s">
        <v>141</v>
      </c>
      <c r="C74" s="288" t="s">
        <v>334</v>
      </c>
      <c r="D74" s="191"/>
      <c r="E74" s="29">
        <v>1</v>
      </c>
      <c r="F74" s="30" t="s">
        <v>289</v>
      </c>
      <c r="G74" s="60"/>
      <c r="H74" s="60"/>
      <c r="I74" s="193"/>
      <c r="J74" s="200">
        <f t="shared" si="0"/>
        <v>0</v>
      </c>
      <c r="K74" s="60">
        <v>745</v>
      </c>
      <c r="L74" s="60"/>
      <c r="M74" s="226" t="s">
        <v>332</v>
      </c>
      <c r="N74" s="248" t="s">
        <v>335</v>
      </c>
      <c r="O74" s="227"/>
      <c r="P74" s="227"/>
      <c r="Q74" s="249"/>
      <c r="R74" s="194"/>
      <c r="S74" s="195"/>
      <c r="T74" s="196"/>
      <c r="U74" s="195"/>
      <c r="V74" s="197"/>
    </row>
    <row r="75" spans="1:22" s="198" customFormat="1" ht="25.05" customHeight="1">
      <c r="A75" s="26">
        <v>3</v>
      </c>
      <c r="B75" s="27" t="s">
        <v>141</v>
      </c>
      <c r="C75" s="288" t="s">
        <v>336</v>
      </c>
      <c r="D75" s="191"/>
      <c r="E75" s="29">
        <v>1</v>
      </c>
      <c r="F75" s="30" t="s">
        <v>289</v>
      </c>
      <c r="G75" s="60"/>
      <c r="H75" s="60"/>
      <c r="I75" s="193"/>
      <c r="J75" s="200">
        <f t="shared" si="0"/>
        <v>0</v>
      </c>
      <c r="K75" s="60">
        <v>741</v>
      </c>
      <c r="L75" s="60"/>
      <c r="M75" s="226" t="s">
        <v>332</v>
      </c>
      <c r="N75" s="248" t="s">
        <v>337</v>
      </c>
      <c r="O75" s="227"/>
      <c r="P75" s="227"/>
      <c r="Q75" s="249"/>
      <c r="R75" s="194"/>
      <c r="S75" s="195"/>
      <c r="T75" s="196"/>
      <c r="U75" s="195"/>
      <c r="V75" s="197"/>
    </row>
    <row r="76" spans="1:22" s="198" customFormat="1" ht="25.05" customHeight="1">
      <c r="A76" s="26">
        <v>4</v>
      </c>
      <c r="B76" s="27" t="s">
        <v>141</v>
      </c>
      <c r="C76" s="288" t="s">
        <v>338</v>
      </c>
      <c r="D76" s="191"/>
      <c r="E76" s="29">
        <v>1</v>
      </c>
      <c r="F76" s="30" t="s">
        <v>289</v>
      </c>
      <c r="G76" s="60"/>
      <c r="H76" s="60"/>
      <c r="I76" s="193"/>
      <c r="J76" s="200">
        <f t="shared" si="0"/>
        <v>0</v>
      </c>
      <c r="K76" s="60">
        <v>745</v>
      </c>
      <c r="L76" s="60"/>
      <c r="M76" s="226" t="s">
        <v>332</v>
      </c>
      <c r="N76" s="248" t="s">
        <v>339</v>
      </c>
      <c r="O76" s="227"/>
      <c r="P76" s="227"/>
      <c r="Q76" s="249"/>
      <c r="R76" s="194"/>
      <c r="S76" s="195"/>
      <c r="T76" s="196"/>
      <c r="U76" s="195"/>
      <c r="V76" s="197"/>
    </row>
    <row r="77" spans="1:22" s="198" customFormat="1" ht="25.05" customHeight="1">
      <c r="A77" s="26">
        <v>5</v>
      </c>
      <c r="B77" s="27" t="s">
        <v>141</v>
      </c>
      <c r="C77" s="288" t="s">
        <v>340</v>
      </c>
      <c r="D77" s="191"/>
      <c r="E77" s="29">
        <v>1</v>
      </c>
      <c r="F77" s="30" t="s">
        <v>289</v>
      </c>
      <c r="G77" s="60"/>
      <c r="H77" s="60"/>
      <c r="I77" s="193"/>
      <c r="J77" s="200">
        <f t="shared" si="0"/>
        <v>0</v>
      </c>
      <c r="K77" s="60">
        <v>747</v>
      </c>
      <c r="L77" s="60"/>
      <c r="M77" s="226" t="s">
        <v>341</v>
      </c>
      <c r="N77" s="248" t="s">
        <v>342</v>
      </c>
      <c r="O77" s="227"/>
      <c r="P77" s="227"/>
      <c r="Q77" s="249"/>
      <c r="R77" s="194"/>
      <c r="S77" s="195"/>
      <c r="T77" s="196"/>
      <c r="U77" s="195"/>
      <c r="V77" s="197"/>
    </row>
    <row r="78" spans="1:22" s="198" customFormat="1" ht="25.05" customHeight="1">
      <c r="A78" s="26">
        <v>6</v>
      </c>
      <c r="B78" s="27" t="s">
        <v>141</v>
      </c>
      <c r="C78" s="288" t="s">
        <v>343</v>
      </c>
      <c r="D78" s="191"/>
      <c r="E78" s="29">
        <v>1</v>
      </c>
      <c r="F78" s="30" t="s">
        <v>289</v>
      </c>
      <c r="G78" s="60"/>
      <c r="H78" s="60"/>
      <c r="I78" s="193"/>
      <c r="J78" s="200">
        <f t="shared" si="0"/>
        <v>0</v>
      </c>
      <c r="K78" s="60">
        <v>749</v>
      </c>
      <c r="L78" s="60"/>
      <c r="M78" s="226" t="s">
        <v>344</v>
      </c>
      <c r="N78" s="248" t="s">
        <v>345</v>
      </c>
      <c r="O78" s="227"/>
      <c r="P78" s="227"/>
      <c r="Q78" s="249"/>
      <c r="R78" s="194"/>
      <c r="S78" s="195"/>
      <c r="T78" s="196"/>
      <c r="U78" s="195"/>
      <c r="V78" s="197"/>
    </row>
    <row r="79" spans="1:22" s="198" customFormat="1" ht="25.05" customHeight="1">
      <c r="A79" s="264"/>
      <c r="B79" s="265"/>
      <c r="C79" s="289"/>
      <c r="D79" s="202"/>
      <c r="E79" s="266"/>
      <c r="F79" s="202"/>
      <c r="G79" s="267">
        <v>610</v>
      </c>
      <c r="H79" s="267">
        <v>150</v>
      </c>
      <c r="I79" s="268">
        <v>110</v>
      </c>
      <c r="J79" s="269">
        <f>ROUND(I79*H79*G79/1000000,3)</f>
        <v>10.065</v>
      </c>
      <c r="K79" s="267">
        <f>SUM(K73:K78)</f>
        <v>4468</v>
      </c>
      <c r="L79" s="267">
        <f>K79+100</f>
        <v>4568</v>
      </c>
      <c r="M79" s="224"/>
      <c r="N79" s="246"/>
      <c r="O79" s="225"/>
      <c r="P79" s="225"/>
      <c r="Q79" s="247"/>
      <c r="R79" s="194"/>
      <c r="S79" s="195"/>
      <c r="T79" s="196"/>
      <c r="U79" s="195"/>
      <c r="V79" s="197"/>
    </row>
    <row r="80" spans="1:22" s="198" customFormat="1" ht="25.05" customHeight="1">
      <c r="A80" s="26">
        <v>1</v>
      </c>
      <c r="B80" s="27" t="s">
        <v>143</v>
      </c>
      <c r="C80" s="288" t="s">
        <v>346</v>
      </c>
      <c r="D80" s="191"/>
      <c r="E80" s="29">
        <v>1</v>
      </c>
      <c r="F80" s="30" t="s">
        <v>289</v>
      </c>
      <c r="G80" s="60"/>
      <c r="H80" s="60"/>
      <c r="I80" s="193"/>
      <c r="J80" s="200">
        <f t="shared" si="0"/>
        <v>0</v>
      </c>
      <c r="K80" s="60">
        <v>424</v>
      </c>
      <c r="L80" s="60"/>
      <c r="M80" s="226" t="s">
        <v>347</v>
      </c>
      <c r="N80" s="248" t="s">
        <v>348</v>
      </c>
      <c r="O80" s="227"/>
      <c r="P80" s="227"/>
      <c r="Q80" s="249"/>
      <c r="R80" s="194"/>
      <c r="S80" s="195"/>
      <c r="T80" s="196"/>
      <c r="U80" s="195"/>
      <c r="V80" s="197"/>
    </row>
    <row r="81" spans="1:22" s="198" customFormat="1" ht="25.05" customHeight="1">
      <c r="A81" s="26">
        <v>2</v>
      </c>
      <c r="B81" s="27" t="s">
        <v>143</v>
      </c>
      <c r="C81" s="288" t="s">
        <v>349</v>
      </c>
      <c r="D81" s="191"/>
      <c r="E81" s="29">
        <v>1</v>
      </c>
      <c r="F81" s="30" t="s">
        <v>289</v>
      </c>
      <c r="G81" s="60"/>
      <c r="H81" s="60"/>
      <c r="I81" s="193"/>
      <c r="J81" s="200">
        <f t="shared" si="0"/>
        <v>0</v>
      </c>
      <c r="K81" s="60">
        <v>747</v>
      </c>
      <c r="L81" s="60"/>
      <c r="M81" s="226" t="s">
        <v>350</v>
      </c>
      <c r="N81" s="248" t="s">
        <v>351</v>
      </c>
      <c r="O81" s="227"/>
      <c r="P81" s="227"/>
      <c r="Q81" s="249"/>
      <c r="R81" s="194"/>
      <c r="S81" s="195"/>
      <c r="T81" s="196"/>
      <c r="U81" s="195"/>
      <c r="V81" s="197"/>
    </row>
    <row r="82" spans="1:22" s="198" customFormat="1" ht="25.05" customHeight="1">
      <c r="A82" s="26">
        <v>3</v>
      </c>
      <c r="B82" s="27" t="s">
        <v>143</v>
      </c>
      <c r="C82" s="288" t="s">
        <v>352</v>
      </c>
      <c r="D82" s="191"/>
      <c r="E82" s="29">
        <v>1</v>
      </c>
      <c r="F82" s="30" t="s">
        <v>289</v>
      </c>
      <c r="G82" s="60"/>
      <c r="H82" s="60"/>
      <c r="I82" s="193"/>
      <c r="J82" s="200">
        <f t="shared" si="0"/>
        <v>0</v>
      </c>
      <c r="K82" s="60">
        <v>741</v>
      </c>
      <c r="L82" s="60"/>
      <c r="M82" s="226" t="s">
        <v>350</v>
      </c>
      <c r="N82" s="248" t="s">
        <v>353</v>
      </c>
      <c r="O82" s="227"/>
      <c r="P82" s="227"/>
      <c r="Q82" s="249"/>
      <c r="R82" s="194"/>
      <c r="S82" s="195"/>
      <c r="T82" s="196"/>
      <c r="U82" s="195"/>
      <c r="V82" s="197"/>
    </row>
    <row r="83" spans="1:22" s="198" customFormat="1" ht="25.05" customHeight="1">
      <c r="A83" s="26">
        <v>4</v>
      </c>
      <c r="B83" s="27" t="s">
        <v>143</v>
      </c>
      <c r="C83" s="288" t="s">
        <v>354</v>
      </c>
      <c r="D83" s="191"/>
      <c r="E83" s="29">
        <v>1</v>
      </c>
      <c r="F83" s="30" t="s">
        <v>289</v>
      </c>
      <c r="G83" s="60"/>
      <c r="H83" s="60"/>
      <c r="I83" s="193"/>
      <c r="J83" s="200">
        <f t="shared" si="0"/>
        <v>0</v>
      </c>
      <c r="K83" s="60">
        <v>747</v>
      </c>
      <c r="L83" s="60"/>
      <c r="M83" s="226" t="s">
        <v>350</v>
      </c>
      <c r="N83" s="248" t="s">
        <v>355</v>
      </c>
      <c r="O83" s="227"/>
      <c r="P83" s="227"/>
      <c r="Q83" s="249"/>
      <c r="R83" s="194"/>
      <c r="S83" s="195"/>
      <c r="T83" s="196"/>
      <c r="U83" s="195"/>
      <c r="V83" s="197"/>
    </row>
    <row r="84" spans="1:22" s="198" customFormat="1" ht="25.05" customHeight="1">
      <c r="A84" s="26">
        <v>5</v>
      </c>
      <c r="B84" s="27" t="s">
        <v>143</v>
      </c>
      <c r="C84" s="288" t="s">
        <v>356</v>
      </c>
      <c r="D84" s="191"/>
      <c r="E84" s="29">
        <v>1</v>
      </c>
      <c r="F84" s="30" t="s">
        <v>289</v>
      </c>
      <c r="G84" s="60"/>
      <c r="H84" s="60"/>
      <c r="I84" s="193"/>
      <c r="J84" s="200">
        <f t="shared" si="0"/>
        <v>0</v>
      </c>
      <c r="K84" s="60">
        <v>743</v>
      </c>
      <c r="L84" s="60"/>
      <c r="M84" s="226" t="s">
        <v>350</v>
      </c>
      <c r="N84" s="248" t="s">
        <v>357</v>
      </c>
      <c r="O84" s="227"/>
      <c r="P84" s="227"/>
      <c r="Q84" s="249"/>
      <c r="R84" s="194"/>
      <c r="S84" s="195"/>
      <c r="T84" s="196"/>
      <c r="U84" s="195"/>
      <c r="V84" s="197"/>
    </row>
    <row r="85" spans="1:22" s="198" customFormat="1" ht="25.05" customHeight="1">
      <c r="A85" s="26">
        <v>6</v>
      </c>
      <c r="B85" s="27" t="s">
        <v>143</v>
      </c>
      <c r="C85" s="288" t="s">
        <v>358</v>
      </c>
      <c r="D85" s="191"/>
      <c r="E85" s="29">
        <v>1</v>
      </c>
      <c r="F85" s="30" t="s">
        <v>289</v>
      </c>
      <c r="G85" s="60"/>
      <c r="H85" s="60"/>
      <c r="I85" s="193"/>
      <c r="J85" s="200">
        <f t="shared" si="0"/>
        <v>0</v>
      </c>
      <c r="K85" s="60">
        <v>430</v>
      </c>
      <c r="L85" s="60"/>
      <c r="M85" s="226" t="s">
        <v>350</v>
      </c>
      <c r="N85" s="248" t="s">
        <v>359</v>
      </c>
      <c r="O85" s="227"/>
      <c r="P85" s="227"/>
      <c r="Q85" s="249"/>
      <c r="R85" s="194"/>
      <c r="S85" s="195"/>
      <c r="T85" s="196"/>
      <c r="U85" s="195"/>
      <c r="V85" s="197"/>
    </row>
    <row r="86" spans="1:22" s="198" customFormat="1" ht="25.05" customHeight="1">
      <c r="A86" s="264"/>
      <c r="B86" s="265"/>
      <c r="C86" s="289"/>
      <c r="D86" s="202"/>
      <c r="E86" s="266"/>
      <c r="F86" s="202"/>
      <c r="G86" s="267">
        <v>610</v>
      </c>
      <c r="H86" s="267">
        <v>150</v>
      </c>
      <c r="I86" s="268">
        <v>110</v>
      </c>
      <c r="J86" s="269">
        <f>ROUND(I86*H86*G86/1000000,3)</f>
        <v>10.065</v>
      </c>
      <c r="K86" s="267">
        <f>SUM(K80:K85)</f>
        <v>3832</v>
      </c>
      <c r="L86" s="267">
        <f>K86+100</f>
        <v>3932</v>
      </c>
      <c r="M86" s="224"/>
      <c r="N86" s="246"/>
      <c r="O86" s="225"/>
      <c r="P86" s="225"/>
      <c r="Q86" s="247"/>
      <c r="R86" s="194"/>
      <c r="S86" s="195"/>
      <c r="T86" s="196"/>
      <c r="U86" s="195"/>
      <c r="V86" s="197"/>
    </row>
    <row r="87" spans="1:22" s="198" customFormat="1" ht="25.05" customHeight="1">
      <c r="A87" s="26">
        <v>1</v>
      </c>
      <c r="B87" s="27" t="s">
        <v>144</v>
      </c>
      <c r="C87" s="288" t="s">
        <v>360</v>
      </c>
      <c r="D87" s="191"/>
      <c r="E87" s="29">
        <v>1</v>
      </c>
      <c r="F87" s="30" t="s">
        <v>289</v>
      </c>
      <c r="G87" s="60"/>
      <c r="H87" s="60"/>
      <c r="I87" s="193"/>
      <c r="J87" s="200">
        <f t="shared" si="0"/>
        <v>0</v>
      </c>
      <c r="K87" s="60">
        <v>72</v>
      </c>
      <c r="L87" s="60"/>
      <c r="M87" s="226" t="s">
        <v>361</v>
      </c>
      <c r="N87" s="248" t="s">
        <v>362</v>
      </c>
      <c r="O87" s="227"/>
      <c r="P87" s="227"/>
      <c r="Q87" s="249"/>
      <c r="R87" s="194"/>
      <c r="S87" s="195"/>
      <c r="T87" s="196"/>
      <c r="U87" s="195"/>
      <c r="V87" s="197"/>
    </row>
    <row r="88" spans="1:22" s="198" customFormat="1" ht="25.05" customHeight="1">
      <c r="A88" s="26">
        <v>2</v>
      </c>
      <c r="B88" s="27" t="s">
        <v>144</v>
      </c>
      <c r="C88" s="288" t="s">
        <v>363</v>
      </c>
      <c r="D88" s="191"/>
      <c r="E88" s="29">
        <v>1</v>
      </c>
      <c r="F88" s="30" t="s">
        <v>289</v>
      </c>
      <c r="G88" s="60"/>
      <c r="H88" s="60"/>
      <c r="I88" s="193"/>
      <c r="J88" s="200">
        <f t="shared" si="0"/>
        <v>0</v>
      </c>
      <c r="K88" s="60">
        <v>119</v>
      </c>
      <c r="L88" s="60"/>
      <c r="M88" s="226" t="s">
        <v>361</v>
      </c>
      <c r="N88" s="248" t="s">
        <v>364</v>
      </c>
      <c r="O88" s="227"/>
      <c r="P88" s="227"/>
      <c r="Q88" s="249"/>
      <c r="R88" s="194"/>
      <c r="S88" s="195"/>
      <c r="T88" s="196"/>
      <c r="U88" s="195"/>
      <c r="V88" s="197"/>
    </row>
    <row r="89" spans="1:22" s="198" customFormat="1" ht="25.05" customHeight="1">
      <c r="A89" s="26">
        <v>3</v>
      </c>
      <c r="B89" s="27" t="s">
        <v>144</v>
      </c>
      <c r="C89" s="288" t="s">
        <v>365</v>
      </c>
      <c r="D89" s="191"/>
      <c r="E89" s="29">
        <v>1</v>
      </c>
      <c r="F89" s="30" t="s">
        <v>289</v>
      </c>
      <c r="G89" s="60"/>
      <c r="H89" s="60"/>
      <c r="I89" s="193"/>
      <c r="J89" s="200">
        <f t="shared" si="0"/>
        <v>0</v>
      </c>
      <c r="K89" s="60">
        <v>170</v>
      </c>
      <c r="L89" s="60"/>
      <c r="M89" s="226" t="s">
        <v>366</v>
      </c>
      <c r="N89" s="248" t="s">
        <v>367</v>
      </c>
      <c r="O89" s="227"/>
      <c r="P89" s="227"/>
      <c r="Q89" s="249"/>
      <c r="R89" s="194"/>
      <c r="S89" s="195"/>
      <c r="T89" s="196"/>
      <c r="U89" s="195"/>
      <c r="V89" s="197"/>
    </row>
    <row r="90" spans="1:22" s="198" customFormat="1" ht="25.05" customHeight="1">
      <c r="A90" s="26">
        <v>4</v>
      </c>
      <c r="B90" s="27" t="s">
        <v>144</v>
      </c>
      <c r="C90" s="288" t="s">
        <v>368</v>
      </c>
      <c r="D90" s="191"/>
      <c r="E90" s="29">
        <v>1</v>
      </c>
      <c r="F90" s="30" t="s">
        <v>289</v>
      </c>
      <c r="G90" s="60"/>
      <c r="H90" s="60"/>
      <c r="I90" s="193"/>
      <c r="J90" s="200">
        <f t="shared" si="0"/>
        <v>0</v>
      </c>
      <c r="K90" s="60">
        <v>170</v>
      </c>
      <c r="L90" s="60"/>
      <c r="M90" s="226" t="s">
        <v>369</v>
      </c>
      <c r="N90" s="248" t="s">
        <v>370</v>
      </c>
      <c r="O90" s="227"/>
      <c r="P90" s="227"/>
      <c r="Q90" s="249"/>
      <c r="R90" s="194"/>
      <c r="S90" s="195"/>
      <c r="T90" s="196"/>
      <c r="U90" s="195"/>
      <c r="V90" s="197"/>
    </row>
    <row r="91" spans="1:22" s="198" customFormat="1" ht="25.05" customHeight="1">
      <c r="A91" s="26">
        <v>5</v>
      </c>
      <c r="B91" s="27" t="s">
        <v>144</v>
      </c>
      <c r="C91" s="288" t="s">
        <v>371</v>
      </c>
      <c r="D91" s="191"/>
      <c r="E91" s="29">
        <v>1</v>
      </c>
      <c r="F91" s="30" t="s">
        <v>289</v>
      </c>
      <c r="G91" s="60"/>
      <c r="H91" s="60"/>
      <c r="I91" s="193"/>
      <c r="J91" s="200">
        <f t="shared" si="0"/>
        <v>0</v>
      </c>
      <c r="K91" s="60">
        <v>170</v>
      </c>
      <c r="L91" s="60"/>
      <c r="M91" s="226" t="s">
        <v>369</v>
      </c>
      <c r="N91" s="248" t="s">
        <v>372</v>
      </c>
      <c r="O91" s="227"/>
      <c r="P91" s="227"/>
      <c r="Q91" s="249"/>
      <c r="R91" s="194"/>
      <c r="S91" s="195"/>
      <c r="T91" s="196"/>
      <c r="U91" s="195"/>
      <c r="V91" s="197"/>
    </row>
    <row r="92" spans="1:22" s="198" customFormat="1" ht="25.05" customHeight="1">
      <c r="A92" s="26">
        <v>6</v>
      </c>
      <c r="B92" s="27" t="s">
        <v>144</v>
      </c>
      <c r="C92" s="288" t="s">
        <v>373</v>
      </c>
      <c r="D92" s="191"/>
      <c r="E92" s="29">
        <v>1</v>
      </c>
      <c r="F92" s="30" t="s">
        <v>289</v>
      </c>
      <c r="G92" s="60"/>
      <c r="H92" s="60"/>
      <c r="I92" s="193"/>
      <c r="J92" s="200">
        <f t="shared" si="0"/>
        <v>0</v>
      </c>
      <c r="K92" s="60">
        <v>170</v>
      </c>
      <c r="L92" s="60"/>
      <c r="M92" s="226" t="s">
        <v>369</v>
      </c>
      <c r="N92" s="248" t="s">
        <v>374</v>
      </c>
      <c r="O92" s="227"/>
      <c r="P92" s="227"/>
      <c r="Q92" s="249"/>
      <c r="R92" s="194"/>
      <c r="S92" s="195"/>
      <c r="T92" s="196"/>
      <c r="U92" s="195"/>
      <c r="V92" s="197"/>
    </row>
    <row r="93" spans="1:22" s="198" customFormat="1" ht="25.05" customHeight="1">
      <c r="A93" s="26">
        <v>7</v>
      </c>
      <c r="B93" s="27" t="s">
        <v>144</v>
      </c>
      <c r="C93" s="288" t="s">
        <v>375</v>
      </c>
      <c r="D93" s="191"/>
      <c r="E93" s="29">
        <v>1</v>
      </c>
      <c r="F93" s="30" t="s">
        <v>289</v>
      </c>
      <c r="G93" s="60"/>
      <c r="H93" s="60"/>
      <c r="I93" s="193"/>
      <c r="J93" s="200">
        <f t="shared" si="0"/>
        <v>0</v>
      </c>
      <c r="K93" s="60">
        <v>14</v>
      </c>
      <c r="L93" s="60"/>
      <c r="M93" s="226" t="s">
        <v>376</v>
      </c>
      <c r="N93" s="248" t="s">
        <v>377</v>
      </c>
      <c r="O93" s="227"/>
      <c r="P93" s="227"/>
      <c r="Q93" s="249"/>
      <c r="R93" s="194"/>
      <c r="S93" s="195"/>
      <c r="T93" s="196"/>
      <c r="U93" s="195"/>
      <c r="V93" s="197"/>
    </row>
    <row r="94" spans="1:22" s="198" customFormat="1" ht="25.05" customHeight="1">
      <c r="A94" s="26">
        <v>8</v>
      </c>
      <c r="B94" s="27" t="s">
        <v>144</v>
      </c>
      <c r="C94" s="288" t="s">
        <v>378</v>
      </c>
      <c r="D94" s="191"/>
      <c r="E94" s="29">
        <v>1</v>
      </c>
      <c r="F94" s="30" t="s">
        <v>289</v>
      </c>
      <c r="G94" s="60"/>
      <c r="H94" s="60"/>
      <c r="I94" s="193"/>
      <c r="J94" s="200">
        <f t="shared" si="0"/>
        <v>0</v>
      </c>
      <c r="K94" s="60">
        <v>8.5</v>
      </c>
      <c r="L94" s="60"/>
      <c r="M94" s="226" t="s">
        <v>376</v>
      </c>
      <c r="N94" s="248" t="s">
        <v>379</v>
      </c>
      <c r="O94" s="227"/>
      <c r="P94" s="227"/>
      <c r="Q94" s="249"/>
      <c r="R94" s="194"/>
      <c r="S94" s="195"/>
      <c r="T94" s="196"/>
      <c r="U94" s="195"/>
      <c r="V94" s="197"/>
    </row>
    <row r="95" spans="1:22" s="198" customFormat="1" ht="25.05" customHeight="1">
      <c r="A95" s="26">
        <v>9</v>
      </c>
      <c r="B95" s="27" t="s">
        <v>144</v>
      </c>
      <c r="C95" s="288" t="s">
        <v>380</v>
      </c>
      <c r="D95" s="191"/>
      <c r="E95" s="29">
        <v>1</v>
      </c>
      <c r="F95" s="30" t="s">
        <v>289</v>
      </c>
      <c r="G95" s="60"/>
      <c r="H95" s="60"/>
      <c r="I95" s="193"/>
      <c r="J95" s="200">
        <f t="shared" si="0"/>
        <v>0</v>
      </c>
      <c r="K95" s="60">
        <v>23</v>
      </c>
      <c r="L95" s="60"/>
      <c r="M95" s="226" t="s">
        <v>381</v>
      </c>
      <c r="N95" s="248" t="s">
        <v>382</v>
      </c>
      <c r="O95" s="227"/>
      <c r="P95" s="227"/>
      <c r="Q95" s="249"/>
      <c r="R95" s="194"/>
      <c r="S95" s="195"/>
      <c r="T95" s="196"/>
      <c r="U95" s="195"/>
      <c r="V95" s="197"/>
    </row>
    <row r="96" spans="1:22" s="198" customFormat="1" ht="25.05" customHeight="1">
      <c r="A96" s="26">
        <v>10</v>
      </c>
      <c r="B96" s="27" t="s">
        <v>144</v>
      </c>
      <c r="C96" s="288" t="s">
        <v>383</v>
      </c>
      <c r="D96" s="191"/>
      <c r="E96" s="29">
        <v>1</v>
      </c>
      <c r="F96" s="30" t="s">
        <v>289</v>
      </c>
      <c r="G96" s="60"/>
      <c r="H96" s="60"/>
      <c r="I96" s="193"/>
      <c r="J96" s="200">
        <f t="shared" si="0"/>
        <v>0</v>
      </c>
      <c r="K96" s="60">
        <v>8.5</v>
      </c>
      <c r="L96" s="60"/>
      <c r="M96" s="226" t="s">
        <v>384</v>
      </c>
      <c r="N96" s="248" t="s">
        <v>385</v>
      </c>
      <c r="O96" s="227"/>
      <c r="P96" s="227"/>
      <c r="Q96" s="249"/>
      <c r="R96" s="194"/>
      <c r="S96" s="195"/>
      <c r="T96" s="196"/>
      <c r="U96" s="195"/>
      <c r="V96" s="197"/>
    </row>
    <row r="97" spans="1:22" s="198" customFormat="1" ht="25.05" customHeight="1">
      <c r="A97" s="26">
        <v>11</v>
      </c>
      <c r="B97" s="27" t="s">
        <v>144</v>
      </c>
      <c r="C97" s="288" t="s">
        <v>386</v>
      </c>
      <c r="D97" s="191"/>
      <c r="E97" s="29">
        <v>1</v>
      </c>
      <c r="F97" s="30" t="s">
        <v>289</v>
      </c>
      <c r="G97" s="60"/>
      <c r="H97" s="60"/>
      <c r="I97" s="193"/>
      <c r="J97" s="200">
        <f t="shared" si="0"/>
        <v>0</v>
      </c>
      <c r="K97" s="60">
        <v>14</v>
      </c>
      <c r="L97" s="60"/>
      <c r="M97" s="226" t="s">
        <v>384</v>
      </c>
      <c r="N97" s="248" t="s">
        <v>387</v>
      </c>
      <c r="O97" s="227"/>
      <c r="P97" s="227"/>
      <c r="Q97" s="249"/>
      <c r="R97" s="194"/>
      <c r="S97" s="195"/>
      <c r="T97" s="196"/>
      <c r="U97" s="195"/>
      <c r="V97" s="197"/>
    </row>
    <row r="98" spans="1:22" s="198" customFormat="1" ht="25.05" customHeight="1">
      <c r="A98" s="264"/>
      <c r="B98" s="265"/>
      <c r="C98" s="289"/>
      <c r="D98" s="202"/>
      <c r="E98" s="266"/>
      <c r="F98" s="202"/>
      <c r="G98" s="267">
        <v>625</v>
      </c>
      <c r="H98" s="267">
        <v>115</v>
      </c>
      <c r="I98" s="268">
        <v>75</v>
      </c>
      <c r="J98" s="269">
        <f>ROUND(I98*H98*G98/1000000,3)</f>
        <v>5.391</v>
      </c>
      <c r="K98" s="267">
        <f>SUM(K87:K97)</f>
        <v>939</v>
      </c>
      <c r="L98" s="267">
        <f>K98+100</f>
        <v>1039</v>
      </c>
      <c r="M98" s="224"/>
      <c r="N98" s="246"/>
      <c r="O98" s="225"/>
      <c r="P98" s="225"/>
      <c r="Q98" s="247"/>
      <c r="R98" s="194"/>
      <c r="S98" s="195"/>
      <c r="T98" s="196"/>
      <c r="U98" s="195"/>
      <c r="V98" s="197"/>
    </row>
    <row r="99" spans="1:22" s="198" customFormat="1" ht="25.05" customHeight="1">
      <c r="A99" s="26">
        <v>1</v>
      </c>
      <c r="B99" s="27" t="s">
        <v>145</v>
      </c>
      <c r="C99" s="288" t="s">
        <v>388</v>
      </c>
      <c r="D99" s="191"/>
      <c r="E99" s="29">
        <v>1</v>
      </c>
      <c r="F99" s="30" t="s">
        <v>289</v>
      </c>
      <c r="G99" s="60"/>
      <c r="H99" s="60"/>
      <c r="I99" s="193"/>
      <c r="J99" s="200">
        <f t="shared" ref="J99:J162" si="1">ROUND(I99*H99*G99/1000000,3)</f>
        <v>0</v>
      </c>
      <c r="K99" s="60">
        <v>497.8</v>
      </c>
      <c r="L99" s="60"/>
      <c r="M99" s="226" t="s">
        <v>332</v>
      </c>
      <c r="N99" s="248" t="s">
        <v>389</v>
      </c>
      <c r="O99" s="227"/>
      <c r="P99" s="227"/>
      <c r="Q99" s="249"/>
      <c r="R99" s="194"/>
      <c r="S99" s="195"/>
      <c r="T99" s="196"/>
      <c r="U99" s="195"/>
      <c r="V99" s="197"/>
    </row>
    <row r="100" spans="1:22" s="198" customFormat="1" ht="25.05" customHeight="1">
      <c r="A100" s="26">
        <v>2</v>
      </c>
      <c r="B100" s="27" t="s">
        <v>145</v>
      </c>
      <c r="C100" s="288" t="s">
        <v>390</v>
      </c>
      <c r="D100" s="191"/>
      <c r="E100" s="29">
        <v>1</v>
      </c>
      <c r="F100" s="30" t="s">
        <v>289</v>
      </c>
      <c r="G100" s="60"/>
      <c r="H100" s="60"/>
      <c r="I100" s="193"/>
      <c r="J100" s="200">
        <f t="shared" si="1"/>
        <v>0</v>
      </c>
      <c r="K100" s="60">
        <v>478</v>
      </c>
      <c r="L100" s="60"/>
      <c r="M100" s="226" t="s">
        <v>332</v>
      </c>
      <c r="N100" s="248" t="s">
        <v>391</v>
      </c>
      <c r="O100" s="227"/>
      <c r="P100" s="227"/>
      <c r="Q100" s="249"/>
      <c r="R100" s="194"/>
      <c r="S100" s="195"/>
      <c r="T100" s="196"/>
      <c r="U100" s="195"/>
      <c r="V100" s="197"/>
    </row>
    <row r="101" spans="1:22" s="198" customFormat="1" ht="25.05" customHeight="1">
      <c r="A101" s="26">
        <v>3</v>
      </c>
      <c r="B101" s="27" t="s">
        <v>145</v>
      </c>
      <c r="C101" s="288" t="s">
        <v>392</v>
      </c>
      <c r="D101" s="191"/>
      <c r="E101" s="29">
        <v>1</v>
      </c>
      <c r="F101" s="30" t="s">
        <v>289</v>
      </c>
      <c r="G101" s="60"/>
      <c r="H101" s="60"/>
      <c r="I101" s="193"/>
      <c r="J101" s="200">
        <f t="shared" si="1"/>
        <v>0</v>
      </c>
      <c r="K101" s="60">
        <v>979</v>
      </c>
      <c r="L101" s="60"/>
      <c r="M101" s="226" t="s">
        <v>332</v>
      </c>
      <c r="N101" s="248" t="s">
        <v>393</v>
      </c>
      <c r="O101" s="227"/>
      <c r="P101" s="227"/>
      <c r="Q101" s="249"/>
      <c r="R101" s="194"/>
      <c r="S101" s="195"/>
      <c r="T101" s="196"/>
      <c r="U101" s="195"/>
      <c r="V101" s="197"/>
    </row>
    <row r="102" spans="1:22" s="198" customFormat="1" ht="25.05" customHeight="1">
      <c r="A102" s="26">
        <v>4</v>
      </c>
      <c r="B102" s="27" t="s">
        <v>145</v>
      </c>
      <c r="C102" s="288" t="s">
        <v>394</v>
      </c>
      <c r="D102" s="191"/>
      <c r="E102" s="29">
        <v>1</v>
      </c>
      <c r="F102" s="30" t="s">
        <v>289</v>
      </c>
      <c r="G102" s="60"/>
      <c r="H102" s="60"/>
      <c r="I102" s="193"/>
      <c r="J102" s="200">
        <f t="shared" si="1"/>
        <v>0</v>
      </c>
      <c r="K102" s="60">
        <v>177</v>
      </c>
      <c r="L102" s="60"/>
      <c r="M102" s="226" t="s">
        <v>395</v>
      </c>
      <c r="N102" s="248" t="s">
        <v>396</v>
      </c>
      <c r="O102" s="227"/>
      <c r="P102" s="227"/>
      <c r="Q102" s="249"/>
      <c r="R102" s="194"/>
      <c r="S102" s="195"/>
      <c r="T102" s="196"/>
      <c r="U102" s="195"/>
      <c r="V102" s="197"/>
    </row>
    <row r="103" spans="1:22" s="198" customFormat="1" ht="25.05" customHeight="1">
      <c r="A103" s="26">
        <v>5</v>
      </c>
      <c r="B103" s="27" t="s">
        <v>145</v>
      </c>
      <c r="C103" s="288" t="s">
        <v>397</v>
      </c>
      <c r="D103" s="191"/>
      <c r="E103" s="29">
        <v>1</v>
      </c>
      <c r="F103" s="30" t="s">
        <v>289</v>
      </c>
      <c r="G103" s="60"/>
      <c r="H103" s="60"/>
      <c r="I103" s="193"/>
      <c r="J103" s="200">
        <f t="shared" si="1"/>
        <v>0</v>
      </c>
      <c r="K103" s="60">
        <v>640</v>
      </c>
      <c r="L103" s="60"/>
      <c r="M103" s="226" t="s">
        <v>395</v>
      </c>
      <c r="N103" s="248" t="s">
        <v>398</v>
      </c>
      <c r="O103" s="227"/>
      <c r="P103" s="227"/>
      <c r="Q103" s="249"/>
      <c r="R103" s="194"/>
      <c r="S103" s="195"/>
      <c r="T103" s="196"/>
      <c r="U103" s="195"/>
      <c r="V103" s="197"/>
    </row>
    <row r="104" spans="1:22" s="198" customFormat="1" ht="25.05" customHeight="1">
      <c r="A104" s="26">
        <v>6</v>
      </c>
      <c r="B104" s="27" t="s">
        <v>145</v>
      </c>
      <c r="C104" s="288" t="s">
        <v>399</v>
      </c>
      <c r="D104" s="191"/>
      <c r="E104" s="29">
        <v>1</v>
      </c>
      <c r="F104" s="30" t="s">
        <v>289</v>
      </c>
      <c r="G104" s="60"/>
      <c r="H104" s="60"/>
      <c r="I104" s="193"/>
      <c r="J104" s="200">
        <f t="shared" si="1"/>
        <v>0</v>
      </c>
      <c r="K104" s="60">
        <v>215</v>
      </c>
      <c r="L104" s="60"/>
      <c r="M104" s="226" t="s">
        <v>395</v>
      </c>
      <c r="N104" s="248" t="s">
        <v>400</v>
      </c>
      <c r="O104" s="227"/>
      <c r="P104" s="227"/>
      <c r="Q104" s="249"/>
      <c r="R104" s="194"/>
      <c r="S104" s="195"/>
      <c r="T104" s="196"/>
      <c r="U104" s="195"/>
      <c r="V104" s="197"/>
    </row>
    <row r="105" spans="1:22" s="198" customFormat="1" ht="25.05" customHeight="1">
      <c r="A105" s="26">
        <v>7</v>
      </c>
      <c r="B105" s="27" t="s">
        <v>145</v>
      </c>
      <c r="C105" s="288" t="s">
        <v>401</v>
      </c>
      <c r="D105" s="191"/>
      <c r="E105" s="29">
        <v>1</v>
      </c>
      <c r="F105" s="30" t="s">
        <v>289</v>
      </c>
      <c r="G105" s="60"/>
      <c r="H105" s="60"/>
      <c r="I105" s="193"/>
      <c r="J105" s="200">
        <f t="shared" si="1"/>
        <v>0</v>
      </c>
      <c r="K105" s="60">
        <v>158.19999999999999</v>
      </c>
      <c r="L105" s="60"/>
      <c r="M105" s="226" t="s">
        <v>395</v>
      </c>
      <c r="N105" s="248" t="s">
        <v>402</v>
      </c>
      <c r="O105" s="227"/>
      <c r="P105" s="227"/>
      <c r="Q105" s="249"/>
      <c r="R105" s="194"/>
      <c r="S105" s="195"/>
      <c r="T105" s="196"/>
      <c r="U105" s="195"/>
      <c r="V105" s="197"/>
    </row>
    <row r="106" spans="1:22" s="198" customFormat="1" ht="25.05" customHeight="1">
      <c r="A106" s="26">
        <v>8</v>
      </c>
      <c r="B106" s="27" t="s">
        <v>145</v>
      </c>
      <c r="C106" s="288" t="s">
        <v>403</v>
      </c>
      <c r="D106" s="191"/>
      <c r="E106" s="29">
        <v>1</v>
      </c>
      <c r="F106" s="30" t="s">
        <v>289</v>
      </c>
      <c r="G106" s="60"/>
      <c r="H106" s="60"/>
      <c r="I106" s="193"/>
      <c r="J106" s="200">
        <f t="shared" si="1"/>
        <v>0</v>
      </c>
      <c r="K106" s="60">
        <v>277</v>
      </c>
      <c r="L106" s="60"/>
      <c r="M106" s="226" t="s">
        <v>395</v>
      </c>
      <c r="N106" s="248" t="s">
        <v>404</v>
      </c>
      <c r="O106" s="227"/>
      <c r="P106" s="227"/>
      <c r="Q106" s="249"/>
      <c r="R106" s="194"/>
      <c r="S106" s="195"/>
      <c r="T106" s="196"/>
      <c r="U106" s="195"/>
      <c r="V106" s="197"/>
    </row>
    <row r="107" spans="1:22" s="198" customFormat="1" ht="25.05" customHeight="1">
      <c r="A107" s="264"/>
      <c r="B107" s="265"/>
      <c r="C107" s="289"/>
      <c r="D107" s="202"/>
      <c r="E107" s="266"/>
      <c r="F107" s="202"/>
      <c r="G107" s="267">
        <v>690</v>
      </c>
      <c r="H107" s="267">
        <v>210</v>
      </c>
      <c r="I107" s="268">
        <v>140</v>
      </c>
      <c r="J107" s="269">
        <f>ROUND(I107*H107*G107/1000000,3)</f>
        <v>20.286000000000001</v>
      </c>
      <c r="K107" s="267">
        <f>SUM(K99:K106)</f>
        <v>3422</v>
      </c>
      <c r="L107" s="267">
        <f>K107+100</f>
        <v>3522</v>
      </c>
      <c r="M107" s="224"/>
      <c r="N107" s="246"/>
      <c r="O107" s="225"/>
      <c r="P107" s="225"/>
      <c r="Q107" s="247"/>
      <c r="R107" s="194"/>
      <c r="S107" s="195"/>
      <c r="T107" s="196"/>
      <c r="U107" s="195"/>
      <c r="V107" s="197"/>
    </row>
    <row r="108" spans="1:22" s="198" customFormat="1" ht="25.05" customHeight="1">
      <c r="A108" s="26">
        <v>1</v>
      </c>
      <c r="B108" s="27" t="s">
        <v>146</v>
      </c>
      <c r="C108" s="288" t="s">
        <v>405</v>
      </c>
      <c r="D108" s="191"/>
      <c r="E108" s="29">
        <v>1</v>
      </c>
      <c r="F108" s="30" t="s">
        <v>289</v>
      </c>
      <c r="G108" s="60"/>
      <c r="H108" s="60"/>
      <c r="I108" s="193"/>
      <c r="J108" s="200">
        <f t="shared" si="1"/>
        <v>0</v>
      </c>
      <c r="K108" s="60">
        <v>548</v>
      </c>
      <c r="L108" s="60"/>
      <c r="M108" s="226" t="s">
        <v>406</v>
      </c>
      <c r="N108" s="248" t="s">
        <v>407</v>
      </c>
      <c r="O108" s="227"/>
      <c r="P108" s="227"/>
      <c r="Q108" s="249"/>
      <c r="R108" s="194"/>
      <c r="S108" s="195"/>
      <c r="T108" s="196"/>
      <c r="U108" s="195"/>
      <c r="V108" s="197"/>
    </row>
    <row r="109" spans="1:22" s="198" customFormat="1" ht="25.05" customHeight="1">
      <c r="A109" s="26">
        <v>2</v>
      </c>
      <c r="B109" s="27" t="s">
        <v>146</v>
      </c>
      <c r="C109" s="288" t="s">
        <v>408</v>
      </c>
      <c r="D109" s="191"/>
      <c r="E109" s="29">
        <v>1</v>
      </c>
      <c r="F109" s="30" t="s">
        <v>289</v>
      </c>
      <c r="G109" s="60"/>
      <c r="H109" s="60"/>
      <c r="I109" s="193"/>
      <c r="J109" s="200">
        <f t="shared" si="1"/>
        <v>0</v>
      </c>
      <c r="K109" s="60">
        <v>177</v>
      </c>
      <c r="L109" s="60"/>
      <c r="M109" s="226" t="s">
        <v>406</v>
      </c>
      <c r="N109" s="248" t="s">
        <v>409</v>
      </c>
      <c r="O109" s="227"/>
      <c r="P109" s="227"/>
      <c r="Q109" s="249"/>
      <c r="R109" s="194"/>
      <c r="S109" s="195"/>
      <c r="T109" s="196"/>
      <c r="U109" s="195"/>
      <c r="V109" s="197"/>
    </row>
    <row r="110" spans="1:22" s="198" customFormat="1" ht="25.05" customHeight="1">
      <c r="A110" s="26">
        <v>3</v>
      </c>
      <c r="B110" s="27" t="s">
        <v>146</v>
      </c>
      <c r="C110" s="288" t="s">
        <v>410</v>
      </c>
      <c r="D110" s="191"/>
      <c r="E110" s="29">
        <v>1</v>
      </c>
      <c r="F110" s="30" t="s">
        <v>289</v>
      </c>
      <c r="G110" s="60"/>
      <c r="H110" s="60"/>
      <c r="I110" s="193"/>
      <c r="J110" s="200">
        <f t="shared" si="1"/>
        <v>0</v>
      </c>
      <c r="K110" s="60">
        <v>159</v>
      </c>
      <c r="L110" s="60"/>
      <c r="M110" s="226" t="s">
        <v>406</v>
      </c>
      <c r="N110" s="248" t="s">
        <v>411</v>
      </c>
      <c r="O110" s="227"/>
      <c r="P110" s="227"/>
      <c r="Q110" s="249"/>
      <c r="R110" s="194"/>
      <c r="S110" s="195"/>
      <c r="T110" s="196"/>
      <c r="U110" s="195"/>
      <c r="V110" s="197"/>
    </row>
    <row r="111" spans="1:22" s="198" customFormat="1" ht="25.05" customHeight="1">
      <c r="A111" s="26">
        <v>4</v>
      </c>
      <c r="B111" s="27" t="s">
        <v>146</v>
      </c>
      <c r="C111" s="288" t="s">
        <v>412</v>
      </c>
      <c r="D111" s="191"/>
      <c r="E111" s="29">
        <v>1</v>
      </c>
      <c r="F111" s="30" t="s">
        <v>289</v>
      </c>
      <c r="G111" s="60"/>
      <c r="H111" s="60"/>
      <c r="I111" s="193"/>
      <c r="J111" s="200">
        <f t="shared" si="1"/>
        <v>0</v>
      </c>
      <c r="K111" s="60">
        <v>146</v>
      </c>
      <c r="L111" s="60"/>
      <c r="M111" s="226" t="s">
        <v>413</v>
      </c>
      <c r="N111" s="248" t="s">
        <v>414</v>
      </c>
      <c r="O111" s="227"/>
      <c r="P111" s="227"/>
      <c r="Q111" s="249"/>
      <c r="R111" s="194"/>
      <c r="S111" s="195"/>
      <c r="T111" s="196"/>
      <c r="U111" s="195"/>
      <c r="V111" s="197"/>
    </row>
    <row r="112" spans="1:22" s="198" customFormat="1" ht="25.05" customHeight="1">
      <c r="A112" s="26">
        <v>5</v>
      </c>
      <c r="B112" s="27" t="s">
        <v>146</v>
      </c>
      <c r="C112" s="288" t="s">
        <v>415</v>
      </c>
      <c r="D112" s="191"/>
      <c r="E112" s="29">
        <v>1</v>
      </c>
      <c r="F112" s="30" t="s">
        <v>289</v>
      </c>
      <c r="G112" s="60"/>
      <c r="H112" s="60"/>
      <c r="I112" s="193"/>
      <c r="J112" s="200">
        <f t="shared" si="1"/>
        <v>0</v>
      </c>
      <c r="K112" s="60">
        <v>177</v>
      </c>
      <c r="L112" s="60"/>
      <c r="M112" s="226" t="s">
        <v>413</v>
      </c>
      <c r="N112" s="248" t="s">
        <v>416</v>
      </c>
      <c r="O112" s="227"/>
      <c r="P112" s="227"/>
      <c r="Q112" s="249"/>
      <c r="R112" s="194"/>
      <c r="S112" s="195"/>
      <c r="T112" s="196"/>
      <c r="U112" s="195"/>
      <c r="V112" s="197"/>
    </row>
    <row r="113" spans="1:22" s="198" customFormat="1" ht="25.05" customHeight="1">
      <c r="A113" s="26">
        <v>6</v>
      </c>
      <c r="B113" s="27" t="s">
        <v>146</v>
      </c>
      <c r="C113" s="288" t="s">
        <v>417</v>
      </c>
      <c r="D113" s="191"/>
      <c r="E113" s="29">
        <v>1</v>
      </c>
      <c r="F113" s="30" t="s">
        <v>289</v>
      </c>
      <c r="G113" s="60"/>
      <c r="H113" s="60"/>
      <c r="I113" s="193"/>
      <c r="J113" s="200">
        <f t="shared" si="1"/>
        <v>0</v>
      </c>
      <c r="K113" s="60">
        <v>548</v>
      </c>
      <c r="L113" s="60"/>
      <c r="M113" s="226" t="s">
        <v>413</v>
      </c>
      <c r="N113" s="248" t="s">
        <v>418</v>
      </c>
      <c r="O113" s="227"/>
      <c r="P113" s="227"/>
      <c r="Q113" s="249"/>
      <c r="R113" s="194"/>
      <c r="S113" s="195"/>
      <c r="T113" s="196"/>
      <c r="U113" s="195"/>
      <c r="V113" s="197"/>
    </row>
    <row r="114" spans="1:22" s="198" customFormat="1" ht="25.05" customHeight="1">
      <c r="A114" s="26">
        <v>7</v>
      </c>
      <c r="B114" s="27" t="s">
        <v>146</v>
      </c>
      <c r="C114" s="288" t="s">
        <v>419</v>
      </c>
      <c r="D114" s="191"/>
      <c r="E114" s="29">
        <v>1</v>
      </c>
      <c r="F114" s="30" t="s">
        <v>289</v>
      </c>
      <c r="G114" s="60"/>
      <c r="H114" s="60"/>
      <c r="I114" s="193"/>
      <c r="J114" s="200">
        <f t="shared" si="1"/>
        <v>0</v>
      </c>
      <c r="K114" s="60">
        <v>146</v>
      </c>
      <c r="L114" s="60"/>
      <c r="M114" s="226" t="s">
        <v>420</v>
      </c>
      <c r="N114" s="248" t="s">
        <v>421</v>
      </c>
      <c r="O114" s="227"/>
      <c r="P114" s="227"/>
      <c r="Q114" s="249"/>
      <c r="R114" s="194"/>
      <c r="S114" s="195"/>
      <c r="T114" s="196"/>
      <c r="U114" s="195"/>
      <c r="V114" s="197"/>
    </row>
    <row r="115" spans="1:22" s="198" customFormat="1" ht="25.05" customHeight="1">
      <c r="A115" s="26">
        <v>8</v>
      </c>
      <c r="B115" s="27" t="s">
        <v>146</v>
      </c>
      <c r="C115" s="288" t="s">
        <v>422</v>
      </c>
      <c r="D115" s="191"/>
      <c r="E115" s="29">
        <v>1</v>
      </c>
      <c r="F115" s="30" t="s">
        <v>289</v>
      </c>
      <c r="G115" s="60"/>
      <c r="H115" s="60"/>
      <c r="I115" s="193"/>
      <c r="J115" s="200">
        <f t="shared" si="1"/>
        <v>0</v>
      </c>
      <c r="K115" s="60">
        <v>216</v>
      </c>
      <c r="L115" s="60"/>
      <c r="M115" s="226" t="s">
        <v>420</v>
      </c>
      <c r="N115" s="248" t="s">
        <v>423</v>
      </c>
      <c r="O115" s="227"/>
      <c r="P115" s="227"/>
      <c r="Q115" s="249"/>
      <c r="R115" s="194"/>
      <c r="S115" s="195"/>
      <c r="T115" s="196"/>
      <c r="U115" s="195"/>
      <c r="V115" s="197"/>
    </row>
    <row r="116" spans="1:22" s="198" customFormat="1" ht="25.05" customHeight="1">
      <c r="A116" s="26">
        <v>9</v>
      </c>
      <c r="B116" s="27" t="s">
        <v>146</v>
      </c>
      <c r="C116" s="288" t="s">
        <v>424</v>
      </c>
      <c r="D116" s="191"/>
      <c r="E116" s="29">
        <v>1</v>
      </c>
      <c r="F116" s="30" t="s">
        <v>289</v>
      </c>
      <c r="G116" s="60"/>
      <c r="H116" s="60"/>
      <c r="I116" s="193"/>
      <c r="J116" s="200">
        <f t="shared" si="1"/>
        <v>0</v>
      </c>
      <c r="K116" s="60">
        <v>583</v>
      </c>
      <c r="L116" s="60"/>
      <c r="M116" s="226" t="s">
        <v>420</v>
      </c>
      <c r="N116" s="248" t="s">
        <v>425</v>
      </c>
      <c r="O116" s="227"/>
      <c r="P116" s="227"/>
      <c r="Q116" s="249"/>
      <c r="R116" s="194"/>
      <c r="S116" s="195"/>
      <c r="T116" s="196"/>
      <c r="U116" s="195"/>
      <c r="V116" s="197"/>
    </row>
    <row r="117" spans="1:22" s="198" customFormat="1" ht="25.05" customHeight="1">
      <c r="A117" s="26">
        <v>10</v>
      </c>
      <c r="B117" s="27" t="s">
        <v>146</v>
      </c>
      <c r="C117" s="288" t="s">
        <v>426</v>
      </c>
      <c r="D117" s="191"/>
      <c r="E117" s="29">
        <v>1</v>
      </c>
      <c r="F117" s="30" t="s">
        <v>289</v>
      </c>
      <c r="G117" s="60"/>
      <c r="H117" s="60"/>
      <c r="I117" s="193"/>
      <c r="J117" s="200">
        <f t="shared" si="1"/>
        <v>0</v>
      </c>
      <c r="K117" s="60">
        <v>180</v>
      </c>
      <c r="L117" s="60"/>
      <c r="M117" s="226" t="s">
        <v>420</v>
      </c>
      <c r="N117" s="248" t="s">
        <v>427</v>
      </c>
      <c r="O117" s="227"/>
      <c r="P117" s="227"/>
      <c r="Q117" s="249"/>
      <c r="R117" s="194"/>
      <c r="S117" s="195"/>
      <c r="T117" s="196"/>
      <c r="U117" s="195"/>
      <c r="V117" s="197"/>
    </row>
    <row r="118" spans="1:22" s="198" customFormat="1" ht="25.05" customHeight="1">
      <c r="A118" s="264"/>
      <c r="B118" s="265"/>
      <c r="C118" s="289"/>
      <c r="D118" s="202"/>
      <c r="E118" s="266"/>
      <c r="F118" s="202"/>
      <c r="G118" s="267">
        <v>430</v>
      </c>
      <c r="H118" s="267">
        <v>210</v>
      </c>
      <c r="I118" s="268">
        <v>135</v>
      </c>
      <c r="J118" s="269">
        <f>ROUND(I118*H118*G118/1000000,3)</f>
        <v>12.191000000000001</v>
      </c>
      <c r="K118" s="267">
        <f>SUM(K108:K117)</f>
        <v>2880</v>
      </c>
      <c r="L118" s="267">
        <f>K118+100</f>
        <v>2980</v>
      </c>
      <c r="M118" s="224"/>
      <c r="N118" s="246"/>
      <c r="O118" s="225"/>
      <c r="P118" s="225"/>
      <c r="Q118" s="247"/>
      <c r="R118" s="194"/>
      <c r="S118" s="195"/>
      <c r="T118" s="196"/>
      <c r="U118" s="195"/>
      <c r="V118" s="197"/>
    </row>
    <row r="119" spans="1:22" s="198" customFormat="1" ht="25.05" customHeight="1">
      <c r="A119" s="26">
        <v>1</v>
      </c>
      <c r="B119" s="27" t="s">
        <v>147</v>
      </c>
      <c r="C119" s="288" t="s">
        <v>428</v>
      </c>
      <c r="D119" s="191"/>
      <c r="E119" s="29">
        <v>1</v>
      </c>
      <c r="F119" s="30" t="s">
        <v>289</v>
      </c>
      <c r="G119" s="60"/>
      <c r="H119" s="60"/>
      <c r="I119" s="193"/>
      <c r="J119" s="200">
        <f t="shared" si="1"/>
        <v>0</v>
      </c>
      <c r="K119" s="60">
        <v>854</v>
      </c>
      <c r="L119" s="60"/>
      <c r="M119" s="226" t="s">
        <v>429</v>
      </c>
      <c r="N119" s="248" t="s">
        <v>430</v>
      </c>
      <c r="O119" s="227"/>
      <c r="P119" s="227"/>
      <c r="Q119" s="249"/>
      <c r="R119" s="194"/>
      <c r="S119" s="195"/>
      <c r="T119" s="196"/>
      <c r="U119" s="195"/>
      <c r="V119" s="197"/>
    </row>
    <row r="120" spans="1:22" s="198" customFormat="1" ht="25.05" customHeight="1">
      <c r="A120" s="26">
        <v>2</v>
      </c>
      <c r="B120" s="27" t="s">
        <v>147</v>
      </c>
      <c r="C120" s="288" t="s">
        <v>431</v>
      </c>
      <c r="D120" s="191"/>
      <c r="E120" s="29">
        <v>1</v>
      </c>
      <c r="F120" s="30" t="s">
        <v>289</v>
      </c>
      <c r="G120" s="60"/>
      <c r="H120" s="60"/>
      <c r="I120" s="193"/>
      <c r="J120" s="200">
        <f t="shared" si="1"/>
        <v>0</v>
      </c>
      <c r="K120" s="60">
        <v>772</v>
      </c>
      <c r="L120" s="60"/>
      <c r="M120" s="226" t="s">
        <v>429</v>
      </c>
      <c r="N120" s="248" t="s">
        <v>432</v>
      </c>
      <c r="O120" s="227"/>
      <c r="P120" s="227"/>
      <c r="Q120" s="249"/>
      <c r="R120" s="194"/>
      <c r="S120" s="195"/>
      <c r="T120" s="196"/>
      <c r="U120" s="195"/>
      <c r="V120" s="197"/>
    </row>
    <row r="121" spans="1:22" s="198" customFormat="1" ht="25.05" customHeight="1">
      <c r="A121" s="26">
        <v>3</v>
      </c>
      <c r="B121" s="27" t="s">
        <v>147</v>
      </c>
      <c r="C121" s="288" t="s">
        <v>433</v>
      </c>
      <c r="D121" s="191"/>
      <c r="E121" s="29">
        <v>1</v>
      </c>
      <c r="F121" s="30" t="s">
        <v>289</v>
      </c>
      <c r="G121" s="60"/>
      <c r="H121" s="60"/>
      <c r="I121" s="193"/>
      <c r="J121" s="200">
        <f t="shared" si="1"/>
        <v>0</v>
      </c>
      <c r="K121" s="60">
        <v>141</v>
      </c>
      <c r="L121" s="60"/>
      <c r="M121" s="226" t="s">
        <v>429</v>
      </c>
      <c r="N121" s="248" t="s">
        <v>434</v>
      </c>
      <c r="O121" s="227"/>
      <c r="P121" s="227"/>
      <c r="Q121" s="249"/>
      <c r="R121" s="194"/>
      <c r="S121" s="195"/>
      <c r="T121" s="196"/>
      <c r="U121" s="195"/>
      <c r="V121" s="197"/>
    </row>
    <row r="122" spans="1:22" s="198" customFormat="1" ht="25.05" customHeight="1">
      <c r="A122" s="26">
        <v>4</v>
      </c>
      <c r="B122" s="27" t="s">
        <v>147</v>
      </c>
      <c r="C122" s="288" t="s">
        <v>435</v>
      </c>
      <c r="D122" s="191"/>
      <c r="E122" s="29">
        <v>1</v>
      </c>
      <c r="F122" s="30" t="s">
        <v>289</v>
      </c>
      <c r="G122" s="60"/>
      <c r="H122" s="60"/>
      <c r="I122" s="193"/>
      <c r="J122" s="200">
        <f t="shared" si="1"/>
        <v>0</v>
      </c>
      <c r="K122" s="60">
        <v>331</v>
      </c>
      <c r="L122" s="60"/>
      <c r="M122" s="226" t="s">
        <v>436</v>
      </c>
      <c r="N122" s="248" t="s">
        <v>437</v>
      </c>
      <c r="O122" s="227"/>
      <c r="P122" s="227"/>
      <c r="Q122" s="249"/>
      <c r="R122" s="194"/>
      <c r="S122" s="195"/>
      <c r="T122" s="196"/>
      <c r="U122" s="195"/>
      <c r="V122" s="197"/>
    </row>
    <row r="123" spans="1:22" s="198" customFormat="1" ht="25.05" customHeight="1">
      <c r="A123" s="26">
        <v>5</v>
      </c>
      <c r="B123" s="27" t="s">
        <v>147</v>
      </c>
      <c r="C123" s="288" t="s">
        <v>438</v>
      </c>
      <c r="D123" s="191"/>
      <c r="E123" s="29">
        <v>1</v>
      </c>
      <c r="F123" s="30" t="s">
        <v>289</v>
      </c>
      <c r="G123" s="60"/>
      <c r="H123" s="60"/>
      <c r="I123" s="193"/>
      <c r="J123" s="200">
        <f t="shared" si="1"/>
        <v>0</v>
      </c>
      <c r="K123" s="60">
        <v>321</v>
      </c>
      <c r="L123" s="60"/>
      <c r="M123" s="226" t="s">
        <v>439</v>
      </c>
      <c r="N123" s="248" t="s">
        <v>440</v>
      </c>
      <c r="O123" s="227"/>
      <c r="P123" s="227"/>
      <c r="Q123" s="249"/>
      <c r="R123" s="194"/>
      <c r="S123" s="195"/>
      <c r="T123" s="196"/>
      <c r="U123" s="195"/>
      <c r="V123" s="197"/>
    </row>
    <row r="124" spans="1:22" s="198" customFormat="1" ht="25.05" customHeight="1">
      <c r="A124" s="26">
        <v>6</v>
      </c>
      <c r="B124" s="27" t="s">
        <v>147</v>
      </c>
      <c r="C124" s="288" t="s">
        <v>441</v>
      </c>
      <c r="D124" s="191"/>
      <c r="E124" s="29">
        <v>1</v>
      </c>
      <c r="F124" s="30" t="s">
        <v>289</v>
      </c>
      <c r="G124" s="60"/>
      <c r="H124" s="60"/>
      <c r="I124" s="193"/>
      <c r="J124" s="200">
        <f t="shared" si="1"/>
        <v>0</v>
      </c>
      <c r="K124" s="60">
        <v>863</v>
      </c>
      <c r="L124" s="60"/>
      <c r="M124" s="226" t="s">
        <v>439</v>
      </c>
      <c r="N124" s="248" t="s">
        <v>442</v>
      </c>
      <c r="O124" s="227"/>
      <c r="P124" s="227"/>
      <c r="Q124" s="249"/>
      <c r="R124" s="194"/>
      <c r="S124" s="195"/>
      <c r="T124" s="196"/>
      <c r="U124" s="195"/>
      <c r="V124" s="197"/>
    </row>
    <row r="125" spans="1:22" s="198" customFormat="1" ht="25.05" customHeight="1">
      <c r="A125" s="26">
        <v>7</v>
      </c>
      <c r="B125" s="27" t="s">
        <v>147</v>
      </c>
      <c r="C125" s="288" t="s">
        <v>443</v>
      </c>
      <c r="D125" s="191"/>
      <c r="E125" s="29">
        <v>1</v>
      </c>
      <c r="F125" s="30" t="s">
        <v>289</v>
      </c>
      <c r="G125" s="60"/>
      <c r="H125" s="60"/>
      <c r="I125" s="193"/>
      <c r="J125" s="200">
        <f t="shared" si="1"/>
        <v>0</v>
      </c>
      <c r="K125" s="60">
        <v>445</v>
      </c>
      <c r="L125" s="60"/>
      <c r="M125" s="226" t="s">
        <v>439</v>
      </c>
      <c r="N125" s="248" t="s">
        <v>444</v>
      </c>
      <c r="O125" s="227"/>
      <c r="P125" s="227"/>
      <c r="Q125" s="249"/>
      <c r="R125" s="194"/>
      <c r="S125" s="195"/>
      <c r="T125" s="196"/>
      <c r="U125" s="195"/>
      <c r="V125" s="197"/>
    </row>
    <row r="126" spans="1:22" s="198" customFormat="1" ht="25.05" customHeight="1">
      <c r="A126" s="26">
        <v>8</v>
      </c>
      <c r="B126" s="27" t="s">
        <v>147</v>
      </c>
      <c r="C126" s="288" t="s">
        <v>445</v>
      </c>
      <c r="D126" s="191"/>
      <c r="E126" s="29">
        <v>1</v>
      </c>
      <c r="F126" s="30" t="s">
        <v>289</v>
      </c>
      <c r="G126" s="60"/>
      <c r="H126" s="60"/>
      <c r="I126" s="193"/>
      <c r="J126" s="200">
        <f t="shared" si="1"/>
        <v>0</v>
      </c>
      <c r="K126" s="60">
        <v>491</v>
      </c>
      <c r="L126" s="60"/>
      <c r="M126" s="226" t="s">
        <v>439</v>
      </c>
      <c r="N126" s="248" t="s">
        <v>446</v>
      </c>
      <c r="O126" s="227"/>
      <c r="P126" s="227"/>
      <c r="Q126" s="249"/>
      <c r="R126" s="194"/>
      <c r="S126" s="195"/>
      <c r="T126" s="196"/>
      <c r="U126" s="195"/>
      <c r="V126" s="197"/>
    </row>
    <row r="127" spans="1:22" s="198" customFormat="1" ht="25.05" customHeight="1">
      <c r="A127" s="26">
        <v>9</v>
      </c>
      <c r="B127" s="27" t="s">
        <v>147</v>
      </c>
      <c r="C127" s="288" t="s">
        <v>447</v>
      </c>
      <c r="D127" s="191"/>
      <c r="E127" s="29">
        <v>1</v>
      </c>
      <c r="F127" s="30" t="s">
        <v>289</v>
      </c>
      <c r="G127" s="60"/>
      <c r="H127" s="60"/>
      <c r="I127" s="193"/>
      <c r="J127" s="200">
        <f t="shared" si="1"/>
        <v>0</v>
      </c>
      <c r="K127" s="60">
        <v>499</v>
      </c>
      <c r="L127" s="60"/>
      <c r="M127" s="226" t="s">
        <v>439</v>
      </c>
      <c r="N127" s="248" t="s">
        <v>448</v>
      </c>
      <c r="O127" s="227"/>
      <c r="P127" s="227"/>
      <c r="Q127" s="249"/>
      <c r="R127" s="194"/>
      <c r="S127" s="195"/>
      <c r="T127" s="196"/>
      <c r="U127" s="195"/>
      <c r="V127" s="197"/>
    </row>
    <row r="128" spans="1:22" s="198" customFormat="1" ht="25.05" customHeight="1">
      <c r="A128" s="264"/>
      <c r="B128" s="265"/>
      <c r="C128" s="289"/>
      <c r="D128" s="202"/>
      <c r="E128" s="266"/>
      <c r="F128" s="202"/>
      <c r="G128" s="267">
        <v>725</v>
      </c>
      <c r="H128" s="267">
        <v>225</v>
      </c>
      <c r="I128" s="268">
        <v>155</v>
      </c>
      <c r="J128" s="269">
        <f>ROUND(I128*H128*G128/1000000,3)</f>
        <v>25.283999999999999</v>
      </c>
      <c r="K128" s="267">
        <f>SUM(K119:K127)</f>
        <v>4717</v>
      </c>
      <c r="L128" s="267">
        <f>K128+100</f>
        <v>4817</v>
      </c>
      <c r="M128" s="224"/>
      <c r="N128" s="246"/>
      <c r="O128" s="225"/>
      <c r="P128" s="225"/>
      <c r="Q128" s="247"/>
      <c r="R128" s="194"/>
      <c r="S128" s="195"/>
      <c r="T128" s="196"/>
      <c r="U128" s="195"/>
      <c r="V128" s="197"/>
    </row>
    <row r="129" spans="1:22" s="198" customFormat="1" ht="25.05" customHeight="1">
      <c r="A129" s="26">
        <v>1</v>
      </c>
      <c r="B129" s="27" t="s">
        <v>148</v>
      </c>
      <c r="C129" s="288" t="s">
        <v>449</v>
      </c>
      <c r="D129" s="191"/>
      <c r="E129" s="29">
        <v>1</v>
      </c>
      <c r="F129" s="30" t="s">
        <v>289</v>
      </c>
      <c r="G129" s="60"/>
      <c r="H129" s="60"/>
      <c r="I129" s="193"/>
      <c r="J129" s="200">
        <f t="shared" si="1"/>
        <v>0</v>
      </c>
      <c r="K129" s="60">
        <v>907</v>
      </c>
      <c r="L129" s="60"/>
      <c r="M129" s="226" t="s">
        <v>347</v>
      </c>
      <c r="N129" s="248" t="s">
        <v>450</v>
      </c>
      <c r="O129" s="227"/>
      <c r="P129" s="227"/>
      <c r="Q129" s="249"/>
      <c r="R129" s="194"/>
      <c r="S129" s="195"/>
      <c r="T129" s="196"/>
      <c r="U129" s="195"/>
      <c r="V129" s="197"/>
    </row>
    <row r="130" spans="1:22" s="198" customFormat="1" ht="25.05" customHeight="1">
      <c r="A130" s="26">
        <v>2</v>
      </c>
      <c r="B130" s="27" t="s">
        <v>148</v>
      </c>
      <c r="C130" s="288" t="s">
        <v>451</v>
      </c>
      <c r="D130" s="191"/>
      <c r="E130" s="29">
        <v>1</v>
      </c>
      <c r="F130" s="30" t="s">
        <v>289</v>
      </c>
      <c r="G130" s="60"/>
      <c r="H130" s="60"/>
      <c r="I130" s="193"/>
      <c r="J130" s="200">
        <f t="shared" si="1"/>
        <v>0</v>
      </c>
      <c r="K130" s="60">
        <v>445</v>
      </c>
      <c r="L130" s="60"/>
      <c r="M130" s="226" t="s">
        <v>347</v>
      </c>
      <c r="N130" s="248" t="s">
        <v>452</v>
      </c>
      <c r="O130" s="227"/>
      <c r="P130" s="227"/>
      <c r="Q130" s="249"/>
      <c r="R130" s="194"/>
      <c r="S130" s="195"/>
      <c r="T130" s="196"/>
      <c r="U130" s="195"/>
      <c r="V130" s="197"/>
    </row>
    <row r="131" spans="1:22" s="198" customFormat="1" ht="25.05" customHeight="1">
      <c r="A131" s="26">
        <v>3</v>
      </c>
      <c r="B131" s="27" t="s">
        <v>148</v>
      </c>
      <c r="C131" s="288" t="s">
        <v>453</v>
      </c>
      <c r="D131" s="191"/>
      <c r="E131" s="29">
        <v>1</v>
      </c>
      <c r="F131" s="30" t="s">
        <v>289</v>
      </c>
      <c r="G131" s="60"/>
      <c r="H131" s="60"/>
      <c r="I131" s="193"/>
      <c r="J131" s="200">
        <f t="shared" si="1"/>
        <v>0</v>
      </c>
      <c r="K131" s="60">
        <v>606</v>
      </c>
      <c r="L131" s="60"/>
      <c r="M131" s="226" t="s">
        <v>347</v>
      </c>
      <c r="N131" s="248" t="s">
        <v>454</v>
      </c>
      <c r="O131" s="227"/>
      <c r="P131" s="227"/>
      <c r="Q131" s="249"/>
      <c r="R131" s="194"/>
      <c r="S131" s="195"/>
      <c r="T131" s="196"/>
      <c r="U131" s="195"/>
      <c r="V131" s="197"/>
    </row>
    <row r="132" spans="1:22" s="198" customFormat="1" ht="25.05" customHeight="1">
      <c r="A132" s="26">
        <v>4</v>
      </c>
      <c r="B132" s="27" t="s">
        <v>148</v>
      </c>
      <c r="C132" s="288" t="s">
        <v>455</v>
      </c>
      <c r="D132" s="191"/>
      <c r="E132" s="29">
        <v>1</v>
      </c>
      <c r="F132" s="30" t="s">
        <v>289</v>
      </c>
      <c r="G132" s="60"/>
      <c r="H132" s="60"/>
      <c r="I132" s="193"/>
      <c r="J132" s="200">
        <f t="shared" si="1"/>
        <v>0</v>
      </c>
      <c r="K132" s="60">
        <v>499</v>
      </c>
      <c r="L132" s="60"/>
      <c r="M132" s="226" t="s">
        <v>347</v>
      </c>
      <c r="N132" s="248" t="s">
        <v>456</v>
      </c>
      <c r="O132" s="227"/>
      <c r="P132" s="227"/>
      <c r="Q132" s="249"/>
      <c r="R132" s="194"/>
      <c r="S132" s="195"/>
      <c r="T132" s="196"/>
      <c r="U132" s="195"/>
      <c r="V132" s="197"/>
    </row>
    <row r="133" spans="1:22" s="198" customFormat="1" ht="25.05" customHeight="1">
      <c r="A133" s="26">
        <v>5</v>
      </c>
      <c r="B133" s="27" t="s">
        <v>148</v>
      </c>
      <c r="C133" s="288" t="s">
        <v>457</v>
      </c>
      <c r="D133" s="191"/>
      <c r="E133" s="29">
        <v>1</v>
      </c>
      <c r="F133" s="30" t="s">
        <v>289</v>
      </c>
      <c r="G133" s="60"/>
      <c r="H133" s="60"/>
      <c r="I133" s="193"/>
      <c r="J133" s="200">
        <f t="shared" si="1"/>
        <v>0</v>
      </c>
      <c r="K133" s="60">
        <v>634</v>
      </c>
      <c r="L133" s="60"/>
      <c r="M133" s="226" t="s">
        <v>458</v>
      </c>
      <c r="N133" s="248" t="s">
        <v>459</v>
      </c>
      <c r="O133" s="227"/>
      <c r="P133" s="227"/>
      <c r="Q133" s="249"/>
      <c r="R133" s="194"/>
      <c r="S133" s="195"/>
      <c r="T133" s="196"/>
      <c r="U133" s="195"/>
      <c r="V133" s="197"/>
    </row>
    <row r="134" spans="1:22" s="198" customFormat="1" ht="25.05" customHeight="1">
      <c r="A134" s="26">
        <v>6</v>
      </c>
      <c r="B134" s="27" t="s">
        <v>148</v>
      </c>
      <c r="C134" s="288" t="s">
        <v>460</v>
      </c>
      <c r="D134" s="191"/>
      <c r="E134" s="29">
        <v>1</v>
      </c>
      <c r="F134" s="30" t="s">
        <v>289</v>
      </c>
      <c r="G134" s="60"/>
      <c r="H134" s="60"/>
      <c r="I134" s="193"/>
      <c r="J134" s="200">
        <f t="shared" si="1"/>
        <v>0</v>
      </c>
      <c r="K134" s="60">
        <v>864</v>
      </c>
      <c r="L134" s="60"/>
      <c r="M134" s="226" t="s">
        <v>458</v>
      </c>
      <c r="N134" s="248" t="s">
        <v>461</v>
      </c>
      <c r="O134" s="227"/>
      <c r="P134" s="227"/>
      <c r="Q134" s="249"/>
      <c r="R134" s="194"/>
      <c r="S134" s="195"/>
      <c r="T134" s="196"/>
      <c r="U134" s="195"/>
      <c r="V134" s="197"/>
    </row>
    <row r="135" spans="1:22" s="198" customFormat="1" ht="25.05" customHeight="1">
      <c r="A135" s="26">
        <v>7</v>
      </c>
      <c r="B135" s="27" t="s">
        <v>148</v>
      </c>
      <c r="C135" s="288" t="s">
        <v>462</v>
      </c>
      <c r="D135" s="191"/>
      <c r="E135" s="29">
        <v>1</v>
      </c>
      <c r="F135" s="30" t="s">
        <v>289</v>
      </c>
      <c r="G135" s="60"/>
      <c r="H135" s="60"/>
      <c r="I135" s="193"/>
      <c r="J135" s="200">
        <f t="shared" si="1"/>
        <v>0</v>
      </c>
      <c r="K135" s="60">
        <v>306</v>
      </c>
      <c r="L135" s="60"/>
      <c r="M135" s="226" t="s">
        <v>458</v>
      </c>
      <c r="N135" s="248" t="s">
        <v>463</v>
      </c>
      <c r="O135" s="227"/>
      <c r="P135" s="227"/>
      <c r="Q135" s="249"/>
      <c r="R135" s="194"/>
      <c r="S135" s="195"/>
      <c r="T135" s="196"/>
      <c r="U135" s="195"/>
      <c r="V135" s="197"/>
    </row>
    <row r="136" spans="1:22" s="198" customFormat="1" ht="25.05" customHeight="1">
      <c r="A136" s="26">
        <v>8</v>
      </c>
      <c r="B136" s="27" t="s">
        <v>148</v>
      </c>
      <c r="C136" s="288" t="s">
        <v>464</v>
      </c>
      <c r="D136" s="191"/>
      <c r="E136" s="29">
        <v>1</v>
      </c>
      <c r="F136" s="30" t="s">
        <v>289</v>
      </c>
      <c r="G136" s="60"/>
      <c r="H136" s="60"/>
      <c r="I136" s="193"/>
      <c r="J136" s="200">
        <f t="shared" si="1"/>
        <v>0</v>
      </c>
      <c r="K136" s="60">
        <v>471</v>
      </c>
      <c r="L136" s="60"/>
      <c r="M136" s="226" t="s">
        <v>420</v>
      </c>
      <c r="N136" s="248" t="s">
        <v>465</v>
      </c>
      <c r="O136" s="227"/>
      <c r="P136" s="227"/>
      <c r="Q136" s="249"/>
      <c r="R136" s="194"/>
      <c r="S136" s="195"/>
      <c r="T136" s="196"/>
      <c r="U136" s="195"/>
      <c r="V136" s="197"/>
    </row>
    <row r="137" spans="1:22" s="198" customFormat="1" ht="25.05" customHeight="1">
      <c r="A137" s="26">
        <v>9</v>
      </c>
      <c r="B137" s="27" t="s">
        <v>148</v>
      </c>
      <c r="C137" s="288" t="s">
        <v>466</v>
      </c>
      <c r="D137" s="191"/>
      <c r="E137" s="29">
        <v>1</v>
      </c>
      <c r="F137" s="30" t="s">
        <v>289</v>
      </c>
      <c r="G137" s="60"/>
      <c r="H137" s="60"/>
      <c r="I137" s="193"/>
      <c r="J137" s="200">
        <f t="shared" si="1"/>
        <v>0</v>
      </c>
      <c r="K137" s="60">
        <v>36.5</v>
      </c>
      <c r="L137" s="60"/>
      <c r="M137" s="226" t="s">
        <v>420</v>
      </c>
      <c r="N137" s="248" t="s">
        <v>467</v>
      </c>
      <c r="O137" s="227"/>
      <c r="P137" s="227"/>
      <c r="Q137" s="249"/>
      <c r="R137" s="194"/>
      <c r="S137" s="195"/>
      <c r="T137" s="196"/>
      <c r="U137" s="195"/>
      <c r="V137" s="197"/>
    </row>
    <row r="138" spans="1:22" s="198" customFormat="1" ht="25.05" customHeight="1">
      <c r="A138" s="26">
        <v>10</v>
      </c>
      <c r="B138" s="27" t="s">
        <v>148</v>
      </c>
      <c r="C138" s="288" t="s">
        <v>468</v>
      </c>
      <c r="D138" s="191"/>
      <c r="E138" s="29">
        <v>1</v>
      </c>
      <c r="F138" s="30" t="s">
        <v>289</v>
      </c>
      <c r="G138" s="60"/>
      <c r="H138" s="60"/>
      <c r="I138" s="193"/>
      <c r="J138" s="200">
        <f t="shared" si="1"/>
        <v>0</v>
      </c>
      <c r="K138" s="60">
        <v>356</v>
      </c>
      <c r="L138" s="60"/>
      <c r="M138" s="226" t="s">
        <v>469</v>
      </c>
      <c r="N138" s="248" t="s">
        <v>470</v>
      </c>
      <c r="O138" s="227"/>
      <c r="P138" s="227"/>
      <c r="Q138" s="249"/>
      <c r="R138" s="194"/>
      <c r="S138" s="195"/>
      <c r="T138" s="196"/>
      <c r="U138" s="195"/>
      <c r="V138" s="197"/>
    </row>
    <row r="139" spans="1:22" s="198" customFormat="1" ht="25.05" customHeight="1">
      <c r="A139" s="264"/>
      <c r="B139" s="265"/>
      <c r="C139" s="289"/>
      <c r="D139" s="202"/>
      <c r="E139" s="266"/>
      <c r="F139" s="202"/>
      <c r="G139" s="267">
        <v>690</v>
      </c>
      <c r="H139" s="267">
        <v>225</v>
      </c>
      <c r="I139" s="268">
        <v>170</v>
      </c>
      <c r="J139" s="269">
        <f>ROUND(I139*H139*G139/1000000,3)</f>
        <v>26.393000000000001</v>
      </c>
      <c r="K139" s="267">
        <f>SUM(K129:K138)</f>
        <v>5124.5</v>
      </c>
      <c r="L139" s="267">
        <f>K139+100</f>
        <v>5224.5</v>
      </c>
      <c r="M139" s="224"/>
      <c r="N139" s="246"/>
      <c r="O139" s="225"/>
      <c r="P139" s="225"/>
      <c r="Q139" s="247"/>
      <c r="R139" s="194"/>
      <c r="S139" s="195"/>
      <c r="T139" s="196"/>
      <c r="U139" s="195"/>
      <c r="V139" s="197"/>
    </row>
    <row r="140" spans="1:22" s="198" customFormat="1" ht="25.05" customHeight="1">
      <c r="A140" s="26">
        <v>1</v>
      </c>
      <c r="B140" s="27" t="s">
        <v>149</v>
      </c>
      <c r="C140" s="288" t="s">
        <v>471</v>
      </c>
      <c r="D140" s="191"/>
      <c r="E140" s="29">
        <v>1</v>
      </c>
      <c r="F140" s="30" t="s">
        <v>289</v>
      </c>
      <c r="G140" s="60"/>
      <c r="H140" s="60"/>
      <c r="I140" s="193"/>
      <c r="J140" s="200">
        <f t="shared" si="1"/>
        <v>0</v>
      </c>
      <c r="K140" s="60">
        <v>318</v>
      </c>
      <c r="L140" s="60"/>
      <c r="M140" s="226" t="s">
        <v>341</v>
      </c>
      <c r="N140" s="248" t="s">
        <v>472</v>
      </c>
      <c r="O140" s="227"/>
      <c r="P140" s="227"/>
      <c r="Q140" s="249"/>
      <c r="R140" s="194"/>
      <c r="S140" s="195"/>
      <c r="T140" s="196"/>
      <c r="U140" s="195"/>
      <c r="V140" s="197"/>
    </row>
    <row r="141" spans="1:22" s="198" customFormat="1" ht="25.05" customHeight="1">
      <c r="A141" s="26">
        <v>2</v>
      </c>
      <c r="B141" s="27" t="s">
        <v>149</v>
      </c>
      <c r="C141" s="288" t="s">
        <v>473</v>
      </c>
      <c r="D141" s="191"/>
      <c r="E141" s="29">
        <v>1</v>
      </c>
      <c r="F141" s="30" t="s">
        <v>289</v>
      </c>
      <c r="G141" s="60"/>
      <c r="H141" s="60"/>
      <c r="I141" s="193"/>
      <c r="J141" s="200">
        <f t="shared" si="1"/>
        <v>0</v>
      </c>
      <c r="K141" s="60">
        <v>828</v>
      </c>
      <c r="L141" s="60"/>
      <c r="M141" s="226" t="s">
        <v>341</v>
      </c>
      <c r="N141" s="248" t="s">
        <v>474</v>
      </c>
      <c r="O141" s="227"/>
      <c r="P141" s="227"/>
      <c r="Q141" s="249"/>
      <c r="R141" s="194"/>
      <c r="S141" s="195"/>
      <c r="T141" s="196"/>
      <c r="U141" s="195"/>
      <c r="V141" s="197"/>
    </row>
    <row r="142" spans="1:22" s="198" customFormat="1" ht="25.05" customHeight="1">
      <c r="A142" s="26">
        <v>3</v>
      </c>
      <c r="B142" s="27" t="s">
        <v>149</v>
      </c>
      <c r="C142" s="288" t="s">
        <v>475</v>
      </c>
      <c r="D142" s="191"/>
      <c r="E142" s="29">
        <v>1</v>
      </c>
      <c r="F142" s="30" t="s">
        <v>289</v>
      </c>
      <c r="G142" s="60"/>
      <c r="H142" s="60"/>
      <c r="I142" s="193"/>
      <c r="J142" s="200">
        <f t="shared" si="1"/>
        <v>0</v>
      </c>
      <c r="K142" s="60">
        <v>516</v>
      </c>
      <c r="L142" s="60"/>
      <c r="M142" s="226" t="s">
        <v>476</v>
      </c>
      <c r="N142" s="248" t="s">
        <v>477</v>
      </c>
      <c r="O142" s="227"/>
      <c r="P142" s="227"/>
      <c r="Q142" s="249"/>
      <c r="R142" s="194"/>
      <c r="S142" s="195"/>
      <c r="T142" s="196"/>
      <c r="U142" s="195"/>
      <c r="V142" s="197"/>
    </row>
    <row r="143" spans="1:22" s="198" customFormat="1" ht="25.05" customHeight="1">
      <c r="A143" s="26">
        <v>4</v>
      </c>
      <c r="B143" s="27" t="s">
        <v>149</v>
      </c>
      <c r="C143" s="288" t="s">
        <v>478</v>
      </c>
      <c r="D143" s="191"/>
      <c r="E143" s="29">
        <v>1</v>
      </c>
      <c r="F143" s="30" t="s">
        <v>289</v>
      </c>
      <c r="G143" s="60"/>
      <c r="H143" s="60"/>
      <c r="I143" s="193"/>
      <c r="J143" s="200">
        <f t="shared" si="1"/>
        <v>0</v>
      </c>
      <c r="K143" s="60">
        <v>422</v>
      </c>
      <c r="L143" s="60"/>
      <c r="M143" s="226" t="s">
        <v>476</v>
      </c>
      <c r="N143" s="248" t="s">
        <v>479</v>
      </c>
      <c r="O143" s="227"/>
      <c r="P143" s="227"/>
      <c r="Q143" s="249"/>
      <c r="R143" s="194"/>
      <c r="S143" s="195"/>
      <c r="T143" s="196"/>
      <c r="U143" s="195"/>
      <c r="V143" s="197"/>
    </row>
    <row r="144" spans="1:22" s="198" customFormat="1" ht="25.05" customHeight="1">
      <c r="A144" s="26">
        <v>5</v>
      </c>
      <c r="B144" s="27" t="s">
        <v>149</v>
      </c>
      <c r="C144" s="288" t="s">
        <v>480</v>
      </c>
      <c r="D144" s="191"/>
      <c r="E144" s="29">
        <v>1</v>
      </c>
      <c r="F144" s="30" t="s">
        <v>289</v>
      </c>
      <c r="G144" s="60"/>
      <c r="H144" s="60"/>
      <c r="I144" s="193"/>
      <c r="J144" s="200">
        <f t="shared" si="1"/>
        <v>0</v>
      </c>
      <c r="K144" s="60">
        <v>460</v>
      </c>
      <c r="L144" s="60"/>
      <c r="M144" s="226" t="s">
        <v>476</v>
      </c>
      <c r="N144" s="248" t="s">
        <v>481</v>
      </c>
      <c r="O144" s="227"/>
      <c r="P144" s="227"/>
      <c r="Q144" s="249"/>
      <c r="R144" s="194"/>
      <c r="S144" s="195"/>
      <c r="T144" s="196"/>
      <c r="U144" s="195"/>
      <c r="V144" s="197"/>
    </row>
    <row r="145" spans="1:22" s="198" customFormat="1" ht="25.05" customHeight="1">
      <c r="A145" s="26">
        <v>6</v>
      </c>
      <c r="B145" s="27" t="s">
        <v>149</v>
      </c>
      <c r="C145" s="288" t="s">
        <v>482</v>
      </c>
      <c r="D145" s="191"/>
      <c r="E145" s="29">
        <v>1</v>
      </c>
      <c r="F145" s="30" t="s">
        <v>289</v>
      </c>
      <c r="G145" s="60"/>
      <c r="H145" s="60"/>
      <c r="I145" s="193"/>
      <c r="J145" s="200">
        <f t="shared" si="1"/>
        <v>0</v>
      </c>
      <c r="K145" s="60">
        <v>526</v>
      </c>
      <c r="L145" s="60"/>
      <c r="M145" s="226" t="s">
        <v>476</v>
      </c>
      <c r="N145" s="248" t="s">
        <v>483</v>
      </c>
      <c r="O145" s="227"/>
      <c r="P145" s="227"/>
      <c r="Q145" s="249"/>
      <c r="R145" s="194"/>
      <c r="S145" s="195"/>
      <c r="T145" s="196"/>
      <c r="U145" s="195"/>
      <c r="V145" s="197"/>
    </row>
    <row r="146" spans="1:22" s="198" customFormat="1" ht="25.05" customHeight="1">
      <c r="A146" s="26">
        <v>7</v>
      </c>
      <c r="B146" s="27" t="s">
        <v>149</v>
      </c>
      <c r="C146" s="288" t="s">
        <v>484</v>
      </c>
      <c r="D146" s="191"/>
      <c r="E146" s="29">
        <v>1</v>
      </c>
      <c r="F146" s="30" t="s">
        <v>289</v>
      </c>
      <c r="G146" s="60"/>
      <c r="H146" s="60"/>
      <c r="I146" s="193"/>
      <c r="J146" s="200">
        <f t="shared" si="1"/>
        <v>0</v>
      </c>
      <c r="K146" s="60">
        <v>554</v>
      </c>
      <c r="L146" s="60"/>
      <c r="M146" s="226" t="s">
        <v>344</v>
      </c>
      <c r="N146" s="248" t="s">
        <v>485</v>
      </c>
      <c r="O146" s="227"/>
      <c r="P146" s="227"/>
      <c r="Q146" s="249"/>
      <c r="R146" s="194"/>
      <c r="S146" s="195"/>
      <c r="T146" s="196"/>
      <c r="U146" s="195"/>
      <c r="V146" s="197"/>
    </row>
    <row r="147" spans="1:22" s="198" customFormat="1" ht="25.05" customHeight="1">
      <c r="A147" s="26">
        <v>8</v>
      </c>
      <c r="B147" s="27" t="s">
        <v>149</v>
      </c>
      <c r="C147" s="288" t="s">
        <v>486</v>
      </c>
      <c r="D147" s="191"/>
      <c r="E147" s="29">
        <v>1</v>
      </c>
      <c r="F147" s="30" t="s">
        <v>289</v>
      </c>
      <c r="G147" s="60"/>
      <c r="H147" s="60"/>
      <c r="I147" s="193"/>
      <c r="J147" s="200">
        <f t="shared" si="1"/>
        <v>0</v>
      </c>
      <c r="K147" s="60">
        <v>740</v>
      </c>
      <c r="L147" s="60"/>
      <c r="M147" s="226" t="s">
        <v>344</v>
      </c>
      <c r="N147" s="248" t="s">
        <v>487</v>
      </c>
      <c r="O147" s="227"/>
      <c r="P147" s="227"/>
      <c r="Q147" s="249"/>
      <c r="R147" s="194"/>
      <c r="S147" s="195"/>
      <c r="T147" s="196"/>
      <c r="U147" s="195"/>
      <c r="V147" s="197"/>
    </row>
    <row r="148" spans="1:22" s="198" customFormat="1" ht="25.05" customHeight="1">
      <c r="A148" s="26">
        <v>9</v>
      </c>
      <c r="B148" s="27" t="s">
        <v>149</v>
      </c>
      <c r="C148" s="288" t="s">
        <v>488</v>
      </c>
      <c r="D148" s="191"/>
      <c r="E148" s="29">
        <v>1</v>
      </c>
      <c r="F148" s="30" t="s">
        <v>289</v>
      </c>
      <c r="G148" s="60"/>
      <c r="H148" s="60"/>
      <c r="I148" s="193"/>
      <c r="J148" s="200">
        <f t="shared" si="1"/>
        <v>0</v>
      </c>
      <c r="K148" s="60">
        <v>364</v>
      </c>
      <c r="L148" s="60"/>
      <c r="M148" s="226" t="s">
        <v>344</v>
      </c>
      <c r="N148" s="248" t="s">
        <v>489</v>
      </c>
      <c r="O148" s="227"/>
      <c r="P148" s="227"/>
      <c r="Q148" s="249"/>
      <c r="R148" s="194"/>
      <c r="S148" s="195"/>
      <c r="T148" s="196"/>
      <c r="U148" s="195"/>
      <c r="V148" s="197"/>
    </row>
    <row r="149" spans="1:22" s="198" customFormat="1" ht="25.05" customHeight="1">
      <c r="A149" s="264"/>
      <c r="B149" s="265"/>
      <c r="C149" s="289"/>
      <c r="D149" s="202"/>
      <c r="E149" s="266"/>
      <c r="F149" s="202"/>
      <c r="G149" s="267">
        <v>660</v>
      </c>
      <c r="H149" s="267">
        <v>225</v>
      </c>
      <c r="I149" s="268">
        <v>170</v>
      </c>
      <c r="J149" s="269">
        <f>ROUND(I149*H149*G149/1000000,3)</f>
        <v>25.245000000000001</v>
      </c>
      <c r="K149" s="267">
        <f>SUM(K140:K148)</f>
        <v>4728</v>
      </c>
      <c r="L149" s="267">
        <f>K149+100</f>
        <v>4828</v>
      </c>
      <c r="M149" s="224"/>
      <c r="N149" s="246"/>
      <c r="O149" s="225"/>
      <c r="P149" s="225"/>
      <c r="Q149" s="247"/>
      <c r="R149" s="194"/>
      <c r="S149" s="195"/>
      <c r="T149" s="196"/>
      <c r="U149" s="195"/>
      <c r="V149" s="197"/>
    </row>
    <row r="150" spans="1:22" s="198" customFormat="1" ht="25.05" customHeight="1">
      <c r="A150" s="26">
        <v>1</v>
      </c>
      <c r="B150" s="27" t="s">
        <v>150</v>
      </c>
      <c r="C150" s="288" t="s">
        <v>490</v>
      </c>
      <c r="D150" s="191"/>
      <c r="E150" s="29">
        <v>1</v>
      </c>
      <c r="F150" s="30" t="s">
        <v>289</v>
      </c>
      <c r="G150" s="60"/>
      <c r="H150" s="60"/>
      <c r="I150" s="193"/>
      <c r="J150" s="200">
        <f t="shared" si="1"/>
        <v>0</v>
      </c>
      <c r="K150" s="60">
        <v>561</v>
      </c>
      <c r="L150" s="60"/>
      <c r="M150" s="226" t="s">
        <v>491</v>
      </c>
      <c r="N150" s="248" t="s">
        <v>492</v>
      </c>
      <c r="O150" s="227"/>
      <c r="P150" s="227"/>
      <c r="Q150" s="249"/>
      <c r="R150" s="194"/>
      <c r="S150" s="195"/>
      <c r="T150" s="196"/>
      <c r="U150" s="195"/>
      <c r="V150" s="197"/>
    </row>
    <row r="151" spans="1:22" s="198" customFormat="1" ht="25.05" customHeight="1">
      <c r="A151" s="26">
        <v>2</v>
      </c>
      <c r="B151" s="27" t="s">
        <v>150</v>
      </c>
      <c r="C151" s="288" t="s">
        <v>493</v>
      </c>
      <c r="D151" s="191"/>
      <c r="E151" s="29">
        <v>1</v>
      </c>
      <c r="F151" s="30" t="s">
        <v>289</v>
      </c>
      <c r="G151" s="60"/>
      <c r="H151" s="60"/>
      <c r="I151" s="193"/>
      <c r="J151" s="200">
        <f t="shared" si="1"/>
        <v>0</v>
      </c>
      <c r="K151" s="60">
        <v>418</v>
      </c>
      <c r="L151" s="60"/>
      <c r="M151" s="226" t="s">
        <v>491</v>
      </c>
      <c r="N151" s="248" t="s">
        <v>494</v>
      </c>
      <c r="O151" s="227"/>
      <c r="P151" s="227"/>
      <c r="Q151" s="249"/>
      <c r="R151" s="194"/>
      <c r="S151" s="195"/>
      <c r="T151" s="196"/>
      <c r="U151" s="195"/>
      <c r="V151" s="197"/>
    </row>
    <row r="152" spans="1:22" s="198" customFormat="1" ht="25.05" customHeight="1">
      <c r="A152" s="26">
        <v>3</v>
      </c>
      <c r="B152" s="27" t="s">
        <v>150</v>
      </c>
      <c r="C152" s="288" t="s">
        <v>495</v>
      </c>
      <c r="D152" s="191"/>
      <c r="E152" s="29">
        <v>1</v>
      </c>
      <c r="F152" s="30" t="s">
        <v>289</v>
      </c>
      <c r="G152" s="60"/>
      <c r="H152" s="60"/>
      <c r="I152" s="193"/>
      <c r="J152" s="200">
        <f t="shared" si="1"/>
        <v>0</v>
      </c>
      <c r="K152" s="60">
        <v>15</v>
      </c>
      <c r="L152" s="60"/>
      <c r="M152" s="226" t="s">
        <v>491</v>
      </c>
      <c r="N152" s="248" t="s">
        <v>496</v>
      </c>
      <c r="O152" s="227"/>
      <c r="P152" s="227"/>
      <c r="Q152" s="249"/>
      <c r="R152" s="194"/>
      <c r="S152" s="195"/>
      <c r="T152" s="196"/>
      <c r="U152" s="195"/>
      <c r="V152" s="197"/>
    </row>
    <row r="153" spans="1:22" s="198" customFormat="1" ht="25.05" customHeight="1">
      <c r="A153" s="26">
        <v>4</v>
      </c>
      <c r="B153" s="27" t="s">
        <v>150</v>
      </c>
      <c r="C153" s="288" t="s">
        <v>497</v>
      </c>
      <c r="D153" s="191"/>
      <c r="E153" s="29">
        <v>1</v>
      </c>
      <c r="F153" s="30" t="s">
        <v>289</v>
      </c>
      <c r="G153" s="60"/>
      <c r="H153" s="60"/>
      <c r="I153" s="193"/>
      <c r="J153" s="200">
        <f t="shared" si="1"/>
        <v>0</v>
      </c>
      <c r="K153" s="60">
        <v>15</v>
      </c>
      <c r="L153" s="60"/>
      <c r="M153" s="226" t="s">
        <v>491</v>
      </c>
      <c r="N153" s="248" t="s">
        <v>498</v>
      </c>
      <c r="O153" s="227"/>
      <c r="P153" s="227"/>
      <c r="Q153" s="249"/>
      <c r="R153" s="194"/>
      <c r="S153" s="195"/>
      <c r="T153" s="196"/>
      <c r="U153" s="195"/>
      <c r="V153" s="197"/>
    </row>
    <row r="154" spans="1:22" s="198" customFormat="1" ht="25.05" customHeight="1">
      <c r="A154" s="26">
        <v>5</v>
      </c>
      <c r="B154" s="27" t="s">
        <v>150</v>
      </c>
      <c r="C154" s="288" t="s">
        <v>499</v>
      </c>
      <c r="D154" s="191"/>
      <c r="E154" s="29">
        <v>1</v>
      </c>
      <c r="F154" s="30" t="s">
        <v>289</v>
      </c>
      <c r="G154" s="60"/>
      <c r="H154" s="60"/>
      <c r="I154" s="193"/>
      <c r="J154" s="200">
        <f t="shared" si="1"/>
        <v>0</v>
      </c>
      <c r="K154" s="60">
        <v>516</v>
      </c>
      <c r="L154" s="60"/>
      <c r="M154" s="226" t="s">
        <v>500</v>
      </c>
      <c r="N154" s="248" t="s">
        <v>501</v>
      </c>
      <c r="O154" s="227"/>
      <c r="P154" s="227"/>
      <c r="Q154" s="249"/>
      <c r="R154" s="194"/>
      <c r="S154" s="195"/>
      <c r="T154" s="196"/>
      <c r="U154" s="195"/>
      <c r="V154" s="197"/>
    </row>
    <row r="155" spans="1:22" s="198" customFormat="1" ht="25.05" customHeight="1">
      <c r="A155" s="26">
        <v>6</v>
      </c>
      <c r="B155" s="27" t="s">
        <v>150</v>
      </c>
      <c r="C155" s="288" t="s">
        <v>502</v>
      </c>
      <c r="D155" s="191"/>
      <c r="E155" s="29">
        <v>1</v>
      </c>
      <c r="F155" s="30" t="s">
        <v>289</v>
      </c>
      <c r="G155" s="60"/>
      <c r="H155" s="60"/>
      <c r="I155" s="193"/>
      <c r="J155" s="200">
        <f t="shared" si="1"/>
        <v>0</v>
      </c>
      <c r="K155" s="60">
        <v>422</v>
      </c>
      <c r="L155" s="60"/>
      <c r="M155" s="226" t="s">
        <v>500</v>
      </c>
      <c r="N155" s="248" t="s">
        <v>503</v>
      </c>
      <c r="O155" s="227"/>
      <c r="P155" s="227"/>
      <c r="Q155" s="249"/>
      <c r="R155" s="194"/>
      <c r="S155" s="195"/>
      <c r="T155" s="196"/>
      <c r="U155" s="195"/>
      <c r="V155" s="197"/>
    </row>
    <row r="156" spans="1:22" s="198" customFormat="1" ht="25.05" customHeight="1">
      <c r="A156" s="26">
        <v>7</v>
      </c>
      <c r="B156" s="27" t="s">
        <v>150</v>
      </c>
      <c r="C156" s="288" t="s">
        <v>504</v>
      </c>
      <c r="D156" s="191"/>
      <c r="E156" s="29">
        <v>1</v>
      </c>
      <c r="F156" s="30" t="s">
        <v>289</v>
      </c>
      <c r="G156" s="60"/>
      <c r="H156" s="60"/>
      <c r="I156" s="193"/>
      <c r="J156" s="200">
        <f t="shared" si="1"/>
        <v>0</v>
      </c>
      <c r="K156" s="60">
        <v>460</v>
      </c>
      <c r="L156" s="60"/>
      <c r="M156" s="226" t="s">
        <v>500</v>
      </c>
      <c r="N156" s="248" t="s">
        <v>505</v>
      </c>
      <c r="O156" s="227"/>
      <c r="P156" s="227"/>
      <c r="Q156" s="249"/>
      <c r="R156" s="194"/>
      <c r="S156" s="195"/>
      <c r="T156" s="196"/>
      <c r="U156" s="195"/>
      <c r="V156" s="197"/>
    </row>
    <row r="157" spans="1:22" s="198" customFormat="1" ht="25.05" customHeight="1">
      <c r="A157" s="26">
        <v>8</v>
      </c>
      <c r="B157" s="27" t="s">
        <v>150</v>
      </c>
      <c r="C157" s="288" t="s">
        <v>506</v>
      </c>
      <c r="D157" s="191"/>
      <c r="E157" s="29">
        <v>1</v>
      </c>
      <c r="F157" s="30" t="s">
        <v>289</v>
      </c>
      <c r="G157" s="60"/>
      <c r="H157" s="60"/>
      <c r="I157" s="193"/>
      <c r="J157" s="200">
        <f t="shared" si="1"/>
        <v>0</v>
      </c>
      <c r="K157" s="60">
        <v>439</v>
      </c>
      <c r="L157" s="60"/>
      <c r="M157" s="226" t="s">
        <v>500</v>
      </c>
      <c r="N157" s="248" t="s">
        <v>507</v>
      </c>
      <c r="O157" s="227"/>
      <c r="P157" s="227"/>
      <c r="Q157" s="249"/>
      <c r="R157" s="194"/>
      <c r="S157" s="195"/>
      <c r="T157" s="196"/>
      <c r="U157" s="195"/>
      <c r="V157" s="197"/>
    </row>
    <row r="158" spans="1:22" s="198" customFormat="1" ht="25.05" customHeight="1">
      <c r="A158" s="26">
        <v>9</v>
      </c>
      <c r="B158" s="27" t="s">
        <v>150</v>
      </c>
      <c r="C158" s="288" t="s">
        <v>508</v>
      </c>
      <c r="D158" s="191"/>
      <c r="E158" s="29">
        <v>1</v>
      </c>
      <c r="F158" s="30" t="s">
        <v>289</v>
      </c>
      <c r="G158" s="60"/>
      <c r="H158" s="60"/>
      <c r="I158" s="193"/>
      <c r="J158" s="200">
        <f t="shared" si="1"/>
        <v>0</v>
      </c>
      <c r="K158" s="60">
        <v>571</v>
      </c>
      <c r="L158" s="60"/>
      <c r="M158" s="226" t="s">
        <v>509</v>
      </c>
      <c r="N158" s="248" t="s">
        <v>510</v>
      </c>
      <c r="O158" s="227"/>
      <c r="P158" s="227"/>
      <c r="Q158" s="249"/>
      <c r="R158" s="194"/>
      <c r="S158" s="195"/>
      <c r="T158" s="196"/>
      <c r="U158" s="195"/>
      <c r="V158" s="197"/>
    </row>
    <row r="159" spans="1:22" s="198" customFormat="1" ht="25.05" customHeight="1">
      <c r="A159" s="26">
        <v>10</v>
      </c>
      <c r="B159" s="27" t="s">
        <v>150</v>
      </c>
      <c r="C159" s="288" t="s">
        <v>511</v>
      </c>
      <c r="D159" s="191"/>
      <c r="E159" s="29">
        <v>1</v>
      </c>
      <c r="F159" s="30" t="s">
        <v>289</v>
      </c>
      <c r="G159" s="60"/>
      <c r="H159" s="60"/>
      <c r="I159" s="193"/>
      <c r="J159" s="200">
        <f t="shared" si="1"/>
        <v>0</v>
      </c>
      <c r="K159" s="60">
        <v>350</v>
      </c>
      <c r="L159" s="60"/>
      <c r="M159" s="226" t="s">
        <v>512</v>
      </c>
      <c r="N159" s="248" t="s">
        <v>513</v>
      </c>
      <c r="O159" s="227"/>
      <c r="P159" s="227"/>
      <c r="Q159" s="249"/>
      <c r="R159" s="194"/>
      <c r="S159" s="195"/>
      <c r="T159" s="196"/>
      <c r="U159" s="195"/>
      <c r="V159" s="197"/>
    </row>
    <row r="160" spans="1:22" s="198" customFormat="1" ht="25.05" customHeight="1">
      <c r="A160" s="26">
        <v>11</v>
      </c>
      <c r="B160" s="27" t="s">
        <v>150</v>
      </c>
      <c r="C160" s="288" t="s">
        <v>514</v>
      </c>
      <c r="D160" s="191"/>
      <c r="E160" s="29">
        <v>1</v>
      </c>
      <c r="F160" s="30" t="s">
        <v>289</v>
      </c>
      <c r="G160" s="60"/>
      <c r="H160" s="60"/>
      <c r="I160" s="193"/>
      <c r="J160" s="200">
        <f t="shared" si="1"/>
        <v>0</v>
      </c>
      <c r="K160" s="60">
        <v>412</v>
      </c>
      <c r="L160" s="60"/>
      <c r="M160" s="226" t="s">
        <v>515</v>
      </c>
      <c r="N160" s="248" t="s">
        <v>516</v>
      </c>
      <c r="O160" s="227"/>
      <c r="P160" s="227"/>
      <c r="Q160" s="249"/>
      <c r="R160" s="194"/>
      <c r="S160" s="195"/>
      <c r="T160" s="196"/>
      <c r="U160" s="195"/>
      <c r="V160" s="197"/>
    </row>
    <row r="161" spans="1:22" s="198" customFormat="1" ht="25.05" customHeight="1">
      <c r="A161" s="26">
        <v>12</v>
      </c>
      <c r="B161" s="27" t="s">
        <v>150</v>
      </c>
      <c r="C161" s="288" t="s">
        <v>517</v>
      </c>
      <c r="D161" s="191"/>
      <c r="E161" s="29">
        <v>1</v>
      </c>
      <c r="F161" s="30" t="s">
        <v>289</v>
      </c>
      <c r="G161" s="60"/>
      <c r="H161" s="60"/>
      <c r="I161" s="193"/>
      <c r="J161" s="200">
        <f t="shared" si="1"/>
        <v>0</v>
      </c>
      <c r="K161" s="60">
        <v>428</v>
      </c>
      <c r="L161" s="60"/>
      <c r="M161" s="226" t="s">
        <v>350</v>
      </c>
      <c r="N161" s="248" t="s">
        <v>518</v>
      </c>
      <c r="O161" s="227"/>
      <c r="P161" s="227"/>
      <c r="Q161" s="249"/>
      <c r="R161" s="194"/>
      <c r="S161" s="195"/>
      <c r="T161" s="196"/>
      <c r="U161" s="195"/>
      <c r="V161" s="197"/>
    </row>
    <row r="162" spans="1:22" s="198" customFormat="1" ht="25.05" customHeight="1">
      <c r="A162" s="26">
        <v>13</v>
      </c>
      <c r="B162" s="27" t="s">
        <v>150</v>
      </c>
      <c r="C162" s="288" t="s">
        <v>519</v>
      </c>
      <c r="D162" s="191"/>
      <c r="E162" s="29">
        <v>1</v>
      </c>
      <c r="F162" s="30" t="s">
        <v>289</v>
      </c>
      <c r="G162" s="60"/>
      <c r="H162" s="60"/>
      <c r="I162" s="193"/>
      <c r="J162" s="200">
        <f t="shared" si="1"/>
        <v>0</v>
      </c>
      <c r="K162" s="60">
        <v>864</v>
      </c>
      <c r="L162" s="60"/>
      <c r="M162" s="226" t="s">
        <v>350</v>
      </c>
      <c r="N162" s="248" t="s">
        <v>520</v>
      </c>
      <c r="O162" s="227"/>
      <c r="P162" s="227"/>
      <c r="Q162" s="249"/>
      <c r="R162" s="194"/>
      <c r="S162" s="195"/>
      <c r="T162" s="196"/>
      <c r="U162" s="195"/>
      <c r="V162" s="197"/>
    </row>
    <row r="163" spans="1:22" s="198" customFormat="1" ht="25.05" customHeight="1">
      <c r="A163" s="264"/>
      <c r="B163" s="265"/>
      <c r="C163" s="289"/>
      <c r="D163" s="202"/>
      <c r="E163" s="266"/>
      <c r="F163" s="202"/>
      <c r="G163" s="267">
        <v>690</v>
      </c>
      <c r="H163" s="267">
        <v>225</v>
      </c>
      <c r="I163" s="268">
        <v>140</v>
      </c>
      <c r="J163" s="269">
        <f>ROUND(I163*H163*G163/1000000,3)</f>
        <v>21.734999999999999</v>
      </c>
      <c r="K163" s="267">
        <f>SUM(K150:K162)</f>
        <v>5471</v>
      </c>
      <c r="L163" s="267">
        <f>K163+100</f>
        <v>5571</v>
      </c>
      <c r="M163" s="224"/>
      <c r="N163" s="246"/>
      <c r="O163" s="225"/>
      <c r="P163" s="225"/>
      <c r="Q163" s="247"/>
      <c r="R163" s="194"/>
      <c r="S163" s="195"/>
      <c r="T163" s="196"/>
      <c r="U163" s="195"/>
      <c r="V163" s="197"/>
    </row>
    <row r="164" spans="1:22" s="198" customFormat="1" ht="25.05" customHeight="1">
      <c r="A164" s="26">
        <v>1</v>
      </c>
      <c r="B164" s="27" t="s">
        <v>151</v>
      </c>
      <c r="C164" s="288" t="s">
        <v>521</v>
      </c>
      <c r="D164" s="191"/>
      <c r="E164" s="29">
        <v>1</v>
      </c>
      <c r="F164" s="30" t="s">
        <v>289</v>
      </c>
      <c r="G164" s="60"/>
      <c r="H164" s="60"/>
      <c r="I164" s="193"/>
      <c r="J164" s="200">
        <f t="shared" ref="J164:J226" si="2">ROUND(I164*H164*G164/1000000,3)</f>
        <v>0</v>
      </c>
      <c r="K164" s="60">
        <v>147</v>
      </c>
      <c r="L164" s="60"/>
      <c r="M164" s="226" t="s">
        <v>366</v>
      </c>
      <c r="N164" s="248" t="s">
        <v>522</v>
      </c>
      <c r="O164" s="227"/>
      <c r="P164" s="227"/>
      <c r="Q164" s="249"/>
      <c r="R164" s="194"/>
      <c r="S164" s="195"/>
      <c r="T164" s="196"/>
      <c r="U164" s="195"/>
      <c r="V164" s="197"/>
    </row>
    <row r="165" spans="1:22" s="198" customFormat="1" ht="25.05" customHeight="1">
      <c r="A165" s="26">
        <v>2</v>
      </c>
      <c r="B165" s="27" t="s">
        <v>151</v>
      </c>
      <c r="C165" s="288" t="s">
        <v>523</v>
      </c>
      <c r="D165" s="191"/>
      <c r="E165" s="29">
        <v>1</v>
      </c>
      <c r="F165" s="30" t="s">
        <v>289</v>
      </c>
      <c r="G165" s="60"/>
      <c r="H165" s="60"/>
      <c r="I165" s="193"/>
      <c r="J165" s="200">
        <f t="shared" si="2"/>
        <v>0</v>
      </c>
      <c r="K165" s="60">
        <v>158</v>
      </c>
      <c r="L165" s="60"/>
      <c r="M165" s="226" t="s">
        <v>366</v>
      </c>
      <c r="N165" s="248" t="s">
        <v>524</v>
      </c>
      <c r="O165" s="227"/>
      <c r="P165" s="227"/>
      <c r="Q165" s="249"/>
      <c r="R165" s="194"/>
      <c r="S165" s="195"/>
      <c r="T165" s="196"/>
      <c r="U165" s="195"/>
      <c r="V165" s="197"/>
    </row>
    <row r="166" spans="1:22" s="198" customFormat="1" ht="25.05" customHeight="1">
      <c r="A166" s="26">
        <v>3</v>
      </c>
      <c r="B166" s="27" t="s">
        <v>151</v>
      </c>
      <c r="C166" s="288" t="s">
        <v>525</v>
      </c>
      <c r="D166" s="191"/>
      <c r="E166" s="29">
        <v>1</v>
      </c>
      <c r="F166" s="30" t="s">
        <v>289</v>
      </c>
      <c r="G166" s="60"/>
      <c r="H166" s="60"/>
      <c r="I166" s="193"/>
      <c r="J166" s="200">
        <f t="shared" si="2"/>
        <v>0</v>
      </c>
      <c r="K166" s="60">
        <v>181</v>
      </c>
      <c r="L166" s="60"/>
      <c r="M166" s="226" t="s">
        <v>366</v>
      </c>
      <c r="N166" s="248" t="s">
        <v>526</v>
      </c>
      <c r="O166" s="227"/>
      <c r="P166" s="227"/>
      <c r="Q166" s="249"/>
      <c r="R166" s="194"/>
      <c r="S166" s="195"/>
      <c r="T166" s="196"/>
      <c r="U166" s="195"/>
      <c r="V166" s="197"/>
    </row>
    <row r="167" spans="1:22" s="198" customFormat="1" ht="25.05" customHeight="1">
      <c r="A167" s="26">
        <v>4</v>
      </c>
      <c r="B167" s="27" t="s">
        <v>151</v>
      </c>
      <c r="C167" s="288" t="s">
        <v>527</v>
      </c>
      <c r="D167" s="191"/>
      <c r="E167" s="29">
        <v>1</v>
      </c>
      <c r="F167" s="30" t="s">
        <v>289</v>
      </c>
      <c r="G167" s="60"/>
      <c r="H167" s="60"/>
      <c r="I167" s="193"/>
      <c r="J167" s="200">
        <f t="shared" si="2"/>
        <v>0</v>
      </c>
      <c r="K167" s="60">
        <v>199</v>
      </c>
      <c r="L167" s="60"/>
      <c r="M167" s="226" t="s">
        <v>366</v>
      </c>
      <c r="N167" s="248" t="s">
        <v>528</v>
      </c>
      <c r="O167" s="227"/>
      <c r="P167" s="227"/>
      <c r="Q167" s="249"/>
      <c r="R167" s="194"/>
      <c r="S167" s="195"/>
      <c r="T167" s="196"/>
      <c r="U167" s="195"/>
      <c r="V167" s="197"/>
    </row>
    <row r="168" spans="1:22" s="198" customFormat="1" ht="25.05" customHeight="1">
      <c r="A168" s="26">
        <v>5</v>
      </c>
      <c r="B168" s="27" t="s">
        <v>151</v>
      </c>
      <c r="C168" s="288" t="s">
        <v>529</v>
      </c>
      <c r="D168" s="191"/>
      <c r="E168" s="29">
        <v>1</v>
      </c>
      <c r="F168" s="30" t="s">
        <v>289</v>
      </c>
      <c r="G168" s="60"/>
      <c r="H168" s="60"/>
      <c r="I168" s="193"/>
      <c r="J168" s="200">
        <f t="shared" si="2"/>
        <v>0</v>
      </c>
      <c r="K168" s="60">
        <v>170</v>
      </c>
      <c r="L168" s="60"/>
      <c r="M168" s="226" t="s">
        <v>369</v>
      </c>
      <c r="N168" s="248" t="s">
        <v>530</v>
      </c>
      <c r="O168" s="227"/>
      <c r="P168" s="227"/>
      <c r="Q168" s="249"/>
      <c r="R168" s="194"/>
      <c r="S168" s="195"/>
      <c r="T168" s="196"/>
      <c r="U168" s="195"/>
      <c r="V168" s="197"/>
    </row>
    <row r="169" spans="1:22" s="198" customFormat="1" ht="25.05" customHeight="1">
      <c r="A169" s="26">
        <v>6</v>
      </c>
      <c r="B169" s="27" t="s">
        <v>151</v>
      </c>
      <c r="C169" s="288" t="s">
        <v>531</v>
      </c>
      <c r="D169" s="191"/>
      <c r="E169" s="29">
        <v>1</v>
      </c>
      <c r="F169" s="30" t="s">
        <v>289</v>
      </c>
      <c r="G169" s="60"/>
      <c r="H169" s="60"/>
      <c r="I169" s="193"/>
      <c r="J169" s="200">
        <f t="shared" si="2"/>
        <v>0</v>
      </c>
      <c r="K169" s="60">
        <v>170</v>
      </c>
      <c r="L169" s="60"/>
      <c r="M169" s="226" t="s">
        <v>369</v>
      </c>
      <c r="N169" s="248" t="s">
        <v>532</v>
      </c>
      <c r="O169" s="227"/>
      <c r="P169" s="227"/>
      <c r="Q169" s="249"/>
      <c r="R169" s="194"/>
      <c r="S169" s="195"/>
      <c r="T169" s="196"/>
      <c r="U169" s="195"/>
      <c r="V169" s="197"/>
    </row>
    <row r="170" spans="1:22" s="198" customFormat="1" ht="25.05" customHeight="1">
      <c r="A170" s="26">
        <v>7</v>
      </c>
      <c r="B170" s="27" t="s">
        <v>151</v>
      </c>
      <c r="C170" s="288" t="s">
        <v>533</v>
      </c>
      <c r="D170" s="191"/>
      <c r="E170" s="29">
        <v>1</v>
      </c>
      <c r="F170" s="30" t="s">
        <v>289</v>
      </c>
      <c r="G170" s="60"/>
      <c r="H170" s="60"/>
      <c r="I170" s="193"/>
      <c r="J170" s="200">
        <f t="shared" si="2"/>
        <v>0</v>
      </c>
      <c r="K170" s="60">
        <v>148</v>
      </c>
      <c r="L170" s="60"/>
      <c r="M170" s="226" t="s">
        <v>369</v>
      </c>
      <c r="N170" s="248" t="s">
        <v>534</v>
      </c>
      <c r="O170" s="227"/>
      <c r="P170" s="227"/>
      <c r="Q170" s="249"/>
      <c r="R170" s="194"/>
      <c r="S170" s="195"/>
      <c r="T170" s="196"/>
      <c r="U170" s="195"/>
      <c r="V170" s="197"/>
    </row>
    <row r="171" spans="1:22" s="198" customFormat="1" ht="25.05" customHeight="1">
      <c r="A171" s="26">
        <v>8</v>
      </c>
      <c r="B171" s="27" t="s">
        <v>151</v>
      </c>
      <c r="C171" s="288" t="s">
        <v>535</v>
      </c>
      <c r="D171" s="191"/>
      <c r="E171" s="29">
        <v>1</v>
      </c>
      <c r="F171" s="30" t="s">
        <v>289</v>
      </c>
      <c r="G171" s="60"/>
      <c r="H171" s="60"/>
      <c r="I171" s="193"/>
      <c r="J171" s="200">
        <f t="shared" si="2"/>
        <v>0</v>
      </c>
      <c r="K171" s="60">
        <v>60</v>
      </c>
      <c r="L171" s="60"/>
      <c r="M171" s="226" t="s">
        <v>369</v>
      </c>
      <c r="N171" s="248" t="s">
        <v>536</v>
      </c>
      <c r="O171" s="227"/>
      <c r="P171" s="227"/>
      <c r="Q171" s="249"/>
      <c r="R171" s="194"/>
      <c r="S171" s="195"/>
      <c r="T171" s="196"/>
      <c r="U171" s="195"/>
      <c r="V171" s="197"/>
    </row>
    <row r="172" spans="1:22" s="198" customFormat="1" ht="25.05" customHeight="1">
      <c r="A172" s="26">
        <v>9</v>
      </c>
      <c r="B172" s="27" t="s">
        <v>151</v>
      </c>
      <c r="C172" s="288" t="s">
        <v>537</v>
      </c>
      <c r="D172" s="191"/>
      <c r="E172" s="29">
        <v>1</v>
      </c>
      <c r="F172" s="30" t="s">
        <v>289</v>
      </c>
      <c r="G172" s="60"/>
      <c r="H172" s="60"/>
      <c r="I172" s="193"/>
      <c r="J172" s="200">
        <f t="shared" si="2"/>
        <v>0</v>
      </c>
      <c r="K172" s="60">
        <v>197</v>
      </c>
      <c r="L172" s="60"/>
      <c r="M172" s="226" t="s">
        <v>369</v>
      </c>
      <c r="N172" s="248" t="s">
        <v>538</v>
      </c>
      <c r="O172" s="227"/>
      <c r="P172" s="227"/>
      <c r="Q172" s="249"/>
      <c r="R172" s="194"/>
      <c r="S172" s="195"/>
      <c r="T172" s="196"/>
      <c r="U172" s="195"/>
      <c r="V172" s="197"/>
    </row>
    <row r="173" spans="1:22" s="198" customFormat="1" ht="25.05" customHeight="1">
      <c r="A173" s="26">
        <v>10</v>
      </c>
      <c r="B173" s="27" t="s">
        <v>151</v>
      </c>
      <c r="C173" s="288" t="s">
        <v>539</v>
      </c>
      <c r="D173" s="191"/>
      <c r="E173" s="29">
        <v>1</v>
      </c>
      <c r="F173" s="30" t="s">
        <v>289</v>
      </c>
      <c r="G173" s="60"/>
      <c r="H173" s="60"/>
      <c r="I173" s="193"/>
      <c r="J173" s="200">
        <f t="shared" si="2"/>
        <v>0</v>
      </c>
      <c r="K173" s="60">
        <v>126</v>
      </c>
      <c r="L173" s="60"/>
      <c r="M173" s="226" t="s">
        <v>369</v>
      </c>
      <c r="N173" s="248" t="s">
        <v>540</v>
      </c>
      <c r="O173" s="227"/>
      <c r="P173" s="227"/>
      <c r="Q173" s="249"/>
      <c r="R173" s="194"/>
      <c r="S173" s="195"/>
      <c r="T173" s="196"/>
      <c r="U173" s="195"/>
      <c r="V173" s="197"/>
    </row>
    <row r="174" spans="1:22" s="198" customFormat="1" ht="25.05" customHeight="1">
      <c r="A174" s="264"/>
      <c r="B174" s="265"/>
      <c r="C174" s="289"/>
      <c r="D174" s="202"/>
      <c r="E174" s="266"/>
      <c r="F174" s="202"/>
      <c r="G174" s="267">
        <v>655</v>
      </c>
      <c r="H174" s="267">
        <v>225</v>
      </c>
      <c r="I174" s="268">
        <v>80</v>
      </c>
      <c r="J174" s="269">
        <f>ROUND(I174*H174*G174/1000000,3)</f>
        <v>11.79</v>
      </c>
      <c r="K174" s="267">
        <f>SUM(K164:K173)</f>
        <v>1556</v>
      </c>
      <c r="L174" s="267">
        <f>K174+100</f>
        <v>1656</v>
      </c>
      <c r="M174" s="224"/>
      <c r="N174" s="246"/>
      <c r="O174" s="225"/>
      <c r="P174" s="225"/>
      <c r="Q174" s="247"/>
      <c r="R174" s="194"/>
      <c r="S174" s="195"/>
      <c r="T174" s="196"/>
      <c r="U174" s="195"/>
      <c r="V174" s="197"/>
    </row>
    <row r="175" spans="1:22" s="198" customFormat="1" ht="25.05" customHeight="1">
      <c r="A175" s="26">
        <v>1</v>
      </c>
      <c r="B175" s="27" t="s">
        <v>152</v>
      </c>
      <c r="C175" s="288" t="s">
        <v>541</v>
      </c>
      <c r="D175" s="191"/>
      <c r="E175" s="29">
        <v>1</v>
      </c>
      <c r="F175" s="30" t="s">
        <v>289</v>
      </c>
      <c r="G175" s="60"/>
      <c r="H175" s="60"/>
      <c r="I175" s="193"/>
      <c r="J175" s="200">
        <f t="shared" si="2"/>
        <v>0</v>
      </c>
      <c r="K175" s="60">
        <v>13.7</v>
      </c>
      <c r="L175" s="60"/>
      <c r="M175" s="226" t="s">
        <v>542</v>
      </c>
      <c r="N175" s="248" t="s">
        <v>543</v>
      </c>
      <c r="O175" s="227"/>
      <c r="P175" s="227"/>
      <c r="Q175" s="249"/>
      <c r="R175" s="194"/>
      <c r="S175" s="195"/>
      <c r="T175" s="196"/>
      <c r="U175" s="195"/>
      <c r="V175" s="197"/>
    </row>
    <row r="176" spans="1:22" s="198" customFormat="1" ht="25.05" customHeight="1">
      <c r="A176" s="26">
        <v>2</v>
      </c>
      <c r="B176" s="27" t="s">
        <v>152</v>
      </c>
      <c r="C176" s="288" t="s">
        <v>544</v>
      </c>
      <c r="D176" s="191"/>
      <c r="E176" s="29">
        <v>1</v>
      </c>
      <c r="F176" s="30" t="s">
        <v>289</v>
      </c>
      <c r="G176" s="60"/>
      <c r="H176" s="60"/>
      <c r="I176" s="193"/>
      <c r="J176" s="200">
        <f t="shared" si="2"/>
        <v>0</v>
      </c>
      <c r="K176" s="60">
        <v>31</v>
      </c>
      <c r="L176" s="60"/>
      <c r="M176" s="226" t="s">
        <v>545</v>
      </c>
      <c r="N176" s="248" t="s">
        <v>546</v>
      </c>
      <c r="O176" s="227"/>
      <c r="P176" s="227"/>
      <c r="Q176" s="249"/>
      <c r="R176" s="194"/>
      <c r="S176" s="195"/>
      <c r="T176" s="196"/>
      <c r="U176" s="195"/>
      <c r="V176" s="197"/>
    </row>
    <row r="177" spans="1:22" s="198" customFormat="1" ht="25.05" customHeight="1">
      <c r="A177" s="26">
        <v>3</v>
      </c>
      <c r="B177" s="27" t="s">
        <v>152</v>
      </c>
      <c r="C177" s="288" t="s">
        <v>547</v>
      </c>
      <c r="D177" s="191"/>
      <c r="E177" s="29">
        <v>1</v>
      </c>
      <c r="F177" s="30" t="s">
        <v>289</v>
      </c>
      <c r="G177" s="60"/>
      <c r="H177" s="60"/>
      <c r="I177" s="193"/>
      <c r="J177" s="200">
        <f t="shared" si="2"/>
        <v>0</v>
      </c>
      <c r="K177" s="60">
        <v>34.5</v>
      </c>
      <c r="L177" s="60"/>
      <c r="M177" s="226" t="s">
        <v>545</v>
      </c>
      <c r="N177" s="248" t="s">
        <v>548</v>
      </c>
      <c r="O177" s="227"/>
      <c r="P177" s="227"/>
      <c r="Q177" s="249"/>
      <c r="R177" s="194"/>
      <c r="S177" s="195"/>
      <c r="T177" s="196"/>
      <c r="U177" s="195"/>
      <c r="V177" s="197"/>
    </row>
    <row r="178" spans="1:22" s="198" customFormat="1" ht="25.05" customHeight="1">
      <c r="A178" s="26">
        <v>4</v>
      </c>
      <c r="B178" s="27" t="s">
        <v>152</v>
      </c>
      <c r="C178" s="288" t="s">
        <v>549</v>
      </c>
      <c r="D178" s="191"/>
      <c r="E178" s="29">
        <v>1</v>
      </c>
      <c r="F178" s="30" t="s">
        <v>289</v>
      </c>
      <c r="G178" s="60"/>
      <c r="H178" s="60"/>
      <c r="I178" s="193"/>
      <c r="J178" s="200">
        <f t="shared" si="2"/>
        <v>0</v>
      </c>
      <c r="K178" s="60">
        <v>33</v>
      </c>
      <c r="L178" s="60"/>
      <c r="M178" s="226" t="s">
        <v>545</v>
      </c>
      <c r="N178" s="248" t="s">
        <v>550</v>
      </c>
      <c r="O178" s="227"/>
      <c r="P178" s="227"/>
      <c r="Q178" s="249"/>
      <c r="R178" s="194"/>
      <c r="S178" s="195"/>
      <c r="T178" s="196"/>
      <c r="U178" s="195"/>
      <c r="V178" s="197"/>
    </row>
    <row r="179" spans="1:22" s="198" customFormat="1" ht="25.05" customHeight="1">
      <c r="A179" s="26">
        <v>5</v>
      </c>
      <c r="B179" s="27" t="s">
        <v>152</v>
      </c>
      <c r="C179" s="288" t="s">
        <v>551</v>
      </c>
      <c r="D179" s="191"/>
      <c r="E179" s="29">
        <v>1</v>
      </c>
      <c r="F179" s="30" t="s">
        <v>289</v>
      </c>
      <c r="G179" s="60"/>
      <c r="H179" s="60"/>
      <c r="I179" s="193"/>
      <c r="J179" s="200">
        <f t="shared" si="2"/>
        <v>0</v>
      </c>
      <c r="K179" s="60">
        <v>5.7</v>
      </c>
      <c r="L179" s="60"/>
      <c r="M179" s="226" t="s">
        <v>545</v>
      </c>
      <c r="N179" s="248" t="s">
        <v>552</v>
      </c>
      <c r="O179" s="227"/>
      <c r="P179" s="227"/>
      <c r="Q179" s="249"/>
      <c r="R179" s="194"/>
      <c r="S179" s="195"/>
      <c r="T179" s="196"/>
      <c r="U179" s="195"/>
      <c r="V179" s="197"/>
    </row>
    <row r="180" spans="1:22" s="198" customFormat="1" ht="25.05" customHeight="1">
      <c r="A180" s="26">
        <v>6</v>
      </c>
      <c r="B180" s="27" t="s">
        <v>152</v>
      </c>
      <c r="C180" s="288" t="s">
        <v>553</v>
      </c>
      <c r="D180" s="191"/>
      <c r="E180" s="29">
        <v>1</v>
      </c>
      <c r="F180" s="30" t="s">
        <v>289</v>
      </c>
      <c r="G180" s="60"/>
      <c r="H180" s="60"/>
      <c r="I180" s="193"/>
      <c r="J180" s="200">
        <f t="shared" si="2"/>
        <v>0</v>
      </c>
      <c r="K180" s="60">
        <v>22</v>
      </c>
      <c r="L180" s="60"/>
      <c r="M180" s="226" t="s">
        <v>542</v>
      </c>
      <c r="N180" s="248" t="s">
        <v>554</v>
      </c>
      <c r="O180" s="227"/>
      <c r="P180" s="227"/>
      <c r="Q180" s="249"/>
      <c r="R180" s="194"/>
      <c r="S180" s="195"/>
      <c r="T180" s="196"/>
      <c r="U180" s="195"/>
      <c r="V180" s="197"/>
    </row>
    <row r="181" spans="1:22" s="198" customFormat="1" ht="25.05" customHeight="1">
      <c r="A181" s="26">
        <v>7</v>
      </c>
      <c r="B181" s="27" t="s">
        <v>152</v>
      </c>
      <c r="C181" s="288" t="s">
        <v>555</v>
      </c>
      <c r="D181" s="191"/>
      <c r="E181" s="29">
        <v>1</v>
      </c>
      <c r="F181" s="30" t="s">
        <v>289</v>
      </c>
      <c r="G181" s="60"/>
      <c r="H181" s="60"/>
      <c r="I181" s="193"/>
      <c r="J181" s="200">
        <f t="shared" si="2"/>
        <v>0</v>
      </c>
      <c r="K181" s="60">
        <v>34.6</v>
      </c>
      <c r="L181" s="60"/>
      <c r="M181" s="226" t="s">
        <v>542</v>
      </c>
      <c r="N181" s="248" t="s">
        <v>556</v>
      </c>
      <c r="O181" s="227"/>
      <c r="P181" s="227"/>
      <c r="Q181" s="249"/>
      <c r="R181" s="194"/>
      <c r="S181" s="195"/>
      <c r="T181" s="196"/>
      <c r="U181" s="195"/>
      <c r="V181" s="197"/>
    </row>
    <row r="182" spans="1:22" s="198" customFormat="1" ht="25.05" customHeight="1">
      <c r="A182" s="26">
        <v>8</v>
      </c>
      <c r="B182" s="27" t="s">
        <v>152</v>
      </c>
      <c r="C182" s="288" t="s">
        <v>557</v>
      </c>
      <c r="D182" s="191"/>
      <c r="E182" s="29">
        <v>1</v>
      </c>
      <c r="F182" s="30" t="s">
        <v>289</v>
      </c>
      <c r="G182" s="60"/>
      <c r="H182" s="60"/>
      <c r="I182" s="193"/>
      <c r="J182" s="200">
        <f t="shared" si="2"/>
        <v>0</v>
      </c>
      <c r="K182" s="60">
        <v>31</v>
      </c>
      <c r="L182" s="60"/>
      <c r="M182" s="226" t="s">
        <v>558</v>
      </c>
      <c r="N182" s="248" t="s">
        <v>559</v>
      </c>
      <c r="O182" s="227"/>
      <c r="P182" s="227"/>
      <c r="Q182" s="249"/>
      <c r="R182" s="194"/>
      <c r="S182" s="195"/>
      <c r="T182" s="196"/>
      <c r="U182" s="195"/>
      <c r="V182" s="197"/>
    </row>
    <row r="183" spans="1:22" s="198" customFormat="1" ht="25.05" customHeight="1">
      <c r="A183" s="26">
        <v>9</v>
      </c>
      <c r="B183" s="27" t="s">
        <v>152</v>
      </c>
      <c r="C183" s="288" t="s">
        <v>560</v>
      </c>
      <c r="D183" s="191"/>
      <c r="E183" s="29">
        <v>1</v>
      </c>
      <c r="F183" s="30" t="s">
        <v>289</v>
      </c>
      <c r="G183" s="60"/>
      <c r="H183" s="60"/>
      <c r="I183" s="193"/>
      <c r="J183" s="200">
        <f t="shared" si="2"/>
        <v>0</v>
      </c>
      <c r="K183" s="60">
        <v>35.5</v>
      </c>
      <c r="L183" s="60"/>
      <c r="M183" s="226" t="s">
        <v>558</v>
      </c>
      <c r="N183" s="248" t="s">
        <v>561</v>
      </c>
      <c r="O183" s="227"/>
      <c r="P183" s="227"/>
      <c r="Q183" s="249"/>
      <c r="R183" s="194"/>
      <c r="S183" s="195"/>
      <c r="T183" s="196"/>
      <c r="U183" s="195"/>
      <c r="V183" s="197"/>
    </row>
    <row r="184" spans="1:22" s="198" customFormat="1" ht="25.05" customHeight="1">
      <c r="A184" s="26">
        <v>10</v>
      </c>
      <c r="B184" s="27" t="s">
        <v>152</v>
      </c>
      <c r="C184" s="288" t="s">
        <v>562</v>
      </c>
      <c r="D184" s="191"/>
      <c r="E184" s="29">
        <v>1</v>
      </c>
      <c r="F184" s="30" t="s">
        <v>289</v>
      </c>
      <c r="G184" s="60"/>
      <c r="H184" s="60"/>
      <c r="I184" s="193"/>
      <c r="J184" s="200">
        <f t="shared" si="2"/>
        <v>0</v>
      </c>
      <c r="K184" s="60">
        <v>31.5</v>
      </c>
      <c r="L184" s="60"/>
      <c r="M184" s="226" t="s">
        <v>558</v>
      </c>
      <c r="N184" s="248" t="s">
        <v>563</v>
      </c>
      <c r="O184" s="227"/>
      <c r="P184" s="227"/>
      <c r="Q184" s="249"/>
      <c r="R184" s="194"/>
      <c r="S184" s="195"/>
      <c r="T184" s="196"/>
      <c r="U184" s="195"/>
      <c r="V184" s="197"/>
    </row>
    <row r="185" spans="1:22" s="198" customFormat="1" ht="25.05" customHeight="1">
      <c r="A185" s="26">
        <v>11</v>
      </c>
      <c r="B185" s="27" t="s">
        <v>152</v>
      </c>
      <c r="C185" s="288" t="s">
        <v>564</v>
      </c>
      <c r="D185" s="191"/>
      <c r="E185" s="29">
        <v>1</v>
      </c>
      <c r="F185" s="30" t="s">
        <v>289</v>
      </c>
      <c r="G185" s="60"/>
      <c r="H185" s="60"/>
      <c r="I185" s="193"/>
      <c r="J185" s="200">
        <f t="shared" si="2"/>
        <v>0</v>
      </c>
      <c r="K185" s="60">
        <v>5.2</v>
      </c>
      <c r="L185" s="60"/>
      <c r="M185" s="226" t="s">
        <v>558</v>
      </c>
      <c r="N185" s="248" t="s">
        <v>565</v>
      </c>
      <c r="O185" s="227"/>
      <c r="P185" s="227"/>
      <c r="Q185" s="249"/>
      <c r="R185" s="194"/>
      <c r="S185" s="195"/>
      <c r="T185" s="196"/>
      <c r="U185" s="195"/>
      <c r="V185" s="197"/>
    </row>
    <row r="186" spans="1:22" s="198" customFormat="1" ht="25.05" customHeight="1">
      <c r="A186" s="26">
        <v>12</v>
      </c>
      <c r="B186" s="27" t="s">
        <v>152</v>
      </c>
      <c r="C186" s="288" t="s">
        <v>566</v>
      </c>
      <c r="D186" s="191"/>
      <c r="E186" s="29">
        <v>1</v>
      </c>
      <c r="F186" s="30" t="s">
        <v>289</v>
      </c>
      <c r="G186" s="60"/>
      <c r="H186" s="60"/>
      <c r="I186" s="193"/>
      <c r="J186" s="200">
        <f t="shared" si="2"/>
        <v>0</v>
      </c>
      <c r="K186" s="60">
        <v>20.399999999999999</v>
      </c>
      <c r="L186" s="60"/>
      <c r="M186" s="226" t="s">
        <v>567</v>
      </c>
      <c r="N186" s="248" t="s">
        <v>568</v>
      </c>
      <c r="O186" s="227"/>
      <c r="P186" s="227"/>
      <c r="Q186" s="249"/>
      <c r="R186" s="194"/>
      <c r="S186" s="195"/>
      <c r="T186" s="196"/>
      <c r="U186" s="195"/>
      <c r="V186" s="197"/>
    </row>
    <row r="187" spans="1:22" s="198" customFormat="1" ht="25.05" customHeight="1">
      <c r="A187" s="26">
        <v>13</v>
      </c>
      <c r="B187" s="27" t="s">
        <v>152</v>
      </c>
      <c r="C187" s="288" t="s">
        <v>569</v>
      </c>
      <c r="D187" s="191"/>
      <c r="E187" s="29">
        <v>1</v>
      </c>
      <c r="F187" s="30" t="s">
        <v>289</v>
      </c>
      <c r="G187" s="60"/>
      <c r="H187" s="60"/>
      <c r="I187" s="193"/>
      <c r="J187" s="200">
        <f t="shared" si="2"/>
        <v>0</v>
      </c>
      <c r="K187" s="60">
        <v>3</v>
      </c>
      <c r="L187" s="60"/>
      <c r="M187" s="226" t="s">
        <v>570</v>
      </c>
      <c r="N187" s="248" t="s">
        <v>571</v>
      </c>
      <c r="O187" s="227"/>
      <c r="P187" s="227"/>
      <c r="Q187" s="249"/>
      <c r="R187" s="194"/>
      <c r="S187" s="195"/>
      <c r="T187" s="196"/>
      <c r="U187" s="195"/>
      <c r="V187" s="197"/>
    </row>
    <row r="188" spans="1:22" s="198" customFormat="1" ht="25.05" customHeight="1">
      <c r="A188" s="26">
        <v>14</v>
      </c>
      <c r="B188" s="27" t="s">
        <v>152</v>
      </c>
      <c r="C188" s="288" t="s">
        <v>572</v>
      </c>
      <c r="D188" s="191"/>
      <c r="E188" s="29">
        <v>1</v>
      </c>
      <c r="F188" s="30" t="s">
        <v>289</v>
      </c>
      <c r="G188" s="60"/>
      <c r="H188" s="60"/>
      <c r="I188" s="193"/>
      <c r="J188" s="200">
        <f t="shared" si="2"/>
        <v>0</v>
      </c>
      <c r="K188" s="60">
        <v>16.5</v>
      </c>
      <c r="L188" s="60"/>
      <c r="M188" s="226" t="s">
        <v>570</v>
      </c>
      <c r="N188" s="248" t="s">
        <v>573</v>
      </c>
      <c r="O188" s="227"/>
      <c r="P188" s="227"/>
      <c r="Q188" s="249"/>
      <c r="R188" s="194"/>
      <c r="S188" s="195"/>
      <c r="T188" s="196"/>
      <c r="U188" s="195"/>
      <c r="V188" s="197"/>
    </row>
    <row r="189" spans="1:22" s="198" customFormat="1" ht="25.05" customHeight="1">
      <c r="A189" s="26">
        <v>15</v>
      </c>
      <c r="B189" s="27" t="s">
        <v>152</v>
      </c>
      <c r="C189" s="288" t="s">
        <v>574</v>
      </c>
      <c r="D189" s="191"/>
      <c r="E189" s="29">
        <v>1</v>
      </c>
      <c r="F189" s="30" t="s">
        <v>289</v>
      </c>
      <c r="G189" s="60"/>
      <c r="H189" s="60"/>
      <c r="I189" s="193"/>
      <c r="J189" s="200">
        <f t="shared" si="2"/>
        <v>0</v>
      </c>
      <c r="K189" s="60">
        <v>34.5</v>
      </c>
      <c r="L189" s="60"/>
      <c r="M189" s="226" t="s">
        <v>570</v>
      </c>
      <c r="N189" s="273" t="s">
        <v>575</v>
      </c>
      <c r="O189" s="227"/>
      <c r="P189" s="227"/>
      <c r="Q189" s="249"/>
      <c r="R189" s="194"/>
      <c r="S189" s="195"/>
      <c r="T189" s="196"/>
      <c r="U189" s="195"/>
      <c r="V189" s="197"/>
    </row>
    <row r="190" spans="1:22" s="198" customFormat="1" ht="25.05" customHeight="1">
      <c r="A190" s="26">
        <v>16</v>
      </c>
      <c r="B190" s="27" t="s">
        <v>152</v>
      </c>
      <c r="C190" s="288" t="s">
        <v>576</v>
      </c>
      <c r="D190" s="191"/>
      <c r="E190" s="29">
        <v>1</v>
      </c>
      <c r="F190" s="30" t="s">
        <v>289</v>
      </c>
      <c r="G190" s="60"/>
      <c r="H190" s="60"/>
      <c r="I190" s="193"/>
      <c r="J190" s="200">
        <f t="shared" si="2"/>
        <v>0</v>
      </c>
      <c r="K190" s="60">
        <v>34.5</v>
      </c>
      <c r="L190" s="60"/>
      <c r="M190" s="226" t="s">
        <v>570</v>
      </c>
      <c r="N190" s="273" t="s">
        <v>577</v>
      </c>
      <c r="O190" s="227"/>
      <c r="P190" s="227"/>
      <c r="Q190" s="249"/>
      <c r="R190" s="194"/>
      <c r="S190" s="195"/>
      <c r="T190" s="196"/>
      <c r="U190" s="195"/>
      <c r="V190" s="197"/>
    </row>
    <row r="191" spans="1:22" s="198" customFormat="1" ht="25.05" customHeight="1">
      <c r="A191" s="26">
        <v>17</v>
      </c>
      <c r="B191" s="27" t="s">
        <v>152</v>
      </c>
      <c r="C191" s="288" t="s">
        <v>578</v>
      </c>
      <c r="D191" s="191"/>
      <c r="E191" s="29">
        <v>1</v>
      </c>
      <c r="F191" s="30" t="s">
        <v>289</v>
      </c>
      <c r="G191" s="60"/>
      <c r="H191" s="60"/>
      <c r="I191" s="193"/>
      <c r="J191" s="200">
        <f t="shared" si="2"/>
        <v>0</v>
      </c>
      <c r="K191" s="60">
        <v>3</v>
      </c>
      <c r="L191" s="60"/>
      <c r="M191" s="226" t="s">
        <v>579</v>
      </c>
      <c r="N191" s="273" t="s">
        <v>580</v>
      </c>
      <c r="O191" s="227"/>
      <c r="P191" s="227"/>
      <c r="Q191" s="249"/>
      <c r="R191" s="194"/>
      <c r="S191" s="195"/>
      <c r="T191" s="196"/>
      <c r="U191" s="195"/>
      <c r="V191" s="197"/>
    </row>
    <row r="192" spans="1:22" s="198" customFormat="1" ht="25.05" customHeight="1">
      <c r="A192" s="26">
        <v>18</v>
      </c>
      <c r="B192" s="27" t="s">
        <v>152</v>
      </c>
      <c r="C192" s="288" t="s">
        <v>581</v>
      </c>
      <c r="D192" s="191"/>
      <c r="E192" s="29">
        <v>1</v>
      </c>
      <c r="F192" s="30" t="s">
        <v>289</v>
      </c>
      <c r="G192" s="60"/>
      <c r="H192" s="60"/>
      <c r="I192" s="193"/>
      <c r="J192" s="200">
        <f t="shared" si="2"/>
        <v>0</v>
      </c>
      <c r="K192" s="60">
        <v>17</v>
      </c>
      <c r="L192" s="60"/>
      <c r="M192" s="226" t="s">
        <v>579</v>
      </c>
      <c r="N192" s="273" t="s">
        <v>582</v>
      </c>
      <c r="O192" s="227"/>
      <c r="P192" s="227"/>
      <c r="Q192" s="249"/>
      <c r="R192" s="194"/>
      <c r="S192" s="195"/>
      <c r="T192" s="196"/>
      <c r="U192" s="195"/>
      <c r="V192" s="197"/>
    </row>
    <row r="193" spans="1:22" s="198" customFormat="1" ht="25.05" customHeight="1">
      <c r="A193" s="26">
        <v>19</v>
      </c>
      <c r="B193" s="27" t="s">
        <v>152</v>
      </c>
      <c r="C193" s="288" t="s">
        <v>583</v>
      </c>
      <c r="D193" s="191"/>
      <c r="E193" s="29">
        <v>1</v>
      </c>
      <c r="F193" s="30" t="s">
        <v>289</v>
      </c>
      <c r="G193" s="60"/>
      <c r="H193" s="60"/>
      <c r="I193" s="193"/>
      <c r="J193" s="200">
        <f t="shared" si="2"/>
        <v>0</v>
      </c>
      <c r="K193" s="60">
        <v>35</v>
      </c>
      <c r="L193" s="60"/>
      <c r="M193" s="226" t="s">
        <v>579</v>
      </c>
      <c r="N193" s="273" t="s">
        <v>584</v>
      </c>
      <c r="O193" s="227"/>
      <c r="P193" s="227"/>
      <c r="Q193" s="249"/>
      <c r="R193" s="194"/>
      <c r="S193" s="195"/>
      <c r="T193" s="196"/>
      <c r="U193" s="195"/>
      <c r="V193" s="197"/>
    </row>
    <row r="194" spans="1:22" s="198" customFormat="1" ht="25.05" customHeight="1">
      <c r="A194" s="26">
        <v>20</v>
      </c>
      <c r="B194" s="27" t="s">
        <v>152</v>
      </c>
      <c r="C194" s="288" t="s">
        <v>585</v>
      </c>
      <c r="D194" s="191"/>
      <c r="E194" s="29">
        <v>1</v>
      </c>
      <c r="F194" s="30" t="s">
        <v>289</v>
      </c>
      <c r="G194" s="60"/>
      <c r="H194" s="60"/>
      <c r="I194" s="193"/>
      <c r="J194" s="200">
        <f t="shared" si="2"/>
        <v>0</v>
      </c>
      <c r="K194" s="60">
        <v>34.5</v>
      </c>
      <c r="L194" s="60"/>
      <c r="M194" s="226" t="s">
        <v>579</v>
      </c>
      <c r="N194" s="273" t="s">
        <v>586</v>
      </c>
      <c r="O194" s="227"/>
      <c r="P194" s="227"/>
      <c r="Q194" s="249"/>
      <c r="R194" s="194"/>
      <c r="S194" s="195"/>
      <c r="T194" s="196"/>
      <c r="U194" s="195"/>
      <c r="V194" s="197"/>
    </row>
    <row r="195" spans="1:22" s="198" customFormat="1" ht="25.05" customHeight="1">
      <c r="A195" s="26">
        <v>21</v>
      </c>
      <c r="B195" s="27" t="s">
        <v>152</v>
      </c>
      <c r="C195" s="288" t="s">
        <v>587</v>
      </c>
      <c r="D195" s="191"/>
      <c r="E195" s="29">
        <v>1</v>
      </c>
      <c r="F195" s="30" t="s">
        <v>289</v>
      </c>
      <c r="G195" s="60"/>
      <c r="H195" s="60"/>
      <c r="I195" s="193"/>
      <c r="J195" s="200">
        <f t="shared" si="2"/>
        <v>0</v>
      </c>
      <c r="K195" s="60">
        <v>13</v>
      </c>
      <c r="L195" s="60"/>
      <c r="M195" s="226" t="s">
        <v>588</v>
      </c>
      <c r="N195" s="273" t="s">
        <v>589</v>
      </c>
      <c r="O195" s="227"/>
      <c r="P195" s="227"/>
      <c r="Q195" s="249"/>
      <c r="R195" s="194"/>
      <c r="S195" s="195"/>
      <c r="T195" s="196"/>
      <c r="U195" s="195"/>
      <c r="V195" s="197"/>
    </row>
    <row r="196" spans="1:22" s="198" customFormat="1" ht="25.05" customHeight="1">
      <c r="A196" s="26">
        <v>22</v>
      </c>
      <c r="B196" s="27" t="s">
        <v>152</v>
      </c>
      <c r="C196" s="288" t="s">
        <v>590</v>
      </c>
      <c r="D196" s="191"/>
      <c r="E196" s="29">
        <v>1</v>
      </c>
      <c r="F196" s="30" t="s">
        <v>289</v>
      </c>
      <c r="G196" s="60"/>
      <c r="H196" s="60"/>
      <c r="I196" s="193"/>
      <c r="J196" s="200">
        <f t="shared" si="2"/>
        <v>0</v>
      </c>
      <c r="K196" s="60">
        <v>27</v>
      </c>
      <c r="L196" s="60"/>
      <c r="M196" s="226" t="s">
        <v>381</v>
      </c>
      <c r="N196" s="273" t="s">
        <v>591</v>
      </c>
      <c r="O196" s="227"/>
      <c r="P196" s="227"/>
      <c r="Q196" s="249"/>
      <c r="R196" s="194"/>
      <c r="S196" s="195"/>
      <c r="T196" s="196"/>
      <c r="U196" s="195"/>
      <c r="V196" s="197"/>
    </row>
    <row r="197" spans="1:22" s="198" customFormat="1" ht="25.05" customHeight="1">
      <c r="A197" s="26">
        <v>23</v>
      </c>
      <c r="B197" s="27" t="s">
        <v>152</v>
      </c>
      <c r="C197" s="288" t="s">
        <v>592</v>
      </c>
      <c r="D197" s="204"/>
      <c r="E197" s="29">
        <v>1</v>
      </c>
      <c r="F197" s="30" t="s">
        <v>289</v>
      </c>
      <c r="G197" s="60"/>
      <c r="H197" s="60"/>
      <c r="I197" s="193"/>
      <c r="J197" s="200">
        <f t="shared" si="2"/>
        <v>0</v>
      </c>
      <c r="K197" s="60">
        <v>26</v>
      </c>
      <c r="L197" s="60"/>
      <c r="M197" s="226" t="s">
        <v>381</v>
      </c>
      <c r="N197" s="273" t="s">
        <v>593</v>
      </c>
      <c r="O197" s="227"/>
      <c r="P197" s="227"/>
      <c r="Q197" s="249"/>
      <c r="R197" s="194"/>
      <c r="S197" s="195"/>
      <c r="T197" s="196"/>
      <c r="U197" s="195"/>
      <c r="V197" s="197"/>
    </row>
    <row r="198" spans="1:22" s="198" customFormat="1" ht="25.05" customHeight="1">
      <c r="A198" s="26">
        <v>24</v>
      </c>
      <c r="B198" s="27" t="s">
        <v>152</v>
      </c>
      <c r="C198" s="288" t="s">
        <v>594</v>
      </c>
      <c r="D198" s="191"/>
      <c r="E198" s="29">
        <v>1</v>
      </c>
      <c r="F198" s="30" t="s">
        <v>289</v>
      </c>
      <c r="G198" s="60"/>
      <c r="H198" s="60"/>
      <c r="I198" s="193"/>
      <c r="J198" s="200">
        <f t="shared" si="2"/>
        <v>0</v>
      </c>
      <c r="K198" s="60">
        <v>34</v>
      </c>
      <c r="L198" s="60"/>
      <c r="M198" s="226" t="s">
        <v>381</v>
      </c>
      <c r="N198" s="273" t="s">
        <v>595</v>
      </c>
      <c r="O198" s="227"/>
      <c r="P198" s="227"/>
      <c r="Q198" s="249"/>
      <c r="R198" s="194"/>
      <c r="S198" s="195"/>
      <c r="T198" s="196"/>
      <c r="U198" s="195"/>
      <c r="V198" s="197"/>
    </row>
    <row r="199" spans="1:22" s="198" customFormat="1" ht="25.05" customHeight="1">
      <c r="A199" s="26">
        <v>25</v>
      </c>
      <c r="B199" s="27" t="s">
        <v>152</v>
      </c>
      <c r="C199" s="288" t="s">
        <v>596</v>
      </c>
      <c r="D199" s="191"/>
      <c r="E199" s="29">
        <v>1</v>
      </c>
      <c r="F199" s="30" t="s">
        <v>289</v>
      </c>
      <c r="G199" s="60"/>
      <c r="H199" s="60"/>
      <c r="I199" s="193"/>
      <c r="J199" s="200">
        <f t="shared" si="2"/>
        <v>0</v>
      </c>
      <c r="K199" s="60">
        <v>34</v>
      </c>
      <c r="L199" s="60"/>
      <c r="M199" s="226" t="s">
        <v>381</v>
      </c>
      <c r="N199" s="273" t="s">
        <v>597</v>
      </c>
      <c r="O199" s="227"/>
      <c r="P199" s="227"/>
      <c r="Q199" s="249"/>
      <c r="R199" s="194"/>
      <c r="S199" s="195"/>
      <c r="T199" s="196"/>
      <c r="U199" s="195"/>
      <c r="V199" s="197"/>
    </row>
    <row r="200" spans="1:22" s="198" customFormat="1" ht="25.05" customHeight="1">
      <c r="A200" s="26">
        <v>26</v>
      </c>
      <c r="B200" s="27" t="s">
        <v>152</v>
      </c>
      <c r="C200" s="288" t="s">
        <v>598</v>
      </c>
      <c r="D200" s="191"/>
      <c r="E200" s="29">
        <v>1</v>
      </c>
      <c r="F200" s="30" t="s">
        <v>289</v>
      </c>
      <c r="G200" s="60"/>
      <c r="H200" s="60"/>
      <c r="I200" s="193"/>
      <c r="J200" s="200">
        <f t="shared" si="2"/>
        <v>0</v>
      </c>
      <c r="K200" s="60">
        <v>33</v>
      </c>
      <c r="L200" s="60"/>
      <c r="M200" s="226" t="s">
        <v>381</v>
      </c>
      <c r="N200" s="273" t="s">
        <v>599</v>
      </c>
      <c r="O200" s="227"/>
      <c r="P200" s="227"/>
      <c r="Q200" s="249"/>
      <c r="R200" s="194"/>
      <c r="S200" s="195"/>
      <c r="T200" s="196"/>
      <c r="U200" s="195"/>
      <c r="V200" s="197"/>
    </row>
    <row r="201" spans="1:22" s="198" customFormat="1" ht="25.05" customHeight="1">
      <c r="A201" s="26">
        <v>27</v>
      </c>
      <c r="B201" s="27" t="s">
        <v>152</v>
      </c>
      <c r="C201" s="288" t="s">
        <v>600</v>
      </c>
      <c r="D201" s="191"/>
      <c r="E201" s="29">
        <v>1</v>
      </c>
      <c r="F201" s="30" t="s">
        <v>289</v>
      </c>
      <c r="G201" s="60"/>
      <c r="H201" s="60"/>
      <c r="I201" s="193"/>
      <c r="J201" s="200">
        <f t="shared" si="2"/>
        <v>0</v>
      </c>
      <c r="K201" s="60">
        <v>20</v>
      </c>
      <c r="L201" s="60"/>
      <c r="M201" s="226" t="s">
        <v>381</v>
      </c>
      <c r="N201" s="273" t="s">
        <v>601</v>
      </c>
      <c r="O201" s="227"/>
      <c r="P201" s="227"/>
      <c r="Q201" s="249"/>
      <c r="R201" s="194"/>
      <c r="S201" s="195"/>
      <c r="T201" s="196"/>
      <c r="U201" s="195"/>
      <c r="V201" s="197"/>
    </row>
    <row r="202" spans="1:22" s="198" customFormat="1" ht="25.05" customHeight="1">
      <c r="A202" s="26">
        <v>28</v>
      </c>
      <c r="B202" s="27" t="s">
        <v>152</v>
      </c>
      <c r="C202" s="288" t="s">
        <v>602</v>
      </c>
      <c r="D202" s="191"/>
      <c r="E202" s="29">
        <v>1</v>
      </c>
      <c r="F202" s="30" t="s">
        <v>289</v>
      </c>
      <c r="G202" s="60"/>
      <c r="H202" s="60"/>
      <c r="I202" s="193"/>
      <c r="J202" s="200">
        <f t="shared" si="2"/>
        <v>0</v>
      </c>
      <c r="K202" s="60">
        <v>34</v>
      </c>
      <c r="L202" s="60"/>
      <c r="M202" s="226" t="s">
        <v>381</v>
      </c>
      <c r="N202" s="273" t="s">
        <v>603</v>
      </c>
      <c r="O202" s="227"/>
      <c r="P202" s="227"/>
      <c r="Q202" s="249"/>
      <c r="R202" s="194"/>
      <c r="S202" s="195"/>
      <c r="T202" s="196"/>
      <c r="U202" s="195"/>
      <c r="V202" s="197"/>
    </row>
    <row r="203" spans="1:22" s="198" customFormat="1" ht="25.05" customHeight="1">
      <c r="A203" s="26">
        <v>29</v>
      </c>
      <c r="B203" s="27" t="s">
        <v>152</v>
      </c>
      <c r="C203" s="288" t="s">
        <v>604</v>
      </c>
      <c r="D203" s="191"/>
      <c r="E203" s="29">
        <v>1</v>
      </c>
      <c r="F203" s="30" t="s">
        <v>289</v>
      </c>
      <c r="G203" s="60"/>
      <c r="H203" s="60"/>
      <c r="I203" s="193"/>
      <c r="J203" s="200">
        <f t="shared" si="2"/>
        <v>0</v>
      </c>
      <c r="K203" s="60">
        <v>26</v>
      </c>
      <c r="L203" s="60"/>
      <c r="M203" s="226" t="s">
        <v>605</v>
      </c>
      <c r="N203" s="248" t="s">
        <v>606</v>
      </c>
      <c r="O203" s="227"/>
      <c r="P203" s="227"/>
      <c r="Q203" s="249"/>
      <c r="R203" s="194"/>
      <c r="S203" s="195"/>
      <c r="T203" s="196"/>
      <c r="U203" s="195"/>
      <c r="V203" s="197"/>
    </row>
    <row r="204" spans="1:22" s="198" customFormat="1" ht="25.05" customHeight="1">
      <c r="A204" s="26">
        <v>30</v>
      </c>
      <c r="B204" s="27" t="s">
        <v>152</v>
      </c>
      <c r="C204" s="288" t="s">
        <v>607</v>
      </c>
      <c r="D204" s="191"/>
      <c r="E204" s="29">
        <v>1</v>
      </c>
      <c r="F204" s="30" t="s">
        <v>289</v>
      </c>
      <c r="G204" s="60"/>
      <c r="H204" s="60"/>
      <c r="I204" s="193"/>
      <c r="J204" s="200">
        <f t="shared" si="2"/>
        <v>0</v>
      </c>
      <c r="K204" s="60">
        <v>21</v>
      </c>
      <c r="L204" s="60"/>
      <c r="M204" s="226" t="s">
        <v>376</v>
      </c>
      <c r="N204" s="248" t="s">
        <v>608</v>
      </c>
      <c r="O204" s="227"/>
      <c r="P204" s="227"/>
      <c r="Q204" s="249"/>
      <c r="R204" s="194"/>
      <c r="S204" s="195"/>
      <c r="T204" s="196"/>
      <c r="U204" s="195"/>
      <c r="V204" s="197"/>
    </row>
    <row r="205" spans="1:22" s="198" customFormat="1" ht="25.05" customHeight="1">
      <c r="A205" s="26">
        <v>31</v>
      </c>
      <c r="B205" s="27" t="s">
        <v>152</v>
      </c>
      <c r="C205" s="288" t="s">
        <v>609</v>
      </c>
      <c r="D205" s="191"/>
      <c r="E205" s="29">
        <v>1</v>
      </c>
      <c r="F205" s="30" t="s">
        <v>289</v>
      </c>
      <c r="G205" s="60"/>
      <c r="H205" s="60"/>
      <c r="I205" s="193"/>
      <c r="J205" s="200">
        <f t="shared" si="2"/>
        <v>0</v>
      </c>
      <c r="K205" s="60">
        <v>14</v>
      </c>
      <c r="L205" s="60"/>
      <c r="M205" s="226" t="s">
        <v>376</v>
      </c>
      <c r="N205" s="248" t="s">
        <v>610</v>
      </c>
      <c r="O205" s="227"/>
      <c r="P205" s="227"/>
      <c r="Q205" s="249"/>
      <c r="R205" s="194"/>
      <c r="S205" s="195"/>
      <c r="T205" s="196"/>
      <c r="U205" s="195"/>
      <c r="V205" s="197"/>
    </row>
    <row r="206" spans="1:22" s="198" customFormat="1" ht="25.05" customHeight="1">
      <c r="A206" s="26">
        <v>32</v>
      </c>
      <c r="B206" s="27" t="s">
        <v>152</v>
      </c>
      <c r="C206" s="288" t="s">
        <v>611</v>
      </c>
      <c r="D206" s="191"/>
      <c r="E206" s="29">
        <v>1</v>
      </c>
      <c r="F206" s="30" t="s">
        <v>289</v>
      </c>
      <c r="G206" s="60"/>
      <c r="H206" s="60"/>
      <c r="I206" s="193"/>
      <c r="J206" s="200">
        <f t="shared" si="2"/>
        <v>0</v>
      </c>
      <c r="K206" s="60">
        <v>34</v>
      </c>
      <c r="L206" s="60"/>
      <c r="M206" s="226" t="s">
        <v>376</v>
      </c>
      <c r="N206" s="273" t="s">
        <v>612</v>
      </c>
      <c r="O206" s="227"/>
      <c r="P206" s="227"/>
      <c r="Q206" s="249"/>
      <c r="R206" s="194"/>
      <c r="S206" s="195"/>
      <c r="T206" s="196"/>
      <c r="U206" s="195"/>
      <c r="V206" s="197"/>
    </row>
    <row r="207" spans="1:22" s="198" customFormat="1" ht="25.05" customHeight="1">
      <c r="A207" s="26">
        <v>33</v>
      </c>
      <c r="B207" s="27" t="s">
        <v>152</v>
      </c>
      <c r="C207" s="288" t="s">
        <v>613</v>
      </c>
      <c r="D207" s="191"/>
      <c r="E207" s="29">
        <v>1</v>
      </c>
      <c r="F207" s="30" t="s">
        <v>289</v>
      </c>
      <c r="G207" s="60"/>
      <c r="H207" s="60"/>
      <c r="I207" s="193"/>
      <c r="J207" s="200">
        <f t="shared" si="2"/>
        <v>0</v>
      </c>
      <c r="K207" s="60">
        <v>34</v>
      </c>
      <c r="L207" s="60"/>
      <c r="M207" s="226" t="s">
        <v>376</v>
      </c>
      <c r="N207" s="273" t="s">
        <v>614</v>
      </c>
      <c r="O207" s="227"/>
      <c r="P207" s="227"/>
      <c r="Q207" s="249"/>
      <c r="R207" s="194"/>
      <c r="S207" s="195"/>
      <c r="T207" s="196"/>
      <c r="U207" s="195"/>
      <c r="V207" s="197"/>
    </row>
    <row r="208" spans="1:22" s="198" customFormat="1" ht="25.05" customHeight="1">
      <c r="A208" s="26">
        <v>34</v>
      </c>
      <c r="B208" s="27" t="s">
        <v>152</v>
      </c>
      <c r="C208" s="288" t="s">
        <v>615</v>
      </c>
      <c r="D208" s="191"/>
      <c r="E208" s="29">
        <v>1</v>
      </c>
      <c r="F208" s="30" t="s">
        <v>289</v>
      </c>
      <c r="G208" s="60"/>
      <c r="H208" s="60"/>
      <c r="I208" s="193"/>
      <c r="J208" s="200">
        <f t="shared" si="2"/>
        <v>0</v>
      </c>
      <c r="K208" s="60">
        <v>34</v>
      </c>
      <c r="L208" s="60"/>
      <c r="M208" s="226" t="s">
        <v>376</v>
      </c>
      <c r="N208" s="273" t="s">
        <v>616</v>
      </c>
      <c r="O208" s="227"/>
      <c r="P208" s="227"/>
      <c r="Q208" s="249"/>
      <c r="R208" s="194"/>
      <c r="S208" s="195"/>
      <c r="T208" s="196"/>
      <c r="U208" s="195"/>
      <c r="V208" s="197"/>
    </row>
    <row r="209" spans="1:22" s="198" customFormat="1" ht="25.05" customHeight="1">
      <c r="A209" s="264"/>
      <c r="B209" s="265"/>
      <c r="C209" s="289"/>
      <c r="D209" s="202"/>
      <c r="E209" s="266"/>
      <c r="F209" s="202"/>
      <c r="G209" s="267">
        <v>635</v>
      </c>
      <c r="H209" s="267">
        <v>200</v>
      </c>
      <c r="I209" s="268">
        <v>130</v>
      </c>
      <c r="J209" s="269">
        <f>ROUND(I209*H209*G209/1000000,3)</f>
        <v>16.510000000000002</v>
      </c>
      <c r="K209" s="267">
        <f>SUM(K175:K208)</f>
        <v>860.09999999999991</v>
      </c>
      <c r="L209" s="267">
        <f>K209+100</f>
        <v>960.09999999999991</v>
      </c>
      <c r="M209" s="224"/>
      <c r="N209" s="246"/>
      <c r="O209" s="225"/>
      <c r="P209" s="225"/>
      <c r="Q209" s="247"/>
      <c r="R209" s="194"/>
      <c r="S209" s="195"/>
      <c r="T209" s="196"/>
      <c r="U209" s="195"/>
      <c r="V209" s="197"/>
    </row>
    <row r="210" spans="1:22" s="198" customFormat="1" ht="25.05" customHeight="1">
      <c r="A210" s="26">
        <v>1</v>
      </c>
      <c r="B210" s="27" t="s">
        <v>153</v>
      </c>
      <c r="C210" s="288" t="s">
        <v>617</v>
      </c>
      <c r="D210" s="191"/>
      <c r="E210" s="29">
        <v>1</v>
      </c>
      <c r="F210" s="30" t="s">
        <v>289</v>
      </c>
      <c r="G210" s="60"/>
      <c r="H210" s="60"/>
      <c r="I210" s="193"/>
      <c r="J210" s="200">
        <f t="shared" si="2"/>
        <v>0</v>
      </c>
      <c r="K210" s="60">
        <v>46.7</v>
      </c>
      <c r="L210" s="60"/>
      <c r="M210" s="226" t="s">
        <v>618</v>
      </c>
      <c r="N210" s="248" t="s">
        <v>619</v>
      </c>
      <c r="O210" s="227"/>
      <c r="P210" s="227"/>
      <c r="Q210" s="249"/>
      <c r="R210" s="194"/>
      <c r="S210" s="195"/>
      <c r="T210" s="196"/>
      <c r="U210" s="195"/>
      <c r="V210" s="197"/>
    </row>
    <row r="211" spans="1:22" s="198" customFormat="1" ht="25.05" customHeight="1">
      <c r="A211" s="26">
        <v>2</v>
      </c>
      <c r="B211" s="27" t="s">
        <v>153</v>
      </c>
      <c r="C211" s="288" t="s">
        <v>620</v>
      </c>
      <c r="D211" s="191"/>
      <c r="E211" s="29">
        <v>1</v>
      </c>
      <c r="F211" s="30" t="s">
        <v>289</v>
      </c>
      <c r="G211" s="60"/>
      <c r="H211" s="60"/>
      <c r="I211" s="193"/>
      <c r="J211" s="200">
        <f t="shared" si="2"/>
        <v>0</v>
      </c>
      <c r="K211" s="60">
        <v>38.700000000000003</v>
      </c>
      <c r="L211" s="60"/>
      <c r="M211" s="226" t="s">
        <v>618</v>
      </c>
      <c r="N211" s="248" t="s">
        <v>621</v>
      </c>
      <c r="O211" s="227"/>
      <c r="P211" s="227"/>
      <c r="Q211" s="249"/>
      <c r="R211" s="194"/>
      <c r="S211" s="195"/>
      <c r="T211" s="196"/>
      <c r="U211" s="195"/>
      <c r="V211" s="197"/>
    </row>
    <row r="212" spans="1:22" s="198" customFormat="1" ht="25.05" customHeight="1">
      <c r="A212" s="26">
        <v>3</v>
      </c>
      <c r="B212" s="27" t="s">
        <v>153</v>
      </c>
      <c r="C212" s="288" t="s">
        <v>622</v>
      </c>
      <c r="D212" s="191"/>
      <c r="E212" s="29">
        <v>1</v>
      </c>
      <c r="F212" s="30" t="s">
        <v>289</v>
      </c>
      <c r="G212" s="60"/>
      <c r="H212" s="60"/>
      <c r="I212" s="193"/>
      <c r="J212" s="200">
        <f t="shared" si="2"/>
        <v>0</v>
      </c>
      <c r="K212" s="60">
        <v>35.5</v>
      </c>
      <c r="L212" s="60"/>
      <c r="M212" s="226" t="s">
        <v>618</v>
      </c>
      <c r="N212" s="248" t="s">
        <v>623</v>
      </c>
      <c r="O212" s="227"/>
      <c r="P212" s="227"/>
      <c r="Q212" s="249"/>
      <c r="R212" s="194"/>
      <c r="S212" s="195"/>
      <c r="T212" s="196"/>
      <c r="U212" s="195"/>
      <c r="V212" s="197"/>
    </row>
    <row r="213" spans="1:22" s="198" customFormat="1" ht="25.05" customHeight="1">
      <c r="A213" s="26">
        <v>4</v>
      </c>
      <c r="B213" s="27" t="s">
        <v>153</v>
      </c>
      <c r="C213" s="288" t="s">
        <v>624</v>
      </c>
      <c r="D213" s="191"/>
      <c r="E213" s="29">
        <v>1</v>
      </c>
      <c r="F213" s="30" t="s">
        <v>289</v>
      </c>
      <c r="G213" s="60"/>
      <c r="H213" s="60"/>
      <c r="I213" s="193"/>
      <c r="J213" s="200">
        <f t="shared" si="2"/>
        <v>0</v>
      </c>
      <c r="K213" s="60">
        <v>31.5</v>
      </c>
      <c r="L213" s="60"/>
      <c r="M213" s="226" t="s">
        <v>625</v>
      </c>
      <c r="N213" s="248" t="s">
        <v>626</v>
      </c>
      <c r="O213" s="227"/>
      <c r="P213" s="227"/>
      <c r="Q213" s="249"/>
      <c r="R213" s="194"/>
      <c r="S213" s="195"/>
      <c r="T213" s="196"/>
      <c r="U213" s="195"/>
      <c r="V213" s="197"/>
    </row>
    <row r="214" spans="1:22" s="198" customFormat="1" ht="25.05" customHeight="1">
      <c r="A214" s="26">
        <v>5</v>
      </c>
      <c r="B214" s="27" t="s">
        <v>153</v>
      </c>
      <c r="C214" s="288" t="s">
        <v>627</v>
      </c>
      <c r="D214" s="191"/>
      <c r="E214" s="29">
        <v>1</v>
      </c>
      <c r="F214" s="30" t="s">
        <v>289</v>
      </c>
      <c r="G214" s="60"/>
      <c r="H214" s="60"/>
      <c r="I214" s="193"/>
      <c r="J214" s="200">
        <f t="shared" si="2"/>
        <v>0</v>
      </c>
      <c r="K214" s="60">
        <v>26.3</v>
      </c>
      <c r="L214" s="60"/>
      <c r="M214" s="226" t="s">
        <v>625</v>
      </c>
      <c r="N214" s="248" t="s">
        <v>628</v>
      </c>
      <c r="O214" s="227"/>
      <c r="P214" s="227"/>
      <c r="Q214" s="249"/>
      <c r="R214" s="194"/>
      <c r="S214" s="195"/>
      <c r="T214" s="196"/>
      <c r="U214" s="195"/>
      <c r="V214" s="197"/>
    </row>
    <row r="215" spans="1:22" s="198" customFormat="1" ht="25.05" customHeight="1">
      <c r="A215" s="26">
        <v>6</v>
      </c>
      <c r="B215" s="27" t="s">
        <v>153</v>
      </c>
      <c r="C215" s="288" t="s">
        <v>629</v>
      </c>
      <c r="D215" s="191"/>
      <c r="E215" s="29">
        <v>1</v>
      </c>
      <c r="F215" s="30" t="s">
        <v>289</v>
      </c>
      <c r="G215" s="60"/>
      <c r="H215" s="60"/>
      <c r="I215" s="193"/>
      <c r="J215" s="200">
        <f t="shared" si="2"/>
        <v>0</v>
      </c>
      <c r="K215" s="60">
        <v>34</v>
      </c>
      <c r="L215" s="60"/>
      <c r="M215" s="226" t="s">
        <v>625</v>
      </c>
      <c r="N215" s="248" t="s">
        <v>630</v>
      </c>
      <c r="O215" s="227"/>
      <c r="P215" s="227"/>
      <c r="Q215" s="249"/>
      <c r="R215" s="194"/>
      <c r="S215" s="195"/>
      <c r="T215" s="196"/>
      <c r="U215" s="195"/>
      <c r="V215" s="197"/>
    </row>
    <row r="216" spans="1:22" s="198" customFormat="1" ht="25.05" customHeight="1">
      <c r="A216" s="26">
        <v>7</v>
      </c>
      <c r="B216" s="27" t="s">
        <v>153</v>
      </c>
      <c r="C216" s="288" t="s">
        <v>631</v>
      </c>
      <c r="D216" s="191"/>
      <c r="E216" s="29">
        <v>1</v>
      </c>
      <c r="F216" s="30" t="s">
        <v>289</v>
      </c>
      <c r="G216" s="60"/>
      <c r="H216" s="60"/>
      <c r="I216" s="193"/>
      <c r="J216" s="200">
        <f t="shared" si="2"/>
        <v>0</v>
      </c>
      <c r="K216" s="60">
        <v>29.5</v>
      </c>
      <c r="L216" s="60"/>
      <c r="M216" s="226" t="s">
        <v>632</v>
      </c>
      <c r="N216" s="248" t="s">
        <v>633</v>
      </c>
      <c r="O216" s="227"/>
      <c r="P216" s="227"/>
      <c r="Q216" s="249"/>
      <c r="R216" s="194"/>
      <c r="S216" s="195"/>
      <c r="T216" s="196"/>
      <c r="U216" s="195"/>
      <c r="V216" s="197"/>
    </row>
    <row r="217" spans="1:22" s="198" customFormat="1" ht="25.05" customHeight="1">
      <c r="A217" s="26">
        <v>8</v>
      </c>
      <c r="B217" s="27" t="s">
        <v>153</v>
      </c>
      <c r="C217" s="288" t="s">
        <v>634</v>
      </c>
      <c r="D217" s="191"/>
      <c r="E217" s="29">
        <v>1</v>
      </c>
      <c r="F217" s="30" t="s">
        <v>289</v>
      </c>
      <c r="G217" s="60"/>
      <c r="H217" s="60"/>
      <c r="I217" s="193"/>
      <c r="J217" s="200">
        <f t="shared" si="2"/>
        <v>0</v>
      </c>
      <c r="K217" s="60">
        <v>10</v>
      </c>
      <c r="L217" s="60"/>
      <c r="M217" s="226" t="s">
        <v>635</v>
      </c>
      <c r="N217" s="248" t="s">
        <v>636</v>
      </c>
      <c r="O217" s="227"/>
      <c r="P217" s="227"/>
      <c r="Q217" s="249"/>
      <c r="R217" s="194"/>
      <c r="S217" s="195"/>
      <c r="T217" s="196"/>
      <c r="U217" s="195"/>
      <c r="V217" s="197"/>
    </row>
    <row r="218" spans="1:22" s="198" customFormat="1" ht="25.05" customHeight="1">
      <c r="A218" s="26">
        <v>9</v>
      </c>
      <c r="B218" s="27" t="s">
        <v>153</v>
      </c>
      <c r="C218" s="288" t="s">
        <v>637</v>
      </c>
      <c r="D218" s="191"/>
      <c r="E218" s="29">
        <v>1</v>
      </c>
      <c r="F218" s="30" t="s">
        <v>289</v>
      </c>
      <c r="G218" s="60"/>
      <c r="H218" s="60"/>
      <c r="I218" s="193"/>
      <c r="J218" s="200">
        <f t="shared" si="2"/>
        <v>0</v>
      </c>
      <c r="K218" s="60">
        <v>11</v>
      </c>
      <c r="L218" s="60"/>
      <c r="M218" s="226" t="s">
        <v>635</v>
      </c>
      <c r="N218" s="248" t="s">
        <v>638</v>
      </c>
      <c r="O218" s="227"/>
      <c r="P218" s="227"/>
      <c r="Q218" s="249"/>
      <c r="R218" s="194"/>
      <c r="S218" s="195"/>
      <c r="T218" s="196"/>
      <c r="U218" s="195"/>
      <c r="V218" s="197"/>
    </row>
    <row r="219" spans="1:22" s="198" customFormat="1" ht="25.05" customHeight="1">
      <c r="A219" s="26">
        <v>10</v>
      </c>
      <c r="B219" s="27" t="s">
        <v>153</v>
      </c>
      <c r="C219" s="288" t="s">
        <v>639</v>
      </c>
      <c r="D219" s="191"/>
      <c r="E219" s="29">
        <v>1</v>
      </c>
      <c r="F219" s="30" t="s">
        <v>289</v>
      </c>
      <c r="G219" s="60"/>
      <c r="H219" s="60"/>
      <c r="I219" s="193"/>
      <c r="J219" s="200">
        <f t="shared" si="2"/>
        <v>0</v>
      </c>
      <c r="K219" s="60">
        <v>18</v>
      </c>
      <c r="L219" s="60"/>
      <c r="M219" s="226" t="s">
        <v>635</v>
      </c>
      <c r="N219" s="248" t="s">
        <v>640</v>
      </c>
      <c r="O219" s="227"/>
      <c r="P219" s="227"/>
      <c r="Q219" s="249"/>
      <c r="R219" s="194"/>
      <c r="S219" s="195"/>
      <c r="T219" s="196"/>
      <c r="U219" s="195"/>
      <c r="V219" s="197"/>
    </row>
    <row r="220" spans="1:22" s="198" customFormat="1" ht="25.05" customHeight="1">
      <c r="A220" s="26">
        <v>11</v>
      </c>
      <c r="B220" s="27" t="s">
        <v>153</v>
      </c>
      <c r="C220" s="288" t="s">
        <v>641</v>
      </c>
      <c r="D220" s="191"/>
      <c r="E220" s="29">
        <v>1</v>
      </c>
      <c r="F220" s="30" t="s">
        <v>289</v>
      </c>
      <c r="G220" s="60"/>
      <c r="H220" s="60"/>
      <c r="I220" s="193"/>
      <c r="J220" s="200">
        <f t="shared" si="2"/>
        <v>0</v>
      </c>
      <c r="K220" s="60">
        <v>17.599999999999998</v>
      </c>
      <c r="L220" s="60"/>
      <c r="M220" s="226" t="s">
        <v>642</v>
      </c>
      <c r="N220" s="248" t="s">
        <v>643</v>
      </c>
      <c r="O220" s="227"/>
      <c r="P220" s="227"/>
      <c r="Q220" s="249"/>
      <c r="R220" s="194"/>
      <c r="S220" s="195"/>
      <c r="T220" s="196"/>
      <c r="U220" s="195"/>
      <c r="V220" s="197"/>
    </row>
    <row r="221" spans="1:22" s="198" customFormat="1" ht="25.05" customHeight="1">
      <c r="A221" s="26">
        <v>12</v>
      </c>
      <c r="B221" s="27" t="s">
        <v>153</v>
      </c>
      <c r="C221" s="288" t="s">
        <v>644</v>
      </c>
      <c r="D221" s="191"/>
      <c r="E221" s="29">
        <v>1</v>
      </c>
      <c r="F221" s="30" t="s">
        <v>289</v>
      </c>
      <c r="G221" s="60"/>
      <c r="H221" s="60"/>
      <c r="I221" s="193"/>
      <c r="J221" s="200">
        <f t="shared" si="2"/>
        <v>0</v>
      </c>
      <c r="K221" s="60">
        <v>2.7</v>
      </c>
      <c r="L221" s="60"/>
      <c r="M221" s="226" t="s">
        <v>642</v>
      </c>
      <c r="N221" s="248" t="s">
        <v>645</v>
      </c>
      <c r="O221" s="227"/>
      <c r="P221" s="227"/>
      <c r="Q221" s="249"/>
      <c r="R221" s="194"/>
      <c r="S221" s="195"/>
      <c r="T221" s="196"/>
      <c r="U221" s="195"/>
      <c r="V221" s="197"/>
    </row>
    <row r="222" spans="1:22" s="198" customFormat="1" ht="25.05" customHeight="1">
      <c r="A222" s="26">
        <v>13</v>
      </c>
      <c r="B222" s="27" t="s">
        <v>153</v>
      </c>
      <c r="C222" s="288" t="s">
        <v>646</v>
      </c>
      <c r="D222" s="191"/>
      <c r="E222" s="29">
        <v>1</v>
      </c>
      <c r="F222" s="30" t="s">
        <v>289</v>
      </c>
      <c r="G222" s="60"/>
      <c r="H222" s="60"/>
      <c r="I222" s="193"/>
      <c r="J222" s="200">
        <f t="shared" si="2"/>
        <v>0</v>
      </c>
      <c r="K222" s="60">
        <v>18.399999999999999</v>
      </c>
      <c r="L222" s="60"/>
      <c r="M222" s="226" t="s">
        <v>642</v>
      </c>
      <c r="N222" s="248" t="s">
        <v>647</v>
      </c>
      <c r="O222" s="227"/>
      <c r="P222" s="227"/>
      <c r="Q222" s="249"/>
      <c r="R222" s="194"/>
      <c r="S222" s="195"/>
      <c r="T222" s="196"/>
      <c r="U222" s="195"/>
      <c r="V222" s="197"/>
    </row>
    <row r="223" spans="1:22" s="198" customFormat="1" ht="25.05" customHeight="1">
      <c r="A223" s="26">
        <v>14</v>
      </c>
      <c r="B223" s="27" t="s">
        <v>153</v>
      </c>
      <c r="C223" s="288" t="s">
        <v>648</v>
      </c>
      <c r="D223" s="191"/>
      <c r="E223" s="29">
        <v>1</v>
      </c>
      <c r="F223" s="30" t="s">
        <v>289</v>
      </c>
      <c r="G223" s="60"/>
      <c r="H223" s="60"/>
      <c r="I223" s="193"/>
      <c r="J223" s="200">
        <f t="shared" si="2"/>
        <v>0</v>
      </c>
      <c r="K223" s="60">
        <v>1.5</v>
      </c>
      <c r="L223" s="60"/>
      <c r="M223" s="226" t="s">
        <v>649</v>
      </c>
      <c r="N223" s="248" t="s">
        <v>650</v>
      </c>
      <c r="O223" s="227"/>
      <c r="P223" s="227"/>
      <c r="Q223" s="249"/>
      <c r="R223" s="194"/>
      <c r="S223" s="195"/>
      <c r="T223" s="196"/>
      <c r="U223" s="195"/>
      <c r="V223" s="197"/>
    </row>
    <row r="224" spans="1:22" s="198" customFormat="1" ht="25.05" customHeight="1">
      <c r="A224" s="26">
        <v>15</v>
      </c>
      <c r="B224" s="27" t="s">
        <v>153</v>
      </c>
      <c r="C224" s="288" t="s">
        <v>651</v>
      </c>
      <c r="D224" s="191"/>
      <c r="E224" s="29">
        <v>1</v>
      </c>
      <c r="F224" s="30" t="s">
        <v>289</v>
      </c>
      <c r="G224" s="60"/>
      <c r="H224" s="60"/>
      <c r="I224" s="193"/>
      <c r="J224" s="200">
        <f t="shared" si="2"/>
        <v>0</v>
      </c>
      <c r="K224" s="60">
        <v>15</v>
      </c>
      <c r="L224" s="60"/>
      <c r="M224" s="226" t="s">
        <v>649</v>
      </c>
      <c r="N224" s="248" t="s">
        <v>652</v>
      </c>
      <c r="O224" s="227"/>
      <c r="P224" s="227"/>
      <c r="Q224" s="249"/>
      <c r="R224" s="194"/>
      <c r="S224" s="195"/>
      <c r="T224" s="196"/>
      <c r="U224" s="195"/>
      <c r="V224" s="197"/>
    </row>
    <row r="225" spans="1:22" s="198" customFormat="1" ht="25.05" customHeight="1">
      <c r="A225" s="26">
        <v>16</v>
      </c>
      <c r="B225" s="27" t="s">
        <v>153</v>
      </c>
      <c r="C225" s="288" t="s">
        <v>653</v>
      </c>
      <c r="D225" s="191"/>
      <c r="E225" s="29">
        <v>1</v>
      </c>
      <c r="F225" s="30" t="s">
        <v>289</v>
      </c>
      <c r="G225" s="60"/>
      <c r="H225" s="60"/>
      <c r="I225" s="193"/>
      <c r="J225" s="200">
        <f t="shared" si="2"/>
        <v>0</v>
      </c>
      <c r="K225" s="60">
        <v>7.2</v>
      </c>
      <c r="L225" s="60"/>
      <c r="M225" s="226" t="s">
        <v>654</v>
      </c>
      <c r="N225" s="248" t="s">
        <v>655</v>
      </c>
      <c r="O225" s="227"/>
      <c r="P225" s="227"/>
      <c r="Q225" s="249"/>
      <c r="R225" s="194"/>
      <c r="S225" s="195"/>
      <c r="T225" s="196"/>
      <c r="U225" s="195"/>
      <c r="V225" s="197"/>
    </row>
    <row r="226" spans="1:22" s="198" customFormat="1" ht="25.05" customHeight="1">
      <c r="A226" s="26">
        <v>17</v>
      </c>
      <c r="B226" s="27" t="s">
        <v>153</v>
      </c>
      <c r="C226" s="288" t="s">
        <v>656</v>
      </c>
      <c r="D226" s="191"/>
      <c r="E226" s="29">
        <v>1</v>
      </c>
      <c r="F226" s="30" t="s">
        <v>289</v>
      </c>
      <c r="G226" s="60"/>
      <c r="H226" s="60"/>
      <c r="I226" s="193"/>
      <c r="J226" s="200">
        <f t="shared" si="2"/>
        <v>0</v>
      </c>
      <c r="K226" s="60">
        <v>6.2</v>
      </c>
      <c r="L226" s="60"/>
      <c r="M226" s="226" t="s">
        <v>654</v>
      </c>
      <c r="N226" s="248" t="s">
        <v>657</v>
      </c>
      <c r="O226" s="227"/>
      <c r="P226" s="227"/>
      <c r="Q226" s="249"/>
      <c r="R226" s="194"/>
      <c r="S226" s="195"/>
      <c r="T226" s="196"/>
      <c r="U226" s="195"/>
      <c r="V226" s="197"/>
    </row>
    <row r="227" spans="1:22" s="198" customFormat="1" ht="25.05" customHeight="1">
      <c r="A227" s="26">
        <v>18</v>
      </c>
      <c r="B227" s="27" t="s">
        <v>153</v>
      </c>
      <c r="C227" s="288" t="s">
        <v>658</v>
      </c>
      <c r="D227" s="191"/>
      <c r="E227" s="29">
        <v>1</v>
      </c>
      <c r="F227" s="30" t="s">
        <v>289</v>
      </c>
      <c r="G227" s="60"/>
      <c r="H227" s="60"/>
      <c r="I227" s="193"/>
      <c r="J227" s="200">
        <f t="shared" ref="J227:J290" si="3">ROUND(I227*H227*G227/1000000,3)</f>
        <v>0</v>
      </c>
      <c r="K227" s="60">
        <v>7</v>
      </c>
      <c r="L227" s="60"/>
      <c r="M227" s="226" t="s">
        <v>654</v>
      </c>
      <c r="N227" s="248" t="s">
        <v>659</v>
      </c>
      <c r="O227" s="227"/>
      <c r="P227" s="227"/>
      <c r="Q227" s="249"/>
      <c r="R227" s="194"/>
      <c r="S227" s="195"/>
      <c r="T227" s="196"/>
      <c r="U227" s="195"/>
      <c r="V227" s="197"/>
    </row>
    <row r="228" spans="1:22" s="198" customFormat="1" ht="25.05" customHeight="1">
      <c r="A228" s="26">
        <v>19</v>
      </c>
      <c r="B228" s="27" t="s">
        <v>153</v>
      </c>
      <c r="C228" s="288" t="s">
        <v>660</v>
      </c>
      <c r="D228" s="191"/>
      <c r="E228" s="29">
        <v>1</v>
      </c>
      <c r="F228" s="30" t="s">
        <v>289</v>
      </c>
      <c r="G228" s="60"/>
      <c r="H228" s="60"/>
      <c r="I228" s="193"/>
      <c r="J228" s="200">
        <f t="shared" si="3"/>
        <v>0</v>
      </c>
      <c r="K228" s="60">
        <v>3.2</v>
      </c>
      <c r="L228" s="60"/>
      <c r="M228" s="226" t="s">
        <v>654</v>
      </c>
      <c r="N228" s="248" t="s">
        <v>661</v>
      </c>
      <c r="O228" s="227"/>
      <c r="P228" s="227"/>
      <c r="Q228" s="249"/>
      <c r="R228" s="194"/>
      <c r="S228" s="195"/>
      <c r="T228" s="196"/>
      <c r="U228" s="195"/>
      <c r="V228" s="197"/>
    </row>
    <row r="229" spans="1:22" s="198" customFormat="1" ht="25.05" customHeight="1">
      <c r="A229" s="26">
        <v>20</v>
      </c>
      <c r="B229" s="27" t="s">
        <v>153</v>
      </c>
      <c r="C229" s="288" t="s">
        <v>662</v>
      </c>
      <c r="D229" s="191"/>
      <c r="E229" s="29">
        <v>1</v>
      </c>
      <c r="F229" s="30" t="s">
        <v>289</v>
      </c>
      <c r="G229" s="60"/>
      <c r="H229" s="60"/>
      <c r="I229" s="193"/>
      <c r="J229" s="200">
        <f t="shared" si="3"/>
        <v>0</v>
      </c>
      <c r="K229" s="60">
        <v>15.5</v>
      </c>
      <c r="L229" s="60"/>
      <c r="M229" s="226" t="s">
        <v>654</v>
      </c>
      <c r="N229" s="248" t="s">
        <v>663</v>
      </c>
      <c r="O229" s="227"/>
      <c r="P229" s="227"/>
      <c r="Q229" s="249"/>
      <c r="R229" s="194"/>
      <c r="S229" s="195"/>
      <c r="T229" s="196"/>
      <c r="U229" s="195"/>
      <c r="V229" s="197"/>
    </row>
    <row r="230" spans="1:22" s="198" customFormat="1" ht="25.05" customHeight="1">
      <c r="A230" s="26">
        <v>21</v>
      </c>
      <c r="B230" s="27" t="s">
        <v>153</v>
      </c>
      <c r="C230" s="288" t="s">
        <v>664</v>
      </c>
      <c r="D230" s="191"/>
      <c r="E230" s="29">
        <v>1</v>
      </c>
      <c r="F230" s="30" t="s">
        <v>289</v>
      </c>
      <c r="G230" s="60"/>
      <c r="H230" s="60"/>
      <c r="I230" s="193"/>
      <c r="J230" s="200">
        <f t="shared" si="3"/>
        <v>0</v>
      </c>
      <c r="K230" s="60">
        <v>3.5</v>
      </c>
      <c r="L230" s="60"/>
      <c r="M230" s="226" t="s">
        <v>654</v>
      </c>
      <c r="N230" s="248" t="s">
        <v>665</v>
      </c>
      <c r="O230" s="227"/>
      <c r="P230" s="227"/>
      <c r="Q230" s="249"/>
      <c r="R230" s="194"/>
      <c r="S230" s="195"/>
      <c r="T230" s="196"/>
      <c r="U230" s="195"/>
      <c r="V230" s="197"/>
    </row>
    <row r="231" spans="1:22" s="198" customFormat="1" ht="25.05" customHeight="1">
      <c r="A231" s="26">
        <v>22</v>
      </c>
      <c r="B231" s="27" t="s">
        <v>153</v>
      </c>
      <c r="C231" s="288" t="s">
        <v>666</v>
      </c>
      <c r="D231" s="191"/>
      <c r="E231" s="29">
        <v>1</v>
      </c>
      <c r="F231" s="30" t="s">
        <v>289</v>
      </c>
      <c r="G231" s="60"/>
      <c r="H231" s="60"/>
      <c r="I231" s="193"/>
      <c r="J231" s="200">
        <f t="shared" si="3"/>
        <v>0</v>
      </c>
      <c r="K231" s="60">
        <v>1.5</v>
      </c>
      <c r="L231" s="60"/>
      <c r="M231" s="226" t="s">
        <v>654</v>
      </c>
      <c r="N231" s="248" t="s">
        <v>667</v>
      </c>
      <c r="O231" s="227"/>
      <c r="P231" s="227"/>
      <c r="Q231" s="249"/>
      <c r="R231" s="194"/>
      <c r="S231" s="195"/>
      <c r="T231" s="196"/>
      <c r="U231" s="195"/>
      <c r="V231" s="197"/>
    </row>
    <row r="232" spans="1:22" s="198" customFormat="1" ht="25.05" customHeight="1">
      <c r="A232" s="26">
        <v>23</v>
      </c>
      <c r="B232" s="27" t="s">
        <v>153</v>
      </c>
      <c r="C232" s="288" t="s">
        <v>668</v>
      </c>
      <c r="D232" s="191"/>
      <c r="E232" s="29">
        <v>1</v>
      </c>
      <c r="F232" s="30" t="s">
        <v>289</v>
      </c>
      <c r="G232" s="60"/>
      <c r="H232" s="60"/>
      <c r="I232" s="193"/>
      <c r="J232" s="200">
        <f t="shared" si="3"/>
        <v>0</v>
      </c>
      <c r="K232" s="60">
        <v>9.8000000000000007</v>
      </c>
      <c r="L232" s="60"/>
      <c r="M232" s="226" t="s">
        <v>669</v>
      </c>
      <c r="N232" s="248" t="s">
        <v>670</v>
      </c>
      <c r="O232" s="227"/>
      <c r="P232" s="227"/>
      <c r="Q232" s="249"/>
      <c r="R232" s="194"/>
      <c r="S232" s="195"/>
      <c r="T232" s="196"/>
      <c r="U232" s="195"/>
      <c r="V232" s="197"/>
    </row>
    <row r="233" spans="1:22" s="198" customFormat="1" ht="25.05" customHeight="1">
      <c r="A233" s="26">
        <v>24</v>
      </c>
      <c r="B233" s="27" t="s">
        <v>153</v>
      </c>
      <c r="C233" s="288" t="s">
        <v>671</v>
      </c>
      <c r="D233" s="191"/>
      <c r="E233" s="29">
        <v>1</v>
      </c>
      <c r="F233" s="30" t="s">
        <v>289</v>
      </c>
      <c r="G233" s="60"/>
      <c r="H233" s="60"/>
      <c r="I233" s="193"/>
      <c r="J233" s="200">
        <f t="shared" si="3"/>
        <v>0</v>
      </c>
      <c r="K233" s="60">
        <v>5.5</v>
      </c>
      <c r="L233" s="60"/>
      <c r="M233" s="226" t="s">
        <v>669</v>
      </c>
      <c r="N233" s="248" t="s">
        <v>672</v>
      </c>
      <c r="O233" s="227"/>
      <c r="P233" s="227"/>
      <c r="Q233" s="249"/>
      <c r="R233" s="194"/>
      <c r="S233" s="195"/>
      <c r="T233" s="196"/>
      <c r="U233" s="195"/>
      <c r="V233" s="197"/>
    </row>
    <row r="234" spans="1:22" s="198" customFormat="1" ht="25.05" customHeight="1">
      <c r="A234" s="26">
        <v>25</v>
      </c>
      <c r="B234" s="27" t="s">
        <v>153</v>
      </c>
      <c r="C234" s="288" t="s">
        <v>673</v>
      </c>
      <c r="D234" s="191"/>
      <c r="E234" s="29">
        <v>1</v>
      </c>
      <c r="F234" s="30" t="s">
        <v>289</v>
      </c>
      <c r="G234" s="60"/>
      <c r="H234" s="60"/>
      <c r="I234" s="193"/>
      <c r="J234" s="200">
        <f t="shared" si="3"/>
        <v>0</v>
      </c>
      <c r="K234" s="60">
        <v>39</v>
      </c>
      <c r="L234" s="60"/>
      <c r="M234" s="226" t="s">
        <v>669</v>
      </c>
      <c r="N234" s="248" t="s">
        <v>674</v>
      </c>
      <c r="O234" s="227"/>
      <c r="P234" s="227"/>
      <c r="Q234" s="249"/>
      <c r="R234" s="194"/>
      <c r="S234" s="195"/>
      <c r="T234" s="196"/>
      <c r="U234" s="195"/>
      <c r="V234" s="197"/>
    </row>
    <row r="235" spans="1:22" s="198" customFormat="1" ht="25.05" customHeight="1">
      <c r="A235" s="26">
        <v>26</v>
      </c>
      <c r="B235" s="27" t="s">
        <v>153</v>
      </c>
      <c r="C235" s="288" t="s">
        <v>675</v>
      </c>
      <c r="D235" s="191"/>
      <c r="E235" s="29">
        <v>1</v>
      </c>
      <c r="F235" s="30" t="s">
        <v>289</v>
      </c>
      <c r="G235" s="60"/>
      <c r="H235" s="60"/>
      <c r="I235" s="193"/>
      <c r="J235" s="200">
        <f t="shared" si="3"/>
        <v>0</v>
      </c>
      <c r="K235" s="60">
        <v>3</v>
      </c>
      <c r="L235" s="60"/>
      <c r="M235" s="226" t="s">
        <v>669</v>
      </c>
      <c r="N235" s="248" t="s">
        <v>676</v>
      </c>
      <c r="O235" s="227"/>
      <c r="P235" s="227"/>
      <c r="Q235" s="249"/>
      <c r="R235" s="194"/>
      <c r="S235" s="195"/>
      <c r="T235" s="196"/>
      <c r="U235" s="195"/>
      <c r="V235" s="197"/>
    </row>
    <row r="236" spans="1:22" s="198" customFormat="1" ht="25.05" customHeight="1">
      <c r="A236" s="26">
        <v>27</v>
      </c>
      <c r="B236" s="27" t="s">
        <v>153</v>
      </c>
      <c r="C236" s="288" t="s">
        <v>677</v>
      </c>
      <c r="D236" s="191"/>
      <c r="E236" s="29">
        <v>1</v>
      </c>
      <c r="F236" s="30" t="s">
        <v>289</v>
      </c>
      <c r="G236" s="60"/>
      <c r="H236" s="60"/>
      <c r="I236" s="193"/>
      <c r="J236" s="200">
        <f t="shared" si="3"/>
        <v>0</v>
      </c>
      <c r="K236" s="60">
        <v>27.3</v>
      </c>
      <c r="L236" s="60"/>
      <c r="M236" s="226" t="s">
        <v>678</v>
      </c>
      <c r="N236" s="248" t="s">
        <v>679</v>
      </c>
      <c r="O236" s="227"/>
      <c r="P236" s="227"/>
      <c r="Q236" s="249"/>
      <c r="R236" s="194"/>
      <c r="S236" s="195"/>
      <c r="T236" s="196"/>
      <c r="U236" s="195"/>
      <c r="V236" s="197"/>
    </row>
    <row r="237" spans="1:22" s="198" customFormat="1" ht="25.05" customHeight="1">
      <c r="A237" s="26">
        <v>28</v>
      </c>
      <c r="B237" s="27" t="s">
        <v>153</v>
      </c>
      <c r="C237" s="288" t="s">
        <v>680</v>
      </c>
      <c r="D237" s="191"/>
      <c r="E237" s="29">
        <v>1</v>
      </c>
      <c r="F237" s="30" t="s">
        <v>289</v>
      </c>
      <c r="G237" s="60"/>
      <c r="H237" s="60"/>
      <c r="I237" s="193"/>
      <c r="J237" s="200">
        <f t="shared" si="3"/>
        <v>0</v>
      </c>
      <c r="K237" s="60">
        <v>35</v>
      </c>
      <c r="L237" s="60"/>
      <c r="M237" s="226" t="s">
        <v>678</v>
      </c>
      <c r="N237" s="248" t="s">
        <v>681</v>
      </c>
      <c r="O237" s="227"/>
      <c r="P237" s="227"/>
      <c r="Q237" s="249"/>
      <c r="R237" s="194"/>
      <c r="S237" s="195"/>
      <c r="T237" s="196"/>
      <c r="U237" s="195"/>
      <c r="V237" s="197"/>
    </row>
    <row r="238" spans="1:22" s="198" customFormat="1" ht="25.05" customHeight="1">
      <c r="A238" s="26">
        <v>29</v>
      </c>
      <c r="B238" s="27" t="s">
        <v>153</v>
      </c>
      <c r="C238" s="288" t="s">
        <v>682</v>
      </c>
      <c r="D238" s="191"/>
      <c r="E238" s="29">
        <v>1</v>
      </c>
      <c r="F238" s="30" t="s">
        <v>289</v>
      </c>
      <c r="G238" s="60"/>
      <c r="H238" s="60"/>
      <c r="I238" s="193"/>
      <c r="J238" s="200">
        <f t="shared" si="3"/>
        <v>0</v>
      </c>
      <c r="K238" s="60">
        <v>9</v>
      </c>
      <c r="L238" s="60"/>
      <c r="M238" s="226" t="s">
        <v>683</v>
      </c>
      <c r="N238" s="248" t="s">
        <v>684</v>
      </c>
      <c r="O238" s="227"/>
      <c r="P238" s="227"/>
      <c r="Q238" s="249"/>
      <c r="R238" s="194"/>
      <c r="S238" s="195"/>
      <c r="T238" s="196"/>
      <c r="U238" s="195"/>
      <c r="V238" s="197"/>
    </row>
    <row r="239" spans="1:22" s="198" customFormat="1" ht="25.05" customHeight="1">
      <c r="A239" s="26">
        <v>30</v>
      </c>
      <c r="B239" s="27" t="s">
        <v>153</v>
      </c>
      <c r="C239" s="288" t="s">
        <v>685</v>
      </c>
      <c r="D239" s="191"/>
      <c r="E239" s="29">
        <v>1</v>
      </c>
      <c r="F239" s="30" t="s">
        <v>289</v>
      </c>
      <c r="G239" s="60"/>
      <c r="H239" s="60"/>
      <c r="I239" s="193"/>
      <c r="J239" s="200">
        <f t="shared" si="3"/>
        <v>0</v>
      </c>
      <c r="K239" s="60">
        <v>9</v>
      </c>
      <c r="L239" s="60"/>
      <c r="M239" s="226" t="s">
        <v>683</v>
      </c>
      <c r="N239" s="248" t="s">
        <v>686</v>
      </c>
      <c r="O239" s="227"/>
      <c r="P239" s="227"/>
      <c r="Q239" s="249"/>
      <c r="R239" s="194"/>
      <c r="S239" s="195"/>
      <c r="T239" s="196"/>
      <c r="U239" s="195"/>
      <c r="V239" s="197"/>
    </row>
    <row r="240" spans="1:22" s="198" customFormat="1" ht="25.05" customHeight="1">
      <c r="A240" s="26">
        <v>31</v>
      </c>
      <c r="B240" s="27" t="s">
        <v>153</v>
      </c>
      <c r="C240" s="288" t="s">
        <v>687</v>
      </c>
      <c r="D240" s="191"/>
      <c r="E240" s="29">
        <v>1</v>
      </c>
      <c r="F240" s="30" t="s">
        <v>289</v>
      </c>
      <c r="G240" s="60"/>
      <c r="H240" s="60"/>
      <c r="I240" s="193"/>
      <c r="J240" s="200">
        <f t="shared" si="3"/>
        <v>0</v>
      </c>
      <c r="K240" s="60">
        <v>9</v>
      </c>
      <c r="L240" s="60"/>
      <c r="M240" s="226" t="s">
        <v>683</v>
      </c>
      <c r="N240" s="248" t="s">
        <v>688</v>
      </c>
      <c r="O240" s="227"/>
      <c r="P240" s="227"/>
      <c r="Q240" s="249"/>
      <c r="R240" s="194"/>
      <c r="S240" s="195"/>
      <c r="T240" s="196"/>
      <c r="U240" s="195"/>
      <c r="V240" s="197"/>
    </row>
    <row r="241" spans="1:22" s="198" customFormat="1" ht="25.05" customHeight="1">
      <c r="A241" s="26">
        <v>32</v>
      </c>
      <c r="B241" s="27" t="s">
        <v>153</v>
      </c>
      <c r="C241" s="288" t="s">
        <v>689</v>
      </c>
      <c r="D241" s="191"/>
      <c r="E241" s="29">
        <v>1</v>
      </c>
      <c r="F241" s="30" t="s">
        <v>289</v>
      </c>
      <c r="G241" s="60"/>
      <c r="H241" s="60"/>
      <c r="I241" s="193"/>
      <c r="J241" s="200">
        <f t="shared" si="3"/>
        <v>0</v>
      </c>
      <c r="K241" s="60">
        <v>9</v>
      </c>
      <c r="L241" s="60"/>
      <c r="M241" s="226" t="s">
        <v>683</v>
      </c>
      <c r="N241" s="248" t="s">
        <v>690</v>
      </c>
      <c r="O241" s="227"/>
      <c r="P241" s="227"/>
      <c r="Q241" s="249"/>
      <c r="R241" s="194"/>
      <c r="S241" s="195"/>
      <c r="T241" s="196"/>
      <c r="U241" s="195"/>
      <c r="V241" s="197"/>
    </row>
    <row r="242" spans="1:22" s="198" customFormat="1" ht="25.05" customHeight="1">
      <c r="A242" s="26">
        <v>33</v>
      </c>
      <c r="B242" s="27" t="s">
        <v>153</v>
      </c>
      <c r="C242" s="288" t="s">
        <v>691</v>
      </c>
      <c r="D242" s="191"/>
      <c r="E242" s="29">
        <v>1</v>
      </c>
      <c r="F242" s="30" t="s">
        <v>289</v>
      </c>
      <c r="G242" s="60"/>
      <c r="H242" s="60"/>
      <c r="I242" s="193"/>
      <c r="J242" s="200">
        <f t="shared" si="3"/>
        <v>0</v>
      </c>
      <c r="K242" s="60">
        <v>2</v>
      </c>
      <c r="L242" s="60"/>
      <c r="M242" s="226" t="s">
        <v>635</v>
      </c>
      <c r="N242" s="248" t="s">
        <v>692</v>
      </c>
      <c r="O242" s="227"/>
      <c r="P242" s="227"/>
      <c r="Q242" s="249"/>
      <c r="R242" s="194"/>
      <c r="S242" s="195"/>
      <c r="T242" s="196"/>
      <c r="U242" s="195"/>
      <c r="V242" s="197"/>
    </row>
    <row r="243" spans="1:22" s="198" customFormat="1" ht="25.05" customHeight="1">
      <c r="A243" s="264"/>
      <c r="B243" s="265"/>
      <c r="C243" s="289"/>
      <c r="D243" s="202"/>
      <c r="E243" s="266"/>
      <c r="F243" s="202"/>
      <c r="G243" s="267">
        <v>705</v>
      </c>
      <c r="H243" s="267">
        <v>175</v>
      </c>
      <c r="I243" s="268">
        <v>105</v>
      </c>
      <c r="J243" s="269">
        <f>ROUND(I243*H243*G243/1000000,3)</f>
        <v>12.954000000000001</v>
      </c>
      <c r="K243" s="267">
        <f>SUM(K210:K242)</f>
        <v>538.1</v>
      </c>
      <c r="L243" s="267">
        <f>K243+100</f>
        <v>638.1</v>
      </c>
      <c r="M243" s="224"/>
      <c r="N243" s="246"/>
      <c r="O243" s="225"/>
      <c r="P243" s="225"/>
      <c r="Q243" s="247"/>
      <c r="R243" s="194"/>
      <c r="S243" s="195"/>
      <c r="T243" s="196"/>
      <c r="U243" s="195"/>
      <c r="V243" s="197"/>
    </row>
    <row r="244" spans="1:22" s="198" customFormat="1" ht="25.05" customHeight="1">
      <c r="A244" s="26">
        <v>1</v>
      </c>
      <c r="B244" s="27" t="s">
        <v>154</v>
      </c>
      <c r="C244" s="288" t="s">
        <v>693</v>
      </c>
      <c r="D244" s="191"/>
      <c r="E244" s="29">
        <v>1</v>
      </c>
      <c r="F244" s="30" t="s">
        <v>289</v>
      </c>
      <c r="G244" s="60"/>
      <c r="H244" s="60"/>
      <c r="I244" s="193"/>
      <c r="J244" s="200">
        <f t="shared" si="3"/>
        <v>0</v>
      </c>
      <c r="K244" s="60">
        <v>41.4</v>
      </c>
      <c r="L244" s="60"/>
      <c r="M244" s="226" t="s">
        <v>694</v>
      </c>
      <c r="N244" s="248" t="s">
        <v>695</v>
      </c>
      <c r="O244" s="227"/>
      <c r="P244" s="227"/>
      <c r="Q244" s="249"/>
      <c r="R244" s="194"/>
      <c r="S244" s="195"/>
      <c r="T244" s="196"/>
      <c r="U244" s="195"/>
      <c r="V244" s="197"/>
    </row>
    <row r="245" spans="1:22" s="198" customFormat="1" ht="25.05" customHeight="1">
      <c r="A245" s="26">
        <v>2</v>
      </c>
      <c r="B245" s="27" t="s">
        <v>154</v>
      </c>
      <c r="C245" s="288" t="s">
        <v>696</v>
      </c>
      <c r="D245" s="191"/>
      <c r="E245" s="29">
        <v>1</v>
      </c>
      <c r="F245" s="30" t="s">
        <v>289</v>
      </c>
      <c r="G245" s="60"/>
      <c r="H245" s="60"/>
      <c r="I245" s="193"/>
      <c r="J245" s="200">
        <f t="shared" si="3"/>
        <v>0</v>
      </c>
      <c r="K245" s="60">
        <v>34</v>
      </c>
      <c r="L245" s="60"/>
      <c r="M245" s="226" t="s">
        <v>694</v>
      </c>
      <c r="N245" s="273" t="s">
        <v>697</v>
      </c>
      <c r="O245" s="227"/>
      <c r="P245" s="227"/>
      <c r="Q245" s="249"/>
      <c r="R245" s="194"/>
      <c r="S245" s="195"/>
      <c r="T245" s="196"/>
      <c r="U245" s="195"/>
      <c r="V245" s="197"/>
    </row>
    <row r="246" spans="1:22" s="198" customFormat="1" ht="25.05" customHeight="1">
      <c r="A246" s="26">
        <v>3</v>
      </c>
      <c r="B246" s="27" t="s">
        <v>154</v>
      </c>
      <c r="C246" s="288" t="s">
        <v>698</v>
      </c>
      <c r="D246" s="191"/>
      <c r="E246" s="29">
        <v>1</v>
      </c>
      <c r="F246" s="30" t="s">
        <v>289</v>
      </c>
      <c r="G246" s="60"/>
      <c r="H246" s="60"/>
      <c r="I246" s="193"/>
      <c r="J246" s="200">
        <f t="shared" si="3"/>
        <v>0</v>
      </c>
      <c r="K246" s="60">
        <v>34</v>
      </c>
      <c r="L246" s="60"/>
      <c r="M246" s="226" t="s">
        <v>694</v>
      </c>
      <c r="N246" s="273" t="s">
        <v>699</v>
      </c>
      <c r="O246" s="227"/>
      <c r="P246" s="227"/>
      <c r="Q246" s="249"/>
      <c r="R246" s="194"/>
      <c r="S246" s="195"/>
      <c r="T246" s="196"/>
      <c r="U246" s="195"/>
      <c r="V246" s="197"/>
    </row>
    <row r="247" spans="1:22" s="198" customFormat="1" ht="25.05" customHeight="1">
      <c r="A247" s="26">
        <v>4</v>
      </c>
      <c r="B247" s="27" t="s">
        <v>154</v>
      </c>
      <c r="C247" s="288" t="s">
        <v>700</v>
      </c>
      <c r="D247" s="191"/>
      <c r="E247" s="29">
        <v>1</v>
      </c>
      <c r="F247" s="30" t="s">
        <v>289</v>
      </c>
      <c r="G247" s="60"/>
      <c r="H247" s="60"/>
      <c r="I247" s="193"/>
      <c r="J247" s="200">
        <f t="shared" si="3"/>
        <v>0</v>
      </c>
      <c r="K247" s="60">
        <v>34</v>
      </c>
      <c r="L247" s="60"/>
      <c r="M247" s="226" t="s">
        <v>694</v>
      </c>
      <c r="N247" s="273" t="s">
        <v>701</v>
      </c>
      <c r="O247" s="227"/>
      <c r="P247" s="227"/>
      <c r="Q247" s="249"/>
      <c r="R247" s="194"/>
      <c r="S247" s="195"/>
      <c r="T247" s="196"/>
      <c r="U247" s="195"/>
      <c r="V247" s="197"/>
    </row>
    <row r="248" spans="1:22" s="198" customFormat="1" ht="25.05" customHeight="1">
      <c r="A248" s="26">
        <v>5</v>
      </c>
      <c r="B248" s="27" t="s">
        <v>154</v>
      </c>
      <c r="C248" s="288" t="s">
        <v>702</v>
      </c>
      <c r="D248" s="191"/>
      <c r="E248" s="29">
        <v>1</v>
      </c>
      <c r="F248" s="30" t="s">
        <v>289</v>
      </c>
      <c r="G248" s="60"/>
      <c r="H248" s="60"/>
      <c r="I248" s="193"/>
      <c r="J248" s="200">
        <f t="shared" si="3"/>
        <v>0</v>
      </c>
      <c r="K248" s="60">
        <v>26.5</v>
      </c>
      <c r="L248" s="60"/>
      <c r="M248" s="226" t="s">
        <v>694</v>
      </c>
      <c r="N248" s="273" t="s">
        <v>703</v>
      </c>
      <c r="O248" s="227"/>
      <c r="P248" s="227"/>
      <c r="Q248" s="249"/>
      <c r="R248" s="194"/>
      <c r="S248" s="195"/>
      <c r="T248" s="196"/>
      <c r="U248" s="195"/>
      <c r="V248" s="197"/>
    </row>
    <row r="249" spans="1:22" s="198" customFormat="1" ht="25.05" customHeight="1">
      <c r="A249" s="26">
        <v>6</v>
      </c>
      <c r="B249" s="27" t="s">
        <v>154</v>
      </c>
      <c r="C249" s="288" t="s">
        <v>704</v>
      </c>
      <c r="D249" s="191"/>
      <c r="E249" s="29">
        <v>1</v>
      </c>
      <c r="F249" s="30" t="s">
        <v>289</v>
      </c>
      <c r="G249" s="60"/>
      <c r="H249" s="60"/>
      <c r="I249" s="193"/>
      <c r="J249" s="200">
        <f t="shared" si="3"/>
        <v>0</v>
      </c>
      <c r="K249" s="60">
        <v>25</v>
      </c>
      <c r="L249" s="60"/>
      <c r="M249" s="226" t="s">
        <v>694</v>
      </c>
      <c r="N249" s="273" t="s">
        <v>705</v>
      </c>
      <c r="O249" s="227"/>
      <c r="P249" s="227"/>
      <c r="Q249" s="249"/>
      <c r="R249" s="194"/>
      <c r="S249" s="195"/>
      <c r="T249" s="196"/>
      <c r="U249" s="195"/>
      <c r="V249" s="197"/>
    </row>
    <row r="250" spans="1:22" s="198" customFormat="1" ht="25.05" customHeight="1">
      <c r="A250" s="26">
        <v>7</v>
      </c>
      <c r="B250" s="27" t="s">
        <v>154</v>
      </c>
      <c r="C250" s="288" t="s">
        <v>706</v>
      </c>
      <c r="D250" s="191"/>
      <c r="E250" s="29">
        <v>1</v>
      </c>
      <c r="F250" s="30" t="s">
        <v>289</v>
      </c>
      <c r="G250" s="60"/>
      <c r="H250" s="60"/>
      <c r="I250" s="193"/>
      <c r="J250" s="200">
        <f t="shared" si="3"/>
        <v>0</v>
      </c>
      <c r="K250" s="60">
        <v>25</v>
      </c>
      <c r="L250" s="60"/>
      <c r="M250" s="226" t="s">
        <v>694</v>
      </c>
      <c r="N250" s="273" t="s">
        <v>707</v>
      </c>
      <c r="O250" s="227"/>
      <c r="P250" s="227"/>
      <c r="Q250" s="249"/>
      <c r="R250" s="194"/>
      <c r="S250" s="195"/>
      <c r="T250" s="196"/>
      <c r="U250" s="195"/>
      <c r="V250" s="197"/>
    </row>
    <row r="251" spans="1:22" s="198" customFormat="1" ht="25.05" customHeight="1">
      <c r="A251" s="26">
        <v>8</v>
      </c>
      <c r="B251" s="27" t="s">
        <v>154</v>
      </c>
      <c r="C251" s="288" t="s">
        <v>708</v>
      </c>
      <c r="D251" s="191"/>
      <c r="E251" s="29">
        <v>1</v>
      </c>
      <c r="F251" s="30" t="s">
        <v>289</v>
      </c>
      <c r="G251" s="60"/>
      <c r="H251" s="60"/>
      <c r="I251" s="193"/>
      <c r="J251" s="200">
        <f t="shared" si="3"/>
        <v>0</v>
      </c>
      <c r="K251" s="60">
        <v>22.3</v>
      </c>
      <c r="L251" s="60"/>
      <c r="M251" s="226" t="s">
        <v>709</v>
      </c>
      <c r="N251" s="273" t="s">
        <v>710</v>
      </c>
      <c r="O251" s="227"/>
      <c r="P251" s="227"/>
      <c r="Q251" s="249"/>
      <c r="R251" s="194"/>
      <c r="S251" s="195"/>
      <c r="T251" s="196"/>
      <c r="U251" s="195"/>
      <c r="V251" s="197"/>
    </row>
    <row r="252" spans="1:22" s="198" customFormat="1" ht="25.05" customHeight="1">
      <c r="A252" s="26">
        <v>9</v>
      </c>
      <c r="B252" s="27" t="s">
        <v>154</v>
      </c>
      <c r="C252" s="288" t="s">
        <v>711</v>
      </c>
      <c r="D252" s="191"/>
      <c r="E252" s="29">
        <v>1</v>
      </c>
      <c r="F252" s="30" t="s">
        <v>289</v>
      </c>
      <c r="G252" s="60"/>
      <c r="H252" s="60"/>
      <c r="I252" s="193"/>
      <c r="J252" s="200">
        <f t="shared" si="3"/>
        <v>0</v>
      </c>
      <c r="K252" s="60">
        <v>21</v>
      </c>
      <c r="L252" s="60"/>
      <c r="M252" s="226" t="s">
        <v>712</v>
      </c>
      <c r="N252" s="273" t="s">
        <v>713</v>
      </c>
      <c r="O252" s="227"/>
      <c r="P252" s="227"/>
      <c r="Q252" s="249"/>
      <c r="R252" s="194"/>
      <c r="S252" s="195"/>
      <c r="T252" s="196"/>
      <c r="U252" s="195"/>
      <c r="V252" s="197"/>
    </row>
    <row r="253" spans="1:22" s="198" customFormat="1" ht="25.05" customHeight="1">
      <c r="A253" s="26">
        <v>10</v>
      </c>
      <c r="B253" s="27" t="s">
        <v>154</v>
      </c>
      <c r="C253" s="288" t="s">
        <v>714</v>
      </c>
      <c r="D253" s="191"/>
      <c r="E253" s="29">
        <v>1</v>
      </c>
      <c r="F253" s="30" t="s">
        <v>289</v>
      </c>
      <c r="G253" s="60"/>
      <c r="H253" s="60"/>
      <c r="I253" s="193"/>
      <c r="J253" s="200">
        <f t="shared" si="3"/>
        <v>0</v>
      </c>
      <c r="K253" s="60">
        <v>10</v>
      </c>
      <c r="L253" s="60"/>
      <c r="M253" s="226" t="s">
        <v>712</v>
      </c>
      <c r="N253" s="273" t="s">
        <v>715</v>
      </c>
      <c r="O253" s="227"/>
      <c r="P253" s="227"/>
      <c r="Q253" s="249"/>
      <c r="R253" s="194"/>
      <c r="S253" s="195"/>
      <c r="T253" s="196"/>
      <c r="U253" s="195"/>
      <c r="V253" s="197"/>
    </row>
    <row r="254" spans="1:22" s="198" customFormat="1" ht="25.05" customHeight="1">
      <c r="A254" s="26">
        <v>11</v>
      </c>
      <c r="B254" s="27" t="s">
        <v>154</v>
      </c>
      <c r="C254" s="288" t="s">
        <v>716</v>
      </c>
      <c r="D254" s="191"/>
      <c r="E254" s="29">
        <v>1</v>
      </c>
      <c r="F254" s="30" t="s">
        <v>289</v>
      </c>
      <c r="G254" s="60"/>
      <c r="H254" s="60"/>
      <c r="I254" s="193"/>
      <c r="J254" s="200">
        <f t="shared" si="3"/>
        <v>0</v>
      </c>
      <c r="K254" s="60">
        <v>34.200000000000003</v>
      </c>
      <c r="L254" s="60"/>
      <c r="M254" s="226" t="s">
        <v>712</v>
      </c>
      <c r="N254" s="273" t="s">
        <v>717</v>
      </c>
      <c r="O254" s="227"/>
      <c r="P254" s="227"/>
      <c r="Q254" s="249"/>
      <c r="R254" s="194"/>
      <c r="S254" s="195"/>
      <c r="T254" s="196"/>
      <c r="U254" s="195"/>
      <c r="V254" s="197"/>
    </row>
    <row r="255" spans="1:22" s="198" customFormat="1" ht="25.05" customHeight="1">
      <c r="A255" s="26">
        <v>12</v>
      </c>
      <c r="B255" s="27" t="s">
        <v>154</v>
      </c>
      <c r="C255" s="288" t="s">
        <v>718</v>
      </c>
      <c r="D255" s="191"/>
      <c r="E255" s="29">
        <v>1</v>
      </c>
      <c r="F255" s="30" t="s">
        <v>289</v>
      </c>
      <c r="G255" s="60"/>
      <c r="H255" s="60"/>
      <c r="I255" s="193"/>
      <c r="J255" s="200">
        <f t="shared" si="3"/>
        <v>0</v>
      </c>
      <c r="K255" s="60">
        <v>32</v>
      </c>
      <c r="L255" s="60"/>
      <c r="M255" s="226" t="s">
        <v>712</v>
      </c>
      <c r="N255" s="273" t="s">
        <v>719</v>
      </c>
      <c r="O255" s="227"/>
      <c r="P255" s="227"/>
      <c r="Q255" s="249"/>
      <c r="R255" s="194"/>
      <c r="S255" s="195"/>
      <c r="T255" s="196"/>
      <c r="U255" s="195"/>
      <c r="V255" s="197"/>
    </row>
    <row r="256" spans="1:22" s="198" customFormat="1" ht="25.05" customHeight="1">
      <c r="A256" s="26">
        <v>13</v>
      </c>
      <c r="B256" s="27" t="s">
        <v>154</v>
      </c>
      <c r="C256" s="288" t="s">
        <v>720</v>
      </c>
      <c r="D256" s="191"/>
      <c r="E256" s="29">
        <v>1</v>
      </c>
      <c r="F256" s="30" t="s">
        <v>289</v>
      </c>
      <c r="G256" s="60"/>
      <c r="H256" s="60"/>
      <c r="I256" s="193"/>
      <c r="J256" s="200">
        <f t="shared" si="3"/>
        <v>0</v>
      </c>
      <c r="K256" s="60">
        <v>5</v>
      </c>
      <c r="L256" s="60"/>
      <c r="M256" s="226" t="s">
        <v>712</v>
      </c>
      <c r="N256" s="273" t="s">
        <v>721</v>
      </c>
      <c r="O256" s="227"/>
      <c r="P256" s="227"/>
      <c r="Q256" s="249"/>
      <c r="R256" s="194"/>
      <c r="S256" s="195"/>
      <c r="T256" s="196"/>
      <c r="U256" s="195"/>
      <c r="V256" s="197"/>
    </row>
    <row r="257" spans="1:22" s="198" customFormat="1" ht="25.05" customHeight="1">
      <c r="A257" s="26">
        <v>14</v>
      </c>
      <c r="B257" s="27" t="s">
        <v>154</v>
      </c>
      <c r="C257" s="288" t="s">
        <v>722</v>
      </c>
      <c r="D257" s="191"/>
      <c r="E257" s="29">
        <v>1</v>
      </c>
      <c r="F257" s="30" t="s">
        <v>289</v>
      </c>
      <c r="G257" s="60"/>
      <c r="H257" s="60"/>
      <c r="I257" s="193"/>
      <c r="J257" s="200">
        <f t="shared" si="3"/>
        <v>0</v>
      </c>
      <c r="K257" s="60">
        <v>33</v>
      </c>
      <c r="L257" s="60"/>
      <c r="M257" s="226" t="s">
        <v>723</v>
      </c>
      <c r="N257" s="273" t="s">
        <v>724</v>
      </c>
      <c r="O257" s="227"/>
      <c r="P257" s="227"/>
      <c r="Q257" s="249"/>
      <c r="R257" s="194"/>
      <c r="S257" s="195"/>
      <c r="T257" s="196"/>
      <c r="U257" s="195"/>
      <c r="V257" s="197"/>
    </row>
    <row r="258" spans="1:22" s="198" customFormat="1" ht="25.05" customHeight="1">
      <c r="A258" s="26">
        <v>15</v>
      </c>
      <c r="B258" s="27" t="s">
        <v>154</v>
      </c>
      <c r="C258" s="288" t="s">
        <v>725</v>
      </c>
      <c r="D258" s="191"/>
      <c r="E258" s="29">
        <v>1</v>
      </c>
      <c r="F258" s="30" t="s">
        <v>289</v>
      </c>
      <c r="G258" s="60"/>
      <c r="H258" s="60"/>
      <c r="I258" s="193"/>
      <c r="J258" s="200">
        <f t="shared" si="3"/>
        <v>0</v>
      </c>
      <c r="K258" s="60">
        <v>29.9</v>
      </c>
      <c r="L258" s="60"/>
      <c r="M258" s="226" t="s">
        <v>723</v>
      </c>
      <c r="N258" s="273" t="s">
        <v>726</v>
      </c>
      <c r="O258" s="227"/>
      <c r="P258" s="227"/>
      <c r="Q258" s="249"/>
      <c r="R258" s="194"/>
      <c r="S258" s="195"/>
      <c r="T258" s="196"/>
      <c r="U258" s="195"/>
      <c r="V258" s="197"/>
    </row>
    <row r="259" spans="1:22" s="198" customFormat="1" ht="25.05" customHeight="1">
      <c r="A259" s="26">
        <v>16</v>
      </c>
      <c r="B259" s="27" t="s">
        <v>154</v>
      </c>
      <c r="C259" s="288" t="s">
        <v>727</v>
      </c>
      <c r="D259" s="191"/>
      <c r="E259" s="29">
        <v>1</v>
      </c>
      <c r="F259" s="30" t="s">
        <v>289</v>
      </c>
      <c r="G259" s="60"/>
      <c r="H259" s="60"/>
      <c r="I259" s="193"/>
      <c r="J259" s="200">
        <f t="shared" si="3"/>
        <v>0</v>
      </c>
      <c r="K259" s="60">
        <v>35.700000000000003</v>
      </c>
      <c r="L259" s="60"/>
      <c r="M259" s="226" t="s">
        <v>728</v>
      </c>
      <c r="N259" s="273" t="s">
        <v>729</v>
      </c>
      <c r="O259" s="227"/>
      <c r="P259" s="227"/>
      <c r="Q259" s="249"/>
      <c r="R259" s="194"/>
      <c r="S259" s="195"/>
      <c r="T259" s="196"/>
      <c r="U259" s="195"/>
      <c r="V259" s="197"/>
    </row>
    <row r="260" spans="1:22" s="198" customFormat="1" ht="25.05" customHeight="1">
      <c r="A260" s="26">
        <v>17</v>
      </c>
      <c r="B260" s="27" t="s">
        <v>154</v>
      </c>
      <c r="C260" s="288" t="s">
        <v>730</v>
      </c>
      <c r="D260" s="191"/>
      <c r="E260" s="29">
        <v>1</v>
      </c>
      <c r="F260" s="30" t="s">
        <v>289</v>
      </c>
      <c r="G260" s="60"/>
      <c r="H260" s="60"/>
      <c r="I260" s="193"/>
      <c r="J260" s="200">
        <f t="shared" si="3"/>
        <v>0</v>
      </c>
      <c r="K260" s="60">
        <v>8.1999999999999993</v>
      </c>
      <c r="L260" s="60"/>
      <c r="M260" s="226" t="s">
        <v>728</v>
      </c>
      <c r="N260" s="273" t="s">
        <v>731</v>
      </c>
      <c r="O260" s="227"/>
      <c r="P260" s="227"/>
      <c r="Q260" s="249"/>
      <c r="R260" s="194"/>
      <c r="S260" s="195"/>
      <c r="T260" s="196"/>
      <c r="U260" s="195"/>
      <c r="V260" s="197"/>
    </row>
    <row r="261" spans="1:22" s="198" customFormat="1" ht="25.05" customHeight="1">
      <c r="A261" s="26">
        <v>18</v>
      </c>
      <c r="B261" s="27" t="s">
        <v>154</v>
      </c>
      <c r="C261" s="288" t="s">
        <v>732</v>
      </c>
      <c r="D261" s="191"/>
      <c r="E261" s="29">
        <v>1</v>
      </c>
      <c r="F261" s="30" t="s">
        <v>289</v>
      </c>
      <c r="G261" s="60"/>
      <c r="H261" s="60"/>
      <c r="I261" s="193"/>
      <c r="J261" s="200">
        <f t="shared" si="3"/>
        <v>0</v>
      </c>
      <c r="K261" s="60">
        <v>34.5</v>
      </c>
      <c r="L261" s="60"/>
      <c r="M261" s="226" t="s">
        <v>728</v>
      </c>
      <c r="N261" s="273" t="s">
        <v>733</v>
      </c>
      <c r="O261" s="227"/>
      <c r="P261" s="227"/>
      <c r="Q261" s="249"/>
      <c r="R261" s="194"/>
      <c r="S261" s="195"/>
      <c r="T261" s="196"/>
      <c r="U261" s="195"/>
      <c r="V261" s="197"/>
    </row>
    <row r="262" spans="1:22" s="198" customFormat="1" ht="25.05" customHeight="1">
      <c r="A262" s="26">
        <v>19</v>
      </c>
      <c r="B262" s="27" t="s">
        <v>154</v>
      </c>
      <c r="C262" s="288" t="s">
        <v>734</v>
      </c>
      <c r="D262" s="191"/>
      <c r="E262" s="29">
        <v>1</v>
      </c>
      <c r="F262" s="30" t="s">
        <v>289</v>
      </c>
      <c r="G262" s="60"/>
      <c r="H262" s="60"/>
      <c r="I262" s="193"/>
      <c r="J262" s="200">
        <f t="shared" si="3"/>
        <v>0</v>
      </c>
      <c r="K262" s="60">
        <v>32.799999999999997</v>
      </c>
      <c r="L262" s="60"/>
      <c r="M262" s="226" t="s">
        <v>735</v>
      </c>
      <c r="N262" s="273" t="s">
        <v>736</v>
      </c>
      <c r="O262" s="227"/>
      <c r="P262" s="227"/>
      <c r="Q262" s="249"/>
      <c r="R262" s="194"/>
      <c r="S262" s="195"/>
      <c r="T262" s="196"/>
      <c r="U262" s="195"/>
      <c r="V262" s="197"/>
    </row>
    <row r="263" spans="1:22" s="198" customFormat="1" ht="25.05" customHeight="1">
      <c r="A263" s="26">
        <v>20</v>
      </c>
      <c r="B263" s="27" t="s">
        <v>154</v>
      </c>
      <c r="C263" s="288" t="s">
        <v>737</v>
      </c>
      <c r="D263" s="191"/>
      <c r="E263" s="29">
        <v>1</v>
      </c>
      <c r="F263" s="30" t="s">
        <v>289</v>
      </c>
      <c r="G263" s="60"/>
      <c r="H263" s="60"/>
      <c r="I263" s="193"/>
      <c r="J263" s="200">
        <f t="shared" si="3"/>
        <v>0</v>
      </c>
      <c r="K263" s="60">
        <v>27.9</v>
      </c>
      <c r="L263" s="60"/>
      <c r="M263" s="226" t="s">
        <v>735</v>
      </c>
      <c r="N263" s="273" t="s">
        <v>738</v>
      </c>
      <c r="O263" s="227"/>
      <c r="P263" s="227"/>
      <c r="Q263" s="249"/>
      <c r="R263" s="194"/>
      <c r="S263" s="195"/>
      <c r="T263" s="196"/>
      <c r="U263" s="195"/>
      <c r="V263" s="197"/>
    </row>
    <row r="264" spans="1:22" s="198" customFormat="1" ht="25.05" customHeight="1">
      <c r="A264" s="26">
        <v>21</v>
      </c>
      <c r="B264" s="27" t="s">
        <v>154</v>
      </c>
      <c r="C264" s="288" t="s">
        <v>739</v>
      </c>
      <c r="D264" s="191"/>
      <c r="E264" s="29">
        <v>1</v>
      </c>
      <c r="F264" s="30" t="s">
        <v>289</v>
      </c>
      <c r="G264" s="60"/>
      <c r="H264" s="60"/>
      <c r="I264" s="193"/>
      <c r="J264" s="200">
        <f t="shared" si="3"/>
        <v>0</v>
      </c>
      <c r="K264" s="60">
        <v>33</v>
      </c>
      <c r="L264" s="60"/>
      <c r="M264" s="226" t="s">
        <v>735</v>
      </c>
      <c r="N264" s="273" t="s">
        <v>740</v>
      </c>
      <c r="O264" s="227"/>
      <c r="P264" s="227"/>
      <c r="Q264" s="249"/>
      <c r="R264" s="194"/>
      <c r="S264" s="195"/>
      <c r="T264" s="196"/>
      <c r="U264" s="195"/>
      <c r="V264" s="197"/>
    </row>
    <row r="265" spans="1:22" s="198" customFormat="1" ht="25.05" customHeight="1">
      <c r="A265" s="26">
        <v>22</v>
      </c>
      <c r="B265" s="27" t="s">
        <v>154</v>
      </c>
      <c r="C265" s="288" t="s">
        <v>741</v>
      </c>
      <c r="D265" s="191"/>
      <c r="E265" s="29">
        <v>1</v>
      </c>
      <c r="F265" s="30" t="s">
        <v>289</v>
      </c>
      <c r="G265" s="60"/>
      <c r="H265" s="60"/>
      <c r="I265" s="193"/>
      <c r="J265" s="200">
        <f t="shared" si="3"/>
        <v>0</v>
      </c>
      <c r="K265" s="60">
        <v>7.5</v>
      </c>
      <c r="L265" s="60"/>
      <c r="M265" s="226" t="s">
        <v>742</v>
      </c>
      <c r="N265" s="248" t="s">
        <v>743</v>
      </c>
      <c r="O265" s="227"/>
      <c r="P265" s="227"/>
      <c r="Q265" s="249"/>
      <c r="R265" s="194"/>
      <c r="S265" s="195"/>
      <c r="T265" s="196"/>
      <c r="U265" s="195"/>
      <c r="V265" s="197"/>
    </row>
    <row r="266" spans="1:22" s="198" customFormat="1" ht="25.05" customHeight="1">
      <c r="A266" s="26">
        <v>23</v>
      </c>
      <c r="B266" s="27" t="s">
        <v>154</v>
      </c>
      <c r="C266" s="288" t="s">
        <v>744</v>
      </c>
      <c r="D266" s="191"/>
      <c r="E266" s="29">
        <v>1</v>
      </c>
      <c r="F266" s="30" t="s">
        <v>289</v>
      </c>
      <c r="G266" s="60"/>
      <c r="H266" s="60"/>
      <c r="I266" s="193"/>
      <c r="J266" s="200">
        <f t="shared" si="3"/>
        <v>0</v>
      </c>
      <c r="K266" s="60">
        <v>13.3</v>
      </c>
      <c r="L266" s="60"/>
      <c r="M266" s="226" t="s">
        <v>742</v>
      </c>
      <c r="N266" s="248" t="s">
        <v>745</v>
      </c>
      <c r="O266" s="227"/>
      <c r="P266" s="227"/>
      <c r="Q266" s="249"/>
      <c r="R266" s="194"/>
      <c r="S266" s="195"/>
      <c r="T266" s="196"/>
      <c r="U266" s="195"/>
      <c r="V266" s="197"/>
    </row>
    <row r="267" spans="1:22" s="198" customFormat="1" ht="25.05" customHeight="1">
      <c r="A267" s="26">
        <v>24</v>
      </c>
      <c r="B267" s="27" t="s">
        <v>154</v>
      </c>
      <c r="C267" s="288" t="s">
        <v>746</v>
      </c>
      <c r="D267" s="191"/>
      <c r="E267" s="29">
        <v>1</v>
      </c>
      <c r="F267" s="30" t="s">
        <v>289</v>
      </c>
      <c r="G267" s="60"/>
      <c r="H267" s="60"/>
      <c r="I267" s="193"/>
      <c r="J267" s="200">
        <f t="shared" si="3"/>
        <v>0</v>
      </c>
      <c r="K267" s="60">
        <v>14.5</v>
      </c>
      <c r="L267" s="60"/>
      <c r="M267" s="226" t="s">
        <v>747</v>
      </c>
      <c r="N267" s="248" t="s">
        <v>748</v>
      </c>
      <c r="O267" s="227"/>
      <c r="P267" s="227"/>
      <c r="Q267" s="249"/>
      <c r="R267" s="194"/>
      <c r="S267" s="195"/>
      <c r="T267" s="196"/>
      <c r="U267" s="195"/>
      <c r="V267" s="197"/>
    </row>
    <row r="268" spans="1:22" s="198" customFormat="1" ht="25.05" customHeight="1">
      <c r="A268" s="26">
        <v>25</v>
      </c>
      <c r="B268" s="27" t="s">
        <v>154</v>
      </c>
      <c r="C268" s="288" t="s">
        <v>749</v>
      </c>
      <c r="D268" s="191"/>
      <c r="E268" s="29">
        <v>1</v>
      </c>
      <c r="F268" s="30" t="s">
        <v>289</v>
      </c>
      <c r="G268" s="60"/>
      <c r="H268" s="60"/>
      <c r="I268" s="193"/>
      <c r="J268" s="200">
        <f t="shared" si="3"/>
        <v>0</v>
      </c>
      <c r="K268" s="60">
        <v>10.9</v>
      </c>
      <c r="L268" s="60"/>
      <c r="M268" s="226" t="s">
        <v>750</v>
      </c>
      <c r="N268" s="248" t="s">
        <v>751</v>
      </c>
      <c r="O268" s="227"/>
      <c r="P268" s="227"/>
      <c r="Q268" s="249"/>
      <c r="R268" s="194"/>
      <c r="S268" s="195"/>
      <c r="T268" s="196"/>
      <c r="U268" s="195"/>
      <c r="V268" s="197"/>
    </row>
    <row r="269" spans="1:22" s="198" customFormat="1" ht="25.05" customHeight="1">
      <c r="A269" s="26">
        <v>26</v>
      </c>
      <c r="B269" s="27" t="s">
        <v>154</v>
      </c>
      <c r="C269" s="288" t="s">
        <v>752</v>
      </c>
      <c r="D269" s="191"/>
      <c r="E269" s="29">
        <v>1</v>
      </c>
      <c r="F269" s="30" t="s">
        <v>289</v>
      </c>
      <c r="G269" s="60"/>
      <c r="H269" s="60"/>
      <c r="I269" s="193"/>
      <c r="J269" s="200">
        <f t="shared" si="3"/>
        <v>0</v>
      </c>
      <c r="K269" s="60">
        <v>18.5</v>
      </c>
      <c r="L269" s="60"/>
      <c r="M269" s="226" t="s">
        <v>750</v>
      </c>
      <c r="N269" s="248" t="s">
        <v>753</v>
      </c>
      <c r="O269" s="227"/>
      <c r="P269" s="227"/>
      <c r="Q269" s="249"/>
      <c r="R269" s="194"/>
      <c r="S269" s="195"/>
      <c r="T269" s="196"/>
      <c r="U269" s="195"/>
      <c r="V269" s="197"/>
    </row>
    <row r="270" spans="1:22" s="198" customFormat="1" ht="25.05" customHeight="1">
      <c r="A270" s="26">
        <v>27</v>
      </c>
      <c r="B270" s="27" t="s">
        <v>154</v>
      </c>
      <c r="C270" s="288" t="s">
        <v>754</v>
      </c>
      <c r="D270" s="191"/>
      <c r="E270" s="29">
        <v>1</v>
      </c>
      <c r="F270" s="30" t="s">
        <v>289</v>
      </c>
      <c r="G270" s="60"/>
      <c r="H270" s="60"/>
      <c r="I270" s="193"/>
      <c r="J270" s="200">
        <f t="shared" si="3"/>
        <v>0</v>
      </c>
      <c r="K270" s="60">
        <v>10.9</v>
      </c>
      <c r="L270" s="60"/>
      <c r="M270" s="226" t="s">
        <v>755</v>
      </c>
      <c r="N270" s="248" t="s">
        <v>756</v>
      </c>
      <c r="O270" s="227"/>
      <c r="P270" s="227"/>
      <c r="Q270" s="249"/>
      <c r="R270" s="194"/>
      <c r="S270" s="195"/>
      <c r="T270" s="196"/>
      <c r="U270" s="195"/>
      <c r="V270" s="197"/>
    </row>
    <row r="271" spans="1:22" s="198" customFormat="1" ht="25.05" customHeight="1">
      <c r="A271" s="26">
        <v>28</v>
      </c>
      <c r="B271" s="27" t="s">
        <v>154</v>
      </c>
      <c r="C271" s="288" t="s">
        <v>757</v>
      </c>
      <c r="D271" s="191"/>
      <c r="E271" s="29">
        <v>1</v>
      </c>
      <c r="F271" s="30" t="s">
        <v>289</v>
      </c>
      <c r="G271" s="60"/>
      <c r="H271" s="60"/>
      <c r="I271" s="193"/>
      <c r="J271" s="200">
        <f t="shared" si="3"/>
        <v>0</v>
      </c>
      <c r="K271" s="60">
        <v>15.2</v>
      </c>
      <c r="L271" s="60"/>
      <c r="M271" s="226" t="s">
        <v>755</v>
      </c>
      <c r="N271" s="248" t="s">
        <v>758</v>
      </c>
      <c r="O271" s="227"/>
      <c r="P271" s="227"/>
      <c r="Q271" s="249"/>
      <c r="R271" s="194"/>
      <c r="S271" s="195"/>
      <c r="T271" s="196"/>
      <c r="U271" s="195"/>
      <c r="V271" s="197"/>
    </row>
    <row r="272" spans="1:22" s="198" customFormat="1" ht="25.05" customHeight="1">
      <c r="A272" s="26">
        <v>29</v>
      </c>
      <c r="B272" s="27" t="s">
        <v>154</v>
      </c>
      <c r="C272" s="288" t="s">
        <v>759</v>
      </c>
      <c r="D272" s="191"/>
      <c r="E272" s="29">
        <v>1</v>
      </c>
      <c r="F272" s="30" t="s">
        <v>289</v>
      </c>
      <c r="G272" s="60"/>
      <c r="H272" s="60"/>
      <c r="I272" s="193"/>
      <c r="J272" s="200">
        <f t="shared" si="3"/>
        <v>0</v>
      </c>
      <c r="K272" s="60">
        <v>10.9</v>
      </c>
      <c r="L272" s="60"/>
      <c r="M272" s="226" t="s">
        <v>760</v>
      </c>
      <c r="N272" s="248" t="s">
        <v>761</v>
      </c>
      <c r="O272" s="227"/>
      <c r="P272" s="227"/>
      <c r="Q272" s="249"/>
      <c r="R272" s="194"/>
      <c r="S272" s="195"/>
      <c r="T272" s="196"/>
      <c r="U272" s="195"/>
      <c r="V272" s="197"/>
    </row>
    <row r="273" spans="1:22" s="198" customFormat="1" ht="25.05" customHeight="1">
      <c r="A273" s="26">
        <v>30</v>
      </c>
      <c r="B273" s="27" t="s">
        <v>154</v>
      </c>
      <c r="C273" s="288" t="s">
        <v>762</v>
      </c>
      <c r="D273" s="191"/>
      <c r="E273" s="29">
        <v>1</v>
      </c>
      <c r="F273" s="30" t="s">
        <v>289</v>
      </c>
      <c r="G273" s="60"/>
      <c r="H273" s="60"/>
      <c r="I273" s="193"/>
      <c r="J273" s="200">
        <f t="shared" si="3"/>
        <v>0</v>
      </c>
      <c r="K273" s="60">
        <v>18.5</v>
      </c>
      <c r="L273" s="60"/>
      <c r="M273" s="226" t="s">
        <v>760</v>
      </c>
      <c r="N273" s="248" t="s">
        <v>763</v>
      </c>
      <c r="O273" s="227"/>
      <c r="P273" s="227"/>
      <c r="Q273" s="249"/>
      <c r="R273" s="194"/>
      <c r="S273" s="195"/>
      <c r="T273" s="196"/>
      <c r="U273" s="195"/>
      <c r="V273" s="197"/>
    </row>
    <row r="274" spans="1:22" s="198" customFormat="1" ht="25.05" customHeight="1">
      <c r="A274" s="26">
        <v>31</v>
      </c>
      <c r="B274" s="27" t="s">
        <v>154</v>
      </c>
      <c r="C274" s="288" t="s">
        <v>764</v>
      </c>
      <c r="D274" s="191"/>
      <c r="E274" s="29">
        <v>1</v>
      </c>
      <c r="F274" s="30" t="s">
        <v>289</v>
      </c>
      <c r="G274" s="60"/>
      <c r="H274" s="60"/>
      <c r="I274" s="193"/>
      <c r="J274" s="200">
        <f t="shared" si="3"/>
        <v>0</v>
      </c>
      <c r="K274" s="60">
        <v>13.5</v>
      </c>
      <c r="L274" s="60"/>
      <c r="M274" s="226" t="s">
        <v>765</v>
      </c>
      <c r="N274" s="248" t="s">
        <v>766</v>
      </c>
      <c r="O274" s="227"/>
      <c r="P274" s="227"/>
      <c r="Q274" s="249"/>
      <c r="R274" s="194"/>
      <c r="S274" s="195"/>
      <c r="T274" s="196"/>
      <c r="U274" s="195"/>
      <c r="V274" s="197"/>
    </row>
    <row r="275" spans="1:22" s="198" customFormat="1" ht="25.05" customHeight="1">
      <c r="A275" s="26">
        <v>32</v>
      </c>
      <c r="B275" s="27" t="s">
        <v>154</v>
      </c>
      <c r="C275" s="288" t="s">
        <v>767</v>
      </c>
      <c r="D275" s="191"/>
      <c r="E275" s="29">
        <v>1</v>
      </c>
      <c r="F275" s="30" t="s">
        <v>289</v>
      </c>
      <c r="G275" s="60"/>
      <c r="H275" s="60"/>
      <c r="I275" s="193"/>
      <c r="J275" s="200">
        <f t="shared" si="3"/>
        <v>0</v>
      </c>
      <c r="K275" s="60">
        <v>10.1</v>
      </c>
      <c r="L275" s="60"/>
      <c r="M275" s="226" t="s">
        <v>765</v>
      </c>
      <c r="N275" s="273" t="s">
        <v>768</v>
      </c>
      <c r="O275" s="227"/>
      <c r="P275" s="227"/>
      <c r="Q275" s="249"/>
      <c r="R275" s="194"/>
      <c r="S275" s="195"/>
      <c r="T275" s="196"/>
      <c r="U275" s="195"/>
      <c r="V275" s="197"/>
    </row>
    <row r="276" spans="1:22" s="198" customFormat="1" ht="25.05" customHeight="1">
      <c r="A276" s="26">
        <v>33</v>
      </c>
      <c r="B276" s="27" t="s">
        <v>154</v>
      </c>
      <c r="C276" s="288" t="s">
        <v>769</v>
      </c>
      <c r="D276" s="191"/>
      <c r="E276" s="29">
        <v>1</v>
      </c>
      <c r="F276" s="30" t="s">
        <v>289</v>
      </c>
      <c r="G276" s="60"/>
      <c r="H276" s="60"/>
      <c r="I276" s="193"/>
      <c r="J276" s="200">
        <f t="shared" si="3"/>
        <v>0</v>
      </c>
      <c r="K276" s="60">
        <v>2.6999999999999997</v>
      </c>
      <c r="L276" s="60"/>
      <c r="M276" s="226" t="s">
        <v>770</v>
      </c>
      <c r="N276" s="273" t="s">
        <v>771</v>
      </c>
      <c r="O276" s="227"/>
      <c r="P276" s="227"/>
      <c r="Q276" s="249"/>
      <c r="R276" s="194"/>
      <c r="S276" s="195"/>
      <c r="T276" s="196"/>
      <c r="U276" s="195"/>
      <c r="V276" s="197"/>
    </row>
    <row r="277" spans="1:22" s="198" customFormat="1" ht="25.05" customHeight="1">
      <c r="A277" s="26">
        <v>34</v>
      </c>
      <c r="B277" s="27" t="s">
        <v>154</v>
      </c>
      <c r="C277" s="288" t="s">
        <v>772</v>
      </c>
      <c r="D277" s="191"/>
      <c r="E277" s="29">
        <v>1</v>
      </c>
      <c r="F277" s="30" t="s">
        <v>289</v>
      </c>
      <c r="G277" s="60"/>
      <c r="H277" s="60"/>
      <c r="I277" s="193"/>
      <c r="J277" s="200">
        <f t="shared" si="3"/>
        <v>0</v>
      </c>
      <c r="K277" s="60">
        <v>5.7</v>
      </c>
      <c r="L277" s="60"/>
      <c r="M277" s="226" t="s">
        <v>770</v>
      </c>
      <c r="N277" s="273" t="s">
        <v>773</v>
      </c>
      <c r="O277" s="227"/>
      <c r="P277" s="227"/>
      <c r="Q277" s="249"/>
      <c r="R277" s="194"/>
      <c r="S277" s="195"/>
      <c r="T277" s="196"/>
      <c r="U277" s="195"/>
      <c r="V277" s="197"/>
    </row>
    <row r="278" spans="1:22" s="198" customFormat="1" ht="25.05" customHeight="1">
      <c r="A278" s="26">
        <v>35</v>
      </c>
      <c r="B278" s="27" t="s">
        <v>154</v>
      </c>
      <c r="C278" s="288" t="s">
        <v>774</v>
      </c>
      <c r="D278" s="191"/>
      <c r="E278" s="29">
        <v>1</v>
      </c>
      <c r="F278" s="30" t="s">
        <v>289</v>
      </c>
      <c r="G278" s="60"/>
      <c r="H278" s="60"/>
      <c r="I278" s="193"/>
      <c r="J278" s="200">
        <f t="shared" si="3"/>
        <v>0</v>
      </c>
      <c r="K278" s="60">
        <v>2.7</v>
      </c>
      <c r="L278" s="60"/>
      <c r="M278" s="226" t="s">
        <v>770</v>
      </c>
      <c r="N278" s="273" t="s">
        <v>775</v>
      </c>
      <c r="O278" s="227"/>
      <c r="P278" s="227"/>
      <c r="Q278" s="249"/>
      <c r="R278" s="194"/>
      <c r="S278" s="195"/>
      <c r="T278" s="196"/>
      <c r="U278" s="195"/>
      <c r="V278" s="197"/>
    </row>
    <row r="279" spans="1:22" s="198" customFormat="1" ht="25.05" customHeight="1">
      <c r="A279" s="26">
        <v>36</v>
      </c>
      <c r="B279" s="27" t="s">
        <v>154</v>
      </c>
      <c r="C279" s="288" t="s">
        <v>776</v>
      </c>
      <c r="D279" s="191"/>
      <c r="E279" s="29">
        <v>1</v>
      </c>
      <c r="F279" s="30" t="s">
        <v>289</v>
      </c>
      <c r="G279" s="60"/>
      <c r="H279" s="60"/>
      <c r="I279" s="193"/>
      <c r="J279" s="200">
        <f t="shared" si="3"/>
        <v>0</v>
      </c>
      <c r="K279" s="60">
        <v>2.6999999999999997</v>
      </c>
      <c r="L279" s="60"/>
      <c r="M279" s="226" t="s">
        <v>777</v>
      </c>
      <c r="N279" s="273" t="s">
        <v>778</v>
      </c>
      <c r="O279" s="227"/>
      <c r="P279" s="227"/>
      <c r="Q279" s="249"/>
      <c r="R279" s="194"/>
      <c r="S279" s="195"/>
      <c r="T279" s="196"/>
      <c r="U279" s="195"/>
      <c r="V279" s="197"/>
    </row>
    <row r="280" spans="1:22" s="198" customFormat="1" ht="25.05" customHeight="1">
      <c r="A280" s="26">
        <v>37</v>
      </c>
      <c r="B280" s="27" t="s">
        <v>154</v>
      </c>
      <c r="C280" s="288" t="s">
        <v>779</v>
      </c>
      <c r="D280" s="191"/>
      <c r="E280" s="29">
        <v>1</v>
      </c>
      <c r="F280" s="30" t="s">
        <v>289</v>
      </c>
      <c r="G280" s="60"/>
      <c r="H280" s="60"/>
      <c r="I280" s="193"/>
      <c r="J280" s="200">
        <f t="shared" si="3"/>
        <v>0</v>
      </c>
      <c r="K280" s="60">
        <v>5.7</v>
      </c>
      <c r="L280" s="60"/>
      <c r="M280" s="226" t="s">
        <v>777</v>
      </c>
      <c r="N280" s="273" t="s">
        <v>780</v>
      </c>
      <c r="O280" s="227"/>
      <c r="P280" s="227"/>
      <c r="Q280" s="249"/>
      <c r="R280" s="194"/>
      <c r="S280" s="195"/>
      <c r="T280" s="196"/>
      <c r="U280" s="195"/>
      <c r="V280" s="197"/>
    </row>
    <row r="281" spans="1:22" s="198" customFormat="1" ht="25.05" customHeight="1">
      <c r="A281" s="26">
        <v>38</v>
      </c>
      <c r="B281" s="27" t="s">
        <v>154</v>
      </c>
      <c r="C281" s="288" t="s">
        <v>781</v>
      </c>
      <c r="D281" s="191"/>
      <c r="E281" s="29">
        <v>1</v>
      </c>
      <c r="F281" s="30" t="s">
        <v>289</v>
      </c>
      <c r="G281" s="60"/>
      <c r="H281" s="60"/>
      <c r="I281" s="193"/>
      <c r="J281" s="200">
        <f t="shared" si="3"/>
        <v>0</v>
      </c>
      <c r="K281" s="60">
        <v>2.7</v>
      </c>
      <c r="L281" s="60"/>
      <c r="M281" s="226" t="s">
        <v>777</v>
      </c>
      <c r="N281" s="273" t="s">
        <v>782</v>
      </c>
      <c r="O281" s="227"/>
      <c r="P281" s="227"/>
      <c r="Q281" s="249"/>
      <c r="R281" s="194"/>
      <c r="S281" s="195"/>
      <c r="T281" s="196"/>
      <c r="U281" s="195"/>
      <c r="V281" s="197"/>
    </row>
    <row r="282" spans="1:22" s="198" customFormat="1" ht="25.05" customHeight="1">
      <c r="A282" s="26">
        <v>39</v>
      </c>
      <c r="B282" s="27" t="s">
        <v>154</v>
      </c>
      <c r="C282" s="288" t="s">
        <v>783</v>
      </c>
      <c r="D282" s="191"/>
      <c r="E282" s="29">
        <v>1</v>
      </c>
      <c r="F282" s="30" t="s">
        <v>289</v>
      </c>
      <c r="G282" s="60"/>
      <c r="H282" s="60"/>
      <c r="I282" s="193"/>
      <c r="J282" s="200">
        <f t="shared" si="3"/>
        <v>0</v>
      </c>
      <c r="K282" s="60">
        <v>2.6999999999999997</v>
      </c>
      <c r="L282" s="60"/>
      <c r="M282" s="226" t="s">
        <v>784</v>
      </c>
      <c r="N282" s="273" t="s">
        <v>785</v>
      </c>
      <c r="O282" s="227"/>
      <c r="P282" s="227"/>
      <c r="Q282" s="249"/>
      <c r="R282" s="194"/>
      <c r="S282" s="195"/>
      <c r="T282" s="196"/>
      <c r="U282" s="195"/>
      <c r="V282" s="197"/>
    </row>
    <row r="283" spans="1:22" s="198" customFormat="1" ht="25.05" customHeight="1">
      <c r="A283" s="26">
        <v>40</v>
      </c>
      <c r="B283" s="27" t="s">
        <v>154</v>
      </c>
      <c r="C283" s="288" t="s">
        <v>786</v>
      </c>
      <c r="D283" s="191"/>
      <c r="E283" s="29">
        <v>1</v>
      </c>
      <c r="F283" s="30" t="s">
        <v>289</v>
      </c>
      <c r="G283" s="60"/>
      <c r="H283" s="60"/>
      <c r="I283" s="193"/>
      <c r="J283" s="200">
        <f t="shared" si="3"/>
        <v>0</v>
      </c>
      <c r="K283" s="60">
        <v>5.7</v>
      </c>
      <c r="L283" s="60"/>
      <c r="M283" s="226" t="s">
        <v>784</v>
      </c>
      <c r="N283" s="273" t="s">
        <v>787</v>
      </c>
      <c r="O283" s="227"/>
      <c r="P283" s="227"/>
      <c r="Q283" s="249"/>
      <c r="R283" s="194"/>
      <c r="S283" s="195"/>
      <c r="T283" s="196"/>
      <c r="U283" s="195"/>
      <c r="V283" s="197"/>
    </row>
    <row r="284" spans="1:22" s="198" customFormat="1" ht="25.05" customHeight="1">
      <c r="A284" s="26">
        <v>41</v>
      </c>
      <c r="B284" s="27" t="s">
        <v>154</v>
      </c>
      <c r="C284" s="288" t="s">
        <v>788</v>
      </c>
      <c r="D284" s="191"/>
      <c r="E284" s="29">
        <v>1</v>
      </c>
      <c r="F284" s="30" t="s">
        <v>289</v>
      </c>
      <c r="G284" s="60"/>
      <c r="H284" s="60"/>
      <c r="I284" s="193"/>
      <c r="J284" s="200">
        <f t="shared" si="3"/>
        <v>0</v>
      </c>
      <c r="K284" s="60">
        <v>2.7</v>
      </c>
      <c r="L284" s="60"/>
      <c r="M284" s="226" t="s">
        <v>784</v>
      </c>
      <c r="N284" s="273" t="s">
        <v>789</v>
      </c>
      <c r="O284" s="227"/>
      <c r="P284" s="227"/>
      <c r="Q284" s="249"/>
      <c r="R284" s="194"/>
      <c r="S284" s="195"/>
      <c r="T284" s="196"/>
      <c r="U284" s="195"/>
      <c r="V284" s="197"/>
    </row>
    <row r="285" spans="1:22" s="198" customFormat="1" ht="25.05" customHeight="1">
      <c r="A285" s="26">
        <v>42</v>
      </c>
      <c r="B285" s="27" t="s">
        <v>154</v>
      </c>
      <c r="C285" s="288" t="s">
        <v>790</v>
      </c>
      <c r="D285" s="191"/>
      <c r="E285" s="29">
        <v>1</v>
      </c>
      <c r="F285" s="30" t="s">
        <v>289</v>
      </c>
      <c r="G285" s="60"/>
      <c r="H285" s="60"/>
      <c r="I285" s="193"/>
      <c r="J285" s="200">
        <f t="shared" si="3"/>
        <v>0</v>
      </c>
      <c r="K285" s="60">
        <v>2.6999999999999997</v>
      </c>
      <c r="L285" s="60"/>
      <c r="M285" s="226" t="s">
        <v>791</v>
      </c>
      <c r="N285" s="273" t="s">
        <v>792</v>
      </c>
      <c r="O285" s="227"/>
      <c r="P285" s="227"/>
      <c r="Q285" s="249"/>
      <c r="R285" s="194"/>
      <c r="S285" s="195"/>
      <c r="T285" s="196"/>
      <c r="U285" s="195"/>
      <c r="V285" s="197"/>
    </row>
    <row r="286" spans="1:22" s="198" customFormat="1" ht="25.05" customHeight="1">
      <c r="A286" s="26">
        <v>43</v>
      </c>
      <c r="B286" s="27" t="s">
        <v>154</v>
      </c>
      <c r="C286" s="288" t="s">
        <v>793</v>
      </c>
      <c r="D286" s="191"/>
      <c r="E286" s="29">
        <v>1</v>
      </c>
      <c r="F286" s="30" t="s">
        <v>289</v>
      </c>
      <c r="G286" s="60"/>
      <c r="H286" s="60"/>
      <c r="I286" s="193"/>
      <c r="J286" s="200">
        <f t="shared" si="3"/>
        <v>0</v>
      </c>
      <c r="K286" s="60">
        <v>5.7</v>
      </c>
      <c r="L286" s="60"/>
      <c r="M286" s="226" t="s">
        <v>791</v>
      </c>
      <c r="N286" s="248" t="s">
        <v>794</v>
      </c>
      <c r="O286" s="227"/>
      <c r="P286" s="227"/>
      <c r="Q286" s="249"/>
      <c r="R286" s="194"/>
      <c r="S286" s="195"/>
      <c r="T286" s="196"/>
      <c r="U286" s="195"/>
      <c r="V286" s="197"/>
    </row>
    <row r="287" spans="1:22" s="198" customFormat="1" ht="25.05" customHeight="1">
      <c r="A287" s="26">
        <v>44</v>
      </c>
      <c r="B287" s="27" t="s">
        <v>154</v>
      </c>
      <c r="C287" s="288" t="s">
        <v>795</v>
      </c>
      <c r="D287" s="191"/>
      <c r="E287" s="29">
        <v>1</v>
      </c>
      <c r="F287" s="30" t="s">
        <v>289</v>
      </c>
      <c r="G287" s="60"/>
      <c r="H287" s="60"/>
      <c r="I287" s="193"/>
      <c r="J287" s="200">
        <f t="shared" si="3"/>
        <v>0</v>
      </c>
      <c r="K287" s="60">
        <v>2.7</v>
      </c>
      <c r="L287" s="60"/>
      <c r="M287" s="226" t="s">
        <v>791</v>
      </c>
      <c r="N287" s="248" t="s">
        <v>796</v>
      </c>
      <c r="O287" s="227"/>
      <c r="P287" s="227"/>
      <c r="Q287" s="249"/>
      <c r="R287" s="194"/>
      <c r="S287" s="195"/>
      <c r="T287" s="196"/>
      <c r="U287" s="195"/>
      <c r="V287" s="197"/>
    </row>
    <row r="288" spans="1:22" s="198" customFormat="1" ht="25.05" customHeight="1">
      <c r="A288" s="264"/>
      <c r="B288" s="265"/>
      <c r="C288" s="289"/>
      <c r="D288" s="202"/>
      <c r="E288" s="266"/>
      <c r="F288" s="202"/>
      <c r="G288" s="267">
        <v>625</v>
      </c>
      <c r="H288" s="267">
        <v>175</v>
      </c>
      <c r="I288" s="268">
        <v>55</v>
      </c>
      <c r="J288" s="269">
        <f>ROUND(I288*H288*G288/1000000,3)</f>
        <v>6.016</v>
      </c>
      <c r="K288" s="267">
        <f>SUM(K244:K287)</f>
        <v>767.60000000000048</v>
      </c>
      <c r="L288" s="267">
        <f>K288+100</f>
        <v>867.60000000000048</v>
      </c>
      <c r="M288" s="224"/>
      <c r="N288" s="246"/>
      <c r="O288" s="225"/>
      <c r="P288" s="225"/>
      <c r="Q288" s="247"/>
      <c r="R288" s="194"/>
      <c r="S288" s="195"/>
      <c r="T288" s="196"/>
      <c r="U288" s="195"/>
      <c r="V288" s="197"/>
    </row>
    <row r="289" spans="1:22" s="198" customFormat="1" ht="25.05" customHeight="1">
      <c r="A289" s="26">
        <v>1</v>
      </c>
      <c r="B289" s="27" t="s">
        <v>155</v>
      </c>
      <c r="C289" s="288" t="s">
        <v>797</v>
      </c>
      <c r="D289" s="191"/>
      <c r="E289" s="29">
        <v>1</v>
      </c>
      <c r="F289" s="30" t="s">
        <v>289</v>
      </c>
      <c r="G289" s="60"/>
      <c r="H289" s="60"/>
      <c r="I289" s="193"/>
      <c r="J289" s="200">
        <f t="shared" si="3"/>
        <v>0</v>
      </c>
      <c r="K289" s="60">
        <v>81</v>
      </c>
      <c r="L289" s="60"/>
      <c r="M289" s="226" t="s">
        <v>798</v>
      </c>
      <c r="N289" s="248" t="s">
        <v>799</v>
      </c>
      <c r="O289" s="227"/>
      <c r="P289" s="227"/>
      <c r="Q289" s="249"/>
      <c r="R289" s="194"/>
      <c r="S289" s="195"/>
      <c r="T289" s="196"/>
      <c r="U289" s="195"/>
      <c r="V289" s="197"/>
    </row>
    <row r="290" spans="1:22" s="198" customFormat="1" ht="25.05" customHeight="1">
      <c r="A290" s="26">
        <v>2</v>
      </c>
      <c r="B290" s="27" t="s">
        <v>155</v>
      </c>
      <c r="C290" s="288" t="s">
        <v>800</v>
      </c>
      <c r="D290" s="191"/>
      <c r="E290" s="29">
        <v>1</v>
      </c>
      <c r="F290" s="30" t="s">
        <v>289</v>
      </c>
      <c r="G290" s="60"/>
      <c r="H290" s="60"/>
      <c r="I290" s="193"/>
      <c r="J290" s="200">
        <f t="shared" si="3"/>
        <v>0</v>
      </c>
      <c r="K290" s="60">
        <v>92.2</v>
      </c>
      <c r="L290" s="60"/>
      <c r="M290" s="226" t="s">
        <v>798</v>
      </c>
      <c r="N290" s="248" t="s">
        <v>801</v>
      </c>
      <c r="O290" s="227"/>
      <c r="P290" s="227"/>
      <c r="Q290" s="249"/>
      <c r="R290" s="194"/>
      <c r="S290" s="195"/>
      <c r="T290" s="196"/>
      <c r="U290" s="195"/>
      <c r="V290" s="197"/>
    </row>
    <row r="291" spans="1:22" s="198" customFormat="1" ht="25.05" customHeight="1">
      <c r="A291" s="26">
        <v>3</v>
      </c>
      <c r="B291" s="27" t="s">
        <v>155</v>
      </c>
      <c r="C291" s="288" t="s">
        <v>802</v>
      </c>
      <c r="D291" s="191"/>
      <c r="E291" s="29">
        <v>1</v>
      </c>
      <c r="F291" s="30" t="s">
        <v>289</v>
      </c>
      <c r="G291" s="60"/>
      <c r="H291" s="60"/>
      <c r="I291" s="193"/>
      <c r="J291" s="200">
        <f t="shared" ref="J291:J354" si="4">ROUND(I291*H291*G291/1000000,3)</f>
        <v>0</v>
      </c>
      <c r="K291" s="60">
        <v>108</v>
      </c>
      <c r="L291" s="60"/>
      <c r="M291" s="226" t="s">
        <v>798</v>
      </c>
      <c r="N291" s="248" t="s">
        <v>803</v>
      </c>
      <c r="O291" s="227"/>
      <c r="P291" s="227"/>
      <c r="Q291" s="249"/>
      <c r="R291" s="194"/>
      <c r="S291" s="195"/>
      <c r="T291" s="196"/>
      <c r="U291" s="195"/>
      <c r="V291" s="197"/>
    </row>
    <row r="292" spans="1:22" s="198" customFormat="1" ht="25.05" customHeight="1">
      <c r="A292" s="26">
        <v>4</v>
      </c>
      <c r="B292" s="27" t="s">
        <v>155</v>
      </c>
      <c r="C292" s="288" t="s">
        <v>804</v>
      </c>
      <c r="D292" s="191"/>
      <c r="E292" s="29">
        <v>1</v>
      </c>
      <c r="F292" s="30" t="s">
        <v>289</v>
      </c>
      <c r="G292" s="60"/>
      <c r="H292" s="60"/>
      <c r="I292" s="193"/>
      <c r="J292" s="200">
        <f t="shared" si="4"/>
        <v>0</v>
      </c>
      <c r="K292" s="60">
        <v>99</v>
      </c>
      <c r="L292" s="60"/>
      <c r="M292" s="226" t="s">
        <v>798</v>
      </c>
      <c r="N292" s="248" t="s">
        <v>805</v>
      </c>
      <c r="O292" s="227"/>
      <c r="P292" s="227"/>
      <c r="Q292" s="249"/>
      <c r="R292" s="194"/>
      <c r="S292" s="195"/>
      <c r="T292" s="196"/>
      <c r="U292" s="195"/>
      <c r="V292" s="197"/>
    </row>
    <row r="293" spans="1:22" s="198" customFormat="1" ht="25.05" customHeight="1">
      <c r="A293" s="26">
        <v>5</v>
      </c>
      <c r="B293" s="27" t="s">
        <v>155</v>
      </c>
      <c r="C293" s="288" t="s">
        <v>806</v>
      </c>
      <c r="D293" s="191"/>
      <c r="E293" s="29">
        <v>1</v>
      </c>
      <c r="F293" s="30" t="s">
        <v>289</v>
      </c>
      <c r="G293" s="60"/>
      <c r="H293" s="60"/>
      <c r="I293" s="193"/>
      <c r="J293" s="200">
        <f t="shared" si="4"/>
        <v>0</v>
      </c>
      <c r="K293" s="60">
        <v>81</v>
      </c>
      <c r="L293" s="60"/>
      <c r="M293" s="226" t="s">
        <v>807</v>
      </c>
      <c r="N293" s="248" t="s">
        <v>808</v>
      </c>
      <c r="O293" s="227"/>
      <c r="P293" s="227"/>
      <c r="Q293" s="249"/>
      <c r="R293" s="194"/>
      <c r="S293" s="195"/>
      <c r="T293" s="196"/>
      <c r="U293" s="195"/>
      <c r="V293" s="197"/>
    </row>
    <row r="294" spans="1:22" s="198" customFormat="1" ht="25.05" customHeight="1">
      <c r="A294" s="26">
        <v>6</v>
      </c>
      <c r="B294" s="27" t="s">
        <v>155</v>
      </c>
      <c r="C294" s="288" t="s">
        <v>809</v>
      </c>
      <c r="D294" s="191"/>
      <c r="E294" s="29">
        <v>1</v>
      </c>
      <c r="F294" s="30" t="s">
        <v>289</v>
      </c>
      <c r="G294" s="60"/>
      <c r="H294" s="60"/>
      <c r="I294" s="193"/>
      <c r="J294" s="200">
        <f t="shared" si="4"/>
        <v>0</v>
      </c>
      <c r="K294" s="60">
        <v>92.2</v>
      </c>
      <c r="L294" s="60"/>
      <c r="M294" s="226" t="s">
        <v>807</v>
      </c>
      <c r="N294" s="248" t="s">
        <v>810</v>
      </c>
      <c r="O294" s="227"/>
      <c r="P294" s="227"/>
      <c r="Q294" s="249"/>
      <c r="R294" s="194"/>
      <c r="S294" s="195"/>
      <c r="T294" s="196"/>
      <c r="U294" s="195"/>
      <c r="V294" s="197"/>
    </row>
    <row r="295" spans="1:22" s="198" customFormat="1" ht="25.05" customHeight="1">
      <c r="A295" s="26">
        <v>7</v>
      </c>
      <c r="B295" s="27" t="s">
        <v>155</v>
      </c>
      <c r="C295" s="288" t="s">
        <v>811</v>
      </c>
      <c r="D295" s="191"/>
      <c r="E295" s="29">
        <v>1</v>
      </c>
      <c r="F295" s="30" t="s">
        <v>289</v>
      </c>
      <c r="G295" s="60"/>
      <c r="H295" s="60"/>
      <c r="I295" s="193"/>
      <c r="J295" s="200">
        <f t="shared" si="4"/>
        <v>0</v>
      </c>
      <c r="K295" s="60">
        <v>108</v>
      </c>
      <c r="L295" s="60"/>
      <c r="M295" s="226" t="s">
        <v>807</v>
      </c>
      <c r="N295" s="248" t="s">
        <v>812</v>
      </c>
      <c r="O295" s="227"/>
      <c r="P295" s="227"/>
      <c r="Q295" s="249"/>
      <c r="R295" s="194"/>
      <c r="S295" s="195"/>
      <c r="T295" s="196"/>
      <c r="U295" s="195"/>
      <c r="V295" s="197"/>
    </row>
    <row r="296" spans="1:22" s="198" customFormat="1" ht="25.05" customHeight="1">
      <c r="A296" s="26">
        <v>8</v>
      </c>
      <c r="B296" s="27" t="s">
        <v>155</v>
      </c>
      <c r="C296" s="288" t="s">
        <v>813</v>
      </c>
      <c r="D296" s="191"/>
      <c r="E296" s="29">
        <v>1</v>
      </c>
      <c r="F296" s="30" t="s">
        <v>289</v>
      </c>
      <c r="G296" s="60"/>
      <c r="H296" s="60"/>
      <c r="I296" s="193"/>
      <c r="J296" s="200">
        <f t="shared" si="4"/>
        <v>0</v>
      </c>
      <c r="K296" s="60">
        <v>99</v>
      </c>
      <c r="L296" s="60"/>
      <c r="M296" s="226" t="s">
        <v>807</v>
      </c>
      <c r="N296" s="248" t="s">
        <v>814</v>
      </c>
      <c r="O296" s="227"/>
      <c r="P296" s="227"/>
      <c r="Q296" s="249"/>
      <c r="R296" s="194"/>
      <c r="S296" s="195"/>
      <c r="T296" s="196"/>
      <c r="U296" s="195"/>
      <c r="V296" s="197"/>
    </row>
    <row r="297" spans="1:22" s="198" customFormat="1" ht="25.05" customHeight="1">
      <c r="A297" s="26">
        <v>9</v>
      </c>
      <c r="B297" s="27" t="s">
        <v>155</v>
      </c>
      <c r="C297" s="288" t="s">
        <v>815</v>
      </c>
      <c r="D297" s="191"/>
      <c r="E297" s="29">
        <v>1</v>
      </c>
      <c r="F297" s="30" t="s">
        <v>289</v>
      </c>
      <c r="G297" s="60"/>
      <c r="H297" s="60"/>
      <c r="I297" s="193"/>
      <c r="J297" s="200">
        <f t="shared" si="4"/>
        <v>0</v>
      </c>
      <c r="K297" s="60">
        <v>81</v>
      </c>
      <c r="L297" s="60"/>
      <c r="M297" s="226" t="s">
        <v>816</v>
      </c>
      <c r="N297" s="248" t="s">
        <v>817</v>
      </c>
      <c r="O297" s="227"/>
      <c r="P297" s="227"/>
      <c r="Q297" s="249"/>
      <c r="R297" s="194"/>
      <c r="S297" s="195"/>
      <c r="T297" s="196"/>
      <c r="U297" s="195"/>
      <c r="V297" s="197"/>
    </row>
    <row r="298" spans="1:22" s="198" customFormat="1" ht="25.05" customHeight="1">
      <c r="A298" s="26">
        <v>10</v>
      </c>
      <c r="B298" s="27" t="s">
        <v>155</v>
      </c>
      <c r="C298" s="288" t="s">
        <v>818</v>
      </c>
      <c r="D298" s="191"/>
      <c r="E298" s="29">
        <v>1</v>
      </c>
      <c r="F298" s="30" t="s">
        <v>289</v>
      </c>
      <c r="G298" s="60"/>
      <c r="H298" s="60"/>
      <c r="I298" s="193"/>
      <c r="J298" s="200">
        <f t="shared" si="4"/>
        <v>0</v>
      </c>
      <c r="K298" s="60">
        <v>92.2</v>
      </c>
      <c r="L298" s="60"/>
      <c r="M298" s="226" t="s">
        <v>816</v>
      </c>
      <c r="N298" s="248" t="s">
        <v>819</v>
      </c>
      <c r="O298" s="227"/>
      <c r="P298" s="227"/>
      <c r="Q298" s="249"/>
      <c r="R298" s="194"/>
      <c r="S298" s="195"/>
      <c r="T298" s="196"/>
      <c r="U298" s="195"/>
      <c r="V298" s="197"/>
    </row>
    <row r="299" spans="1:22" s="198" customFormat="1" ht="25.05" customHeight="1">
      <c r="A299" s="26">
        <v>11</v>
      </c>
      <c r="B299" s="27" t="s">
        <v>155</v>
      </c>
      <c r="C299" s="288" t="s">
        <v>820</v>
      </c>
      <c r="D299" s="191"/>
      <c r="E299" s="29">
        <v>1</v>
      </c>
      <c r="F299" s="30" t="s">
        <v>289</v>
      </c>
      <c r="G299" s="60"/>
      <c r="H299" s="60"/>
      <c r="I299" s="193"/>
      <c r="J299" s="200">
        <f t="shared" si="4"/>
        <v>0</v>
      </c>
      <c r="K299" s="60">
        <v>108</v>
      </c>
      <c r="L299" s="60"/>
      <c r="M299" s="226" t="s">
        <v>816</v>
      </c>
      <c r="N299" s="248" t="s">
        <v>821</v>
      </c>
      <c r="O299" s="227"/>
      <c r="P299" s="227"/>
      <c r="Q299" s="249"/>
      <c r="R299" s="194"/>
      <c r="S299" s="195"/>
      <c r="T299" s="196"/>
      <c r="U299" s="195"/>
      <c r="V299" s="197"/>
    </row>
    <row r="300" spans="1:22" s="198" customFormat="1" ht="25.05" customHeight="1">
      <c r="A300" s="26">
        <v>12</v>
      </c>
      <c r="B300" s="27" t="s">
        <v>155</v>
      </c>
      <c r="C300" s="288" t="s">
        <v>822</v>
      </c>
      <c r="D300" s="191"/>
      <c r="E300" s="29">
        <v>1</v>
      </c>
      <c r="F300" s="30" t="s">
        <v>289</v>
      </c>
      <c r="G300" s="60"/>
      <c r="H300" s="60"/>
      <c r="I300" s="193"/>
      <c r="J300" s="200">
        <f t="shared" si="4"/>
        <v>0</v>
      </c>
      <c r="K300" s="60">
        <v>99</v>
      </c>
      <c r="L300" s="60"/>
      <c r="M300" s="226" t="s">
        <v>816</v>
      </c>
      <c r="N300" s="248" t="s">
        <v>823</v>
      </c>
      <c r="O300" s="227"/>
      <c r="P300" s="227"/>
      <c r="Q300" s="249"/>
      <c r="R300" s="194"/>
      <c r="S300" s="195"/>
      <c r="T300" s="196"/>
      <c r="U300" s="195"/>
      <c r="V300" s="197"/>
    </row>
    <row r="301" spans="1:22" s="198" customFormat="1" ht="25.05" customHeight="1">
      <c r="A301" s="26">
        <v>13</v>
      </c>
      <c r="B301" s="27" t="s">
        <v>155</v>
      </c>
      <c r="C301" s="288" t="s">
        <v>824</v>
      </c>
      <c r="D301" s="191"/>
      <c r="E301" s="29">
        <v>1</v>
      </c>
      <c r="F301" s="30" t="s">
        <v>289</v>
      </c>
      <c r="G301" s="60"/>
      <c r="H301" s="60"/>
      <c r="I301" s="193"/>
      <c r="J301" s="200">
        <f t="shared" si="4"/>
        <v>0</v>
      </c>
      <c r="K301" s="60">
        <v>81</v>
      </c>
      <c r="L301" s="60"/>
      <c r="M301" s="226" t="s">
        <v>825</v>
      </c>
      <c r="N301" s="248" t="s">
        <v>826</v>
      </c>
      <c r="O301" s="227"/>
      <c r="P301" s="227"/>
      <c r="Q301" s="249"/>
      <c r="R301" s="194"/>
      <c r="S301" s="195"/>
      <c r="T301" s="196"/>
      <c r="U301" s="195"/>
      <c r="V301" s="197"/>
    </row>
    <row r="302" spans="1:22" s="198" customFormat="1" ht="25.05" customHeight="1">
      <c r="A302" s="26">
        <v>14</v>
      </c>
      <c r="B302" s="27" t="s">
        <v>155</v>
      </c>
      <c r="C302" s="288" t="s">
        <v>827</v>
      </c>
      <c r="D302" s="191"/>
      <c r="E302" s="29">
        <v>1</v>
      </c>
      <c r="F302" s="30" t="s">
        <v>289</v>
      </c>
      <c r="G302" s="60"/>
      <c r="H302" s="60"/>
      <c r="I302" s="193"/>
      <c r="J302" s="200">
        <f t="shared" si="4"/>
        <v>0</v>
      </c>
      <c r="K302" s="60">
        <v>92.2</v>
      </c>
      <c r="L302" s="60"/>
      <c r="M302" s="226" t="s">
        <v>825</v>
      </c>
      <c r="N302" s="248" t="s">
        <v>828</v>
      </c>
      <c r="O302" s="227"/>
      <c r="P302" s="227"/>
      <c r="Q302" s="249"/>
      <c r="R302" s="194"/>
      <c r="S302" s="195"/>
      <c r="T302" s="196"/>
      <c r="U302" s="195"/>
      <c r="V302" s="197"/>
    </row>
    <row r="303" spans="1:22" s="198" customFormat="1" ht="25.05" customHeight="1">
      <c r="A303" s="26">
        <v>15</v>
      </c>
      <c r="B303" s="27" t="s">
        <v>155</v>
      </c>
      <c r="C303" s="288" t="s">
        <v>829</v>
      </c>
      <c r="D303" s="191"/>
      <c r="E303" s="29">
        <v>1</v>
      </c>
      <c r="F303" s="30" t="s">
        <v>289</v>
      </c>
      <c r="G303" s="60"/>
      <c r="H303" s="60"/>
      <c r="I303" s="193"/>
      <c r="J303" s="200">
        <f t="shared" si="4"/>
        <v>0</v>
      </c>
      <c r="K303" s="60">
        <v>108</v>
      </c>
      <c r="L303" s="60"/>
      <c r="M303" s="226" t="s">
        <v>825</v>
      </c>
      <c r="N303" s="248" t="s">
        <v>830</v>
      </c>
      <c r="O303" s="227"/>
      <c r="P303" s="227"/>
      <c r="Q303" s="249"/>
      <c r="R303" s="194"/>
      <c r="S303" s="195"/>
      <c r="T303" s="196"/>
      <c r="U303" s="195"/>
      <c r="V303" s="197"/>
    </row>
    <row r="304" spans="1:22" s="198" customFormat="1" ht="25.05" customHeight="1">
      <c r="A304" s="26">
        <v>16</v>
      </c>
      <c r="B304" s="27" t="s">
        <v>155</v>
      </c>
      <c r="C304" s="288" t="s">
        <v>831</v>
      </c>
      <c r="D304" s="191"/>
      <c r="E304" s="29">
        <v>1</v>
      </c>
      <c r="F304" s="30" t="s">
        <v>289</v>
      </c>
      <c r="G304" s="60"/>
      <c r="H304" s="60"/>
      <c r="I304" s="193"/>
      <c r="J304" s="200">
        <f t="shared" si="4"/>
        <v>0</v>
      </c>
      <c r="K304" s="60">
        <v>99</v>
      </c>
      <c r="L304" s="60"/>
      <c r="M304" s="226" t="s">
        <v>825</v>
      </c>
      <c r="N304" s="248" t="s">
        <v>832</v>
      </c>
      <c r="O304" s="227"/>
      <c r="P304" s="227"/>
      <c r="Q304" s="249"/>
      <c r="R304" s="194"/>
      <c r="S304" s="195"/>
      <c r="T304" s="196"/>
      <c r="U304" s="195"/>
      <c r="V304" s="197"/>
    </row>
    <row r="305" spans="1:22" s="198" customFormat="1" ht="25.05" customHeight="1">
      <c r="A305" s="26">
        <v>17</v>
      </c>
      <c r="B305" s="27" t="s">
        <v>155</v>
      </c>
      <c r="C305" s="288" t="s">
        <v>833</v>
      </c>
      <c r="D305" s="191"/>
      <c r="E305" s="29">
        <v>1</v>
      </c>
      <c r="F305" s="30" t="s">
        <v>289</v>
      </c>
      <c r="G305" s="60"/>
      <c r="H305" s="60"/>
      <c r="I305" s="193"/>
      <c r="J305" s="200">
        <f t="shared" si="4"/>
        <v>0</v>
      </c>
      <c r="K305" s="60">
        <v>2.6999999999999997</v>
      </c>
      <c r="L305" s="60"/>
      <c r="M305" s="226" t="s">
        <v>834</v>
      </c>
      <c r="N305" s="248" t="s">
        <v>835</v>
      </c>
      <c r="O305" s="227"/>
      <c r="P305" s="227"/>
      <c r="Q305" s="249"/>
      <c r="R305" s="194"/>
      <c r="S305" s="195"/>
      <c r="T305" s="196"/>
      <c r="U305" s="195"/>
      <c r="V305" s="197"/>
    </row>
    <row r="306" spans="1:22" s="198" customFormat="1" ht="25.05" customHeight="1">
      <c r="A306" s="26">
        <v>18</v>
      </c>
      <c r="B306" s="27" t="s">
        <v>155</v>
      </c>
      <c r="C306" s="288" t="s">
        <v>836</v>
      </c>
      <c r="D306" s="191"/>
      <c r="E306" s="29">
        <v>1</v>
      </c>
      <c r="F306" s="30" t="s">
        <v>289</v>
      </c>
      <c r="G306" s="60"/>
      <c r="H306" s="60"/>
      <c r="I306" s="193"/>
      <c r="J306" s="200">
        <f t="shared" si="4"/>
        <v>0</v>
      </c>
      <c r="K306" s="60">
        <v>6.3</v>
      </c>
      <c r="L306" s="60"/>
      <c r="M306" s="226" t="s">
        <v>834</v>
      </c>
      <c r="N306" s="273" t="s">
        <v>837</v>
      </c>
      <c r="O306" s="227"/>
      <c r="P306" s="227"/>
      <c r="Q306" s="249"/>
      <c r="R306" s="194"/>
      <c r="S306" s="195"/>
      <c r="T306" s="196"/>
      <c r="U306" s="195"/>
      <c r="V306" s="197"/>
    </row>
    <row r="307" spans="1:22" s="198" customFormat="1" ht="25.05" customHeight="1">
      <c r="A307" s="26">
        <v>19</v>
      </c>
      <c r="B307" s="27" t="s">
        <v>155</v>
      </c>
      <c r="C307" s="288" t="s">
        <v>838</v>
      </c>
      <c r="D307" s="191"/>
      <c r="E307" s="29">
        <v>1</v>
      </c>
      <c r="F307" s="30" t="s">
        <v>289</v>
      </c>
      <c r="G307" s="60"/>
      <c r="H307" s="60"/>
      <c r="I307" s="193"/>
      <c r="J307" s="200">
        <f t="shared" si="4"/>
        <v>0</v>
      </c>
      <c r="K307" s="60">
        <v>2.7</v>
      </c>
      <c r="L307" s="60"/>
      <c r="M307" s="226" t="s">
        <v>834</v>
      </c>
      <c r="N307" s="273" t="s">
        <v>839</v>
      </c>
      <c r="O307" s="227"/>
      <c r="P307" s="227"/>
      <c r="Q307" s="249"/>
      <c r="R307" s="194"/>
      <c r="S307" s="195"/>
      <c r="T307" s="196"/>
      <c r="U307" s="195"/>
      <c r="V307" s="197"/>
    </row>
    <row r="308" spans="1:22" s="198" customFormat="1" ht="25.05" customHeight="1">
      <c r="A308" s="26">
        <v>20</v>
      </c>
      <c r="B308" s="27" t="s">
        <v>155</v>
      </c>
      <c r="C308" s="288" t="s">
        <v>840</v>
      </c>
      <c r="D308" s="191"/>
      <c r="E308" s="29">
        <v>1</v>
      </c>
      <c r="F308" s="30" t="s">
        <v>289</v>
      </c>
      <c r="G308" s="60"/>
      <c r="H308" s="60"/>
      <c r="I308" s="193"/>
      <c r="J308" s="200">
        <f t="shared" si="4"/>
        <v>0</v>
      </c>
      <c r="K308" s="60">
        <v>2.6999999999999997</v>
      </c>
      <c r="L308" s="60"/>
      <c r="M308" s="226" t="s">
        <v>841</v>
      </c>
      <c r="N308" s="273" t="s">
        <v>842</v>
      </c>
      <c r="O308" s="227"/>
      <c r="P308" s="227"/>
      <c r="Q308" s="249"/>
      <c r="R308" s="194"/>
      <c r="S308" s="195"/>
      <c r="T308" s="196"/>
      <c r="U308" s="195"/>
      <c r="V308" s="197"/>
    </row>
    <row r="309" spans="1:22" s="198" customFormat="1" ht="25.05" customHeight="1">
      <c r="A309" s="26">
        <v>21</v>
      </c>
      <c r="B309" s="27" t="s">
        <v>155</v>
      </c>
      <c r="C309" s="288" t="s">
        <v>843</v>
      </c>
      <c r="D309" s="191"/>
      <c r="E309" s="29">
        <v>1</v>
      </c>
      <c r="F309" s="30" t="s">
        <v>289</v>
      </c>
      <c r="G309" s="60"/>
      <c r="H309" s="60"/>
      <c r="I309" s="193"/>
      <c r="J309" s="200">
        <f t="shared" si="4"/>
        <v>0</v>
      </c>
      <c r="K309" s="60">
        <v>6.3</v>
      </c>
      <c r="L309" s="60"/>
      <c r="M309" s="226" t="s">
        <v>841</v>
      </c>
      <c r="N309" s="273" t="s">
        <v>844</v>
      </c>
      <c r="O309" s="227"/>
      <c r="P309" s="227"/>
      <c r="Q309" s="249"/>
      <c r="R309" s="194"/>
      <c r="S309" s="195"/>
      <c r="T309" s="196"/>
      <c r="U309" s="195"/>
      <c r="V309" s="197"/>
    </row>
    <row r="310" spans="1:22" s="198" customFormat="1" ht="25.05" customHeight="1">
      <c r="A310" s="26">
        <v>22</v>
      </c>
      <c r="B310" s="27" t="s">
        <v>155</v>
      </c>
      <c r="C310" s="288" t="s">
        <v>845</v>
      </c>
      <c r="D310" s="191"/>
      <c r="E310" s="29">
        <v>1</v>
      </c>
      <c r="F310" s="30" t="s">
        <v>289</v>
      </c>
      <c r="G310" s="60"/>
      <c r="H310" s="60"/>
      <c r="I310" s="193"/>
      <c r="J310" s="200">
        <f t="shared" si="4"/>
        <v>0</v>
      </c>
      <c r="K310" s="60">
        <v>2.7</v>
      </c>
      <c r="L310" s="60"/>
      <c r="M310" s="226" t="s">
        <v>841</v>
      </c>
      <c r="N310" s="273" t="s">
        <v>846</v>
      </c>
      <c r="O310" s="227"/>
      <c r="P310" s="227"/>
      <c r="Q310" s="249"/>
      <c r="R310" s="194"/>
      <c r="S310" s="195"/>
      <c r="T310" s="196"/>
      <c r="U310" s="195"/>
      <c r="V310" s="197"/>
    </row>
    <row r="311" spans="1:22" s="198" customFormat="1" ht="25.05" customHeight="1">
      <c r="A311" s="26">
        <v>23</v>
      </c>
      <c r="B311" s="27" t="s">
        <v>155</v>
      </c>
      <c r="C311" s="288" t="s">
        <v>847</v>
      </c>
      <c r="D311" s="191"/>
      <c r="E311" s="29">
        <v>1</v>
      </c>
      <c r="F311" s="30" t="s">
        <v>289</v>
      </c>
      <c r="G311" s="60"/>
      <c r="H311" s="60"/>
      <c r="I311" s="193"/>
      <c r="J311" s="200">
        <f t="shared" si="4"/>
        <v>0</v>
      </c>
      <c r="K311" s="60">
        <v>2.6999999999999997</v>
      </c>
      <c r="L311" s="60"/>
      <c r="M311" s="226" t="s">
        <v>848</v>
      </c>
      <c r="N311" s="273" t="s">
        <v>849</v>
      </c>
      <c r="O311" s="227"/>
      <c r="P311" s="227"/>
      <c r="Q311" s="249"/>
      <c r="R311" s="194"/>
      <c r="S311" s="195"/>
      <c r="T311" s="196"/>
      <c r="U311" s="195"/>
      <c r="V311" s="197"/>
    </row>
    <row r="312" spans="1:22" s="198" customFormat="1" ht="25.05" customHeight="1">
      <c r="A312" s="26">
        <v>24</v>
      </c>
      <c r="B312" s="27" t="s">
        <v>155</v>
      </c>
      <c r="C312" s="288" t="s">
        <v>850</v>
      </c>
      <c r="D312" s="191"/>
      <c r="E312" s="29">
        <v>1</v>
      </c>
      <c r="F312" s="30" t="s">
        <v>289</v>
      </c>
      <c r="G312" s="60"/>
      <c r="H312" s="60"/>
      <c r="I312" s="193"/>
      <c r="J312" s="200">
        <f t="shared" si="4"/>
        <v>0</v>
      </c>
      <c r="K312" s="60">
        <v>6.3</v>
      </c>
      <c r="L312" s="60"/>
      <c r="M312" s="226" t="s">
        <v>848</v>
      </c>
      <c r="N312" s="273" t="s">
        <v>851</v>
      </c>
      <c r="O312" s="227"/>
      <c r="P312" s="227"/>
      <c r="Q312" s="249"/>
      <c r="R312" s="194"/>
      <c r="S312" s="195"/>
      <c r="T312" s="196"/>
      <c r="U312" s="195"/>
      <c r="V312" s="197"/>
    </row>
    <row r="313" spans="1:22" s="198" customFormat="1" ht="25.05" customHeight="1">
      <c r="A313" s="26">
        <v>25</v>
      </c>
      <c r="B313" s="27" t="s">
        <v>155</v>
      </c>
      <c r="C313" s="288" t="s">
        <v>852</v>
      </c>
      <c r="D313" s="191"/>
      <c r="E313" s="29">
        <v>1</v>
      </c>
      <c r="F313" s="30" t="s">
        <v>289</v>
      </c>
      <c r="G313" s="60"/>
      <c r="H313" s="60"/>
      <c r="I313" s="193"/>
      <c r="J313" s="200">
        <f t="shared" si="4"/>
        <v>0</v>
      </c>
      <c r="K313" s="60">
        <v>2.7</v>
      </c>
      <c r="L313" s="60"/>
      <c r="M313" s="226" t="s">
        <v>848</v>
      </c>
      <c r="N313" s="273" t="s">
        <v>853</v>
      </c>
      <c r="O313" s="227"/>
      <c r="P313" s="227"/>
      <c r="Q313" s="249"/>
      <c r="R313" s="194"/>
      <c r="S313" s="195"/>
      <c r="T313" s="196"/>
      <c r="U313" s="195"/>
      <c r="V313" s="197"/>
    </row>
    <row r="314" spans="1:22" s="198" customFormat="1" ht="25.05" customHeight="1">
      <c r="A314" s="26">
        <v>26</v>
      </c>
      <c r="B314" s="27" t="s">
        <v>155</v>
      </c>
      <c r="C314" s="288" t="s">
        <v>854</v>
      </c>
      <c r="D314" s="191"/>
      <c r="E314" s="29">
        <v>1</v>
      </c>
      <c r="F314" s="30" t="s">
        <v>289</v>
      </c>
      <c r="G314" s="60"/>
      <c r="H314" s="60"/>
      <c r="I314" s="193"/>
      <c r="J314" s="200">
        <f t="shared" si="4"/>
        <v>0</v>
      </c>
      <c r="K314" s="60">
        <v>2.6999999999999997</v>
      </c>
      <c r="L314" s="60"/>
      <c r="M314" s="226" t="s">
        <v>855</v>
      </c>
      <c r="N314" s="273" t="s">
        <v>856</v>
      </c>
      <c r="O314" s="227"/>
      <c r="P314" s="227"/>
      <c r="Q314" s="249"/>
      <c r="R314" s="194"/>
      <c r="S314" s="195"/>
      <c r="T314" s="196"/>
      <c r="U314" s="195"/>
      <c r="V314" s="197"/>
    </row>
    <row r="315" spans="1:22" s="198" customFormat="1" ht="25.05" customHeight="1">
      <c r="A315" s="26">
        <v>27</v>
      </c>
      <c r="B315" s="27" t="s">
        <v>155</v>
      </c>
      <c r="C315" s="288" t="s">
        <v>857</v>
      </c>
      <c r="D315" s="191"/>
      <c r="E315" s="29">
        <v>1</v>
      </c>
      <c r="F315" s="30" t="s">
        <v>289</v>
      </c>
      <c r="G315" s="60"/>
      <c r="H315" s="60"/>
      <c r="I315" s="193"/>
      <c r="J315" s="200">
        <f t="shared" si="4"/>
        <v>0</v>
      </c>
      <c r="K315" s="60">
        <v>6.3</v>
      </c>
      <c r="L315" s="60"/>
      <c r="M315" s="226" t="s">
        <v>855</v>
      </c>
      <c r="N315" s="273" t="s">
        <v>858</v>
      </c>
      <c r="O315" s="227"/>
      <c r="P315" s="227"/>
      <c r="Q315" s="249"/>
      <c r="R315" s="194"/>
      <c r="S315" s="195"/>
      <c r="T315" s="196"/>
      <c r="U315" s="195"/>
      <c r="V315" s="197"/>
    </row>
    <row r="316" spans="1:22" s="198" customFormat="1" ht="25.05" customHeight="1">
      <c r="A316" s="26">
        <v>28</v>
      </c>
      <c r="B316" s="27" t="s">
        <v>155</v>
      </c>
      <c r="C316" s="288" t="s">
        <v>859</v>
      </c>
      <c r="D316" s="191"/>
      <c r="E316" s="29">
        <v>1</v>
      </c>
      <c r="F316" s="30" t="s">
        <v>289</v>
      </c>
      <c r="G316" s="60"/>
      <c r="H316" s="60"/>
      <c r="I316" s="193"/>
      <c r="J316" s="200">
        <f t="shared" si="4"/>
        <v>0</v>
      </c>
      <c r="K316" s="60">
        <v>2.7</v>
      </c>
      <c r="L316" s="60"/>
      <c r="M316" s="226" t="s">
        <v>855</v>
      </c>
      <c r="N316" s="248" t="s">
        <v>860</v>
      </c>
      <c r="O316" s="227"/>
      <c r="P316" s="227"/>
      <c r="Q316" s="249"/>
      <c r="R316" s="194"/>
      <c r="S316" s="195"/>
      <c r="T316" s="196"/>
      <c r="U316" s="195"/>
      <c r="V316" s="197"/>
    </row>
    <row r="317" spans="1:22" s="198" customFormat="1" ht="25.05" customHeight="1">
      <c r="A317" s="264"/>
      <c r="B317" s="265"/>
      <c r="C317" s="289"/>
      <c r="D317" s="202"/>
      <c r="E317" s="266"/>
      <c r="F317" s="202"/>
      <c r="G317" s="267">
        <v>605</v>
      </c>
      <c r="H317" s="267">
        <v>205</v>
      </c>
      <c r="I317" s="268">
        <v>115</v>
      </c>
      <c r="J317" s="269">
        <f>ROUND(I317*H317*G317/1000000,3)</f>
        <v>14.263</v>
      </c>
      <c r="K317" s="267">
        <f>SUM(K289:K316)</f>
        <v>1567.6000000000001</v>
      </c>
      <c r="L317" s="267">
        <f>K317+100</f>
        <v>1667.6000000000001</v>
      </c>
      <c r="M317" s="224"/>
      <c r="N317" s="246"/>
      <c r="O317" s="225"/>
      <c r="P317" s="225"/>
      <c r="Q317" s="247"/>
      <c r="R317" s="194"/>
      <c r="S317" s="195"/>
      <c r="T317" s="196"/>
      <c r="U317" s="195"/>
      <c r="V317" s="197"/>
    </row>
    <row r="318" spans="1:22" s="198" customFormat="1" ht="25.05" customHeight="1">
      <c r="A318" s="26">
        <v>1</v>
      </c>
      <c r="B318" s="27" t="s">
        <v>156</v>
      </c>
      <c r="C318" s="288" t="s">
        <v>861</v>
      </c>
      <c r="D318" s="191"/>
      <c r="E318" s="29">
        <v>1</v>
      </c>
      <c r="F318" s="30" t="s">
        <v>289</v>
      </c>
      <c r="G318" s="60"/>
      <c r="H318" s="60"/>
      <c r="I318" s="193"/>
      <c r="J318" s="200">
        <f t="shared" si="4"/>
        <v>0</v>
      </c>
      <c r="K318" s="60">
        <v>60</v>
      </c>
      <c r="L318" s="60"/>
      <c r="M318" s="226" t="s">
        <v>862</v>
      </c>
      <c r="N318" s="273" t="s">
        <v>863</v>
      </c>
      <c r="O318" s="227"/>
      <c r="P318" s="227"/>
      <c r="Q318" s="249"/>
      <c r="R318" s="194"/>
      <c r="S318" s="195"/>
      <c r="T318" s="196"/>
      <c r="U318" s="195"/>
      <c r="V318" s="197"/>
    </row>
    <row r="319" spans="1:22" s="198" customFormat="1" ht="25.05" customHeight="1">
      <c r="A319" s="26">
        <v>2</v>
      </c>
      <c r="B319" s="27" t="s">
        <v>156</v>
      </c>
      <c r="C319" s="288" t="s">
        <v>864</v>
      </c>
      <c r="D319" s="191"/>
      <c r="E319" s="29">
        <v>1</v>
      </c>
      <c r="F319" s="30" t="s">
        <v>289</v>
      </c>
      <c r="G319" s="60"/>
      <c r="H319" s="60"/>
      <c r="I319" s="193"/>
      <c r="J319" s="200">
        <f t="shared" si="4"/>
        <v>0</v>
      </c>
      <c r="K319" s="60">
        <v>60</v>
      </c>
      <c r="L319" s="60"/>
      <c r="M319" s="226" t="s">
        <v>865</v>
      </c>
      <c r="N319" s="273" t="s">
        <v>866</v>
      </c>
      <c r="O319" s="227"/>
      <c r="P319" s="227"/>
      <c r="Q319" s="249"/>
      <c r="R319" s="194"/>
      <c r="S319" s="195"/>
      <c r="T319" s="196"/>
      <c r="U319" s="195"/>
      <c r="V319" s="197"/>
    </row>
    <row r="320" spans="1:22" s="198" customFormat="1" ht="25.05" customHeight="1">
      <c r="A320" s="26">
        <v>3</v>
      </c>
      <c r="B320" s="27" t="s">
        <v>156</v>
      </c>
      <c r="C320" s="288" t="s">
        <v>867</v>
      </c>
      <c r="D320" s="191"/>
      <c r="E320" s="29">
        <v>1</v>
      </c>
      <c r="F320" s="30" t="s">
        <v>289</v>
      </c>
      <c r="G320" s="60"/>
      <c r="H320" s="60"/>
      <c r="I320" s="193"/>
      <c r="J320" s="200">
        <f t="shared" si="4"/>
        <v>0</v>
      </c>
      <c r="K320" s="60">
        <v>60</v>
      </c>
      <c r="L320" s="60"/>
      <c r="M320" s="226" t="s">
        <v>868</v>
      </c>
      <c r="N320" s="273" t="s">
        <v>869</v>
      </c>
      <c r="O320" s="227"/>
      <c r="P320" s="227"/>
      <c r="Q320" s="249"/>
      <c r="R320" s="194"/>
      <c r="S320" s="195"/>
      <c r="T320" s="196"/>
      <c r="U320" s="195"/>
      <c r="V320" s="197"/>
    </row>
    <row r="321" spans="1:22" s="198" customFormat="1" ht="25.05" customHeight="1">
      <c r="A321" s="26">
        <v>4</v>
      </c>
      <c r="B321" s="27" t="s">
        <v>156</v>
      </c>
      <c r="C321" s="288" t="s">
        <v>870</v>
      </c>
      <c r="D321" s="191"/>
      <c r="E321" s="29">
        <v>1</v>
      </c>
      <c r="F321" s="30" t="s">
        <v>289</v>
      </c>
      <c r="G321" s="60"/>
      <c r="H321" s="60"/>
      <c r="I321" s="193"/>
      <c r="J321" s="200">
        <f t="shared" si="4"/>
        <v>0</v>
      </c>
      <c r="K321" s="60">
        <v>60</v>
      </c>
      <c r="L321" s="60"/>
      <c r="M321" s="226" t="s">
        <v>871</v>
      </c>
      <c r="N321" s="273" t="s">
        <v>872</v>
      </c>
      <c r="O321" s="227"/>
      <c r="P321" s="227"/>
      <c r="Q321" s="249"/>
      <c r="R321" s="194"/>
      <c r="S321" s="195"/>
      <c r="T321" s="196"/>
      <c r="U321" s="195"/>
      <c r="V321" s="197"/>
    </row>
    <row r="322" spans="1:22" s="198" customFormat="1" ht="25.05" customHeight="1">
      <c r="A322" s="26">
        <v>5</v>
      </c>
      <c r="B322" s="27" t="s">
        <v>156</v>
      </c>
      <c r="C322" s="288" t="s">
        <v>873</v>
      </c>
      <c r="D322" s="191"/>
      <c r="E322" s="29">
        <v>1</v>
      </c>
      <c r="F322" s="30" t="s">
        <v>289</v>
      </c>
      <c r="G322" s="60"/>
      <c r="H322" s="60"/>
      <c r="I322" s="193"/>
      <c r="J322" s="200">
        <f t="shared" si="4"/>
        <v>0</v>
      </c>
      <c r="K322" s="60">
        <v>7.5</v>
      </c>
      <c r="L322" s="60"/>
      <c r="M322" s="226" t="s">
        <v>874</v>
      </c>
      <c r="N322" s="273" t="s">
        <v>875</v>
      </c>
      <c r="O322" s="227"/>
      <c r="P322" s="227"/>
      <c r="Q322" s="249"/>
      <c r="R322" s="194"/>
      <c r="S322" s="195"/>
      <c r="T322" s="196"/>
      <c r="U322" s="195"/>
      <c r="V322" s="197"/>
    </row>
    <row r="323" spans="1:22" s="198" customFormat="1" ht="25.05" customHeight="1">
      <c r="A323" s="26">
        <v>6</v>
      </c>
      <c r="B323" s="27" t="s">
        <v>156</v>
      </c>
      <c r="C323" s="288" t="s">
        <v>876</v>
      </c>
      <c r="D323" s="191"/>
      <c r="E323" s="29">
        <v>1</v>
      </c>
      <c r="F323" s="30" t="s">
        <v>289</v>
      </c>
      <c r="G323" s="60"/>
      <c r="H323" s="60"/>
      <c r="I323" s="193"/>
      <c r="J323" s="200">
        <f t="shared" si="4"/>
        <v>0</v>
      </c>
      <c r="K323" s="60">
        <v>3.6</v>
      </c>
      <c r="L323" s="60"/>
      <c r="M323" s="226" t="s">
        <v>877</v>
      </c>
      <c r="N323" s="273" t="s">
        <v>878</v>
      </c>
      <c r="O323" s="227"/>
      <c r="P323" s="227"/>
      <c r="Q323" s="249"/>
      <c r="R323" s="194"/>
      <c r="S323" s="195"/>
      <c r="T323" s="196"/>
      <c r="U323" s="195"/>
      <c r="V323" s="197"/>
    </row>
    <row r="324" spans="1:22" s="198" customFormat="1" ht="25.05" customHeight="1">
      <c r="A324" s="26">
        <v>7</v>
      </c>
      <c r="B324" s="27" t="s">
        <v>156</v>
      </c>
      <c r="C324" s="288" t="s">
        <v>879</v>
      </c>
      <c r="D324" s="191"/>
      <c r="E324" s="29">
        <v>1</v>
      </c>
      <c r="F324" s="30" t="s">
        <v>289</v>
      </c>
      <c r="G324" s="60"/>
      <c r="H324" s="60"/>
      <c r="I324" s="193"/>
      <c r="J324" s="200">
        <f t="shared" si="4"/>
        <v>0</v>
      </c>
      <c r="K324" s="60">
        <v>9</v>
      </c>
      <c r="L324" s="60"/>
      <c r="M324" s="226" t="s">
        <v>880</v>
      </c>
      <c r="N324" s="273" t="s">
        <v>881</v>
      </c>
      <c r="O324" s="227"/>
      <c r="P324" s="227"/>
      <c r="Q324" s="249"/>
      <c r="R324" s="194"/>
      <c r="S324" s="195"/>
      <c r="T324" s="196"/>
      <c r="U324" s="195"/>
      <c r="V324" s="197"/>
    </row>
    <row r="325" spans="1:22" s="198" customFormat="1" ht="25.05" customHeight="1">
      <c r="A325" s="26">
        <v>8</v>
      </c>
      <c r="B325" s="27" t="s">
        <v>156</v>
      </c>
      <c r="C325" s="288" t="s">
        <v>882</v>
      </c>
      <c r="D325" s="191"/>
      <c r="E325" s="29">
        <v>1</v>
      </c>
      <c r="F325" s="30" t="s">
        <v>289</v>
      </c>
      <c r="G325" s="60"/>
      <c r="H325" s="60"/>
      <c r="I325" s="193"/>
      <c r="J325" s="200">
        <f t="shared" si="4"/>
        <v>0</v>
      </c>
      <c r="K325" s="60">
        <v>14.4</v>
      </c>
      <c r="L325" s="60"/>
      <c r="M325" s="226" t="s">
        <v>883</v>
      </c>
      <c r="N325" s="273" t="s">
        <v>884</v>
      </c>
      <c r="O325" s="227"/>
      <c r="P325" s="227"/>
      <c r="Q325" s="249"/>
      <c r="R325" s="194"/>
      <c r="S325" s="195"/>
      <c r="T325" s="196"/>
      <c r="U325" s="195"/>
      <c r="V325" s="197"/>
    </row>
    <row r="326" spans="1:22" s="198" customFormat="1" ht="25.05" customHeight="1">
      <c r="A326" s="26">
        <v>9</v>
      </c>
      <c r="B326" s="27" t="s">
        <v>156</v>
      </c>
      <c r="C326" s="288" t="s">
        <v>885</v>
      </c>
      <c r="D326" s="191"/>
      <c r="E326" s="29">
        <v>1</v>
      </c>
      <c r="F326" s="30" t="s">
        <v>289</v>
      </c>
      <c r="G326" s="60"/>
      <c r="H326" s="60"/>
      <c r="I326" s="193"/>
      <c r="J326" s="200">
        <f t="shared" si="4"/>
        <v>0</v>
      </c>
      <c r="K326" s="60">
        <v>38</v>
      </c>
      <c r="L326" s="60"/>
      <c r="M326" s="226" t="s">
        <v>886</v>
      </c>
      <c r="N326" s="273" t="s">
        <v>887</v>
      </c>
      <c r="O326" s="227"/>
      <c r="P326" s="227"/>
      <c r="Q326" s="249"/>
      <c r="R326" s="194"/>
      <c r="S326" s="195"/>
      <c r="T326" s="196"/>
      <c r="U326" s="195"/>
      <c r="V326" s="197"/>
    </row>
    <row r="327" spans="1:22" s="198" customFormat="1" ht="25.05" customHeight="1">
      <c r="A327" s="26">
        <v>10</v>
      </c>
      <c r="B327" s="27" t="s">
        <v>156</v>
      </c>
      <c r="C327" s="288" t="s">
        <v>888</v>
      </c>
      <c r="D327" s="191"/>
      <c r="E327" s="29">
        <v>1</v>
      </c>
      <c r="F327" s="30" t="s">
        <v>289</v>
      </c>
      <c r="G327" s="60"/>
      <c r="H327" s="60"/>
      <c r="I327" s="193"/>
      <c r="J327" s="200">
        <f t="shared" si="4"/>
        <v>0</v>
      </c>
      <c r="K327" s="60">
        <v>48.9</v>
      </c>
      <c r="L327" s="60"/>
      <c r="M327" s="226" t="s">
        <v>889</v>
      </c>
      <c r="N327" s="273" t="s">
        <v>890</v>
      </c>
      <c r="O327" s="227"/>
      <c r="P327" s="227"/>
      <c r="Q327" s="249"/>
      <c r="R327" s="194"/>
      <c r="S327" s="195"/>
      <c r="T327" s="196"/>
      <c r="U327" s="195"/>
      <c r="V327" s="197"/>
    </row>
    <row r="328" spans="1:22" s="198" customFormat="1" ht="25.05" customHeight="1">
      <c r="A328" s="26">
        <v>11</v>
      </c>
      <c r="B328" s="27" t="s">
        <v>156</v>
      </c>
      <c r="C328" s="288" t="s">
        <v>891</v>
      </c>
      <c r="D328" s="191"/>
      <c r="E328" s="29">
        <v>1</v>
      </c>
      <c r="F328" s="30" t="s">
        <v>289</v>
      </c>
      <c r="G328" s="60"/>
      <c r="H328" s="60"/>
      <c r="I328" s="193"/>
      <c r="J328" s="200">
        <f t="shared" si="4"/>
        <v>0</v>
      </c>
      <c r="K328" s="60">
        <v>48.9</v>
      </c>
      <c r="L328" s="60"/>
      <c r="M328" s="226" t="s">
        <v>892</v>
      </c>
      <c r="N328" s="273" t="s">
        <v>893</v>
      </c>
      <c r="O328" s="227"/>
      <c r="P328" s="227"/>
      <c r="Q328" s="249"/>
      <c r="R328" s="194"/>
      <c r="S328" s="195"/>
      <c r="T328" s="196"/>
      <c r="U328" s="195"/>
      <c r="V328" s="197"/>
    </row>
    <row r="329" spans="1:22" s="198" customFormat="1" ht="25.05" customHeight="1">
      <c r="A329" s="26">
        <v>12</v>
      </c>
      <c r="B329" s="27" t="s">
        <v>156</v>
      </c>
      <c r="C329" s="288" t="s">
        <v>894</v>
      </c>
      <c r="D329" s="191"/>
      <c r="E329" s="29">
        <v>1</v>
      </c>
      <c r="F329" s="30" t="s">
        <v>289</v>
      </c>
      <c r="G329" s="60"/>
      <c r="H329" s="60"/>
      <c r="I329" s="193"/>
      <c r="J329" s="200">
        <f t="shared" si="4"/>
        <v>0</v>
      </c>
      <c r="K329" s="60">
        <v>55.6</v>
      </c>
      <c r="L329" s="60"/>
      <c r="M329" s="226" t="s">
        <v>895</v>
      </c>
      <c r="N329" s="273" t="s">
        <v>896</v>
      </c>
      <c r="O329" s="227"/>
      <c r="P329" s="227"/>
      <c r="Q329" s="249"/>
      <c r="R329" s="194"/>
      <c r="S329" s="195"/>
      <c r="T329" s="196"/>
      <c r="U329" s="195"/>
      <c r="V329" s="197"/>
    </row>
    <row r="330" spans="1:22" s="198" customFormat="1" ht="25.05" customHeight="1">
      <c r="A330" s="26">
        <v>13</v>
      </c>
      <c r="B330" s="27" t="s">
        <v>156</v>
      </c>
      <c r="C330" s="288" t="s">
        <v>897</v>
      </c>
      <c r="D330" s="191"/>
      <c r="E330" s="29">
        <v>1</v>
      </c>
      <c r="F330" s="30" t="s">
        <v>289</v>
      </c>
      <c r="G330" s="60"/>
      <c r="H330" s="60"/>
      <c r="I330" s="193"/>
      <c r="J330" s="200">
        <f t="shared" si="4"/>
        <v>0</v>
      </c>
      <c r="K330" s="60">
        <v>55.6</v>
      </c>
      <c r="L330" s="60"/>
      <c r="M330" s="226" t="s">
        <v>898</v>
      </c>
      <c r="N330" s="273" t="s">
        <v>899</v>
      </c>
      <c r="O330" s="227"/>
      <c r="P330" s="227"/>
      <c r="Q330" s="249"/>
      <c r="R330" s="194"/>
      <c r="S330" s="195"/>
      <c r="T330" s="196"/>
      <c r="U330" s="195"/>
      <c r="V330" s="197"/>
    </row>
    <row r="331" spans="1:22" s="198" customFormat="1" ht="25.05" customHeight="1">
      <c r="A331" s="26">
        <v>14</v>
      </c>
      <c r="B331" s="27" t="s">
        <v>156</v>
      </c>
      <c r="C331" s="288" t="s">
        <v>900</v>
      </c>
      <c r="D331" s="191"/>
      <c r="E331" s="29">
        <v>1</v>
      </c>
      <c r="F331" s="30" t="s">
        <v>289</v>
      </c>
      <c r="G331" s="60"/>
      <c r="H331" s="60"/>
      <c r="I331" s="193"/>
      <c r="J331" s="200">
        <f t="shared" si="4"/>
        <v>0</v>
      </c>
      <c r="K331" s="60">
        <v>38</v>
      </c>
      <c r="L331" s="60"/>
      <c r="M331" s="226" t="s">
        <v>901</v>
      </c>
      <c r="N331" s="273" t="s">
        <v>902</v>
      </c>
      <c r="O331" s="227"/>
      <c r="P331" s="227"/>
      <c r="Q331" s="249"/>
      <c r="R331" s="194"/>
      <c r="S331" s="195"/>
      <c r="T331" s="196"/>
      <c r="U331" s="195"/>
      <c r="V331" s="197"/>
    </row>
    <row r="332" spans="1:22" s="198" customFormat="1" ht="25.05" customHeight="1">
      <c r="A332" s="26">
        <v>15</v>
      </c>
      <c r="B332" s="27" t="s">
        <v>156</v>
      </c>
      <c r="C332" s="288" t="s">
        <v>903</v>
      </c>
      <c r="D332" s="191"/>
      <c r="E332" s="29">
        <v>1</v>
      </c>
      <c r="F332" s="30" t="s">
        <v>289</v>
      </c>
      <c r="G332" s="60"/>
      <c r="H332" s="60"/>
      <c r="I332" s="193"/>
      <c r="J332" s="200">
        <f t="shared" si="4"/>
        <v>0</v>
      </c>
      <c r="K332" s="60">
        <v>109</v>
      </c>
      <c r="L332" s="60"/>
      <c r="M332" s="226" t="s">
        <v>904</v>
      </c>
      <c r="N332" s="273" t="s">
        <v>905</v>
      </c>
      <c r="O332" s="227"/>
      <c r="P332" s="227"/>
      <c r="Q332" s="249"/>
      <c r="R332" s="194"/>
      <c r="S332" s="195"/>
      <c r="T332" s="196"/>
      <c r="U332" s="195"/>
      <c r="V332" s="197"/>
    </row>
    <row r="333" spans="1:22" s="198" customFormat="1" ht="25.05" customHeight="1">
      <c r="A333" s="26">
        <v>16</v>
      </c>
      <c r="B333" s="27" t="s">
        <v>156</v>
      </c>
      <c r="C333" s="288" t="s">
        <v>906</v>
      </c>
      <c r="D333" s="191"/>
      <c r="E333" s="29">
        <v>1</v>
      </c>
      <c r="F333" s="30" t="s">
        <v>289</v>
      </c>
      <c r="G333" s="60"/>
      <c r="H333" s="60"/>
      <c r="I333" s="193"/>
      <c r="J333" s="200">
        <f t="shared" si="4"/>
        <v>0</v>
      </c>
      <c r="K333" s="60">
        <v>60</v>
      </c>
      <c r="L333" s="60"/>
      <c r="M333" s="226" t="s">
        <v>907</v>
      </c>
      <c r="N333" s="273" t="s">
        <v>908</v>
      </c>
      <c r="O333" s="227"/>
      <c r="P333" s="227"/>
      <c r="Q333" s="249"/>
      <c r="R333" s="194"/>
      <c r="S333" s="195"/>
      <c r="T333" s="196"/>
      <c r="U333" s="195"/>
      <c r="V333" s="197"/>
    </row>
    <row r="334" spans="1:22" s="198" customFormat="1" ht="25.05" customHeight="1">
      <c r="A334" s="26">
        <v>17</v>
      </c>
      <c r="B334" s="27" t="s">
        <v>156</v>
      </c>
      <c r="C334" s="288" t="s">
        <v>909</v>
      </c>
      <c r="D334" s="191"/>
      <c r="E334" s="29">
        <v>1</v>
      </c>
      <c r="F334" s="30" t="s">
        <v>289</v>
      </c>
      <c r="G334" s="60"/>
      <c r="H334" s="60"/>
      <c r="I334" s="193"/>
      <c r="J334" s="200">
        <f t="shared" si="4"/>
        <v>0</v>
      </c>
      <c r="K334" s="60">
        <v>185.5</v>
      </c>
      <c r="L334" s="60"/>
      <c r="M334" s="226" t="s">
        <v>910</v>
      </c>
      <c r="N334" s="273" t="s">
        <v>911</v>
      </c>
      <c r="O334" s="227"/>
      <c r="P334" s="227"/>
      <c r="Q334" s="249"/>
      <c r="R334" s="194"/>
      <c r="S334" s="195"/>
      <c r="T334" s="196"/>
      <c r="U334" s="195"/>
      <c r="V334" s="197"/>
    </row>
    <row r="335" spans="1:22" s="198" customFormat="1" ht="25.05" customHeight="1">
      <c r="A335" s="26">
        <v>18</v>
      </c>
      <c r="B335" s="27" t="s">
        <v>156</v>
      </c>
      <c r="C335" s="288" t="s">
        <v>912</v>
      </c>
      <c r="D335" s="191"/>
      <c r="E335" s="29">
        <v>1</v>
      </c>
      <c r="F335" s="30" t="s">
        <v>289</v>
      </c>
      <c r="G335" s="60"/>
      <c r="H335" s="60"/>
      <c r="I335" s="193"/>
      <c r="J335" s="200">
        <f t="shared" si="4"/>
        <v>0</v>
      </c>
      <c r="K335" s="60">
        <v>38</v>
      </c>
      <c r="L335" s="60"/>
      <c r="M335" s="226" t="s">
        <v>913</v>
      </c>
      <c r="N335" s="273" t="s">
        <v>914</v>
      </c>
      <c r="O335" s="227"/>
      <c r="P335" s="227"/>
      <c r="Q335" s="249"/>
      <c r="R335" s="194"/>
      <c r="S335" s="195"/>
      <c r="T335" s="196"/>
      <c r="U335" s="195"/>
      <c r="V335" s="197"/>
    </row>
    <row r="336" spans="1:22" s="198" customFormat="1" ht="25.05" customHeight="1">
      <c r="A336" s="26">
        <v>19</v>
      </c>
      <c r="B336" s="27" t="s">
        <v>156</v>
      </c>
      <c r="C336" s="288" t="s">
        <v>915</v>
      </c>
      <c r="D336" s="191"/>
      <c r="E336" s="29">
        <v>1</v>
      </c>
      <c r="F336" s="30" t="s">
        <v>289</v>
      </c>
      <c r="G336" s="60"/>
      <c r="H336" s="60"/>
      <c r="I336" s="193"/>
      <c r="J336" s="200">
        <f t="shared" si="4"/>
        <v>0</v>
      </c>
      <c r="K336" s="60">
        <v>109</v>
      </c>
      <c r="L336" s="60"/>
      <c r="M336" s="226" t="s">
        <v>916</v>
      </c>
      <c r="N336" s="273" t="s">
        <v>917</v>
      </c>
      <c r="O336" s="227"/>
      <c r="P336" s="227"/>
      <c r="Q336" s="249"/>
      <c r="R336" s="194"/>
      <c r="S336" s="195"/>
      <c r="T336" s="196"/>
      <c r="U336" s="195"/>
      <c r="V336" s="197"/>
    </row>
    <row r="337" spans="1:22" s="198" customFormat="1" ht="25.05" customHeight="1">
      <c r="A337" s="26">
        <v>20</v>
      </c>
      <c r="B337" s="27" t="s">
        <v>156</v>
      </c>
      <c r="C337" s="288" t="s">
        <v>918</v>
      </c>
      <c r="D337" s="191"/>
      <c r="E337" s="29">
        <v>1</v>
      </c>
      <c r="F337" s="30" t="s">
        <v>289</v>
      </c>
      <c r="G337" s="60"/>
      <c r="H337" s="60"/>
      <c r="I337" s="193"/>
      <c r="J337" s="200">
        <f t="shared" si="4"/>
        <v>0</v>
      </c>
      <c r="K337" s="60">
        <v>60</v>
      </c>
      <c r="L337" s="60"/>
      <c r="M337" s="226" t="s">
        <v>919</v>
      </c>
      <c r="N337" s="273" t="s">
        <v>920</v>
      </c>
      <c r="O337" s="227"/>
      <c r="P337" s="227"/>
      <c r="Q337" s="249"/>
      <c r="R337" s="194"/>
      <c r="S337" s="195"/>
      <c r="T337" s="196"/>
      <c r="U337" s="195"/>
      <c r="V337" s="197"/>
    </row>
    <row r="338" spans="1:22" s="198" customFormat="1" ht="25.05" customHeight="1">
      <c r="A338" s="26">
        <v>21</v>
      </c>
      <c r="B338" s="27" t="s">
        <v>156</v>
      </c>
      <c r="C338" s="288" t="s">
        <v>921</v>
      </c>
      <c r="D338" s="191"/>
      <c r="E338" s="29">
        <v>1</v>
      </c>
      <c r="F338" s="30" t="s">
        <v>289</v>
      </c>
      <c r="G338" s="60"/>
      <c r="H338" s="60"/>
      <c r="I338" s="193"/>
      <c r="J338" s="200">
        <f t="shared" si="4"/>
        <v>0</v>
      </c>
      <c r="K338" s="60">
        <v>109</v>
      </c>
      <c r="L338" s="60"/>
      <c r="M338" s="226" t="s">
        <v>922</v>
      </c>
      <c r="N338" s="273" t="s">
        <v>923</v>
      </c>
      <c r="O338" s="227"/>
      <c r="P338" s="227"/>
      <c r="Q338" s="249"/>
      <c r="R338" s="194"/>
      <c r="S338" s="195"/>
      <c r="T338" s="196"/>
      <c r="U338" s="195"/>
      <c r="V338" s="197"/>
    </row>
    <row r="339" spans="1:22" s="198" customFormat="1" ht="25.05" customHeight="1">
      <c r="A339" s="26">
        <v>22</v>
      </c>
      <c r="B339" s="27" t="s">
        <v>156</v>
      </c>
      <c r="C339" s="288" t="s">
        <v>924</v>
      </c>
      <c r="D339" s="191"/>
      <c r="E339" s="29">
        <v>1</v>
      </c>
      <c r="F339" s="30" t="s">
        <v>289</v>
      </c>
      <c r="G339" s="60"/>
      <c r="H339" s="60"/>
      <c r="I339" s="193"/>
      <c r="J339" s="200">
        <f t="shared" si="4"/>
        <v>0</v>
      </c>
      <c r="K339" s="60">
        <v>48.9</v>
      </c>
      <c r="L339" s="60"/>
      <c r="M339" s="226" t="s">
        <v>925</v>
      </c>
      <c r="N339" s="273" t="s">
        <v>926</v>
      </c>
      <c r="O339" s="227"/>
      <c r="P339" s="227"/>
      <c r="Q339" s="249"/>
      <c r="R339" s="194"/>
      <c r="S339" s="195"/>
      <c r="T339" s="196"/>
      <c r="U339" s="195"/>
      <c r="V339" s="197"/>
    </row>
    <row r="340" spans="1:22" s="198" customFormat="1" ht="25.05" customHeight="1">
      <c r="A340" s="26">
        <v>23</v>
      </c>
      <c r="B340" s="27" t="s">
        <v>156</v>
      </c>
      <c r="C340" s="288" t="s">
        <v>927</v>
      </c>
      <c r="D340" s="191"/>
      <c r="E340" s="29">
        <v>1</v>
      </c>
      <c r="F340" s="30" t="s">
        <v>289</v>
      </c>
      <c r="G340" s="60"/>
      <c r="H340" s="60"/>
      <c r="I340" s="193"/>
      <c r="J340" s="200">
        <f t="shared" si="4"/>
        <v>0</v>
      </c>
      <c r="K340" s="60">
        <v>7.4</v>
      </c>
      <c r="L340" s="60"/>
      <c r="M340" s="226" t="s">
        <v>928</v>
      </c>
      <c r="N340" s="273" t="s">
        <v>929</v>
      </c>
      <c r="O340" s="227"/>
      <c r="P340" s="227"/>
      <c r="Q340" s="249"/>
      <c r="R340" s="194"/>
      <c r="S340" s="195"/>
      <c r="T340" s="196"/>
      <c r="U340" s="195"/>
      <c r="V340" s="197"/>
    </row>
    <row r="341" spans="1:22" s="198" customFormat="1" ht="25.05" customHeight="1">
      <c r="A341" s="26">
        <v>24</v>
      </c>
      <c r="B341" s="27" t="s">
        <v>156</v>
      </c>
      <c r="C341" s="288" t="s">
        <v>930</v>
      </c>
      <c r="D341" s="191"/>
      <c r="E341" s="29">
        <v>1</v>
      </c>
      <c r="F341" s="30" t="s">
        <v>289</v>
      </c>
      <c r="G341" s="60"/>
      <c r="H341" s="60"/>
      <c r="I341" s="193"/>
      <c r="J341" s="200">
        <f t="shared" si="4"/>
        <v>0</v>
      </c>
      <c r="K341" s="60">
        <v>60</v>
      </c>
      <c r="L341" s="60"/>
      <c r="M341" s="226" t="s">
        <v>931</v>
      </c>
      <c r="N341" s="273" t="s">
        <v>932</v>
      </c>
      <c r="O341" s="227"/>
      <c r="P341" s="227"/>
      <c r="Q341" s="249"/>
      <c r="R341" s="194"/>
      <c r="S341" s="195"/>
      <c r="T341" s="196"/>
      <c r="U341" s="195"/>
      <c r="V341" s="197"/>
    </row>
    <row r="342" spans="1:22" s="198" customFormat="1" ht="25.05" customHeight="1">
      <c r="A342" s="26">
        <v>25</v>
      </c>
      <c r="B342" s="27" t="s">
        <v>156</v>
      </c>
      <c r="C342" s="288" t="s">
        <v>933</v>
      </c>
      <c r="D342" s="191"/>
      <c r="E342" s="29">
        <v>1</v>
      </c>
      <c r="F342" s="30" t="s">
        <v>289</v>
      </c>
      <c r="G342" s="60"/>
      <c r="H342" s="60"/>
      <c r="I342" s="193"/>
      <c r="J342" s="200">
        <f t="shared" si="4"/>
        <v>0</v>
      </c>
      <c r="K342" s="60">
        <v>60</v>
      </c>
      <c r="L342" s="60"/>
      <c r="M342" s="226" t="s">
        <v>934</v>
      </c>
      <c r="N342" s="273" t="s">
        <v>935</v>
      </c>
      <c r="O342" s="227"/>
      <c r="P342" s="227"/>
      <c r="Q342" s="249"/>
      <c r="R342" s="194"/>
      <c r="S342" s="195"/>
      <c r="T342" s="196"/>
      <c r="U342" s="195"/>
      <c r="V342" s="197"/>
    </row>
    <row r="343" spans="1:22" s="198" customFormat="1" ht="25.05" customHeight="1">
      <c r="A343" s="26">
        <v>26</v>
      </c>
      <c r="B343" s="27" t="s">
        <v>156</v>
      </c>
      <c r="C343" s="288" t="s">
        <v>936</v>
      </c>
      <c r="D343" s="191"/>
      <c r="E343" s="29">
        <v>1</v>
      </c>
      <c r="F343" s="30" t="s">
        <v>289</v>
      </c>
      <c r="G343" s="60"/>
      <c r="H343" s="60"/>
      <c r="I343" s="193"/>
      <c r="J343" s="200">
        <f t="shared" si="4"/>
        <v>0</v>
      </c>
      <c r="K343" s="60">
        <v>16.5</v>
      </c>
      <c r="L343" s="60"/>
      <c r="M343" s="226" t="s">
        <v>937</v>
      </c>
      <c r="N343" s="248" t="s">
        <v>938</v>
      </c>
      <c r="O343" s="227"/>
      <c r="P343" s="227"/>
      <c r="Q343" s="249"/>
      <c r="R343" s="194"/>
      <c r="S343" s="195"/>
      <c r="T343" s="196"/>
      <c r="U343" s="195"/>
      <c r="V343" s="197"/>
    </row>
    <row r="344" spans="1:22" s="198" customFormat="1" ht="25.05" customHeight="1">
      <c r="A344" s="26">
        <v>27</v>
      </c>
      <c r="B344" s="27" t="s">
        <v>156</v>
      </c>
      <c r="C344" s="288" t="s">
        <v>939</v>
      </c>
      <c r="D344" s="191"/>
      <c r="E344" s="29">
        <v>1</v>
      </c>
      <c r="F344" s="30" t="s">
        <v>289</v>
      </c>
      <c r="G344" s="60"/>
      <c r="H344" s="60"/>
      <c r="I344" s="193"/>
      <c r="J344" s="200">
        <f t="shared" si="4"/>
        <v>0</v>
      </c>
      <c r="K344" s="60">
        <v>31.5</v>
      </c>
      <c r="L344" s="60"/>
      <c r="M344" s="226" t="s">
        <v>940</v>
      </c>
      <c r="N344" s="248" t="s">
        <v>941</v>
      </c>
      <c r="O344" s="227"/>
      <c r="P344" s="227"/>
      <c r="Q344" s="249"/>
      <c r="R344" s="194"/>
      <c r="S344" s="195"/>
      <c r="T344" s="196"/>
      <c r="U344" s="195"/>
      <c r="V344" s="197"/>
    </row>
    <row r="345" spans="1:22" s="198" customFormat="1" ht="25.05" customHeight="1">
      <c r="A345" s="26">
        <v>28</v>
      </c>
      <c r="B345" s="27" t="s">
        <v>156</v>
      </c>
      <c r="C345" s="288" t="s">
        <v>942</v>
      </c>
      <c r="D345" s="191"/>
      <c r="E345" s="29">
        <v>1</v>
      </c>
      <c r="F345" s="30" t="s">
        <v>289</v>
      </c>
      <c r="G345" s="60"/>
      <c r="H345" s="60"/>
      <c r="I345" s="193"/>
      <c r="J345" s="200">
        <f t="shared" si="4"/>
        <v>0</v>
      </c>
      <c r="K345" s="60">
        <v>31.5</v>
      </c>
      <c r="L345" s="60"/>
      <c r="M345" s="226" t="s">
        <v>943</v>
      </c>
      <c r="N345" s="248" t="s">
        <v>944</v>
      </c>
      <c r="O345" s="227"/>
      <c r="P345" s="227"/>
      <c r="Q345" s="249"/>
      <c r="R345" s="194"/>
      <c r="S345" s="195"/>
      <c r="T345" s="196"/>
      <c r="U345" s="195"/>
      <c r="V345" s="197"/>
    </row>
    <row r="346" spans="1:22" s="198" customFormat="1" ht="25.05" customHeight="1">
      <c r="A346" s="26">
        <v>29</v>
      </c>
      <c r="B346" s="27" t="s">
        <v>156</v>
      </c>
      <c r="C346" s="288" t="s">
        <v>945</v>
      </c>
      <c r="D346" s="191"/>
      <c r="E346" s="29">
        <v>1</v>
      </c>
      <c r="F346" s="30" t="s">
        <v>289</v>
      </c>
      <c r="G346" s="60"/>
      <c r="H346" s="60"/>
      <c r="I346" s="193"/>
      <c r="J346" s="200">
        <f t="shared" si="4"/>
        <v>0</v>
      </c>
      <c r="K346" s="60">
        <v>16.5</v>
      </c>
      <c r="L346" s="60"/>
      <c r="M346" s="226" t="s">
        <v>946</v>
      </c>
      <c r="N346" s="248" t="s">
        <v>947</v>
      </c>
      <c r="O346" s="227"/>
      <c r="P346" s="227"/>
      <c r="Q346" s="249"/>
      <c r="R346" s="194"/>
      <c r="S346" s="195"/>
      <c r="T346" s="196"/>
      <c r="U346" s="195"/>
      <c r="V346" s="197"/>
    </row>
    <row r="347" spans="1:22" s="198" customFormat="1" ht="25.05" customHeight="1">
      <c r="A347" s="26">
        <v>30</v>
      </c>
      <c r="B347" s="27" t="s">
        <v>156</v>
      </c>
      <c r="C347" s="288" t="s">
        <v>948</v>
      </c>
      <c r="D347" s="191"/>
      <c r="E347" s="29">
        <v>1</v>
      </c>
      <c r="F347" s="30" t="s">
        <v>289</v>
      </c>
      <c r="G347" s="60"/>
      <c r="H347" s="60"/>
      <c r="I347" s="193"/>
      <c r="J347" s="200">
        <f t="shared" si="4"/>
        <v>0</v>
      </c>
      <c r="K347" s="60">
        <v>16.5</v>
      </c>
      <c r="L347" s="60"/>
      <c r="M347" s="226" t="s">
        <v>949</v>
      </c>
      <c r="N347" s="248" t="s">
        <v>950</v>
      </c>
      <c r="O347" s="227"/>
      <c r="P347" s="227"/>
      <c r="Q347" s="249"/>
      <c r="R347" s="194"/>
      <c r="S347" s="195"/>
      <c r="T347" s="196"/>
      <c r="U347" s="195"/>
      <c r="V347" s="197"/>
    </row>
    <row r="348" spans="1:22" s="198" customFormat="1" ht="25.05" customHeight="1">
      <c r="A348" s="26">
        <v>31</v>
      </c>
      <c r="B348" s="27" t="s">
        <v>156</v>
      </c>
      <c r="C348" s="288" t="s">
        <v>951</v>
      </c>
      <c r="D348" s="191"/>
      <c r="E348" s="29">
        <v>1</v>
      </c>
      <c r="F348" s="30" t="s">
        <v>289</v>
      </c>
      <c r="G348" s="60"/>
      <c r="H348" s="60"/>
      <c r="I348" s="193"/>
      <c r="J348" s="200">
        <f t="shared" si="4"/>
        <v>0</v>
      </c>
      <c r="K348" s="60">
        <v>16.5</v>
      </c>
      <c r="L348" s="60"/>
      <c r="M348" s="226" t="s">
        <v>952</v>
      </c>
      <c r="N348" s="248" t="s">
        <v>953</v>
      </c>
      <c r="O348" s="227"/>
      <c r="P348" s="227"/>
      <c r="Q348" s="249"/>
      <c r="R348" s="194"/>
      <c r="S348" s="195"/>
      <c r="T348" s="196"/>
      <c r="U348" s="195"/>
      <c r="V348" s="197"/>
    </row>
    <row r="349" spans="1:22" s="198" customFormat="1" ht="25.05" customHeight="1">
      <c r="A349" s="26">
        <v>32</v>
      </c>
      <c r="B349" s="27" t="s">
        <v>156</v>
      </c>
      <c r="C349" s="288" t="s">
        <v>954</v>
      </c>
      <c r="D349" s="191"/>
      <c r="E349" s="29">
        <v>2</v>
      </c>
      <c r="F349" s="30" t="s">
        <v>289</v>
      </c>
      <c r="G349" s="60"/>
      <c r="H349" s="60"/>
      <c r="I349" s="193"/>
      <c r="J349" s="200">
        <f t="shared" si="4"/>
        <v>0</v>
      </c>
      <c r="K349" s="60">
        <v>14.5</v>
      </c>
      <c r="L349" s="60"/>
      <c r="M349" s="226" t="s">
        <v>955</v>
      </c>
      <c r="N349" s="248" t="s">
        <v>956</v>
      </c>
      <c r="O349" s="227"/>
      <c r="P349" s="227"/>
      <c r="Q349" s="249"/>
      <c r="R349" s="194"/>
      <c r="S349" s="195"/>
      <c r="T349" s="196"/>
      <c r="U349" s="195"/>
      <c r="V349" s="197"/>
    </row>
    <row r="350" spans="1:22" s="198" customFormat="1" ht="25.05" customHeight="1">
      <c r="A350" s="26">
        <v>33</v>
      </c>
      <c r="B350" s="27" t="s">
        <v>156</v>
      </c>
      <c r="C350" s="288" t="s">
        <v>957</v>
      </c>
      <c r="D350" s="191"/>
      <c r="E350" s="29">
        <v>2</v>
      </c>
      <c r="F350" s="30" t="s">
        <v>289</v>
      </c>
      <c r="G350" s="60"/>
      <c r="H350" s="60"/>
      <c r="I350" s="193"/>
      <c r="J350" s="200">
        <f t="shared" si="4"/>
        <v>0</v>
      </c>
      <c r="K350" s="60">
        <v>14.5</v>
      </c>
      <c r="L350" s="60"/>
      <c r="M350" s="226" t="s">
        <v>958</v>
      </c>
      <c r="N350" s="248" t="s">
        <v>959</v>
      </c>
      <c r="O350" s="227"/>
      <c r="P350" s="227"/>
      <c r="Q350" s="249"/>
      <c r="R350" s="194"/>
      <c r="S350" s="195"/>
      <c r="T350" s="196"/>
      <c r="U350" s="195"/>
      <c r="V350" s="197"/>
    </row>
    <row r="351" spans="1:22" s="198" customFormat="1" ht="25.05" customHeight="1">
      <c r="A351" s="26">
        <v>34</v>
      </c>
      <c r="B351" s="27" t="s">
        <v>156</v>
      </c>
      <c r="C351" s="288" t="s">
        <v>960</v>
      </c>
      <c r="D351" s="191"/>
      <c r="E351" s="29">
        <v>2</v>
      </c>
      <c r="F351" s="30" t="s">
        <v>289</v>
      </c>
      <c r="G351" s="60"/>
      <c r="H351" s="60"/>
      <c r="I351" s="193"/>
      <c r="J351" s="200">
        <f t="shared" si="4"/>
        <v>0</v>
      </c>
      <c r="K351" s="60">
        <v>14.5</v>
      </c>
      <c r="L351" s="60"/>
      <c r="M351" s="226" t="s">
        <v>961</v>
      </c>
      <c r="N351" s="248" t="s">
        <v>962</v>
      </c>
      <c r="O351" s="227"/>
      <c r="P351" s="227"/>
      <c r="Q351" s="249"/>
      <c r="R351" s="194"/>
      <c r="S351" s="195"/>
      <c r="T351" s="196"/>
      <c r="U351" s="195"/>
      <c r="V351" s="197"/>
    </row>
    <row r="352" spans="1:22" s="198" customFormat="1" ht="25.05" customHeight="1">
      <c r="A352" s="26">
        <v>35</v>
      </c>
      <c r="B352" s="27" t="s">
        <v>156</v>
      </c>
      <c r="C352" s="288" t="s">
        <v>963</v>
      </c>
      <c r="D352" s="191"/>
      <c r="E352" s="29">
        <v>2</v>
      </c>
      <c r="F352" s="30" t="s">
        <v>289</v>
      </c>
      <c r="G352" s="60"/>
      <c r="H352" s="60"/>
      <c r="I352" s="193"/>
      <c r="J352" s="200">
        <f t="shared" si="4"/>
        <v>0</v>
      </c>
      <c r="K352" s="60">
        <v>14.5</v>
      </c>
      <c r="L352" s="60"/>
      <c r="M352" s="226" t="s">
        <v>964</v>
      </c>
      <c r="N352" s="248" t="s">
        <v>965</v>
      </c>
      <c r="O352" s="227"/>
      <c r="P352" s="227"/>
      <c r="Q352" s="249"/>
      <c r="R352" s="194"/>
      <c r="S352" s="195"/>
      <c r="T352" s="196"/>
      <c r="U352" s="195"/>
      <c r="V352" s="197"/>
    </row>
    <row r="353" spans="1:22" s="198" customFormat="1" ht="25.05" customHeight="1">
      <c r="A353" s="264"/>
      <c r="B353" s="265"/>
      <c r="C353" s="289"/>
      <c r="D353" s="202"/>
      <c r="E353" s="266"/>
      <c r="F353" s="202"/>
      <c r="G353" s="267">
        <v>250</v>
      </c>
      <c r="H353" s="267">
        <v>180</v>
      </c>
      <c r="I353" s="268">
        <v>150</v>
      </c>
      <c r="J353" s="269">
        <f>ROUND(I353*H353*G353/1000000,3)</f>
        <v>6.75</v>
      </c>
      <c r="K353" s="267">
        <f>SUM(K318:K352)</f>
        <v>1593.3000000000002</v>
      </c>
      <c r="L353" s="267">
        <f>K353+100</f>
        <v>1693.3000000000002</v>
      </c>
      <c r="M353" s="224"/>
      <c r="N353" s="246"/>
      <c r="O353" s="225"/>
      <c r="P353" s="225"/>
      <c r="Q353" s="247"/>
      <c r="R353" s="194"/>
      <c r="S353" s="195"/>
      <c r="T353" s="196"/>
      <c r="U353" s="195"/>
      <c r="V353" s="197"/>
    </row>
    <row r="354" spans="1:22" s="198" customFormat="1" ht="25.05" customHeight="1">
      <c r="A354" s="26">
        <v>1</v>
      </c>
      <c r="B354" s="27" t="s">
        <v>157</v>
      </c>
      <c r="C354" s="288" t="s">
        <v>966</v>
      </c>
      <c r="D354" s="191"/>
      <c r="E354" s="29">
        <v>1</v>
      </c>
      <c r="F354" s="30" t="s">
        <v>289</v>
      </c>
      <c r="G354" s="60"/>
      <c r="H354" s="60"/>
      <c r="I354" s="193"/>
      <c r="J354" s="200">
        <f t="shared" si="4"/>
        <v>0</v>
      </c>
      <c r="K354" s="60">
        <v>139.4</v>
      </c>
      <c r="L354" s="60"/>
      <c r="M354" s="226" t="s">
        <v>967</v>
      </c>
      <c r="N354" s="248" t="s">
        <v>968</v>
      </c>
      <c r="O354" s="227"/>
      <c r="P354" s="227"/>
      <c r="Q354" s="249"/>
      <c r="R354" s="194"/>
      <c r="S354" s="195"/>
      <c r="T354" s="196"/>
      <c r="U354" s="195"/>
      <c r="V354" s="197"/>
    </row>
    <row r="355" spans="1:22" s="198" customFormat="1" ht="25.05" customHeight="1">
      <c r="A355" s="26">
        <v>2</v>
      </c>
      <c r="B355" s="27" t="s">
        <v>157</v>
      </c>
      <c r="C355" s="288" t="s">
        <v>969</v>
      </c>
      <c r="D355" s="191"/>
      <c r="E355" s="29">
        <v>1</v>
      </c>
      <c r="F355" s="30" t="s">
        <v>289</v>
      </c>
      <c r="G355" s="60"/>
      <c r="H355" s="60"/>
      <c r="I355" s="193"/>
      <c r="J355" s="200">
        <f t="shared" ref="J355:J418" si="5">ROUND(I355*H355*G355/1000000,3)</f>
        <v>0</v>
      </c>
      <c r="K355" s="60">
        <v>152</v>
      </c>
      <c r="L355" s="60"/>
      <c r="M355" s="226" t="s">
        <v>970</v>
      </c>
      <c r="N355" s="248" t="s">
        <v>971</v>
      </c>
      <c r="O355" s="227"/>
      <c r="P355" s="227"/>
      <c r="Q355" s="249"/>
      <c r="R355" s="194"/>
      <c r="S355" s="195"/>
      <c r="T355" s="196"/>
      <c r="U355" s="195"/>
      <c r="V355" s="197"/>
    </row>
    <row r="356" spans="1:22" s="198" customFormat="1" ht="25.05" customHeight="1">
      <c r="A356" s="26">
        <v>3</v>
      </c>
      <c r="B356" s="27" t="s">
        <v>157</v>
      </c>
      <c r="C356" s="288" t="s">
        <v>972</v>
      </c>
      <c r="D356" s="191"/>
      <c r="E356" s="29">
        <v>1</v>
      </c>
      <c r="F356" s="30" t="s">
        <v>289</v>
      </c>
      <c r="G356" s="60"/>
      <c r="H356" s="60"/>
      <c r="I356" s="193"/>
      <c r="J356" s="200">
        <f t="shared" si="5"/>
        <v>0</v>
      </c>
      <c r="K356" s="60">
        <v>139.30000000000001</v>
      </c>
      <c r="L356" s="60"/>
      <c r="M356" s="226" t="s">
        <v>973</v>
      </c>
      <c r="N356" s="248" t="s">
        <v>974</v>
      </c>
      <c r="O356" s="227"/>
      <c r="P356" s="227"/>
      <c r="Q356" s="249"/>
      <c r="R356" s="194"/>
      <c r="S356" s="195"/>
      <c r="T356" s="196"/>
      <c r="U356" s="195"/>
      <c r="V356" s="197"/>
    </row>
    <row r="357" spans="1:22" s="198" customFormat="1" ht="25.05" customHeight="1">
      <c r="A357" s="26">
        <v>4</v>
      </c>
      <c r="B357" s="27" t="s">
        <v>157</v>
      </c>
      <c r="C357" s="288" t="s">
        <v>975</v>
      </c>
      <c r="D357" s="191"/>
      <c r="E357" s="29">
        <v>1</v>
      </c>
      <c r="F357" s="30" t="s">
        <v>289</v>
      </c>
      <c r="G357" s="60"/>
      <c r="H357" s="60"/>
      <c r="I357" s="193"/>
      <c r="J357" s="200">
        <f t="shared" si="5"/>
        <v>0</v>
      </c>
      <c r="K357" s="60">
        <v>132</v>
      </c>
      <c r="L357" s="60"/>
      <c r="M357" s="226" t="s">
        <v>976</v>
      </c>
      <c r="N357" s="248" t="s">
        <v>977</v>
      </c>
      <c r="O357" s="227"/>
      <c r="P357" s="227"/>
      <c r="Q357" s="249"/>
      <c r="R357" s="194"/>
      <c r="S357" s="195"/>
      <c r="T357" s="196"/>
      <c r="U357" s="195"/>
      <c r="V357" s="197"/>
    </row>
    <row r="358" spans="1:22" s="198" customFormat="1" ht="25.05" customHeight="1">
      <c r="A358" s="26">
        <v>5</v>
      </c>
      <c r="B358" s="27" t="s">
        <v>157</v>
      </c>
      <c r="C358" s="288" t="s">
        <v>978</v>
      </c>
      <c r="D358" s="191"/>
      <c r="E358" s="29">
        <v>1</v>
      </c>
      <c r="F358" s="30" t="s">
        <v>289</v>
      </c>
      <c r="G358" s="60"/>
      <c r="H358" s="60"/>
      <c r="I358" s="193"/>
      <c r="J358" s="200">
        <f t="shared" si="5"/>
        <v>0</v>
      </c>
      <c r="K358" s="60">
        <v>132</v>
      </c>
      <c r="L358" s="60"/>
      <c r="M358" s="226" t="s">
        <v>979</v>
      </c>
      <c r="N358" s="248" t="s">
        <v>980</v>
      </c>
      <c r="O358" s="227"/>
      <c r="P358" s="227"/>
      <c r="Q358" s="249"/>
      <c r="R358" s="194"/>
      <c r="S358" s="195"/>
      <c r="T358" s="196"/>
      <c r="U358" s="195"/>
      <c r="V358" s="197"/>
    </row>
    <row r="359" spans="1:22" s="198" customFormat="1" ht="25.05" customHeight="1">
      <c r="A359" s="26">
        <v>6</v>
      </c>
      <c r="B359" s="27" t="s">
        <v>157</v>
      </c>
      <c r="C359" s="288" t="s">
        <v>981</v>
      </c>
      <c r="D359" s="191"/>
      <c r="E359" s="29">
        <v>1</v>
      </c>
      <c r="F359" s="30" t="s">
        <v>289</v>
      </c>
      <c r="G359" s="60"/>
      <c r="H359" s="60"/>
      <c r="I359" s="193"/>
      <c r="J359" s="200">
        <f t="shared" si="5"/>
        <v>0</v>
      </c>
      <c r="K359" s="60">
        <v>174.2</v>
      </c>
      <c r="L359" s="60"/>
      <c r="M359" s="226" t="s">
        <v>982</v>
      </c>
      <c r="N359" s="248" t="s">
        <v>983</v>
      </c>
      <c r="O359" s="227"/>
      <c r="P359" s="227"/>
      <c r="Q359" s="249"/>
      <c r="R359" s="194"/>
      <c r="S359" s="195"/>
      <c r="T359" s="196"/>
      <c r="U359" s="195"/>
      <c r="V359" s="197"/>
    </row>
    <row r="360" spans="1:22" s="198" customFormat="1" ht="25.05" customHeight="1">
      <c r="A360" s="26">
        <v>7</v>
      </c>
      <c r="B360" s="27" t="s">
        <v>157</v>
      </c>
      <c r="C360" s="288" t="s">
        <v>984</v>
      </c>
      <c r="D360" s="191"/>
      <c r="E360" s="29">
        <v>1</v>
      </c>
      <c r="F360" s="30" t="s">
        <v>289</v>
      </c>
      <c r="G360" s="60"/>
      <c r="H360" s="60"/>
      <c r="I360" s="193"/>
      <c r="J360" s="200">
        <f t="shared" si="5"/>
        <v>0</v>
      </c>
      <c r="K360" s="60">
        <v>174.2</v>
      </c>
      <c r="L360" s="60"/>
      <c r="M360" s="226" t="s">
        <v>985</v>
      </c>
      <c r="N360" s="248" t="s">
        <v>986</v>
      </c>
      <c r="O360" s="227"/>
      <c r="P360" s="227"/>
      <c r="Q360" s="249"/>
      <c r="R360" s="194"/>
      <c r="S360" s="195"/>
      <c r="T360" s="196"/>
      <c r="U360" s="195"/>
      <c r="V360" s="197"/>
    </row>
    <row r="361" spans="1:22" s="198" customFormat="1" ht="25.05" customHeight="1">
      <c r="A361" s="26">
        <v>8</v>
      </c>
      <c r="B361" s="27" t="s">
        <v>157</v>
      </c>
      <c r="C361" s="288" t="s">
        <v>987</v>
      </c>
      <c r="D361" s="191"/>
      <c r="E361" s="29">
        <v>1</v>
      </c>
      <c r="F361" s="30" t="s">
        <v>289</v>
      </c>
      <c r="G361" s="60"/>
      <c r="H361" s="60"/>
      <c r="I361" s="193"/>
      <c r="J361" s="200">
        <f t="shared" si="5"/>
        <v>0</v>
      </c>
      <c r="K361" s="60">
        <v>173.2</v>
      </c>
      <c r="L361" s="60"/>
      <c r="M361" s="226" t="s">
        <v>988</v>
      </c>
      <c r="N361" s="248" t="s">
        <v>989</v>
      </c>
      <c r="O361" s="227"/>
      <c r="P361" s="227"/>
      <c r="Q361" s="249"/>
      <c r="R361" s="194"/>
      <c r="S361" s="195"/>
      <c r="T361" s="196"/>
      <c r="U361" s="195"/>
      <c r="V361" s="197"/>
    </row>
    <row r="362" spans="1:22" s="198" customFormat="1" ht="25.05" customHeight="1">
      <c r="A362" s="26">
        <v>9</v>
      </c>
      <c r="B362" s="27" t="s">
        <v>157</v>
      </c>
      <c r="C362" s="288" t="s">
        <v>990</v>
      </c>
      <c r="D362" s="191"/>
      <c r="E362" s="29">
        <v>1</v>
      </c>
      <c r="F362" s="30" t="s">
        <v>289</v>
      </c>
      <c r="G362" s="60"/>
      <c r="H362" s="60"/>
      <c r="I362" s="193"/>
      <c r="J362" s="200">
        <f t="shared" si="5"/>
        <v>0</v>
      </c>
      <c r="K362" s="60">
        <v>323</v>
      </c>
      <c r="L362" s="60"/>
      <c r="M362" s="226" t="s">
        <v>991</v>
      </c>
      <c r="N362" s="248" t="s">
        <v>992</v>
      </c>
      <c r="O362" s="227"/>
      <c r="P362" s="227"/>
      <c r="Q362" s="249"/>
      <c r="R362" s="194"/>
      <c r="S362" s="195"/>
      <c r="T362" s="196"/>
      <c r="U362" s="195"/>
      <c r="V362" s="197"/>
    </row>
    <row r="363" spans="1:22" s="198" customFormat="1" ht="25.05" customHeight="1">
      <c r="A363" s="26">
        <v>10</v>
      </c>
      <c r="B363" s="27" t="s">
        <v>157</v>
      </c>
      <c r="C363" s="288" t="s">
        <v>993</v>
      </c>
      <c r="D363" s="191"/>
      <c r="E363" s="29">
        <v>1</v>
      </c>
      <c r="F363" s="30" t="s">
        <v>289</v>
      </c>
      <c r="G363" s="60"/>
      <c r="H363" s="60"/>
      <c r="I363" s="193"/>
      <c r="J363" s="200">
        <f t="shared" si="5"/>
        <v>0</v>
      </c>
      <c r="K363" s="60">
        <v>173.2</v>
      </c>
      <c r="L363" s="60"/>
      <c r="M363" s="226" t="s">
        <v>994</v>
      </c>
      <c r="N363" s="248" t="s">
        <v>995</v>
      </c>
      <c r="O363" s="227"/>
      <c r="P363" s="227"/>
      <c r="Q363" s="249"/>
      <c r="R363" s="194"/>
      <c r="S363" s="195"/>
      <c r="T363" s="196"/>
      <c r="U363" s="195"/>
      <c r="V363" s="197"/>
    </row>
    <row r="364" spans="1:22" s="198" customFormat="1" ht="25.05" customHeight="1">
      <c r="A364" s="26">
        <v>11</v>
      </c>
      <c r="B364" s="27" t="s">
        <v>157</v>
      </c>
      <c r="C364" s="288" t="s">
        <v>996</v>
      </c>
      <c r="D364" s="191"/>
      <c r="E364" s="29">
        <v>1</v>
      </c>
      <c r="F364" s="30" t="s">
        <v>289</v>
      </c>
      <c r="G364" s="60"/>
      <c r="H364" s="60"/>
      <c r="I364" s="193"/>
      <c r="J364" s="200">
        <f t="shared" si="5"/>
        <v>0</v>
      </c>
      <c r="K364" s="60">
        <v>323</v>
      </c>
      <c r="L364" s="60"/>
      <c r="M364" s="226" t="s">
        <v>997</v>
      </c>
      <c r="N364" s="248" t="s">
        <v>998</v>
      </c>
      <c r="O364" s="227"/>
      <c r="P364" s="227"/>
      <c r="Q364" s="249"/>
      <c r="R364" s="194"/>
      <c r="S364" s="195"/>
      <c r="T364" s="196"/>
      <c r="U364" s="195"/>
      <c r="V364" s="197"/>
    </row>
    <row r="365" spans="1:22" s="198" customFormat="1" ht="25.05" customHeight="1">
      <c r="A365" s="26">
        <v>12</v>
      </c>
      <c r="B365" s="27" t="s">
        <v>157</v>
      </c>
      <c r="C365" s="288" t="s">
        <v>999</v>
      </c>
      <c r="D365" s="191"/>
      <c r="E365" s="29">
        <v>1</v>
      </c>
      <c r="F365" s="30" t="s">
        <v>289</v>
      </c>
      <c r="G365" s="60"/>
      <c r="H365" s="60"/>
      <c r="I365" s="193"/>
      <c r="J365" s="200">
        <f t="shared" si="5"/>
        <v>0</v>
      </c>
      <c r="K365" s="60">
        <v>174.2</v>
      </c>
      <c r="L365" s="60"/>
      <c r="M365" s="226" t="s">
        <v>1000</v>
      </c>
      <c r="N365" s="248" t="s">
        <v>1001</v>
      </c>
      <c r="O365" s="227"/>
      <c r="P365" s="227"/>
      <c r="Q365" s="249"/>
      <c r="R365" s="194"/>
      <c r="S365" s="195"/>
      <c r="T365" s="196"/>
      <c r="U365" s="195"/>
      <c r="V365" s="197"/>
    </row>
    <row r="366" spans="1:22" s="198" customFormat="1" ht="25.05" customHeight="1">
      <c r="A366" s="26">
        <v>13</v>
      </c>
      <c r="B366" s="27" t="s">
        <v>157</v>
      </c>
      <c r="C366" s="288" t="s">
        <v>1002</v>
      </c>
      <c r="D366" s="191"/>
      <c r="E366" s="29">
        <v>1</v>
      </c>
      <c r="F366" s="30" t="s">
        <v>289</v>
      </c>
      <c r="G366" s="60"/>
      <c r="H366" s="60"/>
      <c r="I366" s="193"/>
      <c r="J366" s="200">
        <f t="shared" si="5"/>
        <v>0</v>
      </c>
      <c r="K366" s="60">
        <v>142</v>
      </c>
      <c r="L366" s="60"/>
      <c r="M366" s="226" t="s">
        <v>1003</v>
      </c>
      <c r="N366" s="248" t="s">
        <v>1004</v>
      </c>
      <c r="O366" s="227"/>
      <c r="P366" s="227"/>
      <c r="Q366" s="249"/>
      <c r="R366" s="194"/>
      <c r="S366" s="195"/>
      <c r="T366" s="196"/>
      <c r="U366" s="195"/>
      <c r="V366" s="197"/>
    </row>
    <row r="367" spans="1:22" s="198" customFormat="1" ht="25.05" customHeight="1">
      <c r="A367" s="26">
        <v>14</v>
      </c>
      <c r="B367" s="27" t="s">
        <v>157</v>
      </c>
      <c r="C367" s="288" t="s">
        <v>1005</v>
      </c>
      <c r="D367" s="191"/>
      <c r="E367" s="29">
        <v>1</v>
      </c>
      <c r="F367" s="30" t="s">
        <v>289</v>
      </c>
      <c r="G367" s="60"/>
      <c r="H367" s="60"/>
      <c r="I367" s="193"/>
      <c r="J367" s="200">
        <f t="shared" si="5"/>
        <v>0</v>
      </c>
      <c r="K367" s="60">
        <v>95</v>
      </c>
      <c r="L367" s="60"/>
      <c r="M367" s="226" t="s">
        <v>1006</v>
      </c>
      <c r="N367" s="248" t="s">
        <v>1007</v>
      </c>
      <c r="O367" s="227"/>
      <c r="P367" s="227"/>
      <c r="Q367" s="249"/>
      <c r="R367" s="194"/>
      <c r="S367" s="195"/>
      <c r="T367" s="196"/>
      <c r="U367" s="195"/>
      <c r="V367" s="197"/>
    </row>
    <row r="368" spans="1:22" s="198" customFormat="1" ht="25.05" customHeight="1">
      <c r="A368" s="26">
        <v>15</v>
      </c>
      <c r="B368" s="27" t="s">
        <v>157</v>
      </c>
      <c r="C368" s="288" t="s">
        <v>1008</v>
      </c>
      <c r="D368" s="191"/>
      <c r="E368" s="29">
        <v>1</v>
      </c>
      <c r="F368" s="30" t="s">
        <v>289</v>
      </c>
      <c r="G368" s="60"/>
      <c r="H368" s="60"/>
      <c r="I368" s="193"/>
      <c r="J368" s="200">
        <f t="shared" si="5"/>
        <v>0</v>
      </c>
      <c r="K368" s="60">
        <v>95</v>
      </c>
      <c r="L368" s="60"/>
      <c r="M368" s="226" t="s">
        <v>1009</v>
      </c>
      <c r="N368" s="248" t="s">
        <v>1010</v>
      </c>
      <c r="O368" s="227"/>
      <c r="P368" s="227"/>
      <c r="Q368" s="249"/>
      <c r="R368" s="194"/>
      <c r="S368" s="195"/>
      <c r="T368" s="196"/>
      <c r="U368" s="195"/>
      <c r="V368" s="197"/>
    </row>
    <row r="369" spans="1:22" s="198" customFormat="1" ht="25.05" customHeight="1">
      <c r="A369" s="26">
        <v>16</v>
      </c>
      <c r="B369" s="27" t="s">
        <v>157</v>
      </c>
      <c r="C369" s="288" t="s">
        <v>1011</v>
      </c>
      <c r="D369" s="191"/>
      <c r="E369" s="29">
        <v>1</v>
      </c>
      <c r="F369" s="30" t="s">
        <v>289</v>
      </c>
      <c r="G369" s="60"/>
      <c r="H369" s="60"/>
      <c r="I369" s="193"/>
      <c r="J369" s="200">
        <f t="shared" si="5"/>
        <v>0</v>
      </c>
      <c r="K369" s="60">
        <v>95</v>
      </c>
      <c r="L369" s="60"/>
      <c r="M369" s="226" t="s">
        <v>1012</v>
      </c>
      <c r="N369" s="248" t="s">
        <v>1013</v>
      </c>
      <c r="O369" s="227"/>
      <c r="P369" s="227"/>
      <c r="Q369" s="249"/>
      <c r="R369" s="194"/>
      <c r="S369" s="195"/>
      <c r="T369" s="196"/>
      <c r="U369" s="195"/>
      <c r="V369" s="197"/>
    </row>
    <row r="370" spans="1:22" s="198" customFormat="1" ht="25.05" customHeight="1">
      <c r="A370" s="26">
        <v>17</v>
      </c>
      <c r="B370" s="27" t="s">
        <v>157</v>
      </c>
      <c r="C370" s="288" t="s">
        <v>1014</v>
      </c>
      <c r="D370" s="191"/>
      <c r="E370" s="29">
        <v>1</v>
      </c>
      <c r="F370" s="30" t="s">
        <v>289</v>
      </c>
      <c r="G370" s="60"/>
      <c r="H370" s="60"/>
      <c r="I370" s="193"/>
      <c r="J370" s="200">
        <f t="shared" si="5"/>
        <v>0</v>
      </c>
      <c r="K370" s="60">
        <v>102</v>
      </c>
      <c r="L370" s="60"/>
      <c r="M370" s="226" t="s">
        <v>1015</v>
      </c>
      <c r="N370" s="248" t="s">
        <v>1016</v>
      </c>
      <c r="O370" s="227"/>
      <c r="P370" s="227"/>
      <c r="Q370" s="249"/>
      <c r="R370" s="194"/>
      <c r="S370" s="195"/>
      <c r="T370" s="196"/>
      <c r="U370" s="195"/>
      <c r="V370" s="197"/>
    </row>
    <row r="371" spans="1:22" s="198" customFormat="1" ht="25.05" customHeight="1">
      <c r="A371" s="26">
        <v>18</v>
      </c>
      <c r="B371" s="27" t="s">
        <v>157</v>
      </c>
      <c r="C371" s="288" t="s">
        <v>1017</v>
      </c>
      <c r="D371" s="191"/>
      <c r="E371" s="29">
        <v>1</v>
      </c>
      <c r="F371" s="30" t="s">
        <v>289</v>
      </c>
      <c r="G371" s="60"/>
      <c r="H371" s="60"/>
      <c r="I371" s="193"/>
      <c r="J371" s="200">
        <f t="shared" si="5"/>
        <v>0</v>
      </c>
      <c r="K371" s="60">
        <v>150</v>
      </c>
      <c r="L371" s="60"/>
      <c r="M371" s="226" t="s">
        <v>1018</v>
      </c>
      <c r="N371" s="248" t="s">
        <v>1019</v>
      </c>
      <c r="O371" s="227"/>
      <c r="P371" s="227"/>
      <c r="Q371" s="249"/>
      <c r="R371" s="194"/>
      <c r="S371" s="195"/>
      <c r="T371" s="196"/>
      <c r="U371" s="195"/>
      <c r="V371" s="197"/>
    </row>
    <row r="372" spans="1:22" s="198" customFormat="1" ht="25.05" customHeight="1">
      <c r="A372" s="26">
        <v>19</v>
      </c>
      <c r="B372" s="27" t="s">
        <v>157</v>
      </c>
      <c r="C372" s="288" t="s">
        <v>1020</v>
      </c>
      <c r="D372" s="191"/>
      <c r="E372" s="29">
        <v>1</v>
      </c>
      <c r="F372" s="30" t="s">
        <v>289</v>
      </c>
      <c r="G372" s="60"/>
      <c r="H372" s="60"/>
      <c r="I372" s="193"/>
      <c r="J372" s="200">
        <f t="shared" si="5"/>
        <v>0</v>
      </c>
      <c r="K372" s="60">
        <v>150</v>
      </c>
      <c r="L372" s="60"/>
      <c r="M372" s="226" t="s">
        <v>1021</v>
      </c>
      <c r="N372" s="248" t="s">
        <v>1022</v>
      </c>
      <c r="O372" s="227"/>
      <c r="P372" s="227"/>
      <c r="Q372" s="249"/>
      <c r="R372" s="194"/>
      <c r="S372" s="195"/>
      <c r="T372" s="196"/>
      <c r="U372" s="195"/>
      <c r="V372" s="197"/>
    </row>
    <row r="373" spans="1:22" s="198" customFormat="1" ht="25.05" customHeight="1">
      <c r="A373" s="26">
        <v>20</v>
      </c>
      <c r="B373" s="27" t="s">
        <v>157</v>
      </c>
      <c r="C373" s="288" t="s">
        <v>1023</v>
      </c>
      <c r="D373" s="191"/>
      <c r="E373" s="29">
        <v>1</v>
      </c>
      <c r="F373" s="30" t="s">
        <v>289</v>
      </c>
      <c r="G373" s="60"/>
      <c r="H373" s="60"/>
      <c r="I373" s="193"/>
      <c r="J373" s="200">
        <f t="shared" si="5"/>
        <v>0</v>
      </c>
      <c r="K373" s="60">
        <v>150</v>
      </c>
      <c r="L373" s="60"/>
      <c r="M373" s="226" t="s">
        <v>1024</v>
      </c>
      <c r="N373" s="248" t="s">
        <v>1025</v>
      </c>
      <c r="O373" s="227"/>
      <c r="P373" s="227"/>
      <c r="Q373" s="249"/>
      <c r="R373" s="194"/>
      <c r="S373" s="195"/>
      <c r="T373" s="196"/>
      <c r="U373" s="195"/>
      <c r="V373" s="197"/>
    </row>
    <row r="374" spans="1:22" s="198" customFormat="1" ht="25.05" customHeight="1">
      <c r="A374" s="26">
        <v>21</v>
      </c>
      <c r="B374" s="27" t="s">
        <v>157</v>
      </c>
      <c r="C374" s="288" t="s">
        <v>1026</v>
      </c>
      <c r="D374" s="191"/>
      <c r="E374" s="29">
        <v>1</v>
      </c>
      <c r="F374" s="30" t="s">
        <v>289</v>
      </c>
      <c r="G374" s="60"/>
      <c r="H374" s="60"/>
      <c r="I374" s="193"/>
      <c r="J374" s="200">
        <f t="shared" si="5"/>
        <v>0</v>
      </c>
      <c r="K374" s="60">
        <v>150</v>
      </c>
      <c r="L374" s="60"/>
      <c r="M374" s="226" t="s">
        <v>1027</v>
      </c>
      <c r="N374" s="248" t="s">
        <v>1028</v>
      </c>
      <c r="O374" s="227"/>
      <c r="P374" s="227"/>
      <c r="Q374" s="249"/>
      <c r="R374" s="194"/>
      <c r="S374" s="195"/>
      <c r="T374" s="196"/>
      <c r="U374" s="195"/>
      <c r="V374" s="197"/>
    </row>
    <row r="375" spans="1:22" s="198" customFormat="1" ht="25.05" customHeight="1">
      <c r="A375" s="264"/>
      <c r="B375" s="265"/>
      <c r="C375" s="289"/>
      <c r="D375" s="202"/>
      <c r="E375" s="266"/>
      <c r="F375" s="202"/>
      <c r="G375" s="267">
        <v>330</v>
      </c>
      <c r="H375" s="267">
        <v>230</v>
      </c>
      <c r="I375" s="268">
        <v>220</v>
      </c>
      <c r="J375" s="269">
        <f>ROUND(I375*H375*G375/1000000,3)</f>
        <v>16.698</v>
      </c>
      <c r="K375" s="267">
        <f>SUM(K354:K374)</f>
        <v>3338.7000000000003</v>
      </c>
      <c r="L375" s="267">
        <f>K375+100</f>
        <v>3438.7000000000003</v>
      </c>
      <c r="M375" s="224"/>
      <c r="N375" s="246"/>
      <c r="O375" s="225"/>
      <c r="P375" s="225"/>
      <c r="Q375" s="247"/>
      <c r="R375" s="194"/>
      <c r="S375" s="195"/>
      <c r="T375" s="196"/>
      <c r="U375" s="195"/>
      <c r="V375" s="197"/>
    </row>
    <row r="376" spans="1:22" s="198" customFormat="1" ht="25.05" customHeight="1">
      <c r="A376" s="26">
        <v>1</v>
      </c>
      <c r="B376" s="27" t="s">
        <v>158</v>
      </c>
      <c r="C376" s="288" t="s">
        <v>1029</v>
      </c>
      <c r="D376" s="191"/>
      <c r="E376" s="29">
        <v>1</v>
      </c>
      <c r="F376" s="30" t="s">
        <v>289</v>
      </c>
      <c r="G376" s="60"/>
      <c r="H376" s="60"/>
      <c r="I376" s="193"/>
      <c r="J376" s="200">
        <f t="shared" si="5"/>
        <v>0</v>
      </c>
      <c r="K376" s="60">
        <v>42</v>
      </c>
      <c r="L376" s="60"/>
      <c r="M376" s="226" t="s">
        <v>1030</v>
      </c>
      <c r="N376" s="248" t="s">
        <v>1031</v>
      </c>
      <c r="O376" s="227"/>
      <c r="P376" s="227"/>
      <c r="Q376" s="249"/>
      <c r="R376" s="194"/>
      <c r="S376" s="195"/>
      <c r="T376" s="196"/>
      <c r="U376" s="195"/>
      <c r="V376" s="197"/>
    </row>
    <row r="377" spans="1:22" s="198" customFormat="1" ht="25.05" customHeight="1">
      <c r="A377" s="26">
        <v>2</v>
      </c>
      <c r="B377" s="27" t="s">
        <v>158</v>
      </c>
      <c r="C377" s="288" t="s">
        <v>1032</v>
      </c>
      <c r="D377" s="191"/>
      <c r="E377" s="29">
        <v>1</v>
      </c>
      <c r="F377" s="30" t="s">
        <v>289</v>
      </c>
      <c r="G377" s="60"/>
      <c r="H377" s="60"/>
      <c r="I377" s="193"/>
      <c r="J377" s="200">
        <f t="shared" si="5"/>
        <v>0</v>
      </c>
      <c r="K377" s="60">
        <v>102.60000000000001</v>
      </c>
      <c r="L377" s="60"/>
      <c r="M377" s="226" t="s">
        <v>1033</v>
      </c>
      <c r="N377" s="248" t="s">
        <v>1034</v>
      </c>
      <c r="O377" s="227"/>
      <c r="P377" s="227"/>
      <c r="Q377" s="249"/>
      <c r="R377" s="194"/>
      <c r="S377" s="195"/>
      <c r="T377" s="196"/>
      <c r="U377" s="195"/>
      <c r="V377" s="197"/>
    </row>
    <row r="378" spans="1:22" s="198" customFormat="1" ht="25.05" customHeight="1">
      <c r="A378" s="26">
        <v>3</v>
      </c>
      <c r="B378" s="27" t="s">
        <v>158</v>
      </c>
      <c r="C378" s="288" t="s">
        <v>1035</v>
      </c>
      <c r="D378" s="191"/>
      <c r="E378" s="29">
        <v>1</v>
      </c>
      <c r="F378" s="30" t="s">
        <v>289</v>
      </c>
      <c r="G378" s="60"/>
      <c r="H378" s="60"/>
      <c r="I378" s="193"/>
      <c r="J378" s="200">
        <f t="shared" si="5"/>
        <v>0</v>
      </c>
      <c r="K378" s="60">
        <v>102.60000000000001</v>
      </c>
      <c r="L378" s="60"/>
      <c r="M378" s="226" t="s">
        <v>1036</v>
      </c>
      <c r="N378" s="248" t="s">
        <v>1037</v>
      </c>
      <c r="O378" s="227"/>
      <c r="P378" s="227"/>
      <c r="Q378" s="249"/>
      <c r="R378" s="194"/>
      <c r="S378" s="195"/>
      <c r="T378" s="196"/>
      <c r="U378" s="195"/>
      <c r="V378" s="197"/>
    </row>
    <row r="379" spans="1:22" s="198" customFormat="1" ht="25.05" customHeight="1">
      <c r="A379" s="26">
        <v>4</v>
      </c>
      <c r="B379" s="27" t="s">
        <v>158</v>
      </c>
      <c r="C379" s="288" t="s">
        <v>1038</v>
      </c>
      <c r="D379" s="191"/>
      <c r="E379" s="29">
        <v>1</v>
      </c>
      <c r="F379" s="30" t="s">
        <v>289</v>
      </c>
      <c r="G379" s="60"/>
      <c r="H379" s="60"/>
      <c r="I379" s="193"/>
      <c r="J379" s="200">
        <f t="shared" si="5"/>
        <v>0</v>
      </c>
      <c r="K379" s="60">
        <v>97.4</v>
      </c>
      <c r="L379" s="60"/>
      <c r="M379" s="226" t="s">
        <v>1039</v>
      </c>
      <c r="N379" s="248" t="s">
        <v>1040</v>
      </c>
      <c r="O379" s="227"/>
      <c r="P379" s="227"/>
      <c r="Q379" s="249"/>
      <c r="R379" s="194"/>
      <c r="S379" s="195"/>
      <c r="T379" s="196"/>
      <c r="U379" s="195"/>
      <c r="V379" s="197"/>
    </row>
    <row r="380" spans="1:22" s="198" customFormat="1" ht="25.05" customHeight="1">
      <c r="A380" s="26">
        <v>5</v>
      </c>
      <c r="B380" s="27" t="s">
        <v>158</v>
      </c>
      <c r="C380" s="288" t="s">
        <v>1041</v>
      </c>
      <c r="D380" s="191"/>
      <c r="E380" s="29">
        <v>1</v>
      </c>
      <c r="F380" s="30" t="s">
        <v>289</v>
      </c>
      <c r="G380" s="60"/>
      <c r="H380" s="60"/>
      <c r="I380" s="193"/>
      <c r="J380" s="200">
        <f t="shared" si="5"/>
        <v>0</v>
      </c>
      <c r="K380" s="60">
        <v>98.4</v>
      </c>
      <c r="L380" s="60"/>
      <c r="M380" s="226" t="s">
        <v>1042</v>
      </c>
      <c r="N380" s="248" t="s">
        <v>1043</v>
      </c>
      <c r="O380" s="227"/>
      <c r="P380" s="227"/>
      <c r="Q380" s="249"/>
      <c r="R380" s="194"/>
      <c r="S380" s="195"/>
      <c r="T380" s="196"/>
      <c r="U380" s="195"/>
      <c r="V380" s="197"/>
    </row>
    <row r="381" spans="1:22" s="198" customFormat="1" ht="25.05" customHeight="1">
      <c r="A381" s="26">
        <v>6</v>
      </c>
      <c r="B381" s="27" t="s">
        <v>158</v>
      </c>
      <c r="C381" s="288" t="s">
        <v>1044</v>
      </c>
      <c r="D381" s="191"/>
      <c r="E381" s="29">
        <v>1</v>
      </c>
      <c r="F381" s="30" t="s">
        <v>289</v>
      </c>
      <c r="G381" s="60"/>
      <c r="H381" s="60"/>
      <c r="I381" s="193"/>
      <c r="J381" s="200">
        <f t="shared" si="5"/>
        <v>0</v>
      </c>
      <c r="K381" s="60">
        <v>48</v>
      </c>
      <c r="L381" s="60"/>
      <c r="M381" s="226" t="s">
        <v>886</v>
      </c>
      <c r="N381" s="248" t="s">
        <v>1045</v>
      </c>
      <c r="O381" s="227"/>
      <c r="P381" s="227"/>
      <c r="Q381" s="249"/>
      <c r="R381" s="194"/>
      <c r="S381" s="195"/>
      <c r="T381" s="196"/>
      <c r="U381" s="195"/>
      <c r="V381" s="197"/>
    </row>
    <row r="382" spans="1:22" s="198" customFormat="1" ht="25.05" customHeight="1">
      <c r="A382" s="26">
        <v>7</v>
      </c>
      <c r="B382" s="27" t="s">
        <v>158</v>
      </c>
      <c r="C382" s="288" t="s">
        <v>1046</v>
      </c>
      <c r="D382" s="191"/>
      <c r="E382" s="29">
        <v>1</v>
      </c>
      <c r="F382" s="30" t="s">
        <v>289</v>
      </c>
      <c r="G382" s="60"/>
      <c r="H382" s="60"/>
      <c r="I382" s="193"/>
      <c r="J382" s="200">
        <f t="shared" si="5"/>
        <v>0</v>
      </c>
      <c r="K382" s="60">
        <v>31.5</v>
      </c>
      <c r="L382" s="60"/>
      <c r="M382" s="226" t="s">
        <v>1047</v>
      </c>
      <c r="N382" s="248" t="s">
        <v>1048</v>
      </c>
      <c r="O382" s="227"/>
      <c r="P382" s="227"/>
      <c r="Q382" s="249"/>
      <c r="R382" s="194"/>
      <c r="S382" s="195"/>
      <c r="T382" s="196"/>
      <c r="U382" s="195"/>
      <c r="V382" s="197"/>
    </row>
    <row r="383" spans="1:22" s="198" customFormat="1" ht="25.05" customHeight="1">
      <c r="A383" s="26">
        <v>8</v>
      </c>
      <c r="B383" s="27" t="s">
        <v>158</v>
      </c>
      <c r="C383" s="288" t="s">
        <v>1049</v>
      </c>
      <c r="D383" s="191"/>
      <c r="E383" s="29">
        <v>1</v>
      </c>
      <c r="F383" s="30" t="s">
        <v>289</v>
      </c>
      <c r="G383" s="60"/>
      <c r="H383" s="60"/>
      <c r="I383" s="193"/>
      <c r="J383" s="200">
        <f t="shared" si="5"/>
        <v>0</v>
      </c>
      <c r="K383" s="60">
        <v>42.2</v>
      </c>
      <c r="L383" s="60"/>
      <c r="M383" s="226" t="s">
        <v>1050</v>
      </c>
      <c r="N383" s="273" t="s">
        <v>1051</v>
      </c>
      <c r="O383" s="227"/>
      <c r="P383" s="227"/>
      <c r="Q383" s="249"/>
      <c r="R383" s="194"/>
      <c r="S383" s="195"/>
      <c r="T383" s="196"/>
      <c r="U383" s="195"/>
      <c r="V383" s="197"/>
    </row>
    <row r="384" spans="1:22" s="198" customFormat="1" ht="25.05" customHeight="1">
      <c r="A384" s="26">
        <v>9</v>
      </c>
      <c r="B384" s="27" t="s">
        <v>158</v>
      </c>
      <c r="C384" s="288" t="s">
        <v>1052</v>
      </c>
      <c r="D384" s="191"/>
      <c r="E384" s="29">
        <v>1</v>
      </c>
      <c r="F384" s="30" t="s">
        <v>289</v>
      </c>
      <c r="G384" s="60"/>
      <c r="H384" s="60"/>
      <c r="I384" s="193"/>
      <c r="J384" s="200">
        <f t="shared" si="5"/>
        <v>0</v>
      </c>
      <c r="K384" s="60">
        <v>43.7</v>
      </c>
      <c r="L384" s="60"/>
      <c r="M384" s="226" t="s">
        <v>1053</v>
      </c>
      <c r="N384" s="273" t="s">
        <v>1054</v>
      </c>
      <c r="O384" s="227"/>
      <c r="P384" s="227"/>
      <c r="Q384" s="249"/>
      <c r="R384" s="194"/>
      <c r="S384" s="195"/>
      <c r="T384" s="196"/>
      <c r="U384" s="195"/>
      <c r="V384" s="197"/>
    </row>
    <row r="385" spans="1:22" s="198" customFormat="1" ht="25.05" customHeight="1">
      <c r="A385" s="26">
        <v>10</v>
      </c>
      <c r="B385" s="27" t="s">
        <v>158</v>
      </c>
      <c r="C385" s="288" t="s">
        <v>1055</v>
      </c>
      <c r="D385" s="191"/>
      <c r="E385" s="29">
        <v>1</v>
      </c>
      <c r="F385" s="30" t="s">
        <v>289</v>
      </c>
      <c r="G385" s="60"/>
      <c r="H385" s="60"/>
      <c r="I385" s="193"/>
      <c r="J385" s="200">
        <f t="shared" si="5"/>
        <v>0</v>
      </c>
      <c r="K385" s="60">
        <v>40</v>
      </c>
      <c r="L385" s="60"/>
      <c r="M385" s="226" t="s">
        <v>1056</v>
      </c>
      <c r="N385" s="273" t="s">
        <v>1057</v>
      </c>
      <c r="O385" s="227"/>
      <c r="P385" s="227"/>
      <c r="Q385" s="249"/>
      <c r="R385" s="194"/>
      <c r="S385" s="195"/>
      <c r="T385" s="196"/>
      <c r="U385" s="195"/>
      <c r="V385" s="197"/>
    </row>
    <row r="386" spans="1:22" s="198" customFormat="1" ht="25.05" customHeight="1">
      <c r="A386" s="26">
        <v>11</v>
      </c>
      <c r="B386" s="27" t="s">
        <v>158</v>
      </c>
      <c r="C386" s="288" t="s">
        <v>1058</v>
      </c>
      <c r="D386" s="191"/>
      <c r="E386" s="29">
        <v>1</v>
      </c>
      <c r="F386" s="30" t="s">
        <v>289</v>
      </c>
      <c r="G386" s="60"/>
      <c r="H386" s="60"/>
      <c r="I386" s="193"/>
      <c r="J386" s="200">
        <f t="shared" si="5"/>
        <v>0</v>
      </c>
      <c r="K386" s="60">
        <v>31.5</v>
      </c>
      <c r="L386" s="60"/>
      <c r="M386" s="226" t="s">
        <v>1059</v>
      </c>
      <c r="N386" s="273" t="s">
        <v>1060</v>
      </c>
      <c r="O386" s="227"/>
      <c r="P386" s="227"/>
      <c r="Q386" s="249"/>
      <c r="R386" s="194"/>
      <c r="S386" s="195"/>
      <c r="T386" s="196"/>
      <c r="U386" s="195"/>
      <c r="V386" s="197"/>
    </row>
    <row r="387" spans="1:22" s="198" customFormat="1" ht="25.05" customHeight="1">
      <c r="A387" s="26">
        <v>12</v>
      </c>
      <c r="B387" s="27" t="s">
        <v>158</v>
      </c>
      <c r="C387" s="288" t="s">
        <v>1061</v>
      </c>
      <c r="D387" s="191"/>
      <c r="E387" s="29">
        <v>1</v>
      </c>
      <c r="F387" s="30" t="s">
        <v>289</v>
      </c>
      <c r="G387" s="60"/>
      <c r="H387" s="60"/>
      <c r="I387" s="193"/>
      <c r="J387" s="200">
        <f t="shared" si="5"/>
        <v>0</v>
      </c>
      <c r="K387" s="60">
        <v>47</v>
      </c>
      <c r="L387" s="60"/>
      <c r="M387" s="226" t="s">
        <v>1062</v>
      </c>
      <c r="N387" s="273" t="s">
        <v>1063</v>
      </c>
      <c r="O387" s="227"/>
      <c r="P387" s="227"/>
      <c r="Q387" s="249"/>
      <c r="R387" s="194"/>
      <c r="S387" s="195"/>
      <c r="T387" s="196"/>
      <c r="U387" s="195"/>
      <c r="V387" s="197"/>
    </row>
    <row r="388" spans="1:22" s="198" customFormat="1" ht="25.05" customHeight="1">
      <c r="A388" s="26">
        <v>13</v>
      </c>
      <c r="B388" s="27" t="s">
        <v>158</v>
      </c>
      <c r="C388" s="288" t="s">
        <v>1064</v>
      </c>
      <c r="D388" s="191"/>
      <c r="E388" s="29">
        <v>1</v>
      </c>
      <c r="F388" s="30" t="s">
        <v>289</v>
      </c>
      <c r="G388" s="60"/>
      <c r="H388" s="60"/>
      <c r="I388" s="193"/>
      <c r="J388" s="200">
        <f t="shared" si="5"/>
        <v>0</v>
      </c>
      <c r="K388" s="60">
        <v>49</v>
      </c>
      <c r="L388" s="60"/>
      <c r="M388" s="226" t="s">
        <v>1065</v>
      </c>
      <c r="N388" s="273" t="s">
        <v>1066</v>
      </c>
      <c r="O388" s="227"/>
      <c r="P388" s="227"/>
      <c r="Q388" s="249"/>
      <c r="R388" s="194"/>
      <c r="S388" s="195"/>
      <c r="T388" s="196"/>
      <c r="U388" s="195"/>
      <c r="V388" s="197"/>
    </row>
    <row r="389" spans="1:22" s="198" customFormat="1" ht="25.05" customHeight="1">
      <c r="A389" s="26">
        <v>14</v>
      </c>
      <c r="B389" s="27" t="s">
        <v>158</v>
      </c>
      <c r="C389" s="288" t="s">
        <v>1067</v>
      </c>
      <c r="D389" s="191"/>
      <c r="E389" s="29">
        <v>1</v>
      </c>
      <c r="F389" s="30" t="s">
        <v>289</v>
      </c>
      <c r="G389" s="60"/>
      <c r="H389" s="60"/>
      <c r="I389" s="193"/>
      <c r="J389" s="200">
        <f t="shared" si="5"/>
        <v>0</v>
      </c>
      <c r="K389" s="60">
        <v>45</v>
      </c>
      <c r="L389" s="60"/>
      <c r="M389" s="226" t="s">
        <v>1068</v>
      </c>
      <c r="N389" s="273" t="s">
        <v>1069</v>
      </c>
      <c r="O389" s="227"/>
      <c r="P389" s="227"/>
      <c r="Q389" s="249"/>
      <c r="R389" s="194"/>
      <c r="S389" s="195"/>
      <c r="T389" s="196"/>
      <c r="U389" s="195"/>
      <c r="V389" s="197"/>
    </row>
    <row r="390" spans="1:22" s="198" customFormat="1" ht="25.05" customHeight="1">
      <c r="A390" s="26">
        <v>15</v>
      </c>
      <c r="B390" s="27" t="s">
        <v>158</v>
      </c>
      <c r="C390" s="288" t="s">
        <v>1070</v>
      </c>
      <c r="D390" s="191"/>
      <c r="E390" s="29">
        <v>1</v>
      </c>
      <c r="F390" s="30" t="s">
        <v>289</v>
      </c>
      <c r="G390" s="60"/>
      <c r="H390" s="60"/>
      <c r="I390" s="193"/>
      <c r="J390" s="200">
        <f t="shared" si="5"/>
        <v>0</v>
      </c>
      <c r="K390" s="60">
        <v>45</v>
      </c>
      <c r="L390" s="60"/>
      <c r="M390" s="226" t="s">
        <v>1071</v>
      </c>
      <c r="N390" s="273" t="s">
        <v>1072</v>
      </c>
      <c r="O390" s="227"/>
      <c r="P390" s="227"/>
      <c r="Q390" s="249"/>
      <c r="R390" s="194"/>
      <c r="S390" s="195"/>
      <c r="T390" s="196"/>
      <c r="U390" s="195"/>
      <c r="V390" s="197"/>
    </row>
    <row r="391" spans="1:22" s="198" customFormat="1" ht="25.05" customHeight="1">
      <c r="A391" s="26">
        <v>16</v>
      </c>
      <c r="B391" s="27" t="s">
        <v>158</v>
      </c>
      <c r="C391" s="288" t="s">
        <v>1073</v>
      </c>
      <c r="D391" s="191"/>
      <c r="E391" s="29">
        <v>1</v>
      </c>
      <c r="F391" s="30" t="s">
        <v>289</v>
      </c>
      <c r="G391" s="60"/>
      <c r="H391" s="60"/>
      <c r="I391" s="193"/>
      <c r="J391" s="200">
        <f t="shared" si="5"/>
        <v>0</v>
      </c>
      <c r="K391" s="60">
        <v>45</v>
      </c>
      <c r="L391" s="60"/>
      <c r="M391" s="226" t="s">
        <v>1074</v>
      </c>
      <c r="N391" s="273" t="s">
        <v>1075</v>
      </c>
      <c r="O391" s="227"/>
      <c r="P391" s="227"/>
      <c r="Q391" s="249"/>
      <c r="R391" s="194"/>
      <c r="S391" s="195"/>
      <c r="T391" s="196"/>
      <c r="U391" s="195"/>
      <c r="V391" s="197"/>
    </row>
    <row r="392" spans="1:22" s="198" customFormat="1" ht="25.05" customHeight="1">
      <c r="A392" s="26">
        <v>17</v>
      </c>
      <c r="B392" s="27" t="s">
        <v>158</v>
      </c>
      <c r="C392" s="288" t="s">
        <v>1076</v>
      </c>
      <c r="D392" s="191"/>
      <c r="E392" s="29">
        <v>1</v>
      </c>
      <c r="F392" s="30" t="s">
        <v>289</v>
      </c>
      <c r="G392" s="60"/>
      <c r="H392" s="60"/>
      <c r="I392" s="193"/>
      <c r="J392" s="200">
        <f t="shared" si="5"/>
        <v>0</v>
      </c>
      <c r="K392" s="60">
        <v>25</v>
      </c>
      <c r="L392" s="60"/>
      <c r="M392" s="226" t="s">
        <v>1077</v>
      </c>
      <c r="N392" s="273" t="s">
        <v>1078</v>
      </c>
      <c r="O392" s="227"/>
      <c r="P392" s="227"/>
      <c r="Q392" s="249"/>
      <c r="R392" s="194"/>
      <c r="S392" s="195"/>
      <c r="T392" s="196"/>
      <c r="U392" s="195"/>
      <c r="V392" s="197"/>
    </row>
    <row r="393" spans="1:22" s="198" customFormat="1" ht="25.05" customHeight="1">
      <c r="A393" s="26">
        <v>18</v>
      </c>
      <c r="B393" s="27" t="s">
        <v>158</v>
      </c>
      <c r="C393" s="288" t="s">
        <v>1079</v>
      </c>
      <c r="D393" s="191"/>
      <c r="E393" s="29">
        <v>1</v>
      </c>
      <c r="F393" s="30" t="s">
        <v>289</v>
      </c>
      <c r="G393" s="60"/>
      <c r="H393" s="60"/>
      <c r="I393" s="193"/>
      <c r="J393" s="200">
        <f t="shared" si="5"/>
        <v>0</v>
      </c>
      <c r="K393" s="60">
        <v>31.5</v>
      </c>
      <c r="L393" s="60"/>
      <c r="M393" s="226" t="s">
        <v>1080</v>
      </c>
      <c r="N393" s="273" t="s">
        <v>1081</v>
      </c>
      <c r="O393" s="227"/>
      <c r="P393" s="227"/>
      <c r="Q393" s="249"/>
      <c r="R393" s="194"/>
      <c r="S393" s="195"/>
      <c r="T393" s="196"/>
      <c r="U393" s="195"/>
      <c r="V393" s="197"/>
    </row>
    <row r="394" spans="1:22" s="198" customFormat="1" ht="25.05" customHeight="1">
      <c r="A394" s="26">
        <v>19</v>
      </c>
      <c r="B394" s="27" t="s">
        <v>158</v>
      </c>
      <c r="C394" s="288" t="s">
        <v>1082</v>
      </c>
      <c r="D394" s="191"/>
      <c r="E394" s="29">
        <v>1</v>
      </c>
      <c r="F394" s="30" t="s">
        <v>289</v>
      </c>
      <c r="G394" s="60"/>
      <c r="H394" s="60"/>
      <c r="I394" s="193"/>
      <c r="J394" s="200">
        <f t="shared" si="5"/>
        <v>0</v>
      </c>
      <c r="K394" s="60">
        <v>43.7</v>
      </c>
      <c r="L394" s="60"/>
      <c r="M394" s="226" t="s">
        <v>1083</v>
      </c>
      <c r="N394" s="273" t="s">
        <v>1084</v>
      </c>
      <c r="O394" s="227"/>
      <c r="P394" s="227"/>
      <c r="Q394" s="249"/>
      <c r="R394" s="194"/>
      <c r="S394" s="195"/>
      <c r="T394" s="196"/>
      <c r="U394" s="195"/>
      <c r="V394" s="197"/>
    </row>
    <row r="395" spans="1:22" s="198" customFormat="1" ht="25.05" customHeight="1">
      <c r="A395" s="26">
        <v>20</v>
      </c>
      <c r="B395" s="27" t="s">
        <v>158</v>
      </c>
      <c r="C395" s="288" t="s">
        <v>1085</v>
      </c>
      <c r="D395" s="191"/>
      <c r="E395" s="29">
        <v>1</v>
      </c>
      <c r="F395" s="30" t="s">
        <v>289</v>
      </c>
      <c r="G395" s="60"/>
      <c r="H395" s="60"/>
      <c r="I395" s="193"/>
      <c r="J395" s="200">
        <f t="shared" si="5"/>
        <v>0</v>
      </c>
      <c r="K395" s="60">
        <v>40</v>
      </c>
      <c r="L395" s="60"/>
      <c r="M395" s="226" t="s">
        <v>1086</v>
      </c>
      <c r="N395" s="273" t="s">
        <v>1087</v>
      </c>
      <c r="O395" s="227"/>
      <c r="P395" s="227"/>
      <c r="Q395" s="249"/>
      <c r="R395" s="194"/>
      <c r="S395" s="195"/>
      <c r="T395" s="196"/>
      <c r="U395" s="195"/>
      <c r="V395" s="197"/>
    </row>
    <row r="396" spans="1:22" s="198" customFormat="1" ht="25.05" customHeight="1">
      <c r="A396" s="26">
        <v>21</v>
      </c>
      <c r="B396" s="27" t="s">
        <v>158</v>
      </c>
      <c r="C396" s="288" t="s">
        <v>1088</v>
      </c>
      <c r="D396" s="191"/>
      <c r="E396" s="29">
        <v>1</v>
      </c>
      <c r="F396" s="30" t="s">
        <v>289</v>
      </c>
      <c r="G396" s="60"/>
      <c r="H396" s="60"/>
      <c r="I396" s="193"/>
      <c r="J396" s="200">
        <f t="shared" si="5"/>
        <v>0</v>
      </c>
      <c r="K396" s="60">
        <v>31.4</v>
      </c>
      <c r="L396" s="60"/>
      <c r="M396" s="226" t="s">
        <v>1089</v>
      </c>
      <c r="N396" s="273" t="s">
        <v>1090</v>
      </c>
      <c r="O396" s="227"/>
      <c r="P396" s="227"/>
      <c r="Q396" s="249"/>
      <c r="R396" s="194"/>
      <c r="S396" s="195"/>
      <c r="T396" s="196"/>
      <c r="U396" s="195"/>
      <c r="V396" s="197"/>
    </row>
    <row r="397" spans="1:22" s="198" customFormat="1" ht="25.05" customHeight="1">
      <c r="A397" s="26">
        <v>22</v>
      </c>
      <c r="B397" s="27" t="s">
        <v>158</v>
      </c>
      <c r="C397" s="288" t="s">
        <v>1091</v>
      </c>
      <c r="D397" s="191"/>
      <c r="E397" s="29">
        <v>1</v>
      </c>
      <c r="F397" s="30" t="s">
        <v>289</v>
      </c>
      <c r="G397" s="60"/>
      <c r="H397" s="60"/>
      <c r="I397" s="193"/>
      <c r="J397" s="200">
        <f t="shared" si="5"/>
        <v>0</v>
      </c>
      <c r="K397" s="60">
        <v>47</v>
      </c>
      <c r="L397" s="60"/>
      <c r="M397" s="226" t="s">
        <v>1092</v>
      </c>
      <c r="N397" s="273" t="s">
        <v>1093</v>
      </c>
      <c r="O397" s="227"/>
      <c r="P397" s="227"/>
      <c r="Q397" s="249"/>
      <c r="R397" s="194"/>
      <c r="S397" s="195"/>
      <c r="T397" s="196"/>
      <c r="U397" s="195"/>
      <c r="V397" s="197"/>
    </row>
    <row r="398" spans="1:22" s="198" customFormat="1" ht="25.05" customHeight="1">
      <c r="A398" s="26">
        <v>23</v>
      </c>
      <c r="B398" s="27" t="s">
        <v>158</v>
      </c>
      <c r="C398" s="288" t="s">
        <v>1094</v>
      </c>
      <c r="D398" s="191"/>
      <c r="E398" s="29">
        <v>1</v>
      </c>
      <c r="F398" s="30" t="s">
        <v>289</v>
      </c>
      <c r="G398" s="60"/>
      <c r="H398" s="60"/>
      <c r="I398" s="193"/>
      <c r="J398" s="200">
        <f t="shared" si="5"/>
        <v>0</v>
      </c>
      <c r="K398" s="60">
        <v>47</v>
      </c>
      <c r="L398" s="60"/>
      <c r="M398" s="226" t="s">
        <v>1095</v>
      </c>
      <c r="N398" s="273" t="s">
        <v>1096</v>
      </c>
      <c r="O398" s="227"/>
      <c r="P398" s="227"/>
      <c r="Q398" s="249"/>
      <c r="R398" s="194"/>
      <c r="S398" s="195"/>
      <c r="T398" s="196"/>
      <c r="U398" s="195"/>
      <c r="V398" s="197"/>
    </row>
    <row r="399" spans="1:22" s="198" customFormat="1" ht="25.05" customHeight="1">
      <c r="A399" s="26">
        <v>24</v>
      </c>
      <c r="B399" s="27" t="s">
        <v>158</v>
      </c>
      <c r="C399" s="288" t="s">
        <v>1097</v>
      </c>
      <c r="D399" s="191"/>
      <c r="E399" s="29">
        <v>1</v>
      </c>
      <c r="F399" s="30" t="s">
        <v>289</v>
      </c>
      <c r="G399" s="60"/>
      <c r="H399" s="60"/>
      <c r="I399" s="193"/>
      <c r="J399" s="200">
        <f t="shared" si="5"/>
        <v>0</v>
      </c>
      <c r="K399" s="60">
        <v>45</v>
      </c>
      <c r="L399" s="60"/>
      <c r="M399" s="226" t="s">
        <v>1098</v>
      </c>
      <c r="N399" s="273" t="s">
        <v>1099</v>
      </c>
      <c r="O399" s="227"/>
      <c r="P399" s="227"/>
      <c r="Q399" s="249"/>
      <c r="R399" s="194"/>
      <c r="S399" s="195"/>
      <c r="T399" s="196"/>
      <c r="U399" s="195"/>
      <c r="V399" s="197"/>
    </row>
    <row r="400" spans="1:22" s="198" customFormat="1" ht="25.05" customHeight="1">
      <c r="A400" s="26">
        <v>25</v>
      </c>
      <c r="B400" s="27" t="s">
        <v>158</v>
      </c>
      <c r="C400" s="288" t="s">
        <v>1100</v>
      </c>
      <c r="D400" s="191"/>
      <c r="E400" s="29">
        <v>1</v>
      </c>
      <c r="F400" s="30" t="s">
        <v>289</v>
      </c>
      <c r="G400" s="60"/>
      <c r="H400" s="60"/>
      <c r="I400" s="193"/>
      <c r="J400" s="200">
        <f t="shared" si="5"/>
        <v>0</v>
      </c>
      <c r="K400" s="60">
        <v>45</v>
      </c>
      <c r="L400" s="60"/>
      <c r="M400" s="226" t="s">
        <v>1101</v>
      </c>
      <c r="N400" s="273" t="s">
        <v>1102</v>
      </c>
      <c r="O400" s="227"/>
      <c r="P400" s="227"/>
      <c r="Q400" s="249"/>
      <c r="R400" s="194"/>
      <c r="S400" s="195"/>
      <c r="T400" s="196"/>
      <c r="U400" s="195"/>
      <c r="V400" s="197"/>
    </row>
    <row r="401" spans="1:22" s="198" customFormat="1" ht="25.05" customHeight="1">
      <c r="A401" s="26">
        <v>26</v>
      </c>
      <c r="B401" s="27" t="s">
        <v>158</v>
      </c>
      <c r="C401" s="288" t="s">
        <v>1103</v>
      </c>
      <c r="D401" s="191"/>
      <c r="E401" s="29">
        <v>1</v>
      </c>
      <c r="F401" s="30" t="s">
        <v>289</v>
      </c>
      <c r="G401" s="60"/>
      <c r="H401" s="60"/>
      <c r="I401" s="193"/>
      <c r="J401" s="200">
        <f t="shared" si="5"/>
        <v>0</v>
      </c>
      <c r="K401" s="60">
        <v>45</v>
      </c>
      <c r="L401" s="60"/>
      <c r="M401" s="226" t="s">
        <v>1104</v>
      </c>
      <c r="N401" s="273" t="s">
        <v>1105</v>
      </c>
      <c r="O401" s="227"/>
      <c r="P401" s="227"/>
      <c r="Q401" s="249"/>
      <c r="R401" s="194"/>
      <c r="S401" s="195"/>
      <c r="T401" s="196"/>
      <c r="U401" s="195"/>
      <c r="V401" s="197"/>
    </row>
    <row r="402" spans="1:22" s="198" customFormat="1" ht="25.05" customHeight="1">
      <c r="A402" s="26">
        <v>27</v>
      </c>
      <c r="B402" s="27" t="s">
        <v>158</v>
      </c>
      <c r="C402" s="288" t="s">
        <v>1106</v>
      </c>
      <c r="D402" s="191"/>
      <c r="E402" s="29">
        <v>1</v>
      </c>
      <c r="F402" s="30" t="s">
        <v>289</v>
      </c>
      <c r="G402" s="60"/>
      <c r="H402" s="60"/>
      <c r="I402" s="193"/>
      <c r="J402" s="200">
        <f t="shared" si="5"/>
        <v>0</v>
      </c>
      <c r="K402" s="60">
        <v>85.800000000000011</v>
      </c>
      <c r="L402" s="60"/>
      <c r="M402" s="226" t="s">
        <v>1107</v>
      </c>
      <c r="N402" s="273" t="s">
        <v>1108</v>
      </c>
      <c r="O402" s="227"/>
      <c r="P402" s="227"/>
      <c r="Q402" s="249"/>
      <c r="R402" s="194"/>
      <c r="S402" s="195"/>
      <c r="T402" s="196"/>
      <c r="U402" s="195"/>
      <c r="V402" s="197"/>
    </row>
    <row r="403" spans="1:22" s="198" customFormat="1" ht="25.05" customHeight="1">
      <c r="A403" s="26">
        <v>28</v>
      </c>
      <c r="B403" s="27" t="s">
        <v>158</v>
      </c>
      <c r="C403" s="288" t="s">
        <v>1109</v>
      </c>
      <c r="D403" s="191"/>
      <c r="E403" s="29">
        <v>1</v>
      </c>
      <c r="F403" s="30" t="s">
        <v>289</v>
      </c>
      <c r="G403" s="60"/>
      <c r="H403" s="60"/>
      <c r="I403" s="193"/>
      <c r="J403" s="200">
        <f t="shared" si="5"/>
        <v>0</v>
      </c>
      <c r="K403" s="60">
        <v>85.800000000000011</v>
      </c>
      <c r="L403" s="60"/>
      <c r="M403" s="226" t="s">
        <v>1110</v>
      </c>
      <c r="N403" s="273" t="s">
        <v>1111</v>
      </c>
      <c r="O403" s="227"/>
      <c r="P403" s="227"/>
      <c r="Q403" s="249"/>
      <c r="R403" s="194"/>
      <c r="S403" s="195"/>
      <c r="T403" s="196"/>
      <c r="U403" s="195"/>
      <c r="V403" s="197"/>
    </row>
    <row r="404" spans="1:22" s="198" customFormat="1" ht="25.05" customHeight="1">
      <c r="A404" s="26">
        <v>29</v>
      </c>
      <c r="B404" s="27" t="s">
        <v>158</v>
      </c>
      <c r="C404" s="288" t="s">
        <v>1112</v>
      </c>
      <c r="D404" s="191"/>
      <c r="E404" s="29">
        <v>1</v>
      </c>
      <c r="F404" s="30" t="s">
        <v>289</v>
      </c>
      <c r="G404" s="60"/>
      <c r="H404" s="60"/>
      <c r="I404" s="193"/>
      <c r="J404" s="200">
        <f t="shared" si="5"/>
        <v>0</v>
      </c>
      <c r="K404" s="60">
        <v>85.8</v>
      </c>
      <c r="L404" s="60"/>
      <c r="M404" s="226" t="s">
        <v>1113</v>
      </c>
      <c r="N404" s="273" t="s">
        <v>1114</v>
      </c>
      <c r="O404" s="227"/>
      <c r="P404" s="227"/>
      <c r="Q404" s="249"/>
      <c r="R404" s="194"/>
      <c r="S404" s="195"/>
      <c r="T404" s="196"/>
      <c r="U404" s="195"/>
      <c r="V404" s="197"/>
    </row>
    <row r="405" spans="1:22" s="198" customFormat="1" ht="25.05" customHeight="1">
      <c r="A405" s="26">
        <v>30</v>
      </c>
      <c r="B405" s="27" t="s">
        <v>158</v>
      </c>
      <c r="C405" s="288" t="s">
        <v>1115</v>
      </c>
      <c r="D405" s="191"/>
      <c r="E405" s="29">
        <v>1</v>
      </c>
      <c r="F405" s="30" t="s">
        <v>289</v>
      </c>
      <c r="G405" s="60"/>
      <c r="H405" s="60"/>
      <c r="I405" s="193"/>
      <c r="J405" s="200">
        <f t="shared" si="5"/>
        <v>0</v>
      </c>
      <c r="K405" s="60">
        <v>85.8</v>
      </c>
      <c r="L405" s="60"/>
      <c r="M405" s="226" t="s">
        <v>1116</v>
      </c>
      <c r="N405" s="273" t="s">
        <v>1117</v>
      </c>
      <c r="O405" s="227"/>
      <c r="P405" s="227"/>
      <c r="Q405" s="249"/>
      <c r="R405" s="194"/>
      <c r="S405" s="195"/>
      <c r="T405" s="196"/>
      <c r="U405" s="195"/>
      <c r="V405" s="197"/>
    </row>
    <row r="406" spans="1:22" s="198" customFormat="1" ht="25.05" customHeight="1">
      <c r="A406" s="26">
        <v>31</v>
      </c>
      <c r="B406" s="27" t="s">
        <v>158</v>
      </c>
      <c r="C406" s="288" t="s">
        <v>1118</v>
      </c>
      <c r="D406" s="191"/>
      <c r="E406" s="29">
        <v>1</v>
      </c>
      <c r="F406" s="30" t="s">
        <v>289</v>
      </c>
      <c r="G406" s="60"/>
      <c r="H406" s="60"/>
      <c r="I406" s="193"/>
      <c r="J406" s="200">
        <f t="shared" si="5"/>
        <v>0</v>
      </c>
      <c r="K406" s="60">
        <v>90.800000000000011</v>
      </c>
      <c r="L406" s="60"/>
      <c r="M406" s="226" t="s">
        <v>1119</v>
      </c>
      <c r="N406" s="248" t="s">
        <v>1120</v>
      </c>
      <c r="O406" s="227"/>
      <c r="P406" s="227"/>
      <c r="Q406" s="249"/>
      <c r="R406" s="194"/>
      <c r="S406" s="195"/>
      <c r="T406" s="196"/>
      <c r="U406" s="195"/>
      <c r="V406" s="197"/>
    </row>
    <row r="407" spans="1:22" s="198" customFormat="1" ht="25.05" customHeight="1">
      <c r="A407" s="264"/>
      <c r="B407" s="265"/>
      <c r="C407" s="289"/>
      <c r="D407" s="202"/>
      <c r="E407" s="266"/>
      <c r="F407" s="202"/>
      <c r="G407" s="267">
        <v>245</v>
      </c>
      <c r="H407" s="267">
        <v>225</v>
      </c>
      <c r="I407" s="268">
        <v>140</v>
      </c>
      <c r="J407" s="269">
        <f>ROUND(I407*H407*G407/1000000,3)</f>
        <v>7.718</v>
      </c>
      <c r="K407" s="267">
        <f>SUM(K376:K406)</f>
        <v>1745.5</v>
      </c>
      <c r="L407" s="267">
        <f>K407+100</f>
        <v>1845.5</v>
      </c>
      <c r="M407" s="224"/>
      <c r="N407" s="246"/>
      <c r="O407" s="225"/>
      <c r="P407" s="225"/>
      <c r="Q407" s="247"/>
      <c r="R407" s="194"/>
      <c r="S407" s="195"/>
      <c r="T407" s="196"/>
      <c r="U407" s="195"/>
      <c r="V407" s="197"/>
    </row>
    <row r="408" spans="1:22" s="198" customFormat="1" ht="81" customHeight="1">
      <c r="A408" s="26">
        <v>1</v>
      </c>
      <c r="B408" s="27" t="s">
        <v>159</v>
      </c>
      <c r="C408" s="288" t="s">
        <v>1121</v>
      </c>
      <c r="D408" s="191"/>
      <c r="E408" s="29">
        <v>72</v>
      </c>
      <c r="F408" s="30" t="s">
        <v>289</v>
      </c>
      <c r="G408" s="60"/>
      <c r="H408" s="60"/>
      <c r="I408" s="193"/>
      <c r="J408" s="200">
        <f t="shared" si="5"/>
        <v>0</v>
      </c>
      <c r="K408" s="60">
        <v>11</v>
      </c>
      <c r="L408" s="60"/>
      <c r="M408" s="215" t="s">
        <v>1122</v>
      </c>
      <c r="N408" s="248" t="s">
        <v>1123</v>
      </c>
      <c r="O408" s="227"/>
      <c r="P408" s="227"/>
      <c r="Q408" s="249"/>
      <c r="R408" s="194"/>
      <c r="S408" s="195"/>
      <c r="T408" s="196"/>
      <c r="U408" s="195"/>
      <c r="V408" s="197"/>
    </row>
    <row r="409" spans="1:22" s="198" customFormat="1" ht="31.2">
      <c r="A409" s="26">
        <v>2</v>
      </c>
      <c r="B409" s="27" t="s">
        <v>159</v>
      </c>
      <c r="C409" s="288" t="s">
        <v>1124</v>
      </c>
      <c r="D409" s="191"/>
      <c r="E409" s="29">
        <v>16</v>
      </c>
      <c r="F409" s="30" t="s">
        <v>289</v>
      </c>
      <c r="G409" s="60"/>
      <c r="H409" s="60"/>
      <c r="I409" s="193"/>
      <c r="J409" s="200">
        <f t="shared" si="5"/>
        <v>0</v>
      </c>
      <c r="K409" s="60">
        <v>2</v>
      </c>
      <c r="L409" s="60"/>
      <c r="M409" s="215" t="s">
        <v>1125</v>
      </c>
      <c r="N409" s="248" t="s">
        <v>1126</v>
      </c>
      <c r="O409" s="227"/>
      <c r="P409" s="227"/>
      <c r="Q409" s="249"/>
      <c r="R409" s="194"/>
      <c r="S409" s="195"/>
      <c r="T409" s="196"/>
      <c r="U409" s="195"/>
      <c r="V409" s="197"/>
    </row>
    <row r="410" spans="1:22" s="198" customFormat="1" ht="15.6">
      <c r="A410" s="26">
        <v>3</v>
      </c>
      <c r="B410" s="27" t="s">
        <v>159</v>
      </c>
      <c r="C410" s="288" t="s">
        <v>1127</v>
      </c>
      <c r="D410" s="191"/>
      <c r="E410" s="29">
        <v>4</v>
      </c>
      <c r="F410" s="30" t="s">
        <v>289</v>
      </c>
      <c r="G410" s="60"/>
      <c r="H410" s="60"/>
      <c r="I410" s="193"/>
      <c r="J410" s="200">
        <f t="shared" si="5"/>
        <v>0</v>
      </c>
      <c r="K410" s="60">
        <v>1</v>
      </c>
      <c r="L410" s="60"/>
      <c r="M410" s="215" t="s">
        <v>669</v>
      </c>
      <c r="N410" s="248" t="s">
        <v>1128</v>
      </c>
      <c r="O410" s="227"/>
      <c r="P410" s="227"/>
      <c r="Q410" s="249"/>
      <c r="R410" s="194"/>
      <c r="S410" s="195"/>
      <c r="T410" s="196"/>
      <c r="U410" s="195"/>
      <c r="V410" s="197"/>
    </row>
    <row r="411" spans="1:22" s="198" customFormat="1" ht="62.4">
      <c r="A411" s="26">
        <v>4</v>
      </c>
      <c r="B411" s="27" t="s">
        <v>159</v>
      </c>
      <c r="C411" s="288" t="s">
        <v>1129</v>
      </c>
      <c r="D411" s="191"/>
      <c r="E411" s="29">
        <v>720</v>
      </c>
      <c r="F411" s="30" t="s">
        <v>289</v>
      </c>
      <c r="G411" s="60"/>
      <c r="H411" s="60"/>
      <c r="I411" s="193"/>
      <c r="J411" s="200">
        <f t="shared" si="5"/>
        <v>0</v>
      </c>
      <c r="K411" s="60">
        <v>1440</v>
      </c>
      <c r="L411" s="60"/>
      <c r="M411" s="215" t="s">
        <v>1130</v>
      </c>
      <c r="N411" s="248" t="s">
        <v>1131</v>
      </c>
      <c r="O411" s="227"/>
      <c r="P411" s="227"/>
      <c r="Q411" s="249"/>
      <c r="R411" s="194"/>
      <c r="S411" s="195"/>
      <c r="T411" s="196"/>
      <c r="U411" s="195"/>
      <c r="V411" s="197"/>
    </row>
    <row r="412" spans="1:22" s="198" customFormat="1" ht="15.6">
      <c r="A412" s="26">
        <v>5</v>
      </c>
      <c r="B412" s="27" t="s">
        <v>159</v>
      </c>
      <c r="C412" s="288" t="s">
        <v>1132</v>
      </c>
      <c r="D412" s="191"/>
      <c r="E412" s="29">
        <v>8</v>
      </c>
      <c r="F412" s="30" t="s">
        <v>289</v>
      </c>
      <c r="G412" s="60"/>
      <c r="H412" s="60"/>
      <c r="I412" s="193"/>
      <c r="J412" s="200">
        <f t="shared" si="5"/>
        <v>0</v>
      </c>
      <c r="K412" s="60">
        <v>3.5</v>
      </c>
      <c r="L412" s="60"/>
      <c r="M412" s="215" t="s">
        <v>369</v>
      </c>
      <c r="N412" s="248" t="s">
        <v>1133</v>
      </c>
      <c r="O412" s="227"/>
      <c r="P412" s="227"/>
      <c r="Q412" s="249"/>
      <c r="R412" s="194"/>
      <c r="S412" s="195"/>
      <c r="T412" s="196"/>
      <c r="U412" s="195"/>
      <c r="V412" s="197"/>
    </row>
    <row r="413" spans="1:22" s="198" customFormat="1" ht="88.5" customHeight="1">
      <c r="A413" s="26">
        <v>6</v>
      </c>
      <c r="B413" s="27" t="s">
        <v>159</v>
      </c>
      <c r="C413" s="288" t="s">
        <v>1134</v>
      </c>
      <c r="D413" s="191"/>
      <c r="E413" s="29">
        <v>84</v>
      </c>
      <c r="F413" s="30" t="s">
        <v>289</v>
      </c>
      <c r="G413" s="60"/>
      <c r="H413" s="60"/>
      <c r="I413" s="193"/>
      <c r="J413" s="200">
        <f t="shared" si="5"/>
        <v>0</v>
      </c>
      <c r="K413" s="60">
        <v>21</v>
      </c>
      <c r="L413" s="60"/>
      <c r="M413" s="215" t="s">
        <v>1135</v>
      </c>
      <c r="N413" s="248" t="s">
        <v>1136</v>
      </c>
      <c r="O413" s="227"/>
      <c r="P413" s="227"/>
      <c r="Q413" s="249"/>
      <c r="R413" s="194"/>
      <c r="S413" s="195"/>
      <c r="T413" s="196"/>
      <c r="U413" s="195"/>
      <c r="V413" s="197"/>
    </row>
    <row r="414" spans="1:22" s="198" customFormat="1" ht="31.2">
      <c r="A414" s="26">
        <v>7</v>
      </c>
      <c r="B414" s="27" t="s">
        <v>159</v>
      </c>
      <c r="C414" s="288" t="s">
        <v>1137</v>
      </c>
      <c r="D414" s="191"/>
      <c r="E414" s="29">
        <v>32</v>
      </c>
      <c r="F414" s="30" t="s">
        <v>289</v>
      </c>
      <c r="G414" s="60"/>
      <c r="H414" s="60"/>
      <c r="I414" s="193"/>
      <c r="J414" s="200">
        <f t="shared" si="5"/>
        <v>0</v>
      </c>
      <c r="K414" s="60">
        <v>9</v>
      </c>
      <c r="L414" s="60"/>
      <c r="M414" s="215" t="s">
        <v>1138</v>
      </c>
      <c r="N414" s="248" t="s">
        <v>1139</v>
      </c>
      <c r="O414" s="227"/>
      <c r="P414" s="227"/>
      <c r="Q414" s="249"/>
      <c r="R414" s="194"/>
      <c r="S414" s="195"/>
      <c r="T414" s="196"/>
      <c r="U414" s="195"/>
      <c r="V414" s="197"/>
    </row>
    <row r="415" spans="1:22" s="198" customFormat="1" ht="46.8">
      <c r="A415" s="26">
        <v>8</v>
      </c>
      <c r="B415" s="27" t="s">
        <v>159</v>
      </c>
      <c r="C415" s="288" t="s">
        <v>1140</v>
      </c>
      <c r="D415" s="191"/>
      <c r="E415" s="29">
        <v>24</v>
      </c>
      <c r="F415" s="30" t="s">
        <v>289</v>
      </c>
      <c r="G415" s="60"/>
      <c r="H415" s="60"/>
      <c r="I415" s="193"/>
      <c r="J415" s="200">
        <f t="shared" si="5"/>
        <v>0</v>
      </c>
      <c r="K415" s="60">
        <v>8</v>
      </c>
      <c r="L415" s="60"/>
      <c r="M415" s="215" t="s">
        <v>1141</v>
      </c>
      <c r="N415" s="248" t="s">
        <v>1142</v>
      </c>
      <c r="O415" s="227"/>
      <c r="P415" s="227"/>
      <c r="Q415" s="249"/>
      <c r="R415" s="194"/>
      <c r="S415" s="195"/>
      <c r="T415" s="196"/>
      <c r="U415" s="195"/>
      <c r="V415" s="197"/>
    </row>
    <row r="416" spans="1:22" s="198" customFormat="1" ht="31.2">
      <c r="A416" s="26">
        <v>9</v>
      </c>
      <c r="B416" s="27" t="s">
        <v>159</v>
      </c>
      <c r="C416" s="288" t="s">
        <v>1143</v>
      </c>
      <c r="D416" s="191"/>
      <c r="E416" s="29">
        <v>64</v>
      </c>
      <c r="F416" s="30" t="s">
        <v>289</v>
      </c>
      <c r="G416" s="60"/>
      <c r="H416" s="60"/>
      <c r="I416" s="193"/>
      <c r="J416" s="200">
        <f t="shared" si="5"/>
        <v>0</v>
      </c>
      <c r="K416" s="60">
        <v>19</v>
      </c>
      <c r="L416" s="60"/>
      <c r="M416" s="215" t="s">
        <v>1144</v>
      </c>
      <c r="N416" s="248" t="s">
        <v>1145</v>
      </c>
      <c r="O416" s="227"/>
      <c r="P416" s="227"/>
      <c r="Q416" s="249"/>
      <c r="R416" s="194"/>
      <c r="S416" s="195"/>
      <c r="T416" s="196"/>
      <c r="U416" s="195"/>
      <c r="V416" s="197"/>
    </row>
    <row r="417" spans="1:22" s="198" customFormat="1" ht="62.4">
      <c r="A417" s="26">
        <v>10</v>
      </c>
      <c r="B417" s="27" t="s">
        <v>159</v>
      </c>
      <c r="C417" s="288" t="s">
        <v>1146</v>
      </c>
      <c r="D417" s="191"/>
      <c r="E417" s="29">
        <v>144</v>
      </c>
      <c r="F417" s="30" t="s">
        <v>289</v>
      </c>
      <c r="G417" s="60"/>
      <c r="H417" s="60"/>
      <c r="I417" s="193"/>
      <c r="J417" s="200">
        <f t="shared" si="5"/>
        <v>0</v>
      </c>
      <c r="K417" s="60">
        <v>108</v>
      </c>
      <c r="L417" s="60"/>
      <c r="M417" s="215" t="s">
        <v>1147</v>
      </c>
      <c r="N417" s="248" t="s">
        <v>1148</v>
      </c>
      <c r="O417" s="227"/>
      <c r="P417" s="227"/>
      <c r="Q417" s="249"/>
      <c r="R417" s="194"/>
      <c r="S417" s="195"/>
      <c r="T417" s="196"/>
      <c r="U417" s="195"/>
      <c r="V417" s="197"/>
    </row>
    <row r="418" spans="1:22" s="198" customFormat="1" ht="31.2">
      <c r="A418" s="26">
        <v>11</v>
      </c>
      <c r="B418" s="27" t="s">
        <v>159</v>
      </c>
      <c r="C418" s="288" t="s">
        <v>1149</v>
      </c>
      <c r="D418" s="191"/>
      <c r="E418" s="29">
        <v>48</v>
      </c>
      <c r="F418" s="30" t="s">
        <v>289</v>
      </c>
      <c r="G418" s="60"/>
      <c r="H418" s="60"/>
      <c r="I418" s="193"/>
      <c r="J418" s="200">
        <f t="shared" si="5"/>
        <v>0</v>
      </c>
      <c r="K418" s="60">
        <v>39</v>
      </c>
      <c r="L418" s="60"/>
      <c r="M418" s="215" t="s">
        <v>1150</v>
      </c>
      <c r="N418" s="248" t="s">
        <v>1151</v>
      </c>
      <c r="O418" s="227"/>
      <c r="P418" s="227"/>
      <c r="Q418" s="249"/>
      <c r="R418" s="194"/>
      <c r="S418" s="195"/>
      <c r="T418" s="196"/>
      <c r="U418" s="195"/>
      <c r="V418" s="197"/>
    </row>
    <row r="419" spans="1:22" s="198" customFormat="1" ht="31.2">
      <c r="A419" s="26">
        <v>12</v>
      </c>
      <c r="B419" s="27" t="s">
        <v>159</v>
      </c>
      <c r="C419" s="288" t="s">
        <v>1152</v>
      </c>
      <c r="D419" s="191"/>
      <c r="E419" s="29">
        <v>4</v>
      </c>
      <c r="F419" s="30" t="s">
        <v>289</v>
      </c>
      <c r="G419" s="60"/>
      <c r="H419" s="60"/>
      <c r="I419" s="193"/>
      <c r="J419" s="200">
        <f t="shared" ref="J419:J482" si="6">ROUND(I419*H419*G419/1000000,3)</f>
        <v>0</v>
      </c>
      <c r="K419" s="60">
        <v>1</v>
      </c>
      <c r="L419" s="60"/>
      <c r="M419" s="215" t="s">
        <v>1153</v>
      </c>
      <c r="N419" s="248" t="s">
        <v>1154</v>
      </c>
      <c r="O419" s="227"/>
      <c r="P419" s="227"/>
      <c r="Q419" s="249"/>
      <c r="R419" s="194"/>
      <c r="S419" s="195"/>
      <c r="T419" s="196"/>
      <c r="U419" s="195"/>
      <c r="V419" s="197"/>
    </row>
    <row r="420" spans="1:22" s="198" customFormat="1" ht="31.2">
      <c r="A420" s="26">
        <v>13</v>
      </c>
      <c r="B420" s="27" t="s">
        <v>159</v>
      </c>
      <c r="C420" s="288" t="s">
        <v>1155</v>
      </c>
      <c r="D420" s="191"/>
      <c r="E420" s="29">
        <v>12</v>
      </c>
      <c r="F420" s="30" t="s">
        <v>289</v>
      </c>
      <c r="G420" s="60"/>
      <c r="H420" s="60"/>
      <c r="I420" s="193"/>
      <c r="J420" s="200">
        <f t="shared" si="6"/>
        <v>0</v>
      </c>
      <c r="K420" s="60">
        <v>2</v>
      </c>
      <c r="L420" s="60"/>
      <c r="M420" s="215" t="s">
        <v>1156</v>
      </c>
      <c r="N420" s="248" t="s">
        <v>1157</v>
      </c>
      <c r="O420" s="227"/>
      <c r="P420" s="227"/>
      <c r="Q420" s="249"/>
      <c r="R420" s="194"/>
      <c r="S420" s="195"/>
      <c r="T420" s="196"/>
      <c r="U420" s="195"/>
      <c r="V420" s="197"/>
    </row>
    <row r="421" spans="1:22" s="198" customFormat="1" ht="15.6">
      <c r="A421" s="26">
        <v>14</v>
      </c>
      <c r="B421" s="27" t="s">
        <v>159</v>
      </c>
      <c r="C421" s="288" t="s">
        <v>1158</v>
      </c>
      <c r="D421" s="191"/>
      <c r="E421" s="29">
        <v>2</v>
      </c>
      <c r="F421" s="30" t="s">
        <v>289</v>
      </c>
      <c r="G421" s="60"/>
      <c r="H421" s="60"/>
      <c r="I421" s="193"/>
      <c r="J421" s="200">
        <f t="shared" si="6"/>
        <v>0</v>
      </c>
      <c r="K421" s="60">
        <v>1</v>
      </c>
      <c r="L421" s="60"/>
      <c r="M421" s="215" t="s">
        <v>1159</v>
      </c>
      <c r="N421" s="248" t="s">
        <v>1160</v>
      </c>
      <c r="O421" s="227"/>
      <c r="P421" s="227"/>
      <c r="Q421" s="249"/>
      <c r="R421" s="194"/>
      <c r="S421" s="195"/>
      <c r="T421" s="196"/>
      <c r="U421" s="195"/>
      <c r="V421" s="197"/>
    </row>
    <row r="422" spans="1:22" s="198" customFormat="1" ht="15.6">
      <c r="A422" s="26">
        <v>15</v>
      </c>
      <c r="B422" s="27" t="s">
        <v>159</v>
      </c>
      <c r="C422" s="288" t="s">
        <v>1161</v>
      </c>
      <c r="D422" s="191"/>
      <c r="E422" s="29">
        <v>1</v>
      </c>
      <c r="F422" s="30" t="s">
        <v>289</v>
      </c>
      <c r="G422" s="60"/>
      <c r="H422" s="60"/>
      <c r="I422" s="193"/>
      <c r="J422" s="200">
        <f t="shared" si="6"/>
        <v>0</v>
      </c>
      <c r="K422" s="60">
        <v>1</v>
      </c>
      <c r="L422" s="60"/>
      <c r="M422" s="215" t="s">
        <v>877</v>
      </c>
      <c r="N422" s="248" t="s">
        <v>1162</v>
      </c>
      <c r="O422" s="227"/>
      <c r="P422" s="227"/>
      <c r="Q422" s="249"/>
      <c r="R422" s="194"/>
      <c r="S422" s="195"/>
      <c r="T422" s="196"/>
      <c r="U422" s="195"/>
      <c r="V422" s="197"/>
    </row>
    <row r="423" spans="1:22" s="198" customFormat="1" ht="128.25" customHeight="1">
      <c r="A423" s="26">
        <v>16</v>
      </c>
      <c r="B423" s="27" t="s">
        <v>159</v>
      </c>
      <c r="C423" s="288" t="s">
        <v>1163</v>
      </c>
      <c r="D423" s="191"/>
      <c r="E423" s="29">
        <v>360</v>
      </c>
      <c r="F423" s="30" t="s">
        <v>289</v>
      </c>
      <c r="G423" s="60"/>
      <c r="H423" s="60"/>
      <c r="I423" s="193"/>
      <c r="J423" s="200">
        <f t="shared" si="6"/>
        <v>0</v>
      </c>
      <c r="K423" s="60">
        <v>126</v>
      </c>
      <c r="L423" s="60"/>
      <c r="M423" s="215" t="s">
        <v>1164</v>
      </c>
      <c r="N423" s="248" t="s">
        <v>1165</v>
      </c>
      <c r="O423" s="227"/>
      <c r="P423" s="227"/>
      <c r="Q423" s="249"/>
      <c r="R423" s="194"/>
      <c r="S423" s="195"/>
      <c r="T423" s="196"/>
      <c r="U423" s="195"/>
      <c r="V423" s="197"/>
    </row>
    <row r="424" spans="1:22" s="198" customFormat="1" ht="128.25" customHeight="1">
      <c r="A424" s="26">
        <v>17</v>
      </c>
      <c r="B424" s="27" t="s">
        <v>159</v>
      </c>
      <c r="C424" s="288" t="s">
        <v>1166</v>
      </c>
      <c r="D424" s="191"/>
      <c r="E424" s="29">
        <v>130</v>
      </c>
      <c r="F424" s="30" t="s">
        <v>289</v>
      </c>
      <c r="G424" s="60"/>
      <c r="H424" s="60"/>
      <c r="I424" s="193"/>
      <c r="J424" s="200">
        <f t="shared" si="6"/>
        <v>0</v>
      </c>
      <c r="K424" s="60">
        <v>78</v>
      </c>
      <c r="L424" s="60"/>
      <c r="M424" s="215" t="s">
        <v>1167</v>
      </c>
      <c r="N424" s="248" t="s">
        <v>1168</v>
      </c>
      <c r="O424" s="227"/>
      <c r="P424" s="227"/>
      <c r="Q424" s="249"/>
      <c r="R424" s="194"/>
      <c r="S424" s="195"/>
      <c r="T424" s="196"/>
      <c r="U424" s="195"/>
      <c r="V424" s="197"/>
    </row>
    <row r="425" spans="1:22" s="198" customFormat="1" ht="25.05" customHeight="1">
      <c r="A425" s="264"/>
      <c r="B425" s="265"/>
      <c r="C425" s="289"/>
      <c r="D425" s="203"/>
      <c r="E425" s="266"/>
      <c r="F425" s="202"/>
      <c r="G425" s="267">
        <v>235</v>
      </c>
      <c r="H425" s="267">
        <v>110</v>
      </c>
      <c r="I425" s="268">
        <v>115</v>
      </c>
      <c r="J425" s="269">
        <f>ROUND(I425*H425*G425/1000000,3)</f>
        <v>2.9729999999999999</v>
      </c>
      <c r="K425" s="267">
        <f>SUM(K408:K424)</f>
        <v>1870.5</v>
      </c>
      <c r="L425" s="267">
        <f>K425+100</f>
        <v>1970.5</v>
      </c>
      <c r="M425" s="224"/>
      <c r="N425" s="246"/>
      <c r="O425" s="225"/>
      <c r="P425" s="225"/>
      <c r="Q425" s="247"/>
      <c r="R425" s="194"/>
      <c r="S425" s="195"/>
      <c r="T425" s="196"/>
      <c r="U425" s="195"/>
      <c r="V425" s="197"/>
    </row>
    <row r="426" spans="1:22" s="198" customFormat="1" ht="15.6">
      <c r="A426" s="26">
        <v>1</v>
      </c>
      <c r="B426" s="27" t="s">
        <v>160</v>
      </c>
      <c r="C426" s="288" t="s">
        <v>1169</v>
      </c>
      <c r="D426" s="191"/>
      <c r="E426" s="29">
        <v>1</v>
      </c>
      <c r="F426" s="30" t="s">
        <v>289</v>
      </c>
      <c r="G426" s="60"/>
      <c r="H426" s="60"/>
      <c r="I426" s="193"/>
      <c r="J426" s="200">
        <f t="shared" si="6"/>
        <v>0</v>
      </c>
      <c r="K426" s="60">
        <v>1</v>
      </c>
      <c r="L426" s="60"/>
      <c r="M426" s="215" t="s">
        <v>669</v>
      </c>
      <c r="N426" s="248" t="s">
        <v>1170</v>
      </c>
      <c r="O426" s="227"/>
      <c r="P426" s="227"/>
      <c r="Q426" s="249"/>
      <c r="R426" s="194"/>
      <c r="S426" s="195"/>
      <c r="T426" s="196"/>
      <c r="U426" s="195"/>
      <c r="V426" s="197"/>
    </row>
    <row r="427" spans="1:22" s="198" customFormat="1" ht="19.2">
      <c r="A427" s="26">
        <v>2</v>
      </c>
      <c r="B427" s="27" t="s">
        <v>160</v>
      </c>
      <c r="C427" s="288" t="s">
        <v>1171</v>
      </c>
      <c r="D427" s="191"/>
      <c r="E427" s="29">
        <v>1</v>
      </c>
      <c r="F427" s="30" t="s">
        <v>289</v>
      </c>
      <c r="G427" s="60"/>
      <c r="H427" s="60"/>
      <c r="I427" s="193"/>
      <c r="J427" s="200">
        <f t="shared" si="6"/>
        <v>0</v>
      </c>
      <c r="K427" s="60">
        <v>115</v>
      </c>
      <c r="L427" s="60"/>
      <c r="M427" s="215" t="s">
        <v>515</v>
      </c>
      <c r="N427" s="248" t="s">
        <v>1172</v>
      </c>
      <c r="O427" s="227"/>
      <c r="P427" s="227"/>
      <c r="Q427" s="249"/>
      <c r="R427" s="194"/>
      <c r="S427" s="195"/>
      <c r="T427" s="196"/>
      <c r="U427" s="195"/>
      <c r="V427" s="197"/>
    </row>
    <row r="428" spans="1:22" s="198" customFormat="1" ht="31.2">
      <c r="A428" s="26">
        <v>3</v>
      </c>
      <c r="B428" s="27" t="s">
        <v>160</v>
      </c>
      <c r="C428" s="288" t="s">
        <v>1173</v>
      </c>
      <c r="D428" s="191"/>
      <c r="E428" s="29">
        <v>8</v>
      </c>
      <c r="F428" s="30" t="s">
        <v>289</v>
      </c>
      <c r="G428" s="60"/>
      <c r="H428" s="60"/>
      <c r="I428" s="193"/>
      <c r="J428" s="200">
        <f t="shared" si="6"/>
        <v>0</v>
      </c>
      <c r="K428" s="60">
        <v>320</v>
      </c>
      <c r="L428" s="60"/>
      <c r="M428" s="215" t="s">
        <v>1174</v>
      </c>
      <c r="N428" s="248" t="s">
        <v>1175</v>
      </c>
      <c r="O428" s="227"/>
      <c r="P428" s="227"/>
      <c r="Q428" s="249"/>
      <c r="R428" s="194"/>
      <c r="S428" s="195"/>
      <c r="T428" s="196"/>
      <c r="U428" s="195"/>
      <c r="V428" s="197"/>
    </row>
    <row r="429" spans="1:22" s="198" customFormat="1" ht="15.6">
      <c r="A429" s="26">
        <v>4</v>
      </c>
      <c r="B429" s="27" t="s">
        <v>160</v>
      </c>
      <c r="C429" s="288" t="s">
        <v>1176</v>
      </c>
      <c r="D429" s="191"/>
      <c r="E429" s="29">
        <v>2</v>
      </c>
      <c r="F429" s="30" t="s">
        <v>289</v>
      </c>
      <c r="G429" s="60"/>
      <c r="H429" s="60"/>
      <c r="I429" s="193"/>
      <c r="J429" s="200">
        <f t="shared" si="6"/>
        <v>0</v>
      </c>
      <c r="K429" s="60">
        <v>0.2</v>
      </c>
      <c r="L429" s="60"/>
      <c r="M429" s="215" t="s">
        <v>669</v>
      </c>
      <c r="N429" s="248" t="s">
        <v>1177</v>
      </c>
      <c r="O429" s="227"/>
      <c r="P429" s="227"/>
      <c r="Q429" s="249"/>
      <c r="R429" s="194"/>
      <c r="S429" s="195"/>
      <c r="T429" s="196"/>
      <c r="U429" s="195"/>
      <c r="V429" s="197"/>
    </row>
    <row r="430" spans="1:22" s="198" customFormat="1" ht="62.4">
      <c r="A430" s="26">
        <v>5</v>
      </c>
      <c r="B430" s="27" t="s">
        <v>160</v>
      </c>
      <c r="C430" s="288" t="s">
        <v>1178</v>
      </c>
      <c r="D430" s="191"/>
      <c r="E430" s="29">
        <v>22</v>
      </c>
      <c r="F430" s="30" t="s">
        <v>289</v>
      </c>
      <c r="G430" s="60"/>
      <c r="H430" s="60"/>
      <c r="I430" s="193"/>
      <c r="J430" s="200">
        <f t="shared" si="6"/>
        <v>0</v>
      </c>
      <c r="K430" s="60">
        <v>1</v>
      </c>
      <c r="L430" s="60"/>
      <c r="M430" s="215" t="s">
        <v>1179</v>
      </c>
      <c r="N430" s="248" t="s">
        <v>1180</v>
      </c>
      <c r="O430" s="227"/>
      <c r="P430" s="227"/>
      <c r="Q430" s="249"/>
      <c r="R430" s="194"/>
      <c r="S430" s="195"/>
      <c r="T430" s="196"/>
      <c r="U430" s="195"/>
      <c r="V430" s="197"/>
    </row>
    <row r="431" spans="1:22" s="198" customFormat="1" ht="62.4">
      <c r="A431" s="26">
        <v>6</v>
      </c>
      <c r="B431" s="27" t="s">
        <v>160</v>
      </c>
      <c r="C431" s="288" t="s">
        <v>1181</v>
      </c>
      <c r="D431" s="191"/>
      <c r="E431" s="29">
        <v>8</v>
      </c>
      <c r="F431" s="30" t="s">
        <v>289</v>
      </c>
      <c r="G431" s="60"/>
      <c r="H431" s="60"/>
      <c r="I431" s="193"/>
      <c r="J431" s="200">
        <f t="shared" si="6"/>
        <v>0</v>
      </c>
      <c r="K431" s="60">
        <v>1</v>
      </c>
      <c r="L431" s="60"/>
      <c r="M431" s="215" t="s">
        <v>1182</v>
      </c>
      <c r="N431" s="248" t="s">
        <v>1183</v>
      </c>
      <c r="O431" s="227"/>
      <c r="P431" s="227"/>
      <c r="Q431" s="249"/>
      <c r="R431" s="194"/>
      <c r="S431" s="195"/>
      <c r="T431" s="196"/>
      <c r="U431" s="195"/>
      <c r="V431" s="197"/>
    </row>
    <row r="432" spans="1:22" s="198" customFormat="1" ht="62.4">
      <c r="A432" s="26">
        <v>7</v>
      </c>
      <c r="B432" s="27" t="s">
        <v>160</v>
      </c>
      <c r="C432" s="288" t="s">
        <v>1184</v>
      </c>
      <c r="D432" s="191"/>
      <c r="E432" s="29">
        <v>37</v>
      </c>
      <c r="F432" s="30" t="s">
        <v>289</v>
      </c>
      <c r="G432" s="60"/>
      <c r="H432" s="60"/>
      <c r="I432" s="193"/>
      <c r="J432" s="200">
        <f t="shared" si="6"/>
        <v>0</v>
      </c>
      <c r="K432" s="60">
        <v>79.2</v>
      </c>
      <c r="L432" s="60"/>
      <c r="M432" s="215" t="s">
        <v>1130</v>
      </c>
      <c r="N432" s="248" t="s">
        <v>1185</v>
      </c>
      <c r="O432" s="227"/>
      <c r="P432" s="227"/>
      <c r="Q432" s="249"/>
      <c r="R432" s="194"/>
      <c r="S432" s="195"/>
      <c r="T432" s="196"/>
      <c r="U432" s="195"/>
      <c r="V432" s="197"/>
    </row>
    <row r="433" spans="1:22" s="198" customFormat="1" ht="78">
      <c r="A433" s="26">
        <v>8</v>
      </c>
      <c r="B433" s="27" t="s">
        <v>160</v>
      </c>
      <c r="C433" s="288" t="s">
        <v>1186</v>
      </c>
      <c r="D433" s="191"/>
      <c r="E433" s="29">
        <v>20</v>
      </c>
      <c r="F433" s="30" t="s">
        <v>289</v>
      </c>
      <c r="G433" s="60"/>
      <c r="H433" s="60"/>
      <c r="I433" s="193"/>
      <c r="J433" s="200">
        <f t="shared" si="6"/>
        <v>0</v>
      </c>
      <c r="K433" s="60">
        <v>2.8</v>
      </c>
      <c r="L433" s="60"/>
      <c r="M433" s="215" t="s">
        <v>1187</v>
      </c>
      <c r="N433" s="248" t="s">
        <v>1188</v>
      </c>
      <c r="O433" s="227"/>
      <c r="P433" s="227"/>
      <c r="Q433" s="249"/>
      <c r="R433" s="194"/>
      <c r="S433" s="195"/>
      <c r="T433" s="196"/>
      <c r="U433" s="195"/>
      <c r="V433" s="197"/>
    </row>
    <row r="434" spans="1:22" s="198" customFormat="1" ht="15.6">
      <c r="A434" s="26">
        <v>9</v>
      </c>
      <c r="B434" s="27" t="s">
        <v>160</v>
      </c>
      <c r="C434" s="288" t="s">
        <v>1189</v>
      </c>
      <c r="D434" s="191"/>
      <c r="E434" s="29">
        <v>3</v>
      </c>
      <c r="F434" s="30" t="s">
        <v>289</v>
      </c>
      <c r="G434" s="60"/>
      <c r="H434" s="60"/>
      <c r="I434" s="193"/>
      <c r="J434" s="200">
        <f t="shared" si="6"/>
        <v>0</v>
      </c>
      <c r="K434" s="60">
        <v>0.51</v>
      </c>
      <c r="L434" s="60"/>
      <c r="M434" s="215" t="s">
        <v>1190</v>
      </c>
      <c r="N434" s="248" t="s">
        <v>1191</v>
      </c>
      <c r="O434" s="227"/>
      <c r="P434" s="227"/>
      <c r="Q434" s="249"/>
      <c r="R434" s="194"/>
      <c r="S434" s="195"/>
      <c r="T434" s="196"/>
      <c r="U434" s="195"/>
      <c r="V434" s="197"/>
    </row>
    <row r="435" spans="1:22" s="198" customFormat="1" ht="31.2">
      <c r="A435" s="26">
        <v>10</v>
      </c>
      <c r="B435" s="27" t="s">
        <v>160</v>
      </c>
      <c r="C435" s="288" t="s">
        <v>1192</v>
      </c>
      <c r="D435" s="191"/>
      <c r="E435" s="29">
        <v>7</v>
      </c>
      <c r="F435" s="30" t="s">
        <v>289</v>
      </c>
      <c r="G435" s="60"/>
      <c r="H435" s="60"/>
      <c r="I435" s="193"/>
      <c r="J435" s="200">
        <f t="shared" si="6"/>
        <v>0</v>
      </c>
      <c r="K435" s="60">
        <v>1.1900000000000002</v>
      </c>
      <c r="L435" s="60"/>
      <c r="M435" s="215" t="s">
        <v>1193</v>
      </c>
      <c r="N435" s="248" t="s">
        <v>1194</v>
      </c>
      <c r="O435" s="227"/>
      <c r="P435" s="227"/>
      <c r="Q435" s="249"/>
      <c r="R435" s="194"/>
      <c r="S435" s="195"/>
      <c r="T435" s="196"/>
      <c r="U435" s="195"/>
      <c r="V435" s="197"/>
    </row>
    <row r="436" spans="1:22" s="198" customFormat="1" ht="15.6">
      <c r="A436" s="26">
        <v>11</v>
      </c>
      <c r="B436" s="27" t="s">
        <v>160</v>
      </c>
      <c r="C436" s="288" t="s">
        <v>1195</v>
      </c>
      <c r="D436" s="191"/>
      <c r="E436" s="29">
        <v>1</v>
      </c>
      <c r="F436" s="30" t="s">
        <v>289</v>
      </c>
      <c r="G436" s="60"/>
      <c r="H436" s="60"/>
      <c r="I436" s="193"/>
      <c r="J436" s="200">
        <f t="shared" si="6"/>
        <v>0</v>
      </c>
      <c r="K436" s="60">
        <v>0.1</v>
      </c>
      <c r="L436" s="60"/>
      <c r="M436" s="215" t="s">
        <v>694</v>
      </c>
      <c r="N436" s="248" t="s">
        <v>1196</v>
      </c>
      <c r="O436" s="227"/>
      <c r="P436" s="227"/>
      <c r="Q436" s="249"/>
      <c r="R436" s="194"/>
      <c r="S436" s="195"/>
      <c r="T436" s="196"/>
      <c r="U436" s="195"/>
      <c r="V436" s="197"/>
    </row>
    <row r="437" spans="1:22" s="198" customFormat="1" ht="15.6">
      <c r="A437" s="26">
        <v>12</v>
      </c>
      <c r="B437" s="27" t="s">
        <v>160</v>
      </c>
      <c r="C437" s="288" t="s">
        <v>1197</v>
      </c>
      <c r="D437" s="191"/>
      <c r="E437" s="29">
        <v>1</v>
      </c>
      <c r="F437" s="30" t="s">
        <v>289</v>
      </c>
      <c r="G437" s="60"/>
      <c r="H437" s="60"/>
      <c r="I437" s="193"/>
      <c r="J437" s="200">
        <f t="shared" si="6"/>
        <v>0</v>
      </c>
      <c r="K437" s="60">
        <v>1</v>
      </c>
      <c r="L437" s="60"/>
      <c r="M437" s="215" t="s">
        <v>369</v>
      </c>
      <c r="N437" s="248" t="s">
        <v>1198</v>
      </c>
      <c r="O437" s="227"/>
      <c r="P437" s="227"/>
      <c r="Q437" s="249"/>
      <c r="R437" s="194"/>
      <c r="S437" s="195"/>
      <c r="T437" s="196"/>
      <c r="U437" s="195"/>
      <c r="V437" s="197"/>
    </row>
    <row r="438" spans="1:22" s="198" customFormat="1" ht="62.4">
      <c r="A438" s="26">
        <v>13</v>
      </c>
      <c r="B438" s="27" t="s">
        <v>160</v>
      </c>
      <c r="C438" s="288" t="s">
        <v>1199</v>
      </c>
      <c r="D438" s="191"/>
      <c r="E438" s="29">
        <v>12</v>
      </c>
      <c r="F438" s="30" t="s">
        <v>289</v>
      </c>
      <c r="G438" s="60"/>
      <c r="H438" s="60"/>
      <c r="I438" s="193"/>
      <c r="J438" s="200">
        <f t="shared" si="6"/>
        <v>0</v>
      </c>
      <c r="K438" s="60">
        <v>12</v>
      </c>
      <c r="L438" s="60"/>
      <c r="M438" s="215" t="s">
        <v>1200</v>
      </c>
      <c r="N438" s="248" t="s">
        <v>1201</v>
      </c>
      <c r="O438" s="227"/>
      <c r="P438" s="227"/>
      <c r="Q438" s="249"/>
      <c r="R438" s="194"/>
      <c r="S438" s="195"/>
      <c r="T438" s="196"/>
      <c r="U438" s="195"/>
      <c r="V438" s="197"/>
    </row>
    <row r="439" spans="1:22" s="198" customFormat="1" ht="31.2">
      <c r="A439" s="26">
        <v>14</v>
      </c>
      <c r="B439" s="27" t="s">
        <v>160</v>
      </c>
      <c r="C439" s="288" t="s">
        <v>1202</v>
      </c>
      <c r="D439" s="191"/>
      <c r="E439" s="29">
        <v>4</v>
      </c>
      <c r="F439" s="30" t="s">
        <v>289</v>
      </c>
      <c r="G439" s="60"/>
      <c r="H439" s="60"/>
      <c r="I439" s="193"/>
      <c r="J439" s="200">
        <f t="shared" si="6"/>
        <v>0</v>
      </c>
      <c r="K439" s="60">
        <v>4</v>
      </c>
      <c r="L439" s="60"/>
      <c r="M439" s="215" t="s">
        <v>1150</v>
      </c>
      <c r="N439" s="248" t="s">
        <v>1203</v>
      </c>
      <c r="O439" s="227"/>
      <c r="P439" s="227"/>
      <c r="Q439" s="249"/>
      <c r="R439" s="194"/>
      <c r="S439" s="195"/>
      <c r="T439" s="196"/>
      <c r="U439" s="195"/>
      <c r="V439" s="197"/>
    </row>
    <row r="440" spans="1:22" s="198" customFormat="1" ht="25.05" customHeight="1">
      <c r="A440" s="264"/>
      <c r="B440" s="265"/>
      <c r="C440" s="289"/>
      <c r="D440" s="203"/>
      <c r="E440" s="266"/>
      <c r="F440" s="202"/>
      <c r="G440" s="267">
        <v>150</v>
      </c>
      <c r="H440" s="267">
        <v>100</v>
      </c>
      <c r="I440" s="268">
        <v>105</v>
      </c>
      <c r="J440" s="269">
        <f>ROUND(I440*H440*G440/1000000,3)</f>
        <v>1.575</v>
      </c>
      <c r="K440" s="267">
        <f>SUM(K426:K439)</f>
        <v>539</v>
      </c>
      <c r="L440" s="267">
        <v>600</v>
      </c>
      <c r="M440" s="224"/>
      <c r="N440" s="246"/>
      <c r="O440" s="225"/>
      <c r="P440" s="225"/>
      <c r="Q440" s="247"/>
      <c r="R440" s="194"/>
      <c r="S440" s="195"/>
      <c r="T440" s="196"/>
      <c r="U440" s="195"/>
      <c r="V440" s="197"/>
    </row>
    <row r="441" spans="1:22" s="198" customFormat="1" ht="19.2">
      <c r="A441" s="26">
        <v>1</v>
      </c>
      <c r="B441" s="27" t="s">
        <v>161</v>
      </c>
      <c r="C441" s="288" t="s">
        <v>1204</v>
      </c>
      <c r="D441" s="204"/>
      <c r="E441" s="29">
        <v>2</v>
      </c>
      <c r="F441" s="30" t="s">
        <v>289</v>
      </c>
      <c r="G441" s="60"/>
      <c r="H441" s="60"/>
      <c r="I441" s="193"/>
      <c r="J441" s="200">
        <f t="shared" si="6"/>
        <v>0</v>
      </c>
      <c r="K441" s="60">
        <v>104</v>
      </c>
      <c r="L441" s="60"/>
      <c r="M441" s="215" t="s">
        <v>1205</v>
      </c>
      <c r="N441" s="248" t="s">
        <v>1206</v>
      </c>
      <c r="O441" s="227"/>
      <c r="P441" s="227"/>
      <c r="Q441" s="249"/>
      <c r="R441" s="194"/>
      <c r="S441" s="195"/>
      <c r="T441" s="196"/>
      <c r="U441" s="195"/>
      <c r="V441" s="197"/>
    </row>
    <row r="442" spans="1:22" s="198" customFormat="1" ht="19.2">
      <c r="A442" s="26">
        <v>2</v>
      </c>
      <c r="B442" s="27" t="s">
        <v>161</v>
      </c>
      <c r="C442" s="288" t="s">
        <v>1207</v>
      </c>
      <c r="D442" s="204"/>
      <c r="E442" s="29">
        <v>4</v>
      </c>
      <c r="F442" s="30" t="s">
        <v>289</v>
      </c>
      <c r="G442" s="60"/>
      <c r="H442" s="60"/>
      <c r="I442" s="193"/>
      <c r="J442" s="200">
        <f t="shared" si="6"/>
        <v>0</v>
      </c>
      <c r="K442" s="60">
        <v>14</v>
      </c>
      <c r="L442" s="60"/>
      <c r="M442" s="215" t="s">
        <v>1208</v>
      </c>
      <c r="N442" s="248" t="s">
        <v>1209</v>
      </c>
      <c r="O442" s="227"/>
      <c r="P442" s="227"/>
      <c r="Q442" s="249"/>
      <c r="R442" s="194"/>
      <c r="S442" s="195"/>
      <c r="T442" s="196"/>
      <c r="U442" s="195"/>
      <c r="V442" s="197"/>
    </row>
    <row r="443" spans="1:22" s="198" customFormat="1" ht="31.2">
      <c r="A443" s="26">
        <v>3</v>
      </c>
      <c r="B443" s="27" t="s">
        <v>161</v>
      </c>
      <c r="C443" s="288" t="s">
        <v>1210</v>
      </c>
      <c r="D443" s="204"/>
      <c r="E443" s="29">
        <v>10</v>
      </c>
      <c r="F443" s="30" t="s">
        <v>289</v>
      </c>
      <c r="G443" s="60"/>
      <c r="H443" s="60"/>
      <c r="I443" s="193"/>
      <c r="J443" s="200">
        <f t="shared" si="6"/>
        <v>0</v>
      </c>
      <c r="K443" s="60">
        <v>270</v>
      </c>
      <c r="L443" s="60"/>
      <c r="M443" s="215" t="s">
        <v>1211</v>
      </c>
      <c r="N443" s="248" t="s">
        <v>1212</v>
      </c>
      <c r="O443" s="227"/>
      <c r="P443" s="227"/>
      <c r="Q443" s="249"/>
      <c r="R443" s="194"/>
      <c r="S443" s="195"/>
      <c r="T443" s="196"/>
      <c r="U443" s="195"/>
      <c r="V443" s="197"/>
    </row>
    <row r="444" spans="1:22" s="198" customFormat="1" ht="31.2">
      <c r="A444" s="26">
        <v>4</v>
      </c>
      <c r="B444" s="27" t="s">
        <v>161</v>
      </c>
      <c r="C444" s="288" t="s">
        <v>1213</v>
      </c>
      <c r="D444" s="204"/>
      <c r="E444" s="29">
        <v>10</v>
      </c>
      <c r="F444" s="30" t="s">
        <v>289</v>
      </c>
      <c r="G444" s="60"/>
      <c r="H444" s="60"/>
      <c r="I444" s="193"/>
      <c r="J444" s="200">
        <f t="shared" si="6"/>
        <v>0</v>
      </c>
      <c r="K444" s="60">
        <v>35</v>
      </c>
      <c r="L444" s="60"/>
      <c r="M444" s="215" t="s">
        <v>1214</v>
      </c>
      <c r="N444" s="248" t="s">
        <v>1215</v>
      </c>
      <c r="O444" s="227"/>
      <c r="P444" s="227"/>
      <c r="Q444" s="249"/>
      <c r="R444" s="194"/>
      <c r="S444" s="195"/>
      <c r="T444" s="196"/>
      <c r="U444" s="195"/>
      <c r="V444" s="197"/>
    </row>
    <row r="445" spans="1:22" s="198" customFormat="1" ht="31.2">
      <c r="A445" s="26">
        <v>5</v>
      </c>
      <c r="B445" s="27" t="s">
        <v>161</v>
      </c>
      <c r="C445" s="288" t="s">
        <v>1216</v>
      </c>
      <c r="D445" s="204"/>
      <c r="E445" s="29">
        <v>11</v>
      </c>
      <c r="F445" s="30" t="s">
        <v>289</v>
      </c>
      <c r="G445" s="60"/>
      <c r="H445" s="60"/>
      <c r="I445" s="193"/>
      <c r="J445" s="200">
        <f t="shared" si="6"/>
        <v>0</v>
      </c>
      <c r="K445" s="60">
        <v>33</v>
      </c>
      <c r="L445" s="60"/>
      <c r="M445" s="215" t="s">
        <v>1217</v>
      </c>
      <c r="N445" s="248" t="s">
        <v>1218</v>
      </c>
      <c r="O445" s="227"/>
      <c r="P445" s="227"/>
      <c r="Q445" s="249"/>
      <c r="R445" s="194"/>
      <c r="S445" s="195"/>
      <c r="T445" s="196"/>
      <c r="U445" s="195"/>
      <c r="V445" s="197"/>
    </row>
    <row r="446" spans="1:22" s="198" customFormat="1" ht="31.2">
      <c r="A446" s="26">
        <v>6</v>
      </c>
      <c r="B446" s="27" t="s">
        <v>161</v>
      </c>
      <c r="C446" s="288" t="s">
        <v>1219</v>
      </c>
      <c r="D446" s="204"/>
      <c r="E446" s="29">
        <v>12</v>
      </c>
      <c r="F446" s="30" t="s">
        <v>289</v>
      </c>
      <c r="G446" s="60"/>
      <c r="H446" s="60"/>
      <c r="I446" s="193"/>
      <c r="J446" s="200">
        <f t="shared" si="6"/>
        <v>0</v>
      </c>
      <c r="K446" s="60">
        <v>300</v>
      </c>
      <c r="L446" s="60"/>
      <c r="M446" s="215" t="s">
        <v>1220</v>
      </c>
      <c r="N446" s="248" t="s">
        <v>1221</v>
      </c>
      <c r="O446" s="227"/>
      <c r="P446" s="227"/>
      <c r="Q446" s="249"/>
      <c r="R446" s="194"/>
      <c r="S446" s="195"/>
      <c r="T446" s="196"/>
      <c r="U446" s="195"/>
      <c r="V446" s="197"/>
    </row>
    <row r="447" spans="1:22" s="198" customFormat="1" ht="19.2">
      <c r="A447" s="26">
        <v>7</v>
      </c>
      <c r="B447" s="27" t="s">
        <v>161</v>
      </c>
      <c r="C447" s="288" t="s">
        <v>1222</v>
      </c>
      <c r="D447" s="204"/>
      <c r="E447" s="29">
        <v>12</v>
      </c>
      <c r="F447" s="30" t="s">
        <v>289</v>
      </c>
      <c r="G447" s="60"/>
      <c r="H447" s="60"/>
      <c r="I447" s="193"/>
      <c r="J447" s="200">
        <f t="shared" si="6"/>
        <v>0</v>
      </c>
      <c r="K447" s="60">
        <v>33.599999999999994</v>
      </c>
      <c r="L447" s="60"/>
      <c r="M447" s="215" t="s">
        <v>1223</v>
      </c>
      <c r="N447" s="248" t="s">
        <v>1224</v>
      </c>
      <c r="O447" s="227"/>
      <c r="P447" s="227"/>
      <c r="Q447" s="249"/>
      <c r="R447" s="194"/>
      <c r="S447" s="195"/>
      <c r="T447" s="196"/>
      <c r="U447" s="195"/>
      <c r="V447" s="197"/>
    </row>
    <row r="448" spans="1:22" s="198" customFormat="1" ht="40.5" customHeight="1">
      <c r="A448" s="26">
        <v>8</v>
      </c>
      <c r="B448" s="27" t="s">
        <v>161</v>
      </c>
      <c r="C448" s="288" t="s">
        <v>1225</v>
      </c>
      <c r="D448" s="204"/>
      <c r="E448" s="29">
        <v>7</v>
      </c>
      <c r="F448" s="30" t="s">
        <v>289</v>
      </c>
      <c r="G448" s="60"/>
      <c r="H448" s="60"/>
      <c r="I448" s="193"/>
      <c r="J448" s="200">
        <f t="shared" si="6"/>
        <v>0</v>
      </c>
      <c r="K448" s="60">
        <v>24.5</v>
      </c>
      <c r="L448" s="60"/>
      <c r="M448" s="215" t="s">
        <v>1226</v>
      </c>
      <c r="N448" s="248" t="s">
        <v>1227</v>
      </c>
      <c r="O448" s="227"/>
      <c r="P448" s="227"/>
      <c r="Q448" s="249"/>
      <c r="R448" s="194"/>
      <c r="S448" s="195"/>
      <c r="T448" s="196"/>
      <c r="U448" s="195"/>
      <c r="V448" s="197"/>
    </row>
    <row r="449" spans="1:22" s="198" customFormat="1" ht="19.2">
      <c r="A449" s="26">
        <v>9</v>
      </c>
      <c r="B449" s="27" t="s">
        <v>161</v>
      </c>
      <c r="C449" s="288" t="s">
        <v>1228</v>
      </c>
      <c r="D449" s="204"/>
      <c r="E449" s="29">
        <v>8</v>
      </c>
      <c r="F449" s="30" t="s">
        <v>289</v>
      </c>
      <c r="G449" s="60"/>
      <c r="H449" s="60"/>
      <c r="I449" s="193"/>
      <c r="J449" s="200">
        <f t="shared" si="6"/>
        <v>0</v>
      </c>
      <c r="K449" s="60">
        <v>60.8</v>
      </c>
      <c r="L449" s="60"/>
      <c r="M449" s="215" t="s">
        <v>1229</v>
      </c>
      <c r="N449" s="248" t="s">
        <v>1230</v>
      </c>
      <c r="O449" s="227"/>
      <c r="P449" s="227"/>
      <c r="Q449" s="249"/>
      <c r="R449" s="194"/>
      <c r="S449" s="195"/>
      <c r="T449" s="196"/>
      <c r="U449" s="195"/>
      <c r="V449" s="197"/>
    </row>
    <row r="450" spans="1:22" s="198" customFormat="1" ht="19.2">
      <c r="A450" s="26">
        <v>10</v>
      </c>
      <c r="B450" s="27" t="s">
        <v>161</v>
      </c>
      <c r="C450" s="288" t="s">
        <v>1231</v>
      </c>
      <c r="D450" s="204"/>
      <c r="E450" s="29">
        <v>4</v>
      </c>
      <c r="F450" s="30" t="s">
        <v>289</v>
      </c>
      <c r="G450" s="60"/>
      <c r="H450" s="60"/>
      <c r="I450" s="193"/>
      <c r="J450" s="200">
        <f t="shared" si="6"/>
        <v>0</v>
      </c>
      <c r="K450" s="60">
        <v>30.4</v>
      </c>
      <c r="L450" s="60"/>
      <c r="M450" s="215" t="s">
        <v>1232</v>
      </c>
      <c r="N450" s="248" t="s">
        <v>1233</v>
      </c>
      <c r="O450" s="227"/>
      <c r="P450" s="227"/>
      <c r="Q450" s="249"/>
      <c r="R450" s="194"/>
      <c r="S450" s="195"/>
      <c r="T450" s="196"/>
      <c r="U450" s="195"/>
      <c r="V450" s="197"/>
    </row>
    <row r="451" spans="1:22" s="198" customFormat="1" ht="46.8">
      <c r="A451" s="26">
        <v>11</v>
      </c>
      <c r="B451" s="27" t="s">
        <v>161</v>
      </c>
      <c r="C451" s="288" t="s">
        <v>1234</v>
      </c>
      <c r="D451" s="204"/>
      <c r="E451" s="29">
        <v>24</v>
      </c>
      <c r="F451" s="30" t="s">
        <v>289</v>
      </c>
      <c r="G451" s="60"/>
      <c r="H451" s="60"/>
      <c r="I451" s="193"/>
      <c r="J451" s="200">
        <f t="shared" si="6"/>
        <v>0</v>
      </c>
      <c r="K451" s="60">
        <v>67.199999999999989</v>
      </c>
      <c r="L451" s="60"/>
      <c r="M451" s="215" t="s">
        <v>1235</v>
      </c>
      <c r="N451" s="248" t="s">
        <v>1236</v>
      </c>
      <c r="O451" s="227"/>
      <c r="P451" s="227"/>
      <c r="Q451" s="249"/>
      <c r="R451" s="194"/>
      <c r="S451" s="195"/>
      <c r="T451" s="196"/>
      <c r="U451" s="195"/>
      <c r="V451" s="197"/>
    </row>
    <row r="452" spans="1:22" s="198" customFormat="1" ht="31.2">
      <c r="A452" s="26">
        <v>12</v>
      </c>
      <c r="B452" s="27" t="s">
        <v>161</v>
      </c>
      <c r="C452" s="288" t="s">
        <v>1237</v>
      </c>
      <c r="D452" s="204"/>
      <c r="E452" s="29">
        <v>16</v>
      </c>
      <c r="F452" s="30" t="s">
        <v>289</v>
      </c>
      <c r="G452" s="60"/>
      <c r="H452" s="60"/>
      <c r="I452" s="193"/>
      <c r="J452" s="200">
        <f t="shared" si="6"/>
        <v>0</v>
      </c>
      <c r="K452" s="60">
        <v>44.8</v>
      </c>
      <c r="L452" s="60"/>
      <c r="M452" s="215" t="s">
        <v>1238</v>
      </c>
      <c r="N452" s="248" t="s">
        <v>1239</v>
      </c>
      <c r="O452" s="227"/>
      <c r="P452" s="227"/>
      <c r="Q452" s="249"/>
      <c r="R452" s="194"/>
      <c r="S452" s="195"/>
      <c r="T452" s="196"/>
      <c r="U452" s="195"/>
      <c r="V452" s="197"/>
    </row>
    <row r="453" spans="1:22" s="198" customFormat="1" ht="19.2">
      <c r="A453" s="26">
        <v>13</v>
      </c>
      <c r="B453" s="27" t="s">
        <v>161</v>
      </c>
      <c r="C453" s="288" t="s">
        <v>1240</v>
      </c>
      <c r="D453" s="204"/>
      <c r="E453" s="29">
        <v>2</v>
      </c>
      <c r="F453" s="30" t="s">
        <v>289</v>
      </c>
      <c r="G453" s="60"/>
      <c r="H453" s="60"/>
      <c r="I453" s="193"/>
      <c r="J453" s="200">
        <f t="shared" si="6"/>
        <v>0</v>
      </c>
      <c r="K453" s="60">
        <v>104</v>
      </c>
      <c r="L453" s="60"/>
      <c r="M453" s="215" t="s">
        <v>1241</v>
      </c>
      <c r="N453" s="248" t="s">
        <v>1242</v>
      </c>
      <c r="O453" s="227"/>
      <c r="P453" s="227"/>
      <c r="Q453" s="249"/>
      <c r="R453" s="194"/>
      <c r="S453" s="195"/>
      <c r="T453" s="196"/>
      <c r="U453" s="195"/>
      <c r="V453" s="197"/>
    </row>
    <row r="454" spans="1:22" s="198" customFormat="1" ht="19.2">
      <c r="A454" s="26">
        <v>14</v>
      </c>
      <c r="B454" s="27" t="s">
        <v>161</v>
      </c>
      <c r="C454" s="288" t="s">
        <v>1243</v>
      </c>
      <c r="D454" s="204"/>
      <c r="E454" s="29">
        <v>2</v>
      </c>
      <c r="F454" s="30" t="s">
        <v>289</v>
      </c>
      <c r="G454" s="60"/>
      <c r="H454" s="60"/>
      <c r="I454" s="193"/>
      <c r="J454" s="200">
        <f t="shared" si="6"/>
        <v>0</v>
      </c>
      <c r="K454" s="60">
        <v>6.6</v>
      </c>
      <c r="L454" s="60"/>
      <c r="M454" s="215" t="s">
        <v>1244</v>
      </c>
      <c r="N454" s="248" t="s">
        <v>1245</v>
      </c>
      <c r="O454" s="227"/>
      <c r="P454" s="227"/>
      <c r="Q454" s="249"/>
      <c r="R454" s="194"/>
      <c r="S454" s="195"/>
      <c r="T454" s="196"/>
      <c r="U454" s="195"/>
      <c r="V454" s="197"/>
    </row>
    <row r="455" spans="1:22" s="198" customFormat="1" ht="19.2">
      <c r="A455" s="26">
        <v>15</v>
      </c>
      <c r="B455" s="27" t="s">
        <v>161</v>
      </c>
      <c r="C455" s="288" t="s">
        <v>1246</v>
      </c>
      <c r="D455" s="204"/>
      <c r="E455" s="29">
        <v>1</v>
      </c>
      <c r="F455" s="30" t="s">
        <v>289</v>
      </c>
      <c r="G455" s="60"/>
      <c r="H455" s="60"/>
      <c r="I455" s="193"/>
      <c r="J455" s="200">
        <f t="shared" si="6"/>
        <v>0</v>
      </c>
      <c r="K455" s="60">
        <v>0.1</v>
      </c>
      <c r="L455" s="60"/>
      <c r="M455" s="215" t="s">
        <v>877</v>
      </c>
      <c r="N455" s="248" t="s">
        <v>1247</v>
      </c>
      <c r="O455" s="227"/>
      <c r="P455" s="227"/>
      <c r="Q455" s="249"/>
      <c r="R455" s="194"/>
      <c r="S455" s="195"/>
      <c r="T455" s="196"/>
      <c r="U455" s="195"/>
      <c r="V455" s="197"/>
    </row>
    <row r="456" spans="1:22" s="198" customFormat="1" ht="46.8">
      <c r="A456" s="26">
        <v>16</v>
      </c>
      <c r="B456" s="27" t="s">
        <v>161</v>
      </c>
      <c r="C456" s="288" t="s">
        <v>1248</v>
      </c>
      <c r="D456" s="204"/>
      <c r="E456" s="29">
        <v>14</v>
      </c>
      <c r="F456" s="30" t="s">
        <v>289</v>
      </c>
      <c r="G456" s="60"/>
      <c r="H456" s="60"/>
      <c r="I456" s="193"/>
      <c r="J456" s="200">
        <f t="shared" si="6"/>
        <v>0</v>
      </c>
      <c r="K456" s="60">
        <v>1.5</v>
      </c>
      <c r="L456" s="60"/>
      <c r="M456" s="215" t="s">
        <v>1249</v>
      </c>
      <c r="N456" s="248" t="s">
        <v>1250</v>
      </c>
      <c r="O456" s="227"/>
      <c r="P456" s="227"/>
      <c r="Q456" s="249"/>
      <c r="R456" s="194"/>
      <c r="S456" s="195"/>
      <c r="T456" s="196"/>
      <c r="U456" s="195"/>
      <c r="V456" s="197"/>
    </row>
    <row r="457" spans="1:22" s="198" customFormat="1" ht="31.2">
      <c r="A457" s="26">
        <v>17</v>
      </c>
      <c r="B457" s="27" t="s">
        <v>161</v>
      </c>
      <c r="C457" s="288" t="s">
        <v>1251</v>
      </c>
      <c r="D457" s="204"/>
      <c r="E457" s="29">
        <v>6</v>
      </c>
      <c r="F457" s="30" t="s">
        <v>289</v>
      </c>
      <c r="G457" s="60"/>
      <c r="H457" s="60"/>
      <c r="I457" s="193"/>
      <c r="J457" s="200">
        <f t="shared" si="6"/>
        <v>0</v>
      </c>
      <c r="K457" s="60">
        <v>1</v>
      </c>
      <c r="L457" s="60"/>
      <c r="M457" s="215" t="s">
        <v>1252</v>
      </c>
      <c r="N457" s="248" t="s">
        <v>1253</v>
      </c>
      <c r="O457" s="227"/>
      <c r="P457" s="227"/>
      <c r="Q457" s="249"/>
      <c r="R457" s="194"/>
      <c r="S457" s="195"/>
      <c r="T457" s="196"/>
      <c r="U457" s="195"/>
      <c r="V457" s="197"/>
    </row>
    <row r="458" spans="1:22" s="198" customFormat="1" ht="19.2">
      <c r="A458" s="26">
        <v>18</v>
      </c>
      <c r="B458" s="27" t="s">
        <v>161</v>
      </c>
      <c r="C458" s="288" t="s">
        <v>1254</v>
      </c>
      <c r="D458" s="204"/>
      <c r="E458" s="29">
        <v>12</v>
      </c>
      <c r="F458" s="30" t="s">
        <v>289</v>
      </c>
      <c r="G458" s="60"/>
      <c r="H458" s="60"/>
      <c r="I458" s="193"/>
      <c r="J458" s="200">
        <f t="shared" si="6"/>
        <v>0</v>
      </c>
      <c r="K458" s="60">
        <v>0.5</v>
      </c>
      <c r="L458" s="60"/>
      <c r="M458" s="215" t="s">
        <v>1255</v>
      </c>
      <c r="N458" s="248" t="s">
        <v>1256</v>
      </c>
      <c r="O458" s="227"/>
      <c r="P458" s="227"/>
      <c r="Q458" s="249"/>
      <c r="R458" s="194"/>
      <c r="S458" s="195"/>
      <c r="T458" s="196"/>
      <c r="U458" s="195"/>
      <c r="V458" s="197"/>
    </row>
    <row r="459" spans="1:22" s="198" customFormat="1" ht="19.2">
      <c r="A459" s="26">
        <v>19</v>
      </c>
      <c r="B459" s="27" t="s">
        <v>161</v>
      </c>
      <c r="C459" s="288" t="s">
        <v>1257</v>
      </c>
      <c r="D459" s="204"/>
      <c r="E459" s="29">
        <v>4</v>
      </c>
      <c r="F459" s="30" t="s">
        <v>289</v>
      </c>
      <c r="G459" s="60"/>
      <c r="H459" s="60"/>
      <c r="I459" s="193"/>
      <c r="J459" s="200">
        <f t="shared" si="6"/>
        <v>0</v>
      </c>
      <c r="K459" s="60">
        <v>0.5</v>
      </c>
      <c r="L459" s="60"/>
      <c r="M459" s="215" t="s">
        <v>1258</v>
      </c>
      <c r="N459" s="248" t="s">
        <v>1259</v>
      </c>
      <c r="O459" s="227"/>
      <c r="P459" s="227"/>
      <c r="Q459" s="249"/>
      <c r="R459" s="194"/>
      <c r="S459" s="195"/>
      <c r="T459" s="196"/>
      <c r="U459" s="195"/>
      <c r="V459" s="197"/>
    </row>
    <row r="460" spans="1:22" s="198" customFormat="1" ht="19.2">
      <c r="A460" s="26">
        <v>20</v>
      </c>
      <c r="B460" s="27" t="s">
        <v>161</v>
      </c>
      <c r="C460" s="288" t="s">
        <v>1260</v>
      </c>
      <c r="D460" s="204"/>
      <c r="E460" s="29">
        <v>4</v>
      </c>
      <c r="F460" s="30" t="s">
        <v>289</v>
      </c>
      <c r="G460" s="60"/>
      <c r="H460" s="60"/>
      <c r="I460" s="193"/>
      <c r="J460" s="200">
        <f t="shared" si="6"/>
        <v>0</v>
      </c>
      <c r="K460" s="60">
        <v>0.5</v>
      </c>
      <c r="L460" s="60"/>
      <c r="M460" s="215" t="s">
        <v>988</v>
      </c>
      <c r="N460" s="248" t="s">
        <v>1261</v>
      </c>
      <c r="O460" s="227"/>
      <c r="P460" s="227"/>
      <c r="Q460" s="249"/>
      <c r="R460" s="194"/>
      <c r="S460" s="195"/>
      <c r="T460" s="196"/>
      <c r="U460" s="195"/>
      <c r="V460" s="197"/>
    </row>
    <row r="461" spans="1:22" s="198" customFormat="1" ht="31.2">
      <c r="A461" s="26">
        <v>21</v>
      </c>
      <c r="B461" s="27" t="s">
        <v>161</v>
      </c>
      <c r="C461" s="288" t="s">
        <v>1262</v>
      </c>
      <c r="D461" s="204"/>
      <c r="E461" s="29">
        <v>11</v>
      </c>
      <c r="F461" s="30" t="s">
        <v>289</v>
      </c>
      <c r="G461" s="60"/>
      <c r="H461" s="60"/>
      <c r="I461" s="193"/>
      <c r="J461" s="200">
        <f t="shared" si="6"/>
        <v>0</v>
      </c>
      <c r="K461" s="60">
        <v>0.1</v>
      </c>
      <c r="L461" s="60"/>
      <c r="M461" s="215" t="s">
        <v>1263</v>
      </c>
      <c r="N461" s="248" t="s">
        <v>1264</v>
      </c>
      <c r="O461" s="227"/>
      <c r="P461" s="227"/>
      <c r="Q461" s="249"/>
      <c r="R461" s="194"/>
      <c r="S461" s="195"/>
      <c r="T461" s="196"/>
      <c r="U461" s="195"/>
      <c r="V461" s="197"/>
    </row>
    <row r="462" spans="1:22" s="198" customFormat="1" ht="19.2">
      <c r="A462" s="26">
        <v>22</v>
      </c>
      <c r="B462" s="27" t="s">
        <v>161</v>
      </c>
      <c r="C462" s="288" t="s">
        <v>1265</v>
      </c>
      <c r="D462" s="204"/>
      <c r="E462" s="29">
        <v>4</v>
      </c>
      <c r="F462" s="30" t="s">
        <v>289</v>
      </c>
      <c r="G462" s="60"/>
      <c r="H462" s="60"/>
      <c r="I462" s="193"/>
      <c r="J462" s="200">
        <f t="shared" si="6"/>
        <v>0</v>
      </c>
      <c r="K462" s="60">
        <v>0.1</v>
      </c>
      <c r="L462" s="60"/>
      <c r="M462" s="215" t="s">
        <v>886</v>
      </c>
      <c r="N462" s="248" t="s">
        <v>1266</v>
      </c>
      <c r="O462" s="227"/>
      <c r="P462" s="227"/>
      <c r="Q462" s="249"/>
      <c r="R462" s="194"/>
      <c r="S462" s="195"/>
      <c r="T462" s="196"/>
      <c r="U462" s="195"/>
      <c r="V462" s="197"/>
    </row>
    <row r="463" spans="1:22" s="198" customFormat="1" ht="62.4">
      <c r="A463" s="26">
        <v>23</v>
      </c>
      <c r="B463" s="27" t="s">
        <v>161</v>
      </c>
      <c r="C463" s="288" t="s">
        <v>1267</v>
      </c>
      <c r="D463" s="204"/>
      <c r="E463" s="29">
        <v>24</v>
      </c>
      <c r="F463" s="30" t="s">
        <v>289</v>
      </c>
      <c r="G463" s="60"/>
      <c r="H463" s="60"/>
      <c r="I463" s="193"/>
      <c r="J463" s="200">
        <f t="shared" si="6"/>
        <v>0</v>
      </c>
      <c r="K463" s="60">
        <v>9</v>
      </c>
      <c r="L463" s="60"/>
      <c r="M463" s="215" t="s">
        <v>1268</v>
      </c>
      <c r="N463" s="248" t="s">
        <v>1269</v>
      </c>
      <c r="O463" s="227"/>
      <c r="P463" s="227"/>
      <c r="Q463" s="249"/>
      <c r="R463" s="194"/>
      <c r="S463" s="195"/>
      <c r="T463" s="196"/>
      <c r="U463" s="195"/>
      <c r="V463" s="197"/>
    </row>
    <row r="464" spans="1:22" s="198" customFormat="1" ht="31.2">
      <c r="A464" s="26">
        <v>24</v>
      </c>
      <c r="B464" s="27" t="s">
        <v>161</v>
      </c>
      <c r="C464" s="288" t="s">
        <v>1270</v>
      </c>
      <c r="D464" s="204"/>
      <c r="E464" s="29">
        <v>4</v>
      </c>
      <c r="F464" s="30" t="s">
        <v>289</v>
      </c>
      <c r="G464" s="60"/>
      <c r="H464" s="60"/>
      <c r="I464" s="193"/>
      <c r="J464" s="200">
        <f t="shared" si="6"/>
        <v>0</v>
      </c>
      <c r="K464" s="60">
        <v>4</v>
      </c>
      <c r="L464" s="60"/>
      <c r="M464" s="215" t="s">
        <v>1271</v>
      </c>
      <c r="N464" s="248" t="s">
        <v>1272</v>
      </c>
      <c r="O464" s="227"/>
      <c r="P464" s="227"/>
      <c r="Q464" s="249"/>
      <c r="R464" s="194"/>
      <c r="S464" s="195"/>
      <c r="T464" s="196"/>
      <c r="U464" s="195"/>
      <c r="V464" s="197"/>
    </row>
    <row r="465" spans="1:22" s="198" customFormat="1" ht="19.2">
      <c r="A465" s="26">
        <v>25</v>
      </c>
      <c r="B465" s="27" t="s">
        <v>161</v>
      </c>
      <c r="C465" s="288" t="s">
        <v>1273</v>
      </c>
      <c r="D465" s="204"/>
      <c r="E465" s="29">
        <v>3</v>
      </c>
      <c r="F465" s="30" t="s">
        <v>289</v>
      </c>
      <c r="G465" s="60"/>
      <c r="H465" s="60"/>
      <c r="I465" s="193"/>
      <c r="J465" s="200">
        <f t="shared" si="6"/>
        <v>0</v>
      </c>
      <c r="K465" s="60">
        <v>2</v>
      </c>
      <c r="L465" s="60"/>
      <c r="M465" s="215" t="s">
        <v>1274</v>
      </c>
      <c r="N465" s="248" t="s">
        <v>1275</v>
      </c>
      <c r="O465" s="227"/>
      <c r="P465" s="227"/>
      <c r="Q465" s="249"/>
      <c r="R465" s="194"/>
      <c r="S465" s="195"/>
      <c r="T465" s="196"/>
      <c r="U465" s="195"/>
      <c r="V465" s="197"/>
    </row>
    <row r="466" spans="1:22" s="198" customFormat="1" ht="31.2">
      <c r="A466" s="26">
        <v>26</v>
      </c>
      <c r="B466" s="27" t="s">
        <v>161</v>
      </c>
      <c r="C466" s="288" t="s">
        <v>1276</v>
      </c>
      <c r="D466" s="204"/>
      <c r="E466" s="29">
        <v>8</v>
      </c>
      <c r="F466" s="30" t="s">
        <v>289</v>
      </c>
      <c r="G466" s="60"/>
      <c r="H466" s="60"/>
      <c r="I466" s="193"/>
      <c r="J466" s="200">
        <f t="shared" si="6"/>
        <v>0</v>
      </c>
      <c r="K466" s="60">
        <v>4</v>
      </c>
      <c r="L466" s="60"/>
      <c r="M466" s="215" t="s">
        <v>1277</v>
      </c>
      <c r="N466" s="248" t="s">
        <v>1278</v>
      </c>
      <c r="O466" s="227"/>
      <c r="P466" s="227"/>
      <c r="Q466" s="249"/>
      <c r="R466" s="194"/>
      <c r="S466" s="195"/>
      <c r="T466" s="196"/>
      <c r="U466" s="195"/>
      <c r="V466" s="197"/>
    </row>
    <row r="467" spans="1:22" s="198" customFormat="1" ht="46.8">
      <c r="A467" s="26">
        <v>27</v>
      </c>
      <c r="B467" s="27" t="s">
        <v>161</v>
      </c>
      <c r="C467" s="288" t="s">
        <v>1279</v>
      </c>
      <c r="D467" s="204"/>
      <c r="E467" s="29">
        <v>14</v>
      </c>
      <c r="F467" s="30" t="s">
        <v>289</v>
      </c>
      <c r="G467" s="60"/>
      <c r="H467" s="60"/>
      <c r="I467" s="193"/>
      <c r="J467" s="200">
        <f t="shared" si="6"/>
        <v>0</v>
      </c>
      <c r="K467" s="60">
        <v>0.6</v>
      </c>
      <c r="L467" s="60"/>
      <c r="M467" s="215" t="s">
        <v>1280</v>
      </c>
      <c r="N467" s="248" t="s">
        <v>1281</v>
      </c>
      <c r="O467" s="227"/>
      <c r="P467" s="227"/>
      <c r="Q467" s="249"/>
      <c r="R467" s="194"/>
      <c r="S467" s="195"/>
      <c r="T467" s="196"/>
      <c r="U467" s="195"/>
      <c r="V467" s="197"/>
    </row>
    <row r="468" spans="1:22" s="198" customFormat="1" ht="31.2">
      <c r="A468" s="26">
        <v>28</v>
      </c>
      <c r="B468" s="27" t="s">
        <v>161</v>
      </c>
      <c r="C468" s="288" t="s">
        <v>1282</v>
      </c>
      <c r="D468" s="204"/>
      <c r="E468" s="29">
        <v>9</v>
      </c>
      <c r="F468" s="30" t="s">
        <v>289</v>
      </c>
      <c r="G468" s="60"/>
      <c r="H468" s="60"/>
      <c r="I468" s="193"/>
      <c r="J468" s="200">
        <f t="shared" si="6"/>
        <v>0</v>
      </c>
      <c r="K468" s="60">
        <v>0.5</v>
      </c>
      <c r="L468" s="60"/>
      <c r="M468" s="215" t="s">
        <v>1283</v>
      </c>
      <c r="N468" s="248" t="s">
        <v>1284</v>
      </c>
      <c r="O468" s="227"/>
      <c r="P468" s="227"/>
      <c r="Q468" s="249"/>
      <c r="R468" s="194"/>
      <c r="S468" s="195"/>
      <c r="T468" s="196"/>
      <c r="U468" s="195"/>
      <c r="V468" s="197"/>
    </row>
    <row r="469" spans="1:22" s="198" customFormat="1" ht="46.8">
      <c r="A469" s="26">
        <v>29</v>
      </c>
      <c r="B469" s="27" t="s">
        <v>161</v>
      </c>
      <c r="C469" s="288" t="s">
        <v>1285</v>
      </c>
      <c r="D469" s="204"/>
      <c r="E469" s="29">
        <v>14</v>
      </c>
      <c r="F469" s="30" t="s">
        <v>289</v>
      </c>
      <c r="G469" s="60"/>
      <c r="H469" s="60"/>
      <c r="I469" s="193"/>
      <c r="J469" s="200">
        <f t="shared" si="6"/>
        <v>0</v>
      </c>
      <c r="K469" s="60">
        <v>1</v>
      </c>
      <c r="L469" s="60"/>
      <c r="M469" s="215" t="s">
        <v>1286</v>
      </c>
      <c r="N469" s="248" t="s">
        <v>1287</v>
      </c>
      <c r="O469" s="227"/>
      <c r="P469" s="227"/>
      <c r="Q469" s="249"/>
      <c r="R469" s="194"/>
      <c r="S469" s="195"/>
      <c r="T469" s="196"/>
      <c r="U469" s="195"/>
      <c r="V469" s="197"/>
    </row>
    <row r="470" spans="1:22" s="198" customFormat="1" ht="31.2">
      <c r="A470" s="26">
        <v>30</v>
      </c>
      <c r="B470" s="27" t="s">
        <v>161</v>
      </c>
      <c r="C470" s="288" t="s">
        <v>1288</v>
      </c>
      <c r="D470" s="204"/>
      <c r="E470" s="29">
        <v>5</v>
      </c>
      <c r="F470" s="30" t="s">
        <v>289</v>
      </c>
      <c r="G470" s="60"/>
      <c r="H470" s="60"/>
      <c r="I470" s="193"/>
      <c r="J470" s="200">
        <f t="shared" si="6"/>
        <v>0</v>
      </c>
      <c r="K470" s="60">
        <v>0.2</v>
      </c>
      <c r="L470" s="60"/>
      <c r="M470" s="215" t="s">
        <v>1289</v>
      </c>
      <c r="N470" s="248" t="s">
        <v>1290</v>
      </c>
      <c r="O470" s="227"/>
      <c r="P470" s="227"/>
      <c r="Q470" s="249"/>
      <c r="R470" s="194"/>
      <c r="S470" s="195"/>
      <c r="T470" s="196"/>
      <c r="U470" s="195"/>
      <c r="V470" s="197"/>
    </row>
    <row r="471" spans="1:22" s="198" customFormat="1" ht="46.8">
      <c r="A471" s="26">
        <v>31</v>
      </c>
      <c r="B471" s="27" t="s">
        <v>161</v>
      </c>
      <c r="C471" s="288" t="s">
        <v>1291</v>
      </c>
      <c r="D471" s="204"/>
      <c r="E471" s="29">
        <v>14</v>
      </c>
      <c r="F471" s="30" t="s">
        <v>289</v>
      </c>
      <c r="G471" s="60"/>
      <c r="H471" s="60"/>
      <c r="I471" s="193"/>
      <c r="J471" s="200">
        <f t="shared" si="6"/>
        <v>0</v>
      </c>
      <c r="K471" s="60">
        <v>1</v>
      </c>
      <c r="L471" s="60"/>
      <c r="M471" s="215" t="s">
        <v>1292</v>
      </c>
      <c r="N471" s="248" t="s">
        <v>1293</v>
      </c>
      <c r="O471" s="227"/>
      <c r="P471" s="227"/>
      <c r="Q471" s="249"/>
      <c r="R471" s="194"/>
      <c r="S471" s="195"/>
      <c r="T471" s="196"/>
      <c r="U471" s="195"/>
      <c r="V471" s="197"/>
    </row>
    <row r="472" spans="1:22" s="198" customFormat="1" ht="31.2">
      <c r="A472" s="26">
        <v>32</v>
      </c>
      <c r="B472" s="27" t="s">
        <v>161</v>
      </c>
      <c r="C472" s="288" t="s">
        <v>1294</v>
      </c>
      <c r="D472" s="204"/>
      <c r="E472" s="29">
        <v>4</v>
      </c>
      <c r="F472" s="30" t="s">
        <v>289</v>
      </c>
      <c r="G472" s="60"/>
      <c r="H472" s="60"/>
      <c r="I472" s="193"/>
      <c r="J472" s="200">
        <f t="shared" si="6"/>
        <v>0</v>
      </c>
      <c r="K472" s="60">
        <v>0.5</v>
      </c>
      <c r="L472" s="60"/>
      <c r="M472" s="215" t="s">
        <v>1295</v>
      </c>
      <c r="N472" s="248" t="s">
        <v>1296</v>
      </c>
      <c r="O472" s="227"/>
      <c r="P472" s="227"/>
      <c r="Q472" s="249"/>
      <c r="R472" s="194"/>
      <c r="S472" s="195"/>
      <c r="T472" s="196"/>
      <c r="U472" s="195"/>
      <c r="V472" s="197"/>
    </row>
    <row r="473" spans="1:22" s="198" customFormat="1" ht="88.5" customHeight="1">
      <c r="A473" s="26">
        <v>33</v>
      </c>
      <c r="B473" s="27" t="s">
        <v>161</v>
      </c>
      <c r="C473" s="288" t="s">
        <v>1297</v>
      </c>
      <c r="D473" s="204"/>
      <c r="E473" s="29">
        <v>64</v>
      </c>
      <c r="F473" s="30" t="s">
        <v>289</v>
      </c>
      <c r="G473" s="60"/>
      <c r="H473" s="60"/>
      <c r="I473" s="193"/>
      <c r="J473" s="200">
        <f t="shared" si="6"/>
        <v>0</v>
      </c>
      <c r="K473" s="60">
        <v>7</v>
      </c>
      <c r="L473" s="60"/>
      <c r="M473" s="215" t="s">
        <v>1298</v>
      </c>
      <c r="N473" s="248" t="s">
        <v>1299</v>
      </c>
      <c r="O473" s="227"/>
      <c r="P473" s="227"/>
      <c r="Q473" s="249"/>
      <c r="R473" s="194"/>
      <c r="S473" s="195"/>
      <c r="T473" s="196"/>
      <c r="U473" s="195"/>
      <c r="V473" s="197"/>
    </row>
    <row r="474" spans="1:22" s="198" customFormat="1" ht="19.2">
      <c r="A474" s="26">
        <v>34</v>
      </c>
      <c r="B474" s="27" t="s">
        <v>161</v>
      </c>
      <c r="C474" s="288" t="s">
        <v>1300</v>
      </c>
      <c r="D474" s="204"/>
      <c r="E474" s="29">
        <v>1</v>
      </c>
      <c r="F474" s="30" t="s">
        <v>289</v>
      </c>
      <c r="G474" s="60"/>
      <c r="H474" s="60"/>
      <c r="I474" s="193"/>
      <c r="J474" s="200">
        <f t="shared" si="6"/>
        <v>0</v>
      </c>
      <c r="K474" s="60">
        <v>0.1</v>
      </c>
      <c r="L474" s="60"/>
      <c r="M474" s="215" t="s">
        <v>874</v>
      </c>
      <c r="N474" s="248" t="s">
        <v>1301</v>
      </c>
      <c r="O474" s="227"/>
      <c r="P474" s="227"/>
      <c r="Q474" s="249"/>
      <c r="R474" s="194"/>
      <c r="S474" s="195"/>
      <c r="T474" s="196"/>
      <c r="U474" s="195"/>
      <c r="V474" s="197"/>
    </row>
    <row r="475" spans="1:22" s="198" customFormat="1" ht="19.2">
      <c r="A475" s="26">
        <v>35</v>
      </c>
      <c r="B475" s="27" t="s">
        <v>161</v>
      </c>
      <c r="C475" s="288" t="s">
        <v>1302</v>
      </c>
      <c r="D475" s="204"/>
      <c r="E475" s="29">
        <v>1</v>
      </c>
      <c r="F475" s="30" t="s">
        <v>289</v>
      </c>
      <c r="G475" s="60"/>
      <c r="H475" s="60"/>
      <c r="I475" s="193"/>
      <c r="J475" s="200">
        <f t="shared" si="6"/>
        <v>0</v>
      </c>
      <c r="K475" s="60">
        <v>0.1</v>
      </c>
      <c r="L475" s="60"/>
      <c r="M475" s="215" t="s">
        <v>880</v>
      </c>
      <c r="N475" s="248" t="s">
        <v>1303</v>
      </c>
      <c r="O475" s="227"/>
      <c r="P475" s="227"/>
      <c r="Q475" s="249"/>
      <c r="R475" s="194"/>
      <c r="S475" s="195"/>
      <c r="T475" s="196"/>
      <c r="U475" s="195"/>
      <c r="V475" s="197"/>
    </row>
    <row r="476" spans="1:22" s="198" customFormat="1" ht="31.2">
      <c r="A476" s="26">
        <v>36</v>
      </c>
      <c r="B476" s="27" t="s">
        <v>161</v>
      </c>
      <c r="C476" s="288" t="s">
        <v>1304</v>
      </c>
      <c r="D476" s="274"/>
      <c r="E476" s="211">
        <v>14</v>
      </c>
      <c r="F476" s="212" t="s">
        <v>289</v>
      </c>
      <c r="G476" s="213"/>
      <c r="H476" s="213"/>
      <c r="I476" s="214"/>
      <c r="J476" s="152">
        <f t="shared" si="6"/>
        <v>0</v>
      </c>
      <c r="K476" s="213">
        <v>1.4000000000000001</v>
      </c>
      <c r="L476" s="213"/>
      <c r="M476" s="275" t="s">
        <v>1305</v>
      </c>
      <c r="N476" s="273" t="s">
        <v>1306</v>
      </c>
      <c r="O476" s="227"/>
      <c r="P476" s="227"/>
      <c r="Q476" s="249"/>
      <c r="R476" s="194"/>
      <c r="S476" s="195"/>
      <c r="T476" s="196"/>
      <c r="U476" s="195"/>
      <c r="V476" s="197"/>
    </row>
    <row r="477" spans="1:22" s="198" customFormat="1" ht="19.2">
      <c r="A477" s="26">
        <v>37</v>
      </c>
      <c r="B477" s="27" t="s">
        <v>161</v>
      </c>
      <c r="C477" s="288" t="s">
        <v>1307</v>
      </c>
      <c r="D477" s="204"/>
      <c r="E477" s="29">
        <v>12</v>
      </c>
      <c r="F477" s="30" t="s">
        <v>289</v>
      </c>
      <c r="G477" s="60"/>
      <c r="H477" s="60"/>
      <c r="I477" s="193"/>
      <c r="J477" s="200">
        <f t="shared" si="6"/>
        <v>0</v>
      </c>
      <c r="K477" s="60">
        <v>6</v>
      </c>
      <c r="L477" s="60"/>
      <c r="M477" s="215" t="s">
        <v>1308</v>
      </c>
      <c r="N477" s="248" t="s">
        <v>1309</v>
      </c>
      <c r="O477" s="227"/>
      <c r="P477" s="227"/>
      <c r="Q477" s="249"/>
      <c r="R477" s="194"/>
      <c r="S477" s="195"/>
      <c r="T477" s="196"/>
      <c r="U477" s="195"/>
      <c r="V477" s="197"/>
    </row>
    <row r="478" spans="1:22" s="198" customFormat="1" ht="31.2">
      <c r="A478" s="26">
        <v>38</v>
      </c>
      <c r="B478" s="27" t="s">
        <v>161</v>
      </c>
      <c r="C478" s="288" t="s">
        <v>1310</v>
      </c>
      <c r="D478" s="204"/>
      <c r="E478" s="29">
        <v>38</v>
      </c>
      <c r="F478" s="30" t="s">
        <v>289</v>
      </c>
      <c r="G478" s="60"/>
      <c r="H478" s="60"/>
      <c r="I478" s="193"/>
      <c r="J478" s="200">
        <f t="shared" si="6"/>
        <v>0</v>
      </c>
      <c r="K478" s="60">
        <v>23.94</v>
      </c>
      <c r="L478" s="60"/>
      <c r="M478" s="215" t="s">
        <v>1311</v>
      </c>
      <c r="N478" s="248" t="s">
        <v>1312</v>
      </c>
      <c r="O478" s="227"/>
      <c r="P478" s="227"/>
      <c r="Q478" s="249"/>
      <c r="R478" s="194"/>
      <c r="S478" s="195"/>
      <c r="T478" s="196"/>
      <c r="U478" s="195"/>
      <c r="V478" s="197"/>
    </row>
    <row r="479" spans="1:22" s="198" customFormat="1" ht="31.2">
      <c r="A479" s="26">
        <v>39</v>
      </c>
      <c r="B479" s="27" t="s">
        <v>161</v>
      </c>
      <c r="C479" s="288" t="s">
        <v>1313</v>
      </c>
      <c r="D479" s="204"/>
      <c r="E479" s="29">
        <v>14</v>
      </c>
      <c r="F479" s="30" t="s">
        <v>289</v>
      </c>
      <c r="G479" s="60"/>
      <c r="H479" s="60"/>
      <c r="I479" s="193"/>
      <c r="J479" s="200">
        <f t="shared" si="6"/>
        <v>0</v>
      </c>
      <c r="K479" s="60">
        <v>42</v>
      </c>
      <c r="L479" s="60"/>
      <c r="M479" s="215" t="s">
        <v>1314</v>
      </c>
      <c r="N479" s="248" t="s">
        <v>1315</v>
      </c>
      <c r="O479" s="227"/>
      <c r="P479" s="227"/>
      <c r="Q479" s="249"/>
      <c r="R479" s="194"/>
      <c r="S479" s="195"/>
      <c r="T479" s="196"/>
      <c r="U479" s="195"/>
      <c r="V479" s="197"/>
    </row>
    <row r="480" spans="1:22" s="198" customFormat="1" ht="19.2">
      <c r="A480" s="26">
        <v>40</v>
      </c>
      <c r="B480" s="27" t="s">
        <v>161</v>
      </c>
      <c r="C480" s="288" t="s">
        <v>1316</v>
      </c>
      <c r="D480" s="204"/>
      <c r="E480" s="29">
        <v>4</v>
      </c>
      <c r="F480" s="30" t="s">
        <v>289</v>
      </c>
      <c r="G480" s="60"/>
      <c r="H480" s="60"/>
      <c r="I480" s="193"/>
      <c r="J480" s="200">
        <f t="shared" si="6"/>
        <v>0</v>
      </c>
      <c r="K480" s="60">
        <v>12.44</v>
      </c>
      <c r="L480" s="60"/>
      <c r="M480" s="215" t="s">
        <v>988</v>
      </c>
      <c r="N480" s="248" t="s">
        <v>1317</v>
      </c>
      <c r="O480" s="227"/>
      <c r="P480" s="227"/>
      <c r="Q480" s="249"/>
      <c r="R480" s="194"/>
      <c r="S480" s="195"/>
      <c r="T480" s="196"/>
      <c r="U480" s="195"/>
      <c r="V480" s="197"/>
    </row>
    <row r="481" spans="1:22" s="198" customFormat="1" ht="31.2">
      <c r="A481" s="26">
        <v>41</v>
      </c>
      <c r="B481" s="27" t="s">
        <v>161</v>
      </c>
      <c r="C481" s="288" t="s">
        <v>1318</v>
      </c>
      <c r="D481" s="204"/>
      <c r="E481" s="29">
        <v>6</v>
      </c>
      <c r="F481" s="30" t="s">
        <v>289</v>
      </c>
      <c r="G481" s="60"/>
      <c r="H481" s="60"/>
      <c r="I481" s="193"/>
      <c r="J481" s="200">
        <f t="shared" si="6"/>
        <v>0</v>
      </c>
      <c r="K481" s="60">
        <v>90</v>
      </c>
      <c r="L481" s="60"/>
      <c r="M481" s="215" t="s">
        <v>1319</v>
      </c>
      <c r="N481" s="248" t="s">
        <v>1320</v>
      </c>
      <c r="O481" s="227"/>
      <c r="P481" s="227"/>
      <c r="Q481" s="249"/>
      <c r="R481" s="194"/>
      <c r="S481" s="195"/>
      <c r="T481" s="196"/>
      <c r="U481" s="195"/>
      <c r="V481" s="197"/>
    </row>
    <row r="482" spans="1:22" s="198" customFormat="1" ht="19.2">
      <c r="A482" s="26">
        <v>42</v>
      </c>
      <c r="B482" s="27" t="s">
        <v>161</v>
      </c>
      <c r="C482" s="288" t="s">
        <v>1321</v>
      </c>
      <c r="D482" s="204"/>
      <c r="E482" s="29">
        <v>4</v>
      </c>
      <c r="F482" s="30" t="s">
        <v>289</v>
      </c>
      <c r="G482" s="60"/>
      <c r="H482" s="60"/>
      <c r="I482" s="193"/>
      <c r="J482" s="200">
        <f t="shared" si="6"/>
        <v>0</v>
      </c>
      <c r="K482" s="60">
        <v>44</v>
      </c>
      <c r="L482" s="60"/>
      <c r="M482" s="215" t="s">
        <v>1322</v>
      </c>
      <c r="N482" s="248" t="s">
        <v>1323</v>
      </c>
      <c r="O482" s="227"/>
      <c r="P482" s="227"/>
      <c r="Q482" s="249"/>
      <c r="R482" s="194"/>
      <c r="S482" s="195"/>
      <c r="T482" s="196"/>
      <c r="U482" s="195"/>
      <c r="V482" s="197"/>
    </row>
    <row r="483" spans="1:22" s="198" customFormat="1" ht="19.2">
      <c r="A483" s="26">
        <v>43</v>
      </c>
      <c r="B483" s="27" t="s">
        <v>161</v>
      </c>
      <c r="C483" s="288" t="s">
        <v>1324</v>
      </c>
      <c r="D483" s="204"/>
      <c r="E483" s="29">
        <v>2</v>
      </c>
      <c r="F483" s="30" t="s">
        <v>289</v>
      </c>
      <c r="G483" s="60"/>
      <c r="H483" s="60"/>
      <c r="I483" s="193"/>
      <c r="J483" s="200">
        <f t="shared" ref="J483:J545" si="7">ROUND(I483*H483*G483/1000000,3)</f>
        <v>0</v>
      </c>
      <c r="K483" s="60">
        <v>120</v>
      </c>
      <c r="L483" s="60"/>
      <c r="M483" s="215" t="s">
        <v>1325</v>
      </c>
      <c r="N483" s="248" t="s">
        <v>1326</v>
      </c>
      <c r="O483" s="227"/>
      <c r="P483" s="227"/>
      <c r="Q483" s="249"/>
      <c r="R483" s="194"/>
      <c r="S483" s="195"/>
      <c r="T483" s="196"/>
      <c r="U483" s="195"/>
      <c r="V483" s="197"/>
    </row>
    <row r="484" spans="1:22" s="198" customFormat="1" ht="31.2">
      <c r="A484" s="26">
        <v>44</v>
      </c>
      <c r="B484" s="27" t="s">
        <v>161</v>
      </c>
      <c r="C484" s="288" t="s">
        <v>1327</v>
      </c>
      <c r="D484" s="204"/>
      <c r="E484" s="29">
        <v>5</v>
      </c>
      <c r="F484" s="30" t="s">
        <v>289</v>
      </c>
      <c r="G484" s="60"/>
      <c r="H484" s="60"/>
      <c r="I484" s="193"/>
      <c r="J484" s="200">
        <f t="shared" si="7"/>
        <v>0</v>
      </c>
      <c r="K484" s="60">
        <v>5</v>
      </c>
      <c r="L484" s="60"/>
      <c r="M484" s="215" t="s">
        <v>1328</v>
      </c>
      <c r="N484" s="248" t="s">
        <v>1329</v>
      </c>
      <c r="O484" s="227"/>
      <c r="P484" s="227"/>
      <c r="Q484" s="249"/>
      <c r="R484" s="194"/>
      <c r="S484" s="195"/>
      <c r="T484" s="196"/>
      <c r="U484" s="195"/>
      <c r="V484" s="197"/>
    </row>
    <row r="485" spans="1:22" s="198" customFormat="1" ht="19.2">
      <c r="A485" s="26">
        <v>45</v>
      </c>
      <c r="B485" s="27" t="s">
        <v>161</v>
      </c>
      <c r="C485" s="288" t="s">
        <v>1330</v>
      </c>
      <c r="D485" s="204"/>
      <c r="E485" s="29">
        <v>2</v>
      </c>
      <c r="F485" s="30" t="s">
        <v>289</v>
      </c>
      <c r="G485" s="60"/>
      <c r="H485" s="60"/>
      <c r="I485" s="193"/>
      <c r="J485" s="200">
        <f t="shared" si="7"/>
        <v>0</v>
      </c>
      <c r="K485" s="60">
        <v>1</v>
      </c>
      <c r="L485" s="60"/>
      <c r="M485" s="215"/>
      <c r="N485" s="248" t="s">
        <v>1331</v>
      </c>
      <c r="O485" s="227"/>
      <c r="P485" s="227"/>
      <c r="Q485" s="249"/>
      <c r="R485" s="194"/>
      <c r="S485" s="195"/>
      <c r="T485" s="196"/>
      <c r="U485" s="195"/>
      <c r="V485" s="197"/>
    </row>
    <row r="486" spans="1:22" s="198" customFormat="1" ht="46.8">
      <c r="A486" s="26">
        <v>46</v>
      </c>
      <c r="B486" s="27" t="s">
        <v>161</v>
      </c>
      <c r="C486" s="288" t="s">
        <v>1332</v>
      </c>
      <c r="D486" s="204"/>
      <c r="E486" s="29">
        <v>50</v>
      </c>
      <c r="F486" s="30" t="s">
        <v>289</v>
      </c>
      <c r="G486" s="60"/>
      <c r="H486" s="60"/>
      <c r="I486" s="193"/>
      <c r="J486" s="200">
        <f t="shared" si="7"/>
        <v>0</v>
      </c>
      <c r="K486" s="60">
        <v>1.5</v>
      </c>
      <c r="L486" s="60"/>
      <c r="M486" s="215" t="s">
        <v>1333</v>
      </c>
      <c r="N486" s="248" t="s">
        <v>1334</v>
      </c>
      <c r="O486" s="227"/>
      <c r="P486" s="227"/>
      <c r="Q486" s="249"/>
      <c r="R486" s="194"/>
      <c r="S486" s="195"/>
      <c r="T486" s="196"/>
      <c r="U486" s="195"/>
      <c r="V486" s="197"/>
    </row>
    <row r="487" spans="1:22" s="198" customFormat="1" ht="25.05" customHeight="1">
      <c r="A487" s="264"/>
      <c r="B487" s="265"/>
      <c r="C487" s="289"/>
      <c r="D487" s="203"/>
      <c r="E487" s="266"/>
      <c r="F487" s="202"/>
      <c r="G487" s="267">
        <v>255</v>
      </c>
      <c r="H487" s="267">
        <v>115</v>
      </c>
      <c r="I487" s="268">
        <v>150</v>
      </c>
      <c r="J487" s="269">
        <f>ROUND(I487*H487*G487/1000000,3)</f>
        <v>4.399</v>
      </c>
      <c r="K487" s="267">
        <f>SUM(K441:K486)</f>
        <v>1509.4799999999996</v>
      </c>
      <c r="L487" s="267">
        <f>1700</f>
        <v>1700</v>
      </c>
      <c r="M487" s="224"/>
      <c r="N487" s="246"/>
      <c r="O487" s="225"/>
      <c r="P487" s="225"/>
      <c r="Q487" s="247"/>
      <c r="R487" s="194"/>
      <c r="S487" s="195"/>
      <c r="T487" s="196"/>
      <c r="U487" s="195"/>
      <c r="V487" s="197"/>
    </row>
    <row r="488" spans="1:22" s="107" customFormat="1" ht="31.2">
      <c r="A488" s="26">
        <v>1</v>
      </c>
      <c r="B488" s="27" t="s">
        <v>162</v>
      </c>
      <c r="C488" s="290" t="s">
        <v>1335</v>
      </c>
      <c r="D488" s="191"/>
      <c r="E488" s="29">
        <v>8</v>
      </c>
      <c r="F488" s="30" t="s">
        <v>289</v>
      </c>
      <c r="G488" s="60"/>
      <c r="H488" s="60"/>
      <c r="I488" s="60"/>
      <c r="J488" s="200">
        <f t="shared" si="7"/>
        <v>0</v>
      </c>
      <c r="K488" s="60"/>
      <c r="L488" s="60"/>
      <c r="M488" s="226"/>
      <c r="N488" s="248" t="s">
        <v>1336</v>
      </c>
      <c r="O488" s="227"/>
      <c r="P488" s="228"/>
      <c r="Q488" s="249"/>
      <c r="R488" s="32"/>
      <c r="S488" s="33"/>
      <c r="T488" s="34"/>
      <c r="U488" s="33"/>
      <c r="V488" s="106"/>
    </row>
    <row r="489" spans="1:22" s="107" customFormat="1" ht="48" customHeight="1">
      <c r="A489" s="26">
        <v>2</v>
      </c>
      <c r="B489" s="27" t="s">
        <v>162</v>
      </c>
      <c r="C489" s="290" t="s">
        <v>1337</v>
      </c>
      <c r="D489" s="191"/>
      <c r="E489" s="29">
        <v>16</v>
      </c>
      <c r="F489" s="30" t="s">
        <v>289</v>
      </c>
      <c r="G489" s="60"/>
      <c r="H489" s="60"/>
      <c r="I489" s="108"/>
      <c r="J489" s="200">
        <f t="shared" si="7"/>
        <v>0</v>
      </c>
      <c r="K489" s="60"/>
      <c r="L489" s="60"/>
      <c r="M489" s="226"/>
      <c r="N489" s="248" t="s">
        <v>1338</v>
      </c>
      <c r="O489" s="227"/>
      <c r="P489" s="228"/>
      <c r="Q489" s="249"/>
      <c r="R489" s="32"/>
      <c r="S489" s="33"/>
      <c r="T489" s="34"/>
      <c r="U489" s="33"/>
      <c r="V489" s="106"/>
    </row>
    <row r="490" spans="1:22" s="107" customFormat="1" ht="25.05" customHeight="1">
      <c r="A490" s="264"/>
      <c r="B490" s="265"/>
      <c r="C490" s="289"/>
      <c r="D490" s="203"/>
      <c r="E490" s="266"/>
      <c r="F490" s="202"/>
      <c r="G490" s="267">
        <v>100</v>
      </c>
      <c r="H490" s="267">
        <v>100</v>
      </c>
      <c r="I490" s="268">
        <v>100</v>
      </c>
      <c r="J490" s="269">
        <f>ROUND(I490*H490*G490/1000000,3)</f>
        <v>1</v>
      </c>
      <c r="K490" s="267">
        <v>100</v>
      </c>
      <c r="L490" s="267">
        <v>140</v>
      </c>
      <c r="M490" s="224"/>
      <c r="N490" s="246"/>
      <c r="O490" s="225"/>
      <c r="P490" s="225"/>
      <c r="Q490" s="247"/>
      <c r="R490" s="32"/>
      <c r="S490" s="33"/>
      <c r="T490" s="34"/>
      <c r="U490" s="33"/>
      <c r="V490" s="106"/>
    </row>
    <row r="491" spans="1:22" s="107" customFormat="1" ht="25.05" customHeight="1">
      <c r="A491" s="26">
        <v>1</v>
      </c>
      <c r="B491" s="27" t="s">
        <v>163</v>
      </c>
      <c r="C491" s="290" t="s">
        <v>1339</v>
      </c>
      <c r="D491" s="191"/>
      <c r="E491" s="29">
        <v>2</v>
      </c>
      <c r="F491" s="30" t="s">
        <v>289</v>
      </c>
      <c r="G491" s="60"/>
      <c r="H491" s="60"/>
      <c r="I491" s="108"/>
      <c r="J491" s="200">
        <f t="shared" si="7"/>
        <v>0</v>
      </c>
      <c r="K491" s="60"/>
      <c r="L491" s="60"/>
      <c r="M491" s="226"/>
      <c r="N491" s="248" t="s">
        <v>1340</v>
      </c>
      <c r="O491" s="227"/>
      <c r="P491" s="228"/>
      <c r="Q491" s="249" t="s">
        <v>1341</v>
      </c>
      <c r="R491" s="32"/>
      <c r="S491" s="33"/>
      <c r="T491" s="34"/>
      <c r="U491" s="33"/>
      <c r="V491" s="106"/>
    </row>
    <row r="492" spans="1:22" s="107" customFormat="1" ht="25.05" customHeight="1">
      <c r="A492" s="26">
        <v>2</v>
      </c>
      <c r="B492" s="27" t="s">
        <v>163</v>
      </c>
      <c r="C492" s="290" t="s">
        <v>1342</v>
      </c>
      <c r="D492" s="191"/>
      <c r="E492" s="29">
        <v>2</v>
      </c>
      <c r="F492" s="30" t="s">
        <v>289</v>
      </c>
      <c r="G492" s="60"/>
      <c r="H492" s="60"/>
      <c r="I492" s="108"/>
      <c r="J492" s="200">
        <f t="shared" si="7"/>
        <v>0</v>
      </c>
      <c r="K492" s="60"/>
      <c r="L492" s="60"/>
      <c r="M492" s="226"/>
      <c r="N492" s="248" t="s">
        <v>1343</v>
      </c>
      <c r="O492" s="227"/>
      <c r="P492" s="228"/>
      <c r="Q492" s="249" t="s">
        <v>1341</v>
      </c>
      <c r="R492" s="32"/>
      <c r="S492" s="33"/>
      <c r="T492" s="34"/>
      <c r="U492" s="33"/>
      <c r="V492" s="106"/>
    </row>
    <row r="493" spans="1:22" s="107" customFormat="1" ht="25.05" customHeight="1">
      <c r="A493" s="26">
        <v>3</v>
      </c>
      <c r="B493" s="27" t="s">
        <v>163</v>
      </c>
      <c r="C493" s="290" t="s">
        <v>1344</v>
      </c>
      <c r="D493" s="191"/>
      <c r="E493" s="29">
        <v>4</v>
      </c>
      <c r="F493" s="30" t="s">
        <v>289</v>
      </c>
      <c r="G493" s="60"/>
      <c r="H493" s="60"/>
      <c r="I493" s="108"/>
      <c r="J493" s="200">
        <f t="shared" si="7"/>
        <v>0</v>
      </c>
      <c r="K493" s="60"/>
      <c r="L493" s="60"/>
      <c r="M493" s="226"/>
      <c r="N493" s="248" t="s">
        <v>1345</v>
      </c>
      <c r="O493" s="227"/>
      <c r="P493" s="228"/>
      <c r="Q493" s="249" t="s">
        <v>1346</v>
      </c>
      <c r="R493" s="32"/>
      <c r="S493" s="33"/>
      <c r="T493" s="34"/>
      <c r="U493" s="33"/>
      <c r="V493" s="106"/>
    </row>
    <row r="494" spans="1:22" s="107" customFormat="1" ht="25.05" customHeight="1">
      <c r="A494" s="26">
        <v>4</v>
      </c>
      <c r="B494" s="27" t="s">
        <v>163</v>
      </c>
      <c r="C494" s="290" t="s">
        <v>1347</v>
      </c>
      <c r="D494" s="191"/>
      <c r="E494" s="29">
        <v>8</v>
      </c>
      <c r="F494" s="30" t="s">
        <v>289</v>
      </c>
      <c r="G494" s="60"/>
      <c r="H494" s="60"/>
      <c r="I494" s="108"/>
      <c r="J494" s="200">
        <f t="shared" si="7"/>
        <v>0</v>
      </c>
      <c r="K494" s="60"/>
      <c r="L494" s="60"/>
      <c r="M494" s="226"/>
      <c r="N494" s="248" t="s">
        <v>1348</v>
      </c>
      <c r="O494" s="227"/>
      <c r="P494" s="228"/>
      <c r="Q494" s="249" t="s">
        <v>1346</v>
      </c>
      <c r="R494" s="32"/>
      <c r="S494" s="33"/>
      <c r="T494" s="34"/>
      <c r="U494" s="33"/>
      <c r="V494" s="106"/>
    </row>
    <row r="495" spans="1:22" s="107" customFormat="1" ht="25.05" customHeight="1">
      <c r="A495" s="264"/>
      <c r="B495" s="265"/>
      <c r="C495" s="289"/>
      <c r="D495" s="203"/>
      <c r="E495" s="266"/>
      <c r="F495" s="202"/>
      <c r="G495" s="267">
        <v>135</v>
      </c>
      <c r="H495" s="267">
        <v>135</v>
      </c>
      <c r="I495" s="268">
        <v>45</v>
      </c>
      <c r="J495" s="269">
        <f>ROUND(I495*H495*G495/1000000,3)</f>
        <v>0.82</v>
      </c>
      <c r="K495" s="267">
        <v>116</v>
      </c>
      <c r="L495" s="267">
        <v>155</v>
      </c>
      <c r="M495" s="224"/>
      <c r="N495" s="246"/>
      <c r="O495" s="225"/>
      <c r="P495" s="225"/>
      <c r="Q495" s="247"/>
      <c r="R495" s="32"/>
      <c r="S495" s="33"/>
      <c r="T495" s="34"/>
      <c r="U495" s="33"/>
      <c r="V495" s="106"/>
    </row>
    <row r="496" spans="1:22" s="107" customFormat="1" ht="25.05" customHeight="1">
      <c r="A496" s="26">
        <v>1</v>
      </c>
      <c r="B496" s="27" t="s">
        <v>164</v>
      </c>
      <c r="C496" s="290" t="s">
        <v>1349</v>
      </c>
      <c r="D496" s="191"/>
      <c r="E496" s="29">
        <v>1</v>
      </c>
      <c r="F496" s="30" t="s">
        <v>289</v>
      </c>
      <c r="G496" s="60"/>
      <c r="H496" s="60"/>
      <c r="I496" s="108"/>
      <c r="J496" s="200">
        <f t="shared" si="7"/>
        <v>0</v>
      </c>
      <c r="K496" s="60"/>
      <c r="L496" s="60"/>
      <c r="M496" s="226"/>
      <c r="N496" s="248" t="s">
        <v>1350</v>
      </c>
      <c r="O496" s="227"/>
      <c r="P496" s="228"/>
      <c r="Q496" s="249" t="s">
        <v>1351</v>
      </c>
      <c r="R496" s="32"/>
      <c r="S496" s="33"/>
      <c r="T496" s="34"/>
      <c r="U496" s="33"/>
      <c r="V496" s="106"/>
    </row>
    <row r="497" spans="1:22" s="107" customFormat="1" ht="25.05" customHeight="1">
      <c r="A497" s="26">
        <v>2</v>
      </c>
      <c r="B497" s="27" t="s">
        <v>164</v>
      </c>
      <c r="C497" s="290" t="s">
        <v>1352</v>
      </c>
      <c r="D497" s="191"/>
      <c r="E497" s="29">
        <v>2</v>
      </c>
      <c r="F497" s="30" t="s">
        <v>289</v>
      </c>
      <c r="G497" s="60"/>
      <c r="H497" s="60"/>
      <c r="I497" s="108"/>
      <c r="J497" s="200">
        <f t="shared" si="7"/>
        <v>0</v>
      </c>
      <c r="K497" s="60"/>
      <c r="L497" s="60"/>
      <c r="M497" s="226"/>
      <c r="N497" s="248" t="s">
        <v>1353</v>
      </c>
      <c r="O497" s="227"/>
      <c r="P497" s="228"/>
      <c r="Q497" s="249" t="s">
        <v>1351</v>
      </c>
      <c r="R497" s="32"/>
      <c r="S497" s="33"/>
      <c r="T497" s="34"/>
      <c r="U497" s="33"/>
      <c r="V497" s="106"/>
    </row>
    <row r="498" spans="1:22" s="107" customFormat="1" ht="25.05" customHeight="1">
      <c r="A498" s="26">
        <v>3</v>
      </c>
      <c r="B498" s="27" t="s">
        <v>164</v>
      </c>
      <c r="C498" s="288" t="s">
        <v>1354</v>
      </c>
      <c r="D498" s="191"/>
      <c r="E498" s="29">
        <v>4</v>
      </c>
      <c r="F498" s="30" t="s">
        <v>289</v>
      </c>
      <c r="G498" s="60"/>
      <c r="H498" s="60"/>
      <c r="I498" s="108"/>
      <c r="J498" s="200">
        <f t="shared" si="7"/>
        <v>0</v>
      </c>
      <c r="K498" s="60"/>
      <c r="L498" s="60"/>
      <c r="M498" s="226"/>
      <c r="N498" s="248" t="s">
        <v>1355</v>
      </c>
      <c r="O498" s="227"/>
      <c r="P498" s="228"/>
      <c r="Q498" s="249" t="s">
        <v>1356</v>
      </c>
      <c r="R498" s="32"/>
      <c r="S498" s="33"/>
      <c r="T498" s="34"/>
      <c r="U498" s="33"/>
      <c r="V498" s="106"/>
    </row>
    <row r="499" spans="1:22" s="107" customFormat="1" ht="25.05" customHeight="1">
      <c r="A499" s="26">
        <v>4</v>
      </c>
      <c r="B499" s="27" t="s">
        <v>164</v>
      </c>
      <c r="C499" s="288" t="s">
        <v>1357</v>
      </c>
      <c r="D499" s="191"/>
      <c r="E499" s="29">
        <v>8</v>
      </c>
      <c r="F499" s="30" t="s">
        <v>289</v>
      </c>
      <c r="G499" s="60"/>
      <c r="H499" s="60"/>
      <c r="I499" s="108"/>
      <c r="J499" s="200">
        <f t="shared" si="7"/>
        <v>0</v>
      </c>
      <c r="K499" s="60"/>
      <c r="L499" s="60"/>
      <c r="M499" s="226"/>
      <c r="N499" s="248" t="s">
        <v>1358</v>
      </c>
      <c r="O499" s="227"/>
      <c r="P499" s="228"/>
      <c r="Q499" s="249" t="s">
        <v>1356</v>
      </c>
      <c r="R499" s="32"/>
      <c r="S499" s="33"/>
      <c r="T499" s="34"/>
      <c r="U499" s="33"/>
      <c r="V499" s="106"/>
    </row>
    <row r="500" spans="1:22" s="107" customFormat="1" ht="25.05" customHeight="1">
      <c r="A500" s="264"/>
      <c r="B500" s="265"/>
      <c r="C500" s="289"/>
      <c r="D500" s="203"/>
      <c r="E500" s="266"/>
      <c r="F500" s="202"/>
      <c r="G500" s="267">
        <v>120</v>
      </c>
      <c r="H500" s="267">
        <v>86</v>
      </c>
      <c r="I500" s="268">
        <v>60</v>
      </c>
      <c r="J500" s="269">
        <f>ROUND(I500*H500*G500/1000000,3)</f>
        <v>0.61899999999999999</v>
      </c>
      <c r="K500" s="267">
        <v>90</v>
      </c>
      <c r="L500" s="267">
        <v>100</v>
      </c>
      <c r="M500" s="224"/>
      <c r="N500" s="246"/>
      <c r="O500" s="225"/>
      <c r="P500" s="225"/>
      <c r="Q500" s="247"/>
      <c r="R500" s="32"/>
      <c r="S500" s="33"/>
      <c r="T500" s="34"/>
      <c r="U500" s="33"/>
      <c r="V500" s="106"/>
    </row>
    <row r="501" spans="1:22" s="107" customFormat="1" ht="25.05" customHeight="1">
      <c r="A501" s="26">
        <v>1</v>
      </c>
      <c r="B501" s="27" t="s">
        <v>165</v>
      </c>
      <c r="C501" s="288" t="s">
        <v>1359</v>
      </c>
      <c r="D501" s="191"/>
      <c r="E501" s="29">
        <v>1</v>
      </c>
      <c r="F501" s="30" t="s">
        <v>289</v>
      </c>
      <c r="G501" s="60"/>
      <c r="H501" s="60"/>
      <c r="I501" s="108"/>
      <c r="J501" s="200"/>
      <c r="K501" s="60"/>
      <c r="L501" s="60"/>
      <c r="M501" s="226"/>
      <c r="N501" s="248"/>
      <c r="O501" s="227"/>
      <c r="P501" s="228"/>
      <c r="Q501" s="249" t="s">
        <v>1360</v>
      </c>
      <c r="R501" s="32"/>
      <c r="S501" s="33"/>
      <c r="T501" s="34"/>
      <c r="U501" s="33"/>
      <c r="V501" s="106"/>
    </row>
    <row r="502" spans="1:22" s="107" customFormat="1" ht="25.05" customHeight="1">
      <c r="A502" s="264"/>
      <c r="B502" s="265"/>
      <c r="C502" s="289"/>
      <c r="D502" s="203"/>
      <c r="E502" s="266"/>
      <c r="F502" s="202"/>
      <c r="G502" s="267">
        <v>229</v>
      </c>
      <c r="H502" s="267">
        <v>170</v>
      </c>
      <c r="I502" s="268">
        <v>260</v>
      </c>
      <c r="J502" s="269">
        <f>ROUND(I502*H502*G502/1000000,3)</f>
        <v>10.122</v>
      </c>
      <c r="K502" s="267">
        <v>1220</v>
      </c>
      <c r="L502" s="267">
        <v>1350</v>
      </c>
      <c r="M502" s="224"/>
      <c r="N502" s="246"/>
      <c r="O502" s="225"/>
      <c r="P502" s="225"/>
      <c r="Q502" s="247"/>
      <c r="R502" s="32"/>
      <c r="S502" s="33"/>
      <c r="T502" s="34"/>
      <c r="U502" s="33"/>
      <c r="V502" s="106"/>
    </row>
    <row r="503" spans="1:22" s="107" customFormat="1" ht="25.05" customHeight="1">
      <c r="A503" s="26">
        <v>1</v>
      </c>
      <c r="B503" s="27" t="s">
        <v>166</v>
      </c>
      <c r="C503" s="288" t="s">
        <v>1361</v>
      </c>
      <c r="D503" s="191"/>
      <c r="E503" s="29">
        <v>2</v>
      </c>
      <c r="F503" s="30" t="s">
        <v>289</v>
      </c>
      <c r="G503" s="60"/>
      <c r="H503" s="60"/>
      <c r="I503" s="108"/>
      <c r="J503" s="200">
        <f t="shared" si="7"/>
        <v>0</v>
      </c>
      <c r="K503" s="60">
        <v>13</v>
      </c>
      <c r="L503" s="60"/>
      <c r="M503" s="226"/>
      <c r="N503" s="248" t="s">
        <v>1362</v>
      </c>
      <c r="O503" s="227"/>
      <c r="P503" s="228"/>
      <c r="Q503" s="249"/>
      <c r="R503" s="32"/>
      <c r="S503" s="33"/>
      <c r="T503" s="34"/>
      <c r="U503" s="33"/>
      <c r="V503" s="106"/>
    </row>
    <row r="504" spans="1:22" s="107" customFormat="1" ht="25.05" customHeight="1">
      <c r="A504" s="26">
        <v>2</v>
      </c>
      <c r="B504" s="27" t="s">
        <v>166</v>
      </c>
      <c r="C504" s="288" t="s">
        <v>1363</v>
      </c>
      <c r="D504" s="191"/>
      <c r="E504" s="29">
        <v>2</v>
      </c>
      <c r="F504" s="30" t="s">
        <v>289</v>
      </c>
      <c r="G504" s="60"/>
      <c r="H504" s="60"/>
      <c r="I504" s="108"/>
      <c r="J504" s="200">
        <f t="shared" si="7"/>
        <v>0</v>
      </c>
      <c r="K504" s="60">
        <v>18</v>
      </c>
      <c r="L504" s="60"/>
      <c r="M504" s="226"/>
      <c r="N504" s="248" t="s">
        <v>1364</v>
      </c>
      <c r="O504" s="227"/>
      <c r="P504" s="228"/>
      <c r="Q504" s="249"/>
      <c r="R504" s="32"/>
      <c r="S504" s="33"/>
      <c r="T504" s="34"/>
      <c r="U504" s="33"/>
      <c r="V504" s="106"/>
    </row>
    <row r="505" spans="1:22" s="107" customFormat="1" ht="25.05" customHeight="1">
      <c r="A505" s="26">
        <v>3</v>
      </c>
      <c r="B505" s="27" t="s">
        <v>166</v>
      </c>
      <c r="C505" s="288" t="s">
        <v>1365</v>
      </c>
      <c r="D505" s="191"/>
      <c r="E505" s="29">
        <v>2</v>
      </c>
      <c r="F505" s="30" t="s">
        <v>289</v>
      </c>
      <c r="G505" s="60"/>
      <c r="H505" s="60"/>
      <c r="I505" s="108"/>
      <c r="J505" s="200">
        <f t="shared" si="7"/>
        <v>0</v>
      </c>
      <c r="K505" s="60">
        <v>7</v>
      </c>
      <c r="L505" s="60"/>
      <c r="M505" s="226"/>
      <c r="N505" s="248" t="s">
        <v>1366</v>
      </c>
      <c r="O505" s="227"/>
      <c r="P505" s="228"/>
      <c r="Q505" s="249"/>
      <c r="R505" s="32"/>
      <c r="S505" s="33"/>
      <c r="T505" s="34"/>
      <c r="U505" s="33"/>
      <c r="V505" s="106"/>
    </row>
    <row r="506" spans="1:22" s="107" customFormat="1" ht="25.05" customHeight="1">
      <c r="A506" s="26">
        <v>4</v>
      </c>
      <c r="B506" s="27" t="s">
        <v>166</v>
      </c>
      <c r="C506" s="288" t="s">
        <v>1367</v>
      </c>
      <c r="D506" s="191"/>
      <c r="E506" s="29">
        <v>6</v>
      </c>
      <c r="F506" s="30" t="s">
        <v>289</v>
      </c>
      <c r="G506" s="60"/>
      <c r="H506" s="60"/>
      <c r="I506" s="108"/>
      <c r="J506" s="200">
        <f t="shared" si="7"/>
        <v>0</v>
      </c>
      <c r="K506" s="60">
        <v>9</v>
      </c>
      <c r="L506" s="60"/>
      <c r="M506" s="226"/>
      <c r="N506" s="248" t="s">
        <v>1368</v>
      </c>
      <c r="O506" s="227"/>
      <c r="P506" s="228"/>
      <c r="Q506" s="249"/>
      <c r="R506" s="32"/>
      <c r="S506" s="33"/>
      <c r="T506" s="34"/>
      <c r="U506" s="33"/>
      <c r="V506" s="106"/>
    </row>
    <row r="507" spans="1:22" s="107" customFormat="1" ht="25.05" customHeight="1">
      <c r="A507" s="26">
        <v>5</v>
      </c>
      <c r="B507" s="27" t="s">
        <v>166</v>
      </c>
      <c r="C507" s="288" t="s">
        <v>1369</v>
      </c>
      <c r="D507" s="191"/>
      <c r="E507" s="29">
        <v>6</v>
      </c>
      <c r="F507" s="30" t="s">
        <v>289</v>
      </c>
      <c r="G507" s="60"/>
      <c r="H507" s="60"/>
      <c r="I507" s="108"/>
      <c r="J507" s="200">
        <f t="shared" si="7"/>
        <v>0</v>
      </c>
      <c r="K507" s="60">
        <v>1</v>
      </c>
      <c r="L507" s="60"/>
      <c r="M507" s="226"/>
      <c r="N507" s="248" t="s">
        <v>1370</v>
      </c>
      <c r="O507" s="227"/>
      <c r="P507" s="228"/>
      <c r="Q507" s="249"/>
      <c r="R507" s="32"/>
      <c r="S507" s="33"/>
      <c r="T507" s="34"/>
      <c r="U507" s="33"/>
      <c r="V507" s="106"/>
    </row>
    <row r="508" spans="1:22" s="107" customFormat="1" ht="25.05" customHeight="1">
      <c r="A508" s="26">
        <v>6</v>
      </c>
      <c r="B508" s="27" t="s">
        <v>166</v>
      </c>
      <c r="C508" s="288" t="s">
        <v>1371</v>
      </c>
      <c r="D508" s="191"/>
      <c r="E508" s="29">
        <v>50</v>
      </c>
      <c r="F508" s="30" t="s">
        <v>1372</v>
      </c>
      <c r="G508" s="60"/>
      <c r="H508" s="60"/>
      <c r="I508" s="108"/>
      <c r="J508" s="200">
        <f t="shared" si="7"/>
        <v>0</v>
      </c>
      <c r="K508" s="60">
        <v>100</v>
      </c>
      <c r="L508" s="60"/>
      <c r="M508" s="226"/>
      <c r="N508" s="248" t="s">
        <v>1373</v>
      </c>
      <c r="O508" s="227"/>
      <c r="P508" s="228"/>
      <c r="Q508" s="249" t="s">
        <v>1374</v>
      </c>
      <c r="R508" s="32"/>
      <c r="S508" s="33"/>
      <c r="T508" s="34"/>
      <c r="U508" s="33"/>
      <c r="V508" s="106"/>
    </row>
    <row r="509" spans="1:22" s="107" customFormat="1" ht="25.05" customHeight="1">
      <c r="A509" s="26">
        <v>7</v>
      </c>
      <c r="B509" s="27" t="s">
        <v>166</v>
      </c>
      <c r="C509" s="288" t="s">
        <v>1375</v>
      </c>
      <c r="D509" s="191"/>
      <c r="E509" s="29">
        <v>4</v>
      </c>
      <c r="F509" s="30" t="s">
        <v>289</v>
      </c>
      <c r="G509" s="60"/>
      <c r="H509" s="60"/>
      <c r="I509" s="108"/>
      <c r="J509" s="200">
        <f t="shared" si="7"/>
        <v>0</v>
      </c>
      <c r="K509" s="60">
        <v>0.7</v>
      </c>
      <c r="L509" s="60"/>
      <c r="M509" s="226"/>
      <c r="N509" s="248" t="s">
        <v>1376</v>
      </c>
      <c r="O509" s="227"/>
      <c r="P509" s="228"/>
      <c r="Q509" s="249" t="s">
        <v>1377</v>
      </c>
      <c r="R509" s="32"/>
      <c r="S509" s="33"/>
      <c r="T509" s="34"/>
      <c r="U509" s="33"/>
      <c r="V509" s="106"/>
    </row>
    <row r="510" spans="1:22" s="107" customFormat="1" ht="25.05" customHeight="1">
      <c r="A510" s="26">
        <v>8</v>
      </c>
      <c r="B510" s="27" t="s">
        <v>166</v>
      </c>
      <c r="C510" s="288" t="s">
        <v>1378</v>
      </c>
      <c r="D510" s="191"/>
      <c r="E510" s="29">
        <v>2</v>
      </c>
      <c r="F510" s="30" t="s">
        <v>289</v>
      </c>
      <c r="G510" s="60"/>
      <c r="H510" s="60"/>
      <c r="I510" s="108"/>
      <c r="J510" s="200">
        <f t="shared" si="7"/>
        <v>0</v>
      </c>
      <c r="K510" s="60">
        <v>0.2</v>
      </c>
      <c r="L510" s="60"/>
      <c r="M510" s="226"/>
      <c r="N510" s="248" t="s">
        <v>1379</v>
      </c>
      <c r="O510" s="227"/>
      <c r="P510" s="228"/>
      <c r="Q510" s="249" t="s">
        <v>1380</v>
      </c>
      <c r="R510" s="32"/>
      <c r="S510" s="33"/>
      <c r="T510" s="34"/>
      <c r="U510" s="33"/>
      <c r="V510" s="106"/>
    </row>
    <row r="511" spans="1:22" s="107" customFormat="1" ht="25.05" customHeight="1">
      <c r="A511" s="26">
        <v>9</v>
      </c>
      <c r="B511" s="27" t="s">
        <v>166</v>
      </c>
      <c r="C511" s="288" t="s">
        <v>1381</v>
      </c>
      <c r="D511" s="191"/>
      <c r="E511" s="29">
        <v>2</v>
      </c>
      <c r="F511" s="30" t="s">
        <v>289</v>
      </c>
      <c r="G511" s="60"/>
      <c r="H511" s="60"/>
      <c r="I511" s="108"/>
      <c r="J511" s="200">
        <f t="shared" si="7"/>
        <v>0</v>
      </c>
      <c r="K511" s="60">
        <v>0.4</v>
      </c>
      <c r="L511" s="60"/>
      <c r="M511" s="226"/>
      <c r="N511" s="248" t="s">
        <v>1382</v>
      </c>
      <c r="O511" s="227"/>
      <c r="P511" s="228"/>
      <c r="Q511" s="249" t="s">
        <v>1383</v>
      </c>
      <c r="R511" s="32"/>
      <c r="S511" s="33"/>
      <c r="T511" s="34"/>
      <c r="U511" s="33"/>
      <c r="V511" s="106"/>
    </row>
    <row r="512" spans="1:22" s="107" customFormat="1" ht="25.05" customHeight="1">
      <c r="A512" s="26">
        <v>10</v>
      </c>
      <c r="B512" s="27" t="s">
        <v>166</v>
      </c>
      <c r="C512" s="288" t="s">
        <v>1384</v>
      </c>
      <c r="D512" s="191"/>
      <c r="E512" s="29">
        <v>2</v>
      </c>
      <c r="F512" s="30" t="s">
        <v>289</v>
      </c>
      <c r="G512" s="60"/>
      <c r="H512" s="60"/>
      <c r="I512" s="108"/>
      <c r="J512" s="200">
        <f t="shared" si="7"/>
        <v>0</v>
      </c>
      <c r="K512" s="60">
        <v>0.8</v>
      </c>
      <c r="L512" s="60"/>
      <c r="M512" s="226"/>
      <c r="N512" s="248" t="s">
        <v>1385</v>
      </c>
      <c r="O512" s="227"/>
      <c r="P512" s="228"/>
      <c r="Q512" s="249" t="s">
        <v>1386</v>
      </c>
      <c r="R512" s="32"/>
      <c r="S512" s="33"/>
      <c r="T512" s="34"/>
      <c r="U512" s="33"/>
      <c r="V512" s="106"/>
    </row>
    <row r="513" spans="1:22" s="107" customFormat="1" ht="25.05" customHeight="1">
      <c r="A513" s="264"/>
      <c r="B513" s="265"/>
      <c r="C513" s="289"/>
      <c r="D513" s="203"/>
      <c r="E513" s="266"/>
      <c r="F513" s="202"/>
      <c r="G513" s="267">
        <v>160</v>
      </c>
      <c r="H513" s="267">
        <v>145</v>
      </c>
      <c r="I513" s="268">
        <v>122</v>
      </c>
      <c r="J513" s="269">
        <f>ROUND(I513*H513*G513/1000000,3)</f>
        <v>2.83</v>
      </c>
      <c r="K513" s="267">
        <f>SUM(K503:K512)</f>
        <v>150.1</v>
      </c>
      <c r="L513" s="267">
        <v>300</v>
      </c>
      <c r="M513" s="224"/>
      <c r="N513" s="246"/>
      <c r="O513" s="225"/>
      <c r="P513" s="225"/>
      <c r="Q513" s="247"/>
      <c r="R513" s="32"/>
      <c r="S513" s="33"/>
      <c r="T513" s="34"/>
      <c r="U513" s="33"/>
      <c r="V513" s="106"/>
    </row>
    <row r="514" spans="1:22" s="107" customFormat="1" ht="25.05" customHeight="1">
      <c r="A514" s="26">
        <v>1</v>
      </c>
      <c r="B514" s="27" t="s">
        <v>167</v>
      </c>
      <c r="C514" s="288" t="s">
        <v>168</v>
      </c>
      <c r="D514" s="191"/>
      <c r="E514" s="29">
        <v>1</v>
      </c>
      <c r="F514" s="30" t="s">
        <v>289</v>
      </c>
      <c r="G514" s="60"/>
      <c r="H514" s="60"/>
      <c r="I514" s="108"/>
      <c r="J514" s="200"/>
      <c r="K514" s="60"/>
      <c r="L514" s="60"/>
      <c r="M514" s="226"/>
      <c r="N514" s="250"/>
      <c r="O514" s="227"/>
      <c r="P514" s="228"/>
      <c r="Q514" s="249" t="s">
        <v>1387</v>
      </c>
      <c r="R514" s="32"/>
      <c r="S514" s="33"/>
      <c r="T514" s="34"/>
      <c r="U514" s="33"/>
      <c r="V514" s="106"/>
    </row>
    <row r="515" spans="1:22" s="107" customFormat="1" ht="25.05" customHeight="1">
      <c r="A515" s="264"/>
      <c r="B515" s="265"/>
      <c r="C515" s="289"/>
      <c r="D515" s="203"/>
      <c r="E515" s="266"/>
      <c r="F515" s="202"/>
      <c r="G515" s="267">
        <v>272</v>
      </c>
      <c r="H515" s="267">
        <v>112</v>
      </c>
      <c r="I515" s="268">
        <v>246</v>
      </c>
      <c r="J515" s="269">
        <f>ROUND(I515*H515*G515/1000000,3)</f>
        <v>7.4939999999999998</v>
      </c>
      <c r="K515" s="267">
        <v>450</v>
      </c>
      <c r="L515" s="267">
        <v>720</v>
      </c>
      <c r="M515" s="224"/>
      <c r="N515" s="246"/>
      <c r="O515" s="225"/>
      <c r="P515" s="225"/>
      <c r="Q515" s="247"/>
      <c r="R515" s="32"/>
      <c r="S515" s="33"/>
      <c r="T515" s="34"/>
      <c r="U515" s="33"/>
      <c r="V515" s="106"/>
    </row>
    <row r="516" spans="1:22" s="107" customFormat="1" ht="25.05" customHeight="1">
      <c r="A516" s="26">
        <v>1</v>
      </c>
      <c r="B516" s="27" t="s">
        <v>169</v>
      </c>
      <c r="C516" s="288" t="s">
        <v>170</v>
      </c>
      <c r="D516" s="191"/>
      <c r="E516" s="29">
        <v>1</v>
      </c>
      <c r="F516" s="30" t="s">
        <v>289</v>
      </c>
      <c r="G516" s="60"/>
      <c r="H516" s="60"/>
      <c r="I516" s="108"/>
      <c r="J516" s="200"/>
      <c r="K516" s="60"/>
      <c r="L516" s="60"/>
      <c r="M516" s="226"/>
      <c r="N516" s="248"/>
      <c r="O516" s="227"/>
      <c r="P516" s="228"/>
      <c r="Q516" s="249" t="s">
        <v>1388</v>
      </c>
      <c r="R516" s="32"/>
      <c r="S516" s="33"/>
      <c r="T516" s="34"/>
      <c r="U516" s="33"/>
      <c r="V516" s="106"/>
    </row>
    <row r="517" spans="1:22" s="107" customFormat="1" ht="25.05" customHeight="1">
      <c r="A517" s="264"/>
      <c r="B517" s="265"/>
      <c r="C517" s="289"/>
      <c r="D517" s="203"/>
      <c r="E517" s="266"/>
      <c r="F517" s="202"/>
      <c r="G517" s="267">
        <v>80</v>
      </c>
      <c r="H517" s="267">
        <v>120</v>
      </c>
      <c r="I517" s="268">
        <v>145</v>
      </c>
      <c r="J517" s="269">
        <f>ROUND(I517*H517*G517/1000000,3)</f>
        <v>1.3919999999999999</v>
      </c>
      <c r="K517" s="267">
        <v>100</v>
      </c>
      <c r="L517" s="267">
        <v>180</v>
      </c>
      <c r="M517" s="224"/>
      <c r="N517" s="246"/>
      <c r="O517" s="225"/>
      <c r="P517" s="225"/>
      <c r="Q517" s="247"/>
      <c r="R517" s="32"/>
      <c r="S517" s="33"/>
      <c r="T517" s="34"/>
      <c r="U517" s="33"/>
      <c r="V517" s="106"/>
    </row>
    <row r="518" spans="1:22" s="107" customFormat="1" ht="25.05" customHeight="1">
      <c r="A518" s="26">
        <v>1</v>
      </c>
      <c r="B518" s="27" t="s">
        <v>171</v>
      </c>
      <c r="C518" s="288" t="s">
        <v>1389</v>
      </c>
      <c r="D518" s="30"/>
      <c r="E518" s="29">
        <v>1</v>
      </c>
      <c r="F518" s="30" t="s">
        <v>289</v>
      </c>
      <c r="G518" s="60"/>
      <c r="H518" s="60"/>
      <c r="I518" s="108"/>
      <c r="J518" s="200"/>
      <c r="K518" s="60"/>
      <c r="L518" s="60"/>
      <c r="M518" s="226" t="s">
        <v>1390</v>
      </c>
      <c r="N518" s="248"/>
      <c r="O518" s="227"/>
      <c r="P518" s="228"/>
      <c r="Q518" s="249" t="s">
        <v>1391</v>
      </c>
      <c r="R518" s="32"/>
      <c r="S518" s="33"/>
      <c r="T518" s="34"/>
      <c r="U518" s="33"/>
      <c r="V518" s="106"/>
    </row>
    <row r="519" spans="1:22" s="107" customFormat="1" ht="25.05" customHeight="1">
      <c r="A519" s="264"/>
      <c r="B519" s="265"/>
      <c r="C519" s="289"/>
      <c r="D519" s="203"/>
      <c r="E519" s="266"/>
      <c r="F519" s="202"/>
      <c r="G519" s="269">
        <v>135</v>
      </c>
      <c r="H519" s="269">
        <v>100</v>
      </c>
      <c r="I519" s="269">
        <v>255</v>
      </c>
      <c r="J519" s="269">
        <f>ROUND(I519*H519*G519/1000000,3)</f>
        <v>3.4430000000000001</v>
      </c>
      <c r="K519" s="269">
        <v>350</v>
      </c>
      <c r="L519" s="269">
        <f>K519+200</f>
        <v>550</v>
      </c>
      <c r="M519" s="224"/>
      <c r="N519" s="246"/>
      <c r="O519" s="225"/>
      <c r="P519" s="225"/>
      <c r="Q519" s="247"/>
      <c r="R519" s="32"/>
      <c r="S519" s="33"/>
      <c r="T519" s="34"/>
      <c r="U519" s="33"/>
      <c r="V519" s="106"/>
    </row>
    <row r="520" spans="1:22" s="107" customFormat="1" ht="27.75" customHeight="1">
      <c r="A520" s="26">
        <v>1</v>
      </c>
      <c r="B520" s="27" t="s">
        <v>174</v>
      </c>
      <c r="C520" s="288" t="s">
        <v>1392</v>
      </c>
      <c r="D520" s="30"/>
      <c r="E520" s="29">
        <v>259</v>
      </c>
      <c r="F520" s="30" t="s">
        <v>1393</v>
      </c>
      <c r="G520" s="60"/>
      <c r="H520" s="60"/>
      <c r="I520" s="108"/>
      <c r="J520" s="152">
        <f t="shared" si="7"/>
        <v>0</v>
      </c>
      <c r="K520" s="60"/>
      <c r="L520" s="60"/>
      <c r="M520" s="226" t="s">
        <v>1390</v>
      </c>
      <c r="N520" s="248" t="s">
        <v>1394</v>
      </c>
      <c r="O520" s="227"/>
      <c r="P520" s="228"/>
      <c r="Q520" s="229" t="s">
        <v>1395</v>
      </c>
      <c r="R520" s="32"/>
      <c r="S520" s="33"/>
      <c r="T520" s="34"/>
      <c r="U520" s="33"/>
      <c r="V520" s="106"/>
    </row>
    <row r="521" spans="1:22" s="107" customFormat="1" ht="27.75" customHeight="1">
      <c r="A521" s="26">
        <v>2</v>
      </c>
      <c r="B521" s="27" t="s">
        <v>174</v>
      </c>
      <c r="C521" s="288" t="s">
        <v>1396</v>
      </c>
      <c r="D521" s="30"/>
      <c r="E521" s="29">
        <v>85</v>
      </c>
      <c r="F521" s="30" t="s">
        <v>1393</v>
      </c>
      <c r="G521" s="60"/>
      <c r="H521" s="60"/>
      <c r="I521" s="108"/>
      <c r="J521" s="152">
        <f t="shared" si="7"/>
        <v>0</v>
      </c>
      <c r="K521" s="60"/>
      <c r="L521" s="60"/>
      <c r="M521" s="226" t="s">
        <v>1390</v>
      </c>
      <c r="N521" s="248" t="s">
        <v>1397</v>
      </c>
      <c r="O521" s="227"/>
      <c r="P521" s="228"/>
      <c r="Q521" s="229" t="s">
        <v>1398</v>
      </c>
      <c r="R521" s="32"/>
      <c r="S521" s="33"/>
      <c r="T521" s="34"/>
      <c r="U521" s="33"/>
      <c r="V521" s="106"/>
    </row>
    <row r="522" spans="1:22" s="107" customFormat="1" ht="27.75" customHeight="1">
      <c r="A522" s="26">
        <v>3</v>
      </c>
      <c r="B522" s="27" t="s">
        <v>174</v>
      </c>
      <c r="C522" s="288" t="s">
        <v>1399</v>
      </c>
      <c r="D522" s="30"/>
      <c r="E522" s="29">
        <v>120</v>
      </c>
      <c r="F522" s="30" t="s">
        <v>1393</v>
      </c>
      <c r="G522" s="60"/>
      <c r="H522" s="60"/>
      <c r="I522" s="108"/>
      <c r="J522" s="152">
        <f t="shared" si="7"/>
        <v>0</v>
      </c>
      <c r="K522" s="60"/>
      <c r="L522" s="60"/>
      <c r="M522" s="226" t="s">
        <v>1390</v>
      </c>
      <c r="N522" s="248" t="s">
        <v>1400</v>
      </c>
      <c r="O522" s="227"/>
      <c r="P522" s="228"/>
      <c r="Q522" s="229" t="s">
        <v>1401</v>
      </c>
      <c r="R522" s="32"/>
      <c r="S522" s="33"/>
      <c r="T522" s="34"/>
      <c r="U522" s="33"/>
      <c r="V522" s="106"/>
    </row>
    <row r="523" spans="1:22" s="107" customFormat="1" ht="27.75" customHeight="1">
      <c r="A523" s="26">
        <v>4</v>
      </c>
      <c r="B523" s="27" t="s">
        <v>174</v>
      </c>
      <c r="C523" s="288" t="s">
        <v>1399</v>
      </c>
      <c r="D523" s="30"/>
      <c r="E523" s="29">
        <v>304</v>
      </c>
      <c r="F523" s="30" t="s">
        <v>1393</v>
      </c>
      <c r="G523" s="60"/>
      <c r="H523" s="60"/>
      <c r="I523" s="108"/>
      <c r="J523" s="152">
        <f t="shared" si="7"/>
        <v>0</v>
      </c>
      <c r="K523" s="60"/>
      <c r="L523" s="60"/>
      <c r="M523" s="226" t="s">
        <v>1390</v>
      </c>
      <c r="N523" s="248" t="s">
        <v>1402</v>
      </c>
      <c r="O523" s="227"/>
      <c r="P523" s="228"/>
      <c r="Q523" s="229" t="s">
        <v>1403</v>
      </c>
      <c r="R523" s="32"/>
      <c r="S523" s="33"/>
      <c r="T523" s="34"/>
      <c r="U523" s="33"/>
      <c r="V523" s="106"/>
    </row>
    <row r="524" spans="1:22" s="107" customFormat="1" ht="27.75" customHeight="1">
      <c r="A524" s="26">
        <v>5</v>
      </c>
      <c r="B524" s="27" t="s">
        <v>174</v>
      </c>
      <c r="C524" s="288" t="s">
        <v>1399</v>
      </c>
      <c r="D524" s="30"/>
      <c r="E524" s="29">
        <v>157</v>
      </c>
      <c r="F524" s="30" t="s">
        <v>1393</v>
      </c>
      <c r="G524" s="60"/>
      <c r="H524" s="60"/>
      <c r="I524" s="108"/>
      <c r="J524" s="152">
        <f t="shared" si="7"/>
        <v>0</v>
      </c>
      <c r="K524" s="60"/>
      <c r="L524" s="60"/>
      <c r="M524" s="226" t="s">
        <v>1390</v>
      </c>
      <c r="N524" s="248" t="s">
        <v>1404</v>
      </c>
      <c r="O524" s="227"/>
      <c r="P524" s="228"/>
      <c r="Q524" s="229" t="s">
        <v>1405</v>
      </c>
      <c r="R524" s="32"/>
      <c r="S524" s="33"/>
      <c r="T524" s="34"/>
      <c r="U524" s="33"/>
      <c r="V524" s="106"/>
    </row>
    <row r="525" spans="1:22" s="107" customFormat="1" ht="27.75" customHeight="1">
      <c r="A525" s="26">
        <v>6</v>
      </c>
      <c r="B525" s="27" t="s">
        <v>174</v>
      </c>
      <c r="C525" s="288" t="s">
        <v>1406</v>
      </c>
      <c r="D525" s="30"/>
      <c r="E525" s="29">
        <v>10</v>
      </c>
      <c r="F525" s="30" t="s">
        <v>289</v>
      </c>
      <c r="G525" s="60"/>
      <c r="H525" s="60"/>
      <c r="I525" s="108"/>
      <c r="J525" s="152">
        <f t="shared" si="7"/>
        <v>0</v>
      </c>
      <c r="K525" s="60"/>
      <c r="L525" s="60"/>
      <c r="M525" s="226" t="s">
        <v>1390</v>
      </c>
      <c r="N525" s="248" t="s">
        <v>1407</v>
      </c>
      <c r="O525" s="227"/>
      <c r="P525" s="228"/>
      <c r="Q525" s="229" t="s">
        <v>1408</v>
      </c>
      <c r="R525" s="32"/>
      <c r="S525" s="33"/>
      <c r="T525" s="34"/>
      <c r="U525" s="33"/>
      <c r="V525" s="106"/>
    </row>
    <row r="526" spans="1:22" s="107" customFormat="1" ht="27.75" customHeight="1">
      <c r="A526" s="26">
        <v>7</v>
      </c>
      <c r="B526" s="27" t="s">
        <v>174</v>
      </c>
      <c r="C526" s="288" t="s">
        <v>1406</v>
      </c>
      <c r="D526" s="30"/>
      <c r="E526" s="29">
        <v>10</v>
      </c>
      <c r="F526" s="30" t="s">
        <v>289</v>
      </c>
      <c r="G526" s="60"/>
      <c r="H526" s="60"/>
      <c r="I526" s="108"/>
      <c r="J526" s="152">
        <f t="shared" si="7"/>
        <v>0</v>
      </c>
      <c r="K526" s="60"/>
      <c r="L526" s="60"/>
      <c r="M526" s="226" t="s">
        <v>1390</v>
      </c>
      <c r="N526" s="248" t="s">
        <v>1409</v>
      </c>
      <c r="O526" s="227"/>
      <c r="P526" s="228"/>
      <c r="Q526" s="229" t="s">
        <v>1410</v>
      </c>
      <c r="R526" s="32"/>
      <c r="S526" s="33"/>
      <c r="T526" s="34"/>
      <c r="U526" s="33"/>
      <c r="V526" s="106"/>
    </row>
    <row r="527" spans="1:22" s="107" customFormat="1" ht="27.75" customHeight="1">
      <c r="A527" s="26">
        <v>8</v>
      </c>
      <c r="B527" s="27" t="s">
        <v>174</v>
      </c>
      <c r="C527" s="288" t="s">
        <v>1411</v>
      </c>
      <c r="D527" s="30"/>
      <c r="E527" s="29">
        <v>10</v>
      </c>
      <c r="F527" s="30" t="s">
        <v>289</v>
      </c>
      <c r="G527" s="60"/>
      <c r="H527" s="60"/>
      <c r="I527" s="108"/>
      <c r="J527" s="152">
        <f t="shared" si="7"/>
        <v>0</v>
      </c>
      <c r="K527" s="60"/>
      <c r="L527" s="60"/>
      <c r="M527" s="226" t="s">
        <v>1390</v>
      </c>
      <c r="N527" s="248" t="s">
        <v>1412</v>
      </c>
      <c r="O527" s="227"/>
      <c r="P527" s="228"/>
      <c r="Q527" s="229" t="s">
        <v>1413</v>
      </c>
      <c r="R527" s="32"/>
      <c r="S527" s="33"/>
      <c r="T527" s="34"/>
      <c r="U527" s="33"/>
      <c r="V527" s="106"/>
    </row>
    <row r="528" spans="1:22" s="107" customFormat="1" ht="27.75" customHeight="1">
      <c r="A528" s="26">
        <v>9</v>
      </c>
      <c r="B528" s="27" t="s">
        <v>174</v>
      </c>
      <c r="C528" s="288" t="s">
        <v>1411</v>
      </c>
      <c r="D528" s="30"/>
      <c r="E528" s="29">
        <v>10</v>
      </c>
      <c r="F528" s="30" t="s">
        <v>289</v>
      </c>
      <c r="G528" s="60"/>
      <c r="H528" s="60"/>
      <c r="I528" s="108"/>
      <c r="J528" s="152">
        <f t="shared" si="7"/>
        <v>0</v>
      </c>
      <c r="K528" s="60"/>
      <c r="L528" s="60"/>
      <c r="M528" s="226" t="s">
        <v>1390</v>
      </c>
      <c r="N528" s="248" t="s">
        <v>1414</v>
      </c>
      <c r="O528" s="227"/>
      <c r="P528" s="228"/>
      <c r="Q528" s="229" t="s">
        <v>1415</v>
      </c>
      <c r="R528" s="32"/>
      <c r="S528" s="33"/>
      <c r="T528" s="34"/>
      <c r="U528" s="33"/>
      <c r="V528" s="106"/>
    </row>
    <row r="529" spans="1:22" s="107" customFormat="1" ht="27.75" customHeight="1">
      <c r="A529" s="26">
        <v>10</v>
      </c>
      <c r="B529" s="27" t="s">
        <v>174</v>
      </c>
      <c r="C529" s="288" t="s">
        <v>1416</v>
      </c>
      <c r="D529" s="30"/>
      <c r="E529" s="29">
        <v>269</v>
      </c>
      <c r="F529" s="30" t="s">
        <v>1417</v>
      </c>
      <c r="G529" s="60"/>
      <c r="H529" s="60"/>
      <c r="I529" s="108"/>
      <c r="J529" s="152">
        <f t="shared" si="7"/>
        <v>0</v>
      </c>
      <c r="K529" s="60"/>
      <c r="L529" s="60"/>
      <c r="M529" s="226" t="s">
        <v>1390</v>
      </c>
      <c r="N529" s="248" t="s">
        <v>1418</v>
      </c>
      <c r="O529" s="227"/>
      <c r="P529" s="228"/>
      <c r="Q529" s="229" t="s">
        <v>1419</v>
      </c>
      <c r="R529" s="32"/>
      <c r="S529" s="33"/>
      <c r="T529" s="34"/>
      <c r="U529" s="33"/>
      <c r="V529" s="106"/>
    </row>
    <row r="530" spans="1:22" s="107" customFormat="1" ht="27.75" customHeight="1">
      <c r="A530" s="26">
        <v>11</v>
      </c>
      <c r="B530" s="27" t="s">
        <v>174</v>
      </c>
      <c r="C530" s="288" t="s">
        <v>1420</v>
      </c>
      <c r="D530" s="30"/>
      <c r="E530" s="29">
        <v>20</v>
      </c>
      <c r="F530" s="30" t="s">
        <v>289</v>
      </c>
      <c r="G530" s="60"/>
      <c r="H530" s="60"/>
      <c r="I530" s="108"/>
      <c r="J530" s="152">
        <f t="shared" si="7"/>
        <v>0</v>
      </c>
      <c r="K530" s="60"/>
      <c r="L530" s="60"/>
      <c r="M530" s="226" t="s">
        <v>1390</v>
      </c>
      <c r="N530" s="248" t="s">
        <v>1421</v>
      </c>
      <c r="O530" s="227"/>
      <c r="P530" s="228"/>
      <c r="Q530" s="229" t="s">
        <v>1422</v>
      </c>
      <c r="R530" s="32"/>
      <c r="S530" s="33"/>
      <c r="T530" s="34"/>
      <c r="U530" s="33"/>
      <c r="V530" s="106"/>
    </row>
    <row r="531" spans="1:22" s="107" customFormat="1" ht="27.75" customHeight="1">
      <c r="A531" s="26">
        <v>12</v>
      </c>
      <c r="B531" s="27" t="s">
        <v>174</v>
      </c>
      <c r="C531" s="288" t="s">
        <v>1423</v>
      </c>
      <c r="D531" s="30"/>
      <c r="E531" s="29">
        <v>2</v>
      </c>
      <c r="F531" s="30" t="s">
        <v>289</v>
      </c>
      <c r="G531" s="60"/>
      <c r="H531" s="60"/>
      <c r="I531" s="108"/>
      <c r="J531" s="152">
        <f t="shared" si="7"/>
        <v>0</v>
      </c>
      <c r="K531" s="60"/>
      <c r="L531" s="60"/>
      <c r="M531" s="226" t="s">
        <v>1390</v>
      </c>
      <c r="N531" s="248" t="s">
        <v>1424</v>
      </c>
      <c r="O531" s="227"/>
      <c r="P531" s="228"/>
      <c r="Q531" s="229" t="s">
        <v>1422</v>
      </c>
      <c r="R531" s="32"/>
      <c r="S531" s="33"/>
      <c r="T531" s="34"/>
      <c r="U531" s="33"/>
      <c r="V531" s="106"/>
    </row>
    <row r="532" spans="1:22" s="107" customFormat="1" ht="27.75" customHeight="1">
      <c r="A532" s="26">
        <v>13</v>
      </c>
      <c r="B532" s="27" t="s">
        <v>174</v>
      </c>
      <c r="C532" s="288" t="s">
        <v>1425</v>
      </c>
      <c r="D532" s="30"/>
      <c r="E532" s="29">
        <v>18</v>
      </c>
      <c r="F532" s="30" t="s">
        <v>289</v>
      </c>
      <c r="G532" s="60"/>
      <c r="H532" s="60"/>
      <c r="I532" s="108"/>
      <c r="J532" s="152">
        <f t="shared" si="7"/>
        <v>0</v>
      </c>
      <c r="K532" s="60"/>
      <c r="L532" s="60"/>
      <c r="M532" s="226" t="s">
        <v>1390</v>
      </c>
      <c r="N532" s="248" t="s">
        <v>1426</v>
      </c>
      <c r="O532" s="227"/>
      <c r="P532" s="228"/>
      <c r="Q532" s="229" t="s">
        <v>1422</v>
      </c>
      <c r="R532" s="32"/>
      <c r="S532" s="33"/>
      <c r="T532" s="34"/>
      <c r="U532" s="33"/>
      <c r="V532" s="106"/>
    </row>
    <row r="533" spans="1:22" s="107" customFormat="1" ht="27.75" customHeight="1">
      <c r="A533" s="26">
        <v>14</v>
      </c>
      <c r="B533" s="27" t="s">
        <v>174</v>
      </c>
      <c r="C533" s="288" t="s">
        <v>1427</v>
      </c>
      <c r="D533" s="30"/>
      <c r="E533" s="29">
        <v>3</v>
      </c>
      <c r="F533" s="30" t="s">
        <v>289</v>
      </c>
      <c r="G533" s="60"/>
      <c r="H533" s="60"/>
      <c r="I533" s="108"/>
      <c r="J533" s="152">
        <f t="shared" si="7"/>
        <v>0</v>
      </c>
      <c r="K533" s="60"/>
      <c r="L533" s="60"/>
      <c r="M533" s="226" t="s">
        <v>1390</v>
      </c>
      <c r="N533" s="248" t="s">
        <v>1428</v>
      </c>
      <c r="O533" s="227"/>
      <c r="P533" s="228"/>
      <c r="Q533" s="229" t="s">
        <v>1429</v>
      </c>
      <c r="R533" s="32"/>
      <c r="S533" s="33"/>
      <c r="T533" s="34"/>
      <c r="U533" s="33"/>
      <c r="V533" s="106"/>
    </row>
    <row r="534" spans="1:22" s="107" customFormat="1" ht="27.75" customHeight="1">
      <c r="A534" s="26">
        <v>15</v>
      </c>
      <c r="B534" s="27" t="s">
        <v>174</v>
      </c>
      <c r="C534" s="288" t="s">
        <v>1430</v>
      </c>
      <c r="D534" s="30"/>
      <c r="E534" s="29">
        <v>3</v>
      </c>
      <c r="F534" s="30" t="s">
        <v>289</v>
      </c>
      <c r="G534" s="60"/>
      <c r="H534" s="60"/>
      <c r="I534" s="108"/>
      <c r="J534" s="152">
        <f t="shared" si="7"/>
        <v>0</v>
      </c>
      <c r="K534" s="60"/>
      <c r="L534" s="60"/>
      <c r="M534" s="226" t="s">
        <v>1390</v>
      </c>
      <c r="N534" s="248" t="s">
        <v>1431</v>
      </c>
      <c r="O534" s="227"/>
      <c r="P534" s="228"/>
      <c r="Q534" s="229" t="s">
        <v>1429</v>
      </c>
      <c r="R534" s="32"/>
      <c r="S534" s="33"/>
      <c r="T534" s="34"/>
      <c r="U534" s="33"/>
      <c r="V534" s="106"/>
    </row>
    <row r="535" spans="1:22" s="107" customFormat="1" ht="27.75" customHeight="1">
      <c r="A535" s="26">
        <v>16</v>
      </c>
      <c r="B535" s="27" t="s">
        <v>174</v>
      </c>
      <c r="C535" s="288" t="s">
        <v>1432</v>
      </c>
      <c r="D535" s="30"/>
      <c r="E535" s="29">
        <v>86</v>
      </c>
      <c r="F535" s="30" t="s">
        <v>289</v>
      </c>
      <c r="G535" s="60"/>
      <c r="H535" s="60"/>
      <c r="I535" s="108"/>
      <c r="J535" s="152">
        <f t="shared" si="7"/>
        <v>0</v>
      </c>
      <c r="K535" s="60"/>
      <c r="L535" s="60"/>
      <c r="M535" s="226" t="s">
        <v>1390</v>
      </c>
      <c r="N535" s="248" t="s">
        <v>1433</v>
      </c>
      <c r="O535" s="227"/>
      <c r="P535" s="228"/>
      <c r="Q535" s="229" t="s">
        <v>1429</v>
      </c>
      <c r="R535" s="32"/>
      <c r="S535" s="33"/>
      <c r="T535" s="34"/>
      <c r="U535" s="33"/>
      <c r="V535" s="106"/>
    </row>
    <row r="536" spans="1:22" s="107" customFormat="1" ht="27.75" customHeight="1">
      <c r="A536" s="26">
        <v>17</v>
      </c>
      <c r="B536" s="27" t="s">
        <v>174</v>
      </c>
      <c r="C536" s="288" t="s">
        <v>1434</v>
      </c>
      <c r="D536" s="30"/>
      <c r="E536" s="29">
        <v>2</v>
      </c>
      <c r="F536" s="30" t="s">
        <v>289</v>
      </c>
      <c r="G536" s="60"/>
      <c r="H536" s="60"/>
      <c r="I536" s="108"/>
      <c r="J536" s="152">
        <f t="shared" si="7"/>
        <v>0</v>
      </c>
      <c r="K536" s="60"/>
      <c r="L536" s="60"/>
      <c r="M536" s="226" t="s">
        <v>1390</v>
      </c>
      <c r="N536" s="248" t="s">
        <v>1435</v>
      </c>
      <c r="O536" s="227"/>
      <c r="P536" s="228"/>
      <c r="Q536" s="229" t="s">
        <v>1429</v>
      </c>
      <c r="R536" s="32"/>
      <c r="S536" s="33"/>
      <c r="T536" s="34"/>
      <c r="U536" s="33"/>
      <c r="V536" s="106"/>
    </row>
    <row r="537" spans="1:22" s="107" customFormat="1" ht="25.05" customHeight="1">
      <c r="A537" s="264"/>
      <c r="B537" s="265"/>
      <c r="C537" s="291"/>
      <c r="D537" s="203"/>
      <c r="E537" s="266"/>
      <c r="F537" s="202"/>
      <c r="G537" s="267">
        <v>122</v>
      </c>
      <c r="H537" s="267">
        <v>122</v>
      </c>
      <c r="I537" s="268">
        <v>145</v>
      </c>
      <c r="J537" s="269">
        <f>ROUND(I537*H537*G537/1000000,3)</f>
        <v>2.1579999999999999</v>
      </c>
      <c r="K537" s="269">
        <v>200</v>
      </c>
      <c r="L537" s="269">
        <f>K537+150</f>
        <v>350</v>
      </c>
      <c r="M537" s="224"/>
      <c r="N537" s="246"/>
      <c r="O537" s="225"/>
      <c r="P537" s="225"/>
      <c r="Q537" s="247"/>
      <c r="R537" s="32"/>
      <c r="S537" s="33"/>
      <c r="T537" s="34"/>
      <c r="U537" s="33"/>
      <c r="V537" s="106"/>
    </row>
    <row r="538" spans="1:22" s="107" customFormat="1" ht="25.05" customHeight="1">
      <c r="A538" s="26">
        <v>1</v>
      </c>
      <c r="B538" s="27" t="s">
        <v>176</v>
      </c>
      <c r="C538" s="288" t="s">
        <v>1436</v>
      </c>
      <c r="D538" s="191"/>
      <c r="E538" s="29">
        <v>1</v>
      </c>
      <c r="F538" s="30" t="s">
        <v>289</v>
      </c>
      <c r="G538" s="60"/>
      <c r="H538" s="60"/>
      <c r="I538" s="108"/>
      <c r="J538" s="200">
        <f t="shared" si="7"/>
        <v>0</v>
      </c>
      <c r="K538" s="60"/>
      <c r="L538" s="60"/>
      <c r="M538" s="226" t="s">
        <v>1437</v>
      </c>
      <c r="N538" s="248"/>
      <c r="O538" s="227"/>
      <c r="P538" s="228"/>
      <c r="Q538" s="249" t="s">
        <v>1438</v>
      </c>
      <c r="R538" s="32"/>
      <c r="S538" s="33"/>
      <c r="T538" s="34"/>
      <c r="U538" s="33"/>
      <c r="V538" s="106"/>
    </row>
    <row r="539" spans="1:22" s="107" customFormat="1" ht="25.05" customHeight="1">
      <c r="A539" s="26">
        <v>2</v>
      </c>
      <c r="B539" s="27" t="s">
        <v>176</v>
      </c>
      <c r="C539" s="288" t="s">
        <v>1439</v>
      </c>
      <c r="D539" s="191"/>
      <c r="E539" s="29">
        <v>1</v>
      </c>
      <c r="F539" s="30" t="s">
        <v>289</v>
      </c>
      <c r="G539" s="60"/>
      <c r="H539" s="60"/>
      <c r="I539" s="108"/>
      <c r="J539" s="200">
        <f t="shared" si="7"/>
        <v>0</v>
      </c>
      <c r="K539" s="60"/>
      <c r="L539" s="60"/>
      <c r="M539" s="226" t="s">
        <v>1437</v>
      </c>
      <c r="N539" s="248"/>
      <c r="O539" s="227"/>
      <c r="P539" s="228"/>
      <c r="Q539" s="249" t="s">
        <v>1440</v>
      </c>
      <c r="R539" s="32"/>
      <c r="S539" s="33"/>
      <c r="T539" s="34"/>
      <c r="U539" s="33"/>
      <c r="V539" s="106"/>
    </row>
    <row r="540" spans="1:22" s="107" customFormat="1" ht="25.05" customHeight="1">
      <c r="A540" s="264"/>
      <c r="B540" s="265"/>
      <c r="C540" s="289"/>
      <c r="D540" s="203"/>
      <c r="E540" s="266"/>
      <c r="F540" s="202"/>
      <c r="G540" s="267">
        <v>165</v>
      </c>
      <c r="H540" s="267">
        <v>140</v>
      </c>
      <c r="I540" s="268">
        <v>277</v>
      </c>
      <c r="J540" s="269">
        <f>ROUND(I540*H540*G540/1000000,3)</f>
        <v>6.399</v>
      </c>
      <c r="K540" s="269">
        <v>800</v>
      </c>
      <c r="L540" s="269">
        <v>1000</v>
      </c>
      <c r="M540" s="224"/>
      <c r="N540" s="246"/>
      <c r="O540" s="225"/>
      <c r="P540" s="225"/>
      <c r="Q540" s="247"/>
      <c r="R540" s="32"/>
      <c r="S540" s="33"/>
      <c r="T540" s="34"/>
      <c r="U540" s="33"/>
      <c r="V540" s="106"/>
    </row>
    <row r="541" spans="1:22" s="107" customFormat="1" ht="25.05" customHeight="1">
      <c r="A541" s="26">
        <v>1</v>
      </c>
      <c r="B541" s="27" t="s">
        <v>178</v>
      </c>
      <c r="C541" s="288" t="s">
        <v>1441</v>
      </c>
      <c r="D541" s="191"/>
      <c r="E541" s="29">
        <v>1</v>
      </c>
      <c r="F541" s="30" t="s">
        <v>289</v>
      </c>
      <c r="G541" s="60"/>
      <c r="H541" s="60"/>
      <c r="I541" s="108"/>
      <c r="J541" s="200">
        <f t="shared" si="7"/>
        <v>0</v>
      </c>
      <c r="K541" s="60"/>
      <c r="L541" s="60"/>
      <c r="M541" s="226"/>
      <c r="N541" s="248" t="s">
        <v>1442</v>
      </c>
      <c r="O541" s="227"/>
      <c r="P541" s="228"/>
      <c r="Q541" s="249" t="s">
        <v>1443</v>
      </c>
      <c r="R541" s="32"/>
      <c r="S541" s="33"/>
      <c r="T541" s="34"/>
      <c r="U541" s="33"/>
      <c r="V541" s="106"/>
    </row>
    <row r="542" spans="1:22" s="107" customFormat="1" ht="25.05" customHeight="1">
      <c r="A542" s="26">
        <v>2</v>
      </c>
      <c r="B542" s="27" t="s">
        <v>178</v>
      </c>
      <c r="C542" s="288" t="s">
        <v>1444</v>
      </c>
      <c r="D542" s="191"/>
      <c r="E542" s="29">
        <v>1</v>
      </c>
      <c r="F542" s="30" t="s">
        <v>289</v>
      </c>
      <c r="G542" s="60"/>
      <c r="H542" s="60"/>
      <c r="I542" s="108"/>
      <c r="J542" s="200">
        <f t="shared" si="7"/>
        <v>0</v>
      </c>
      <c r="K542" s="60"/>
      <c r="L542" s="60"/>
      <c r="M542" s="226"/>
      <c r="N542" s="248" t="s">
        <v>1445</v>
      </c>
      <c r="O542" s="227"/>
      <c r="P542" s="228"/>
      <c r="Q542" s="249" t="s">
        <v>1446</v>
      </c>
      <c r="R542" s="32"/>
      <c r="S542" s="33"/>
      <c r="T542" s="34"/>
      <c r="U542" s="33"/>
      <c r="V542" s="106"/>
    </row>
    <row r="543" spans="1:22" s="107" customFormat="1" ht="25.05" customHeight="1">
      <c r="A543" s="26">
        <v>3</v>
      </c>
      <c r="B543" s="27" t="s">
        <v>178</v>
      </c>
      <c r="C543" s="288" t="s">
        <v>1447</v>
      </c>
      <c r="D543" s="191"/>
      <c r="E543" s="29">
        <v>1</v>
      </c>
      <c r="F543" s="30" t="s">
        <v>289</v>
      </c>
      <c r="G543" s="60"/>
      <c r="H543" s="60"/>
      <c r="I543" s="108"/>
      <c r="J543" s="200">
        <f t="shared" si="7"/>
        <v>0</v>
      </c>
      <c r="K543" s="60"/>
      <c r="L543" s="60"/>
      <c r="M543" s="226"/>
      <c r="N543" s="248" t="s">
        <v>1448</v>
      </c>
      <c r="O543" s="227"/>
      <c r="P543" s="228"/>
      <c r="Q543" s="249" t="s">
        <v>1449</v>
      </c>
      <c r="R543" s="32"/>
      <c r="S543" s="33"/>
      <c r="T543" s="34"/>
      <c r="U543" s="33"/>
      <c r="V543" s="106"/>
    </row>
    <row r="544" spans="1:22" s="107" customFormat="1" ht="25.05" customHeight="1">
      <c r="A544" s="26">
        <v>4</v>
      </c>
      <c r="B544" s="27" t="s">
        <v>178</v>
      </c>
      <c r="C544" s="288" t="s">
        <v>1450</v>
      </c>
      <c r="D544" s="191"/>
      <c r="E544" s="29">
        <v>1</v>
      </c>
      <c r="F544" s="30" t="s">
        <v>289</v>
      </c>
      <c r="G544" s="60"/>
      <c r="H544" s="60"/>
      <c r="I544" s="108"/>
      <c r="J544" s="200">
        <f t="shared" si="7"/>
        <v>0</v>
      </c>
      <c r="K544" s="60"/>
      <c r="L544" s="60"/>
      <c r="M544" s="226"/>
      <c r="N544" s="248" t="s">
        <v>1451</v>
      </c>
      <c r="O544" s="227"/>
      <c r="P544" s="228"/>
      <c r="Q544" s="249" t="s">
        <v>1452</v>
      </c>
      <c r="R544" s="32"/>
      <c r="S544" s="33"/>
      <c r="T544" s="34"/>
      <c r="U544" s="33"/>
      <c r="V544" s="106"/>
    </row>
    <row r="545" spans="1:22" s="107" customFormat="1" ht="25.05" customHeight="1">
      <c r="A545" s="26">
        <v>5</v>
      </c>
      <c r="B545" s="27" t="s">
        <v>178</v>
      </c>
      <c r="C545" s="288" t="s">
        <v>1453</v>
      </c>
      <c r="D545" s="191"/>
      <c r="E545" s="29">
        <v>1</v>
      </c>
      <c r="F545" s="30" t="s">
        <v>289</v>
      </c>
      <c r="G545" s="60"/>
      <c r="H545" s="60"/>
      <c r="I545" s="108"/>
      <c r="J545" s="200">
        <f t="shared" si="7"/>
        <v>0</v>
      </c>
      <c r="K545" s="60"/>
      <c r="L545" s="60"/>
      <c r="M545" s="226"/>
      <c r="N545" s="248" t="s">
        <v>1454</v>
      </c>
      <c r="O545" s="227"/>
      <c r="P545" s="228"/>
      <c r="Q545" s="249" t="s">
        <v>1455</v>
      </c>
      <c r="R545" s="32"/>
      <c r="S545" s="33"/>
      <c r="T545" s="34"/>
      <c r="U545" s="33"/>
      <c r="V545" s="106"/>
    </row>
    <row r="546" spans="1:22" s="107" customFormat="1" ht="25.05" customHeight="1">
      <c r="A546" s="264"/>
      <c r="B546" s="265"/>
      <c r="C546" s="289"/>
      <c r="D546" s="202"/>
      <c r="E546" s="266"/>
      <c r="F546" s="202"/>
      <c r="G546" s="267">
        <v>230</v>
      </c>
      <c r="H546" s="267">
        <v>80</v>
      </c>
      <c r="I546" s="268">
        <v>190</v>
      </c>
      <c r="J546" s="269">
        <f>ROUND(I546*H546*G546/1000000,3)</f>
        <v>3.496</v>
      </c>
      <c r="K546" s="267">
        <v>550</v>
      </c>
      <c r="L546" s="267">
        <v>650</v>
      </c>
      <c r="M546" s="224"/>
      <c r="N546" s="246"/>
      <c r="O546" s="225"/>
      <c r="P546" s="225"/>
      <c r="Q546" s="247"/>
      <c r="R546" s="32"/>
      <c r="S546" s="33"/>
      <c r="T546" s="34"/>
      <c r="U546" s="33"/>
      <c r="V546" s="106"/>
    </row>
    <row r="547" spans="1:22" s="107" customFormat="1" ht="25.05" customHeight="1">
      <c r="A547" s="26">
        <v>1</v>
      </c>
      <c r="B547" s="27" t="s">
        <v>180</v>
      </c>
      <c r="C547" s="288" t="s">
        <v>1456</v>
      </c>
      <c r="D547" s="191"/>
      <c r="E547" s="29">
        <v>1</v>
      </c>
      <c r="F547" s="30" t="s">
        <v>289</v>
      </c>
      <c r="G547" s="60"/>
      <c r="H547" s="60"/>
      <c r="I547" s="108"/>
      <c r="J547" s="200">
        <f t="shared" ref="J547:J631" si="8">ROUND(I547*H547*G547/1000000,3)</f>
        <v>0</v>
      </c>
      <c r="K547" s="60">
        <v>5</v>
      </c>
      <c r="L547" s="60"/>
      <c r="M547" s="226"/>
      <c r="N547" s="248" t="s">
        <v>1457</v>
      </c>
      <c r="O547" s="227"/>
      <c r="P547" s="228"/>
      <c r="Q547" s="249"/>
      <c r="R547" s="32"/>
      <c r="S547" s="33"/>
      <c r="T547" s="34"/>
      <c r="U547" s="33"/>
      <c r="V547" s="106"/>
    </row>
    <row r="548" spans="1:22" s="107" customFormat="1" ht="25.05" customHeight="1">
      <c r="A548" s="26">
        <v>2</v>
      </c>
      <c r="B548" s="27" t="s">
        <v>180</v>
      </c>
      <c r="C548" s="288" t="s">
        <v>1458</v>
      </c>
      <c r="D548" s="191"/>
      <c r="E548" s="29">
        <v>1</v>
      </c>
      <c r="F548" s="30" t="s">
        <v>289</v>
      </c>
      <c r="G548" s="60"/>
      <c r="H548" s="60"/>
      <c r="I548" s="108"/>
      <c r="J548" s="200">
        <f t="shared" si="8"/>
        <v>0</v>
      </c>
      <c r="K548" s="60">
        <v>5</v>
      </c>
      <c r="L548" s="60"/>
      <c r="M548" s="226"/>
      <c r="N548" s="248" t="s">
        <v>1459</v>
      </c>
      <c r="O548" s="227"/>
      <c r="P548" s="228"/>
      <c r="Q548" s="249"/>
      <c r="R548" s="32"/>
      <c r="S548" s="33"/>
      <c r="T548" s="34"/>
      <c r="U548" s="33"/>
      <c r="V548" s="106"/>
    </row>
    <row r="549" spans="1:22" s="107" customFormat="1" ht="25.05" customHeight="1">
      <c r="A549" s="26">
        <v>3</v>
      </c>
      <c r="B549" s="27" t="s">
        <v>180</v>
      </c>
      <c r="C549" s="288" t="s">
        <v>1460</v>
      </c>
      <c r="D549" s="191"/>
      <c r="E549" s="29">
        <v>1</v>
      </c>
      <c r="F549" s="30" t="s">
        <v>289</v>
      </c>
      <c r="G549" s="60"/>
      <c r="H549" s="60"/>
      <c r="I549" s="108"/>
      <c r="J549" s="200">
        <f t="shared" si="8"/>
        <v>0</v>
      </c>
      <c r="K549" s="60">
        <v>25</v>
      </c>
      <c r="L549" s="60"/>
      <c r="M549" s="226"/>
      <c r="N549" s="248" t="s">
        <v>1461</v>
      </c>
      <c r="O549" s="227"/>
      <c r="P549" s="228"/>
      <c r="Q549" s="249"/>
      <c r="R549" s="32"/>
      <c r="S549" s="33"/>
      <c r="T549" s="34"/>
      <c r="U549" s="33"/>
      <c r="V549" s="106"/>
    </row>
    <row r="550" spans="1:22" s="107" customFormat="1" ht="25.05" customHeight="1">
      <c r="A550" s="26">
        <v>4</v>
      </c>
      <c r="B550" s="27" t="s">
        <v>180</v>
      </c>
      <c r="C550" s="288" t="s">
        <v>1462</v>
      </c>
      <c r="D550" s="191"/>
      <c r="E550" s="29">
        <v>1</v>
      </c>
      <c r="F550" s="30" t="s">
        <v>289</v>
      </c>
      <c r="G550" s="60"/>
      <c r="H550" s="60"/>
      <c r="I550" s="108"/>
      <c r="J550" s="200">
        <f t="shared" si="8"/>
        <v>0</v>
      </c>
      <c r="K550" s="60">
        <v>3</v>
      </c>
      <c r="L550" s="60"/>
      <c r="M550" s="226"/>
      <c r="N550" s="248" t="s">
        <v>1463</v>
      </c>
      <c r="O550" s="227"/>
      <c r="P550" s="228"/>
      <c r="Q550" s="249"/>
      <c r="R550" s="32"/>
      <c r="S550" s="33"/>
      <c r="T550" s="34"/>
      <c r="U550" s="33"/>
      <c r="V550" s="106"/>
    </row>
    <row r="551" spans="1:22" s="107" customFormat="1" ht="25.05" customHeight="1">
      <c r="A551" s="264"/>
      <c r="B551" s="265"/>
      <c r="C551" s="289"/>
      <c r="D551" s="203"/>
      <c r="E551" s="266"/>
      <c r="F551" s="202"/>
      <c r="G551" s="267">
        <v>142</v>
      </c>
      <c r="H551" s="267">
        <v>142</v>
      </c>
      <c r="I551" s="268">
        <v>82</v>
      </c>
      <c r="J551" s="269">
        <f>ROUND(I551*H551*G551/1000000,3)</f>
        <v>1.653</v>
      </c>
      <c r="K551" s="267">
        <f>SUM(K547:K550)</f>
        <v>38</v>
      </c>
      <c r="L551" s="267">
        <v>143</v>
      </c>
      <c r="M551" s="224"/>
      <c r="N551" s="246"/>
      <c r="O551" s="225"/>
      <c r="P551" s="225"/>
      <c r="Q551" s="247"/>
      <c r="R551" s="32"/>
      <c r="S551" s="33"/>
      <c r="T551" s="34"/>
      <c r="U551" s="33"/>
      <c r="V551" s="106"/>
    </row>
    <row r="552" spans="1:22" s="107" customFormat="1" ht="25.05" customHeight="1">
      <c r="A552" s="26">
        <v>1</v>
      </c>
      <c r="B552" s="27" t="s">
        <v>181</v>
      </c>
      <c r="C552" s="288" t="s">
        <v>1464</v>
      </c>
      <c r="D552" s="191"/>
      <c r="E552" s="29">
        <v>1</v>
      </c>
      <c r="F552" s="30" t="s">
        <v>289</v>
      </c>
      <c r="G552" s="60"/>
      <c r="H552" s="60"/>
      <c r="I552" s="108"/>
      <c r="J552" s="200"/>
      <c r="K552" s="60"/>
      <c r="L552" s="60"/>
      <c r="M552" s="226"/>
      <c r="N552" s="250"/>
      <c r="O552" s="227"/>
      <c r="P552" s="228"/>
      <c r="Q552" s="249" t="s">
        <v>1465</v>
      </c>
      <c r="R552" s="32"/>
      <c r="S552" s="33"/>
      <c r="T552" s="34"/>
      <c r="U552" s="33"/>
      <c r="V552" s="106"/>
    </row>
    <row r="553" spans="1:22" s="107" customFormat="1" ht="25.05" customHeight="1">
      <c r="A553" s="264"/>
      <c r="B553" s="265"/>
      <c r="C553" s="289"/>
      <c r="D553" s="203"/>
      <c r="E553" s="266"/>
      <c r="F553" s="202"/>
      <c r="G553" s="267">
        <v>80</v>
      </c>
      <c r="H553" s="267">
        <v>80</v>
      </c>
      <c r="I553" s="268">
        <v>141</v>
      </c>
      <c r="J553" s="269">
        <f>ROUND(I553*H553*G553/1000000,3)</f>
        <v>0.90200000000000002</v>
      </c>
      <c r="K553" s="267">
        <v>100</v>
      </c>
      <c r="L553" s="267">
        <v>200</v>
      </c>
      <c r="M553" s="224"/>
      <c r="N553" s="246"/>
      <c r="O553" s="225"/>
      <c r="P553" s="225"/>
      <c r="Q553" s="247"/>
      <c r="R553" s="32"/>
      <c r="S553" s="33"/>
      <c r="T553" s="34"/>
      <c r="U553" s="33"/>
      <c r="V553" s="106"/>
    </row>
    <row r="554" spans="1:22" s="198" customFormat="1" ht="25.05" customHeight="1">
      <c r="A554" s="26">
        <v>1</v>
      </c>
      <c r="B554" s="27" t="s">
        <v>182</v>
      </c>
      <c r="C554" s="288" t="s">
        <v>1466</v>
      </c>
      <c r="D554" s="204"/>
      <c r="E554" s="29">
        <v>210</v>
      </c>
      <c r="F554" s="30" t="s">
        <v>1372</v>
      </c>
      <c r="G554" s="60"/>
      <c r="H554" s="60"/>
      <c r="I554" s="193"/>
      <c r="J554" s="200"/>
      <c r="K554" s="60"/>
      <c r="L554" s="60"/>
      <c r="M554" s="226"/>
      <c r="N554" s="250"/>
      <c r="O554" s="227"/>
      <c r="P554" s="227"/>
      <c r="Q554" s="249"/>
      <c r="R554" s="194"/>
      <c r="S554" s="195"/>
      <c r="T554" s="196"/>
      <c r="U554" s="195"/>
      <c r="V554" s="197"/>
    </row>
    <row r="555" spans="1:22" s="107" customFormat="1" ht="25.05" customHeight="1">
      <c r="A555" s="264"/>
      <c r="B555" s="265"/>
      <c r="C555" s="289"/>
      <c r="D555" s="203"/>
      <c r="E555" s="266"/>
      <c r="F555" s="202"/>
      <c r="G555" s="267">
        <v>80</v>
      </c>
      <c r="H555" s="267">
        <v>60</v>
      </c>
      <c r="I555" s="268">
        <v>90</v>
      </c>
      <c r="J555" s="269">
        <f>ROUND(I555*H555*G555/1000000,3)</f>
        <v>0.432</v>
      </c>
      <c r="K555" s="267">
        <f>L555-50</f>
        <v>20</v>
      </c>
      <c r="L555" s="267">
        <v>70</v>
      </c>
      <c r="M555" s="224"/>
      <c r="N555" s="246"/>
      <c r="O555" s="225"/>
      <c r="P555" s="225"/>
      <c r="Q555" s="247" t="s">
        <v>1467</v>
      </c>
      <c r="R555" s="32"/>
      <c r="S555" s="33"/>
      <c r="T555" s="34"/>
      <c r="U555" s="33"/>
      <c r="V555" s="106"/>
    </row>
    <row r="556" spans="1:22" s="198" customFormat="1" ht="25.05" customHeight="1">
      <c r="A556" s="26">
        <v>1</v>
      </c>
      <c r="B556" s="27" t="s">
        <v>183</v>
      </c>
      <c r="C556" s="288" t="s">
        <v>1468</v>
      </c>
      <c r="D556" s="204"/>
      <c r="E556" s="29">
        <v>2300</v>
      </c>
      <c r="F556" s="30" t="s">
        <v>1372</v>
      </c>
      <c r="G556" s="60"/>
      <c r="H556" s="60"/>
      <c r="I556" s="193"/>
      <c r="J556" s="200"/>
      <c r="K556" s="60"/>
      <c r="L556" s="60"/>
      <c r="M556" s="226"/>
      <c r="N556" s="250"/>
      <c r="O556" s="227"/>
      <c r="P556" s="227"/>
      <c r="Q556" s="249"/>
      <c r="R556" s="194"/>
      <c r="S556" s="195"/>
      <c r="T556" s="196"/>
      <c r="U556" s="195"/>
      <c r="V556" s="197"/>
    </row>
    <row r="557" spans="1:22" s="107" customFormat="1" ht="25.05" customHeight="1">
      <c r="A557" s="264"/>
      <c r="B557" s="265"/>
      <c r="C557" s="289"/>
      <c r="D557" s="203"/>
      <c r="E557" s="266"/>
      <c r="F557" s="202"/>
      <c r="G557" s="267">
        <v>170</v>
      </c>
      <c r="H557" s="267">
        <v>95</v>
      </c>
      <c r="I557" s="268">
        <v>180</v>
      </c>
      <c r="J557" s="269">
        <f t="shared" si="8"/>
        <v>2.907</v>
      </c>
      <c r="K557" s="267">
        <f t="shared" ref="K557:K595" si="9">L557-50</f>
        <v>718</v>
      </c>
      <c r="L557" s="267">
        <v>768</v>
      </c>
      <c r="M557" s="224"/>
      <c r="N557" s="246"/>
      <c r="O557" s="225"/>
      <c r="P557" s="225"/>
      <c r="Q557" s="247" t="s">
        <v>1469</v>
      </c>
      <c r="R557" s="32"/>
      <c r="S557" s="33"/>
      <c r="T557" s="34"/>
      <c r="U557" s="33"/>
      <c r="V557" s="106"/>
    </row>
    <row r="558" spans="1:22" s="198" customFormat="1" ht="25.05" customHeight="1">
      <c r="A558" s="26">
        <v>1</v>
      </c>
      <c r="B558" s="27" t="s">
        <v>184</v>
      </c>
      <c r="C558" s="288" t="s">
        <v>1470</v>
      </c>
      <c r="D558" s="204"/>
      <c r="E558" s="29">
        <v>710</v>
      </c>
      <c r="F558" s="30" t="s">
        <v>1372</v>
      </c>
      <c r="G558" s="60"/>
      <c r="H558" s="60"/>
      <c r="I558" s="193"/>
      <c r="J558" s="200"/>
      <c r="K558" s="60"/>
      <c r="L558" s="60"/>
      <c r="M558" s="226"/>
      <c r="N558" s="250"/>
      <c r="O558" s="227"/>
      <c r="P558" s="227"/>
      <c r="Q558" s="249"/>
      <c r="R558" s="194"/>
      <c r="S558" s="195"/>
      <c r="T558" s="196"/>
      <c r="U558" s="195"/>
      <c r="V558" s="197"/>
    </row>
    <row r="559" spans="1:22" s="107" customFormat="1" ht="25.05" customHeight="1">
      <c r="A559" s="264"/>
      <c r="B559" s="265"/>
      <c r="C559" s="289"/>
      <c r="D559" s="203"/>
      <c r="E559" s="266"/>
      <c r="F559" s="202"/>
      <c r="G559" s="267">
        <v>145</v>
      </c>
      <c r="H559" s="267">
        <v>95</v>
      </c>
      <c r="I559" s="268">
        <v>145</v>
      </c>
      <c r="J559" s="269">
        <f t="shared" si="8"/>
        <v>1.9970000000000001</v>
      </c>
      <c r="K559" s="267">
        <f t="shared" si="9"/>
        <v>444</v>
      </c>
      <c r="L559" s="267">
        <v>494</v>
      </c>
      <c r="M559" s="224"/>
      <c r="N559" s="246"/>
      <c r="O559" s="225"/>
      <c r="P559" s="225"/>
      <c r="Q559" s="247" t="s">
        <v>1467</v>
      </c>
      <c r="R559" s="32"/>
      <c r="S559" s="33"/>
      <c r="T559" s="34"/>
      <c r="U559" s="33"/>
      <c r="V559" s="106"/>
    </row>
    <row r="560" spans="1:22" s="198" customFormat="1" ht="25.05" customHeight="1">
      <c r="A560" s="26">
        <v>1</v>
      </c>
      <c r="B560" s="27" t="s">
        <v>185</v>
      </c>
      <c r="C560" s="288" t="s">
        <v>1470</v>
      </c>
      <c r="D560" s="204"/>
      <c r="E560" s="29">
        <v>1900</v>
      </c>
      <c r="F560" s="30" t="s">
        <v>1372</v>
      </c>
      <c r="G560" s="60"/>
      <c r="H560" s="60"/>
      <c r="I560" s="193"/>
      <c r="J560" s="200"/>
      <c r="K560" s="60"/>
      <c r="L560" s="60"/>
      <c r="M560" s="226"/>
      <c r="N560" s="250"/>
      <c r="O560" s="227"/>
      <c r="P560" s="227"/>
      <c r="Q560" s="249"/>
      <c r="R560" s="194"/>
      <c r="S560" s="195"/>
      <c r="T560" s="196"/>
      <c r="U560" s="195"/>
      <c r="V560" s="197"/>
    </row>
    <row r="561" spans="1:22" s="107" customFormat="1" ht="25.05" customHeight="1">
      <c r="A561" s="264"/>
      <c r="B561" s="265"/>
      <c r="C561" s="289"/>
      <c r="D561" s="203"/>
      <c r="E561" s="266"/>
      <c r="F561" s="202"/>
      <c r="G561" s="267">
        <v>190</v>
      </c>
      <c r="H561" s="267">
        <v>110</v>
      </c>
      <c r="I561" s="268">
        <v>190</v>
      </c>
      <c r="J561" s="269">
        <f t="shared" si="8"/>
        <v>3.9710000000000001</v>
      </c>
      <c r="K561" s="267">
        <f t="shared" si="9"/>
        <v>1124</v>
      </c>
      <c r="L561" s="267">
        <v>1174</v>
      </c>
      <c r="M561" s="224"/>
      <c r="N561" s="246"/>
      <c r="O561" s="225"/>
      <c r="P561" s="225"/>
      <c r="Q561" s="247" t="s">
        <v>1471</v>
      </c>
      <c r="R561" s="32"/>
      <c r="S561" s="33"/>
      <c r="T561" s="34"/>
      <c r="U561" s="33"/>
      <c r="V561" s="106"/>
    </row>
    <row r="562" spans="1:22" s="198" customFormat="1" ht="25.05" customHeight="1">
      <c r="A562" s="26">
        <v>1</v>
      </c>
      <c r="B562" s="27" t="s">
        <v>186</v>
      </c>
      <c r="C562" s="288" t="s">
        <v>1472</v>
      </c>
      <c r="D562" s="204"/>
      <c r="E562" s="29">
        <v>460</v>
      </c>
      <c r="F562" s="30" t="s">
        <v>1372</v>
      </c>
      <c r="G562" s="60"/>
      <c r="H562" s="60"/>
      <c r="I562" s="193"/>
      <c r="J562" s="200"/>
      <c r="K562" s="60"/>
      <c r="L562" s="60"/>
      <c r="M562" s="226"/>
      <c r="N562" s="250"/>
      <c r="O562" s="227"/>
      <c r="P562" s="227"/>
      <c r="Q562" s="249"/>
      <c r="R562" s="194"/>
      <c r="S562" s="195"/>
      <c r="T562" s="196"/>
      <c r="U562" s="195"/>
      <c r="V562" s="197"/>
    </row>
    <row r="563" spans="1:22" s="107" customFormat="1" ht="25.05" customHeight="1">
      <c r="A563" s="264"/>
      <c r="B563" s="265"/>
      <c r="C563" s="289"/>
      <c r="D563" s="203"/>
      <c r="E563" s="266"/>
      <c r="F563" s="202"/>
      <c r="G563" s="267">
        <v>145</v>
      </c>
      <c r="H563" s="267">
        <v>95</v>
      </c>
      <c r="I563" s="268">
        <v>147</v>
      </c>
      <c r="J563" s="269">
        <f t="shared" si="8"/>
        <v>2.0249999999999999</v>
      </c>
      <c r="K563" s="267">
        <f t="shared" si="9"/>
        <v>435</v>
      </c>
      <c r="L563" s="267">
        <v>485</v>
      </c>
      <c r="M563" s="224"/>
      <c r="N563" s="246"/>
      <c r="O563" s="225"/>
      <c r="P563" s="225"/>
      <c r="Q563" s="247" t="s">
        <v>1467</v>
      </c>
      <c r="R563" s="32"/>
      <c r="S563" s="33"/>
      <c r="T563" s="34"/>
      <c r="U563" s="33"/>
      <c r="V563" s="106"/>
    </row>
    <row r="564" spans="1:22" s="198" customFormat="1" ht="25.05" customHeight="1">
      <c r="A564" s="26">
        <v>1</v>
      </c>
      <c r="B564" s="27" t="s">
        <v>187</v>
      </c>
      <c r="C564" s="288" t="s">
        <v>1473</v>
      </c>
      <c r="D564" s="204"/>
      <c r="E564" s="29">
        <v>210</v>
      </c>
      <c r="F564" s="30" t="s">
        <v>1372</v>
      </c>
      <c r="G564" s="60"/>
      <c r="H564" s="60"/>
      <c r="I564" s="193"/>
      <c r="J564" s="200"/>
      <c r="K564" s="60"/>
      <c r="L564" s="60"/>
      <c r="M564" s="226"/>
      <c r="N564" s="250"/>
      <c r="O564" s="227"/>
      <c r="P564" s="227"/>
      <c r="Q564" s="249"/>
      <c r="R564" s="194"/>
      <c r="S564" s="195"/>
      <c r="T564" s="196"/>
      <c r="U564" s="195"/>
      <c r="V564" s="197"/>
    </row>
    <row r="565" spans="1:22" s="107" customFormat="1" ht="25.05" customHeight="1">
      <c r="A565" s="264"/>
      <c r="B565" s="265"/>
      <c r="C565" s="289"/>
      <c r="D565" s="203"/>
      <c r="E565" s="266"/>
      <c r="F565" s="202"/>
      <c r="G565" s="267">
        <v>80</v>
      </c>
      <c r="H565" s="267">
        <v>60</v>
      </c>
      <c r="I565" s="268">
        <v>85</v>
      </c>
      <c r="J565" s="269">
        <f t="shared" si="8"/>
        <v>0.40799999999999997</v>
      </c>
      <c r="K565" s="267">
        <f t="shared" si="9"/>
        <v>20</v>
      </c>
      <c r="L565" s="267">
        <v>70</v>
      </c>
      <c r="M565" s="224"/>
      <c r="N565" s="246"/>
      <c r="O565" s="225"/>
      <c r="P565" s="225"/>
      <c r="Q565" s="247" t="s">
        <v>1467</v>
      </c>
      <c r="R565" s="32"/>
      <c r="S565" s="33"/>
      <c r="T565" s="34"/>
      <c r="U565" s="33"/>
      <c r="V565" s="106"/>
    </row>
    <row r="566" spans="1:22" s="198" customFormat="1" ht="25.05" customHeight="1">
      <c r="A566" s="26">
        <v>1</v>
      </c>
      <c r="B566" s="27" t="s">
        <v>188</v>
      </c>
      <c r="C566" s="288" t="s">
        <v>189</v>
      </c>
      <c r="D566" s="204"/>
      <c r="E566" s="29">
        <v>2210</v>
      </c>
      <c r="F566" s="30" t="s">
        <v>1372</v>
      </c>
      <c r="G566" s="60"/>
      <c r="H566" s="60"/>
      <c r="I566" s="193"/>
      <c r="J566" s="200"/>
      <c r="K566" s="60"/>
      <c r="L566" s="60"/>
      <c r="M566" s="226"/>
      <c r="N566" s="250"/>
      <c r="O566" s="227"/>
      <c r="P566" s="227"/>
      <c r="Q566" s="249"/>
      <c r="R566" s="194"/>
      <c r="S566" s="195"/>
      <c r="T566" s="196"/>
      <c r="U566" s="195"/>
      <c r="V566" s="197"/>
    </row>
    <row r="567" spans="1:22" s="107" customFormat="1" ht="25.05" customHeight="1">
      <c r="A567" s="264"/>
      <c r="B567" s="265"/>
      <c r="C567" s="289"/>
      <c r="D567" s="203"/>
      <c r="E567" s="266"/>
      <c r="F567" s="202"/>
      <c r="G567" s="267">
        <v>140</v>
      </c>
      <c r="H567" s="267">
        <v>95</v>
      </c>
      <c r="I567" s="268">
        <v>147</v>
      </c>
      <c r="J567" s="269">
        <f t="shared" si="8"/>
        <v>1.9550000000000001</v>
      </c>
      <c r="K567" s="267">
        <f t="shared" si="9"/>
        <v>478</v>
      </c>
      <c r="L567" s="267">
        <v>528</v>
      </c>
      <c r="M567" s="224"/>
      <c r="N567" s="246"/>
      <c r="O567" s="225"/>
      <c r="P567" s="225"/>
      <c r="Q567" s="247" t="s">
        <v>1467</v>
      </c>
      <c r="R567" s="32"/>
      <c r="S567" s="33"/>
      <c r="T567" s="34"/>
      <c r="U567" s="33"/>
      <c r="V567" s="106"/>
    </row>
    <row r="568" spans="1:22" s="198" customFormat="1" ht="25.05" customHeight="1">
      <c r="A568" s="26">
        <v>1</v>
      </c>
      <c r="B568" s="27" t="s">
        <v>190</v>
      </c>
      <c r="C568" s="288" t="s">
        <v>1474</v>
      </c>
      <c r="D568" s="204"/>
      <c r="E568" s="29">
        <v>1300</v>
      </c>
      <c r="F568" s="30" t="s">
        <v>1372</v>
      </c>
      <c r="G568" s="60"/>
      <c r="H568" s="60"/>
      <c r="I568" s="193"/>
      <c r="J568" s="200"/>
      <c r="K568" s="60"/>
      <c r="L568" s="60"/>
      <c r="M568" s="226"/>
      <c r="N568" s="250"/>
      <c r="O568" s="227"/>
      <c r="P568" s="227"/>
      <c r="Q568" s="249"/>
      <c r="R568" s="194"/>
      <c r="S568" s="195"/>
      <c r="T568" s="196"/>
      <c r="U568" s="195"/>
      <c r="V568" s="197"/>
    </row>
    <row r="569" spans="1:22" s="107" customFormat="1" ht="25.05" customHeight="1">
      <c r="A569" s="264"/>
      <c r="B569" s="265"/>
      <c r="C569" s="289"/>
      <c r="D569" s="203"/>
      <c r="E569" s="266"/>
      <c r="F569" s="202"/>
      <c r="G569" s="267">
        <v>145</v>
      </c>
      <c r="H569" s="267">
        <v>95</v>
      </c>
      <c r="I569" s="268">
        <v>150</v>
      </c>
      <c r="J569" s="269">
        <f t="shared" si="8"/>
        <v>2.0659999999999998</v>
      </c>
      <c r="K569" s="267">
        <f t="shared" si="9"/>
        <v>599</v>
      </c>
      <c r="L569" s="267">
        <v>649</v>
      </c>
      <c r="M569" s="224"/>
      <c r="N569" s="246"/>
      <c r="O569" s="225"/>
      <c r="P569" s="225"/>
      <c r="Q569" s="247" t="s">
        <v>1467</v>
      </c>
      <c r="R569" s="32"/>
      <c r="S569" s="33"/>
      <c r="T569" s="34"/>
      <c r="U569" s="33"/>
      <c r="V569" s="106"/>
    </row>
    <row r="570" spans="1:22" s="198" customFormat="1" ht="25.05" customHeight="1">
      <c r="A570" s="26">
        <v>1</v>
      </c>
      <c r="B570" s="27" t="s">
        <v>191</v>
      </c>
      <c r="C570" s="288" t="s">
        <v>1474</v>
      </c>
      <c r="D570" s="204"/>
      <c r="E570" s="29">
        <v>2300</v>
      </c>
      <c r="F570" s="30" t="s">
        <v>1372</v>
      </c>
      <c r="G570" s="60"/>
      <c r="H570" s="60"/>
      <c r="I570" s="193"/>
      <c r="J570" s="200"/>
      <c r="K570" s="60"/>
      <c r="L570" s="60"/>
      <c r="M570" s="226"/>
      <c r="N570" s="250"/>
      <c r="O570" s="227"/>
      <c r="P570" s="227"/>
      <c r="Q570" s="249"/>
      <c r="R570" s="194"/>
      <c r="S570" s="195"/>
      <c r="T570" s="196"/>
      <c r="U570" s="195"/>
      <c r="V570" s="197"/>
    </row>
    <row r="571" spans="1:22" s="107" customFormat="1" ht="25.05" customHeight="1">
      <c r="A571" s="264"/>
      <c r="B571" s="265"/>
      <c r="C571" s="289"/>
      <c r="D571" s="203"/>
      <c r="E571" s="266"/>
      <c r="F571" s="202"/>
      <c r="G571" s="267">
        <v>170</v>
      </c>
      <c r="H571" s="267">
        <v>95</v>
      </c>
      <c r="I571" s="268">
        <v>180</v>
      </c>
      <c r="J571" s="269">
        <f t="shared" si="8"/>
        <v>2.907</v>
      </c>
      <c r="K571" s="267">
        <f t="shared" si="9"/>
        <v>1059</v>
      </c>
      <c r="L571" s="267">
        <v>1109</v>
      </c>
      <c r="M571" s="224"/>
      <c r="N571" s="246"/>
      <c r="O571" s="225"/>
      <c r="P571" s="225"/>
      <c r="Q571" s="247" t="s">
        <v>1475</v>
      </c>
      <c r="R571" s="32"/>
      <c r="S571" s="33"/>
      <c r="T571" s="34"/>
      <c r="U571" s="33"/>
      <c r="V571" s="106"/>
    </row>
    <row r="572" spans="1:22" s="198" customFormat="1" ht="25.05" customHeight="1">
      <c r="A572" s="26">
        <v>1</v>
      </c>
      <c r="B572" s="27" t="s">
        <v>192</v>
      </c>
      <c r="C572" s="288" t="s">
        <v>1474</v>
      </c>
      <c r="D572" s="204"/>
      <c r="E572" s="29">
        <v>1490</v>
      </c>
      <c r="F572" s="30" t="s">
        <v>1372</v>
      </c>
      <c r="G572" s="60"/>
      <c r="H572" s="60"/>
      <c r="I572" s="193"/>
      <c r="J572" s="200"/>
      <c r="K572" s="60"/>
      <c r="L572" s="60"/>
      <c r="M572" s="226"/>
      <c r="N572" s="250"/>
      <c r="O572" s="227"/>
      <c r="P572" s="227"/>
      <c r="Q572" s="249"/>
      <c r="R572" s="194"/>
      <c r="S572" s="195"/>
      <c r="T572" s="196"/>
      <c r="U572" s="195"/>
      <c r="V572" s="197"/>
    </row>
    <row r="573" spans="1:22" s="107" customFormat="1" ht="25.05" customHeight="1">
      <c r="A573" s="264"/>
      <c r="B573" s="265"/>
      <c r="C573" s="289"/>
      <c r="D573" s="203"/>
      <c r="E573" s="266"/>
      <c r="F573" s="202"/>
      <c r="G573" s="267">
        <v>145</v>
      </c>
      <c r="H573" s="267">
        <v>95</v>
      </c>
      <c r="I573" s="268">
        <v>155</v>
      </c>
      <c r="J573" s="269">
        <f t="shared" si="8"/>
        <v>2.1349999999999998</v>
      </c>
      <c r="K573" s="267">
        <f t="shared" si="9"/>
        <v>652</v>
      </c>
      <c r="L573" s="267">
        <v>702</v>
      </c>
      <c r="M573" s="224"/>
      <c r="N573" s="246"/>
      <c r="O573" s="225"/>
      <c r="P573" s="225"/>
      <c r="Q573" s="247" t="s">
        <v>1476</v>
      </c>
      <c r="R573" s="32"/>
      <c r="S573" s="33"/>
      <c r="T573" s="34"/>
      <c r="U573" s="33"/>
      <c r="V573" s="106"/>
    </row>
    <row r="574" spans="1:22" s="198" customFormat="1" ht="25.05" customHeight="1">
      <c r="A574" s="26">
        <v>1</v>
      </c>
      <c r="B574" s="27" t="s">
        <v>193</v>
      </c>
      <c r="C574" s="288" t="s">
        <v>1477</v>
      </c>
      <c r="D574" s="204"/>
      <c r="E574" s="29">
        <v>960</v>
      </c>
      <c r="F574" s="30" t="s">
        <v>1372</v>
      </c>
      <c r="G574" s="60"/>
      <c r="H574" s="60"/>
      <c r="I574" s="193"/>
      <c r="J574" s="200"/>
      <c r="K574" s="60"/>
      <c r="L574" s="60"/>
      <c r="M574" s="226"/>
      <c r="N574" s="250"/>
      <c r="O574" s="227"/>
      <c r="P574" s="227"/>
      <c r="Q574" s="249"/>
      <c r="R574" s="194"/>
      <c r="S574" s="195"/>
      <c r="T574" s="196"/>
      <c r="U574" s="195"/>
      <c r="V574" s="197"/>
    </row>
    <row r="575" spans="1:22" s="107" customFormat="1" ht="25.05" customHeight="1">
      <c r="A575" s="264"/>
      <c r="B575" s="265"/>
      <c r="C575" s="289"/>
      <c r="D575" s="203"/>
      <c r="E575" s="266"/>
      <c r="F575" s="202"/>
      <c r="G575" s="267">
        <v>145</v>
      </c>
      <c r="H575" s="267">
        <v>95</v>
      </c>
      <c r="I575" s="268">
        <v>155</v>
      </c>
      <c r="J575" s="269">
        <f t="shared" si="8"/>
        <v>2.1349999999999998</v>
      </c>
      <c r="K575" s="267">
        <f t="shared" si="9"/>
        <v>648</v>
      </c>
      <c r="L575" s="267">
        <v>698</v>
      </c>
      <c r="M575" s="224"/>
      <c r="N575" s="246"/>
      <c r="O575" s="225"/>
      <c r="P575" s="225"/>
      <c r="Q575" s="247" t="s">
        <v>1467</v>
      </c>
      <c r="R575" s="32"/>
      <c r="S575" s="33"/>
      <c r="T575" s="34"/>
      <c r="U575" s="33"/>
      <c r="V575" s="106"/>
    </row>
    <row r="576" spans="1:22" s="198" customFormat="1" ht="25.05" customHeight="1">
      <c r="A576" s="26">
        <v>1</v>
      </c>
      <c r="B576" s="27" t="s">
        <v>194</v>
      </c>
      <c r="C576" s="288" t="s">
        <v>1477</v>
      </c>
      <c r="D576" s="204"/>
      <c r="E576" s="29">
        <v>1900</v>
      </c>
      <c r="F576" s="30" t="s">
        <v>1372</v>
      </c>
      <c r="G576" s="60"/>
      <c r="H576" s="60"/>
      <c r="I576" s="193"/>
      <c r="J576" s="200"/>
      <c r="K576" s="60"/>
      <c r="L576" s="60"/>
      <c r="M576" s="226"/>
      <c r="N576" s="250"/>
      <c r="O576" s="227"/>
      <c r="P576" s="227"/>
      <c r="Q576" s="249"/>
      <c r="R576" s="194"/>
      <c r="S576" s="195"/>
      <c r="T576" s="196"/>
      <c r="U576" s="195"/>
      <c r="V576" s="197"/>
    </row>
    <row r="577" spans="1:22" s="107" customFormat="1" ht="25.05" customHeight="1">
      <c r="A577" s="264"/>
      <c r="B577" s="265"/>
      <c r="C577" s="289"/>
      <c r="D577" s="203"/>
      <c r="E577" s="266"/>
      <c r="F577" s="202"/>
      <c r="G577" s="267">
        <v>190</v>
      </c>
      <c r="H577" s="267">
        <v>110</v>
      </c>
      <c r="I577" s="268">
        <v>190</v>
      </c>
      <c r="J577" s="269">
        <f t="shared" si="8"/>
        <v>3.9710000000000001</v>
      </c>
      <c r="K577" s="267">
        <f t="shared" si="9"/>
        <v>1308</v>
      </c>
      <c r="L577" s="267">
        <v>1358</v>
      </c>
      <c r="M577" s="224"/>
      <c r="N577" s="246"/>
      <c r="O577" s="225"/>
      <c r="P577" s="225"/>
      <c r="Q577" s="247" t="s">
        <v>1471</v>
      </c>
      <c r="R577" s="32"/>
      <c r="S577" s="33"/>
      <c r="T577" s="34"/>
      <c r="U577" s="33"/>
      <c r="V577" s="106"/>
    </row>
    <row r="578" spans="1:22" s="198" customFormat="1" ht="25.05" customHeight="1">
      <c r="A578" s="26">
        <v>1</v>
      </c>
      <c r="B578" s="27" t="s">
        <v>195</v>
      </c>
      <c r="C578" s="288" t="s">
        <v>1478</v>
      </c>
      <c r="D578" s="204"/>
      <c r="E578" s="29">
        <v>1860</v>
      </c>
      <c r="F578" s="30" t="s">
        <v>1372</v>
      </c>
      <c r="G578" s="60"/>
      <c r="H578" s="60"/>
      <c r="I578" s="193"/>
      <c r="J578" s="200"/>
      <c r="K578" s="60"/>
      <c r="L578" s="60"/>
      <c r="M578" s="226"/>
      <c r="N578" s="250"/>
      <c r="O578" s="227"/>
      <c r="P578" s="227"/>
      <c r="Q578" s="249"/>
      <c r="R578" s="194"/>
      <c r="S578" s="195"/>
      <c r="T578" s="196"/>
      <c r="U578" s="195"/>
      <c r="V578" s="197"/>
    </row>
    <row r="579" spans="1:22" s="107" customFormat="1" ht="25.05" customHeight="1">
      <c r="A579" s="264"/>
      <c r="B579" s="265"/>
      <c r="C579" s="289"/>
      <c r="D579" s="203"/>
      <c r="E579" s="266"/>
      <c r="F579" s="202"/>
      <c r="G579" s="267">
        <v>149</v>
      </c>
      <c r="H579" s="267">
        <v>92</v>
      </c>
      <c r="I579" s="268">
        <v>146</v>
      </c>
      <c r="J579" s="269">
        <f t="shared" si="8"/>
        <v>2.0009999999999999</v>
      </c>
      <c r="K579" s="267">
        <f t="shared" si="9"/>
        <v>518</v>
      </c>
      <c r="L579" s="267">
        <v>568</v>
      </c>
      <c r="M579" s="224"/>
      <c r="N579" s="246"/>
      <c r="O579" s="225"/>
      <c r="P579" s="225"/>
      <c r="Q579" s="247" t="s">
        <v>1479</v>
      </c>
      <c r="R579" s="32"/>
      <c r="S579" s="33"/>
      <c r="T579" s="34"/>
      <c r="U579" s="33"/>
      <c r="V579" s="106"/>
    </row>
    <row r="580" spans="1:22" s="198" customFormat="1" ht="25.05" customHeight="1">
      <c r="A580" s="26">
        <v>1</v>
      </c>
      <c r="B580" s="27" t="s">
        <v>196</v>
      </c>
      <c r="C580" s="288" t="s">
        <v>1478</v>
      </c>
      <c r="D580" s="204"/>
      <c r="E580" s="29">
        <v>2300</v>
      </c>
      <c r="F580" s="30" t="s">
        <v>1372</v>
      </c>
      <c r="G580" s="60"/>
      <c r="H580" s="60"/>
      <c r="I580" s="193"/>
      <c r="J580" s="200"/>
      <c r="K580" s="60"/>
      <c r="L580" s="60"/>
      <c r="M580" s="226"/>
      <c r="N580" s="250"/>
      <c r="O580" s="227"/>
      <c r="P580" s="227"/>
      <c r="Q580" s="249"/>
      <c r="R580" s="194"/>
      <c r="S580" s="195"/>
      <c r="T580" s="196"/>
      <c r="U580" s="195"/>
      <c r="V580" s="197"/>
    </row>
    <row r="581" spans="1:22" s="107" customFormat="1" ht="25.05" customHeight="1">
      <c r="A581" s="264"/>
      <c r="B581" s="265"/>
      <c r="C581" s="289"/>
      <c r="D581" s="203"/>
      <c r="E581" s="266"/>
      <c r="F581" s="202"/>
      <c r="G581" s="267">
        <v>145</v>
      </c>
      <c r="H581" s="267">
        <v>95</v>
      </c>
      <c r="I581" s="268">
        <v>155</v>
      </c>
      <c r="J581" s="269">
        <f t="shared" si="8"/>
        <v>2.1349999999999998</v>
      </c>
      <c r="K581" s="267">
        <f t="shared" si="9"/>
        <v>629</v>
      </c>
      <c r="L581" s="267">
        <v>679</v>
      </c>
      <c r="M581" s="224"/>
      <c r="N581" s="246"/>
      <c r="O581" s="225"/>
      <c r="P581" s="225"/>
      <c r="Q581" s="247" t="s">
        <v>1476</v>
      </c>
      <c r="R581" s="32"/>
      <c r="S581" s="33"/>
      <c r="T581" s="34"/>
      <c r="U581" s="33"/>
      <c r="V581" s="106"/>
    </row>
    <row r="582" spans="1:22" s="198" customFormat="1" ht="25.05" customHeight="1">
      <c r="A582" s="26">
        <v>1</v>
      </c>
      <c r="B582" s="27" t="s">
        <v>197</v>
      </c>
      <c r="C582" s="288" t="s">
        <v>1480</v>
      </c>
      <c r="D582" s="204"/>
      <c r="E582" s="29">
        <v>1000</v>
      </c>
      <c r="F582" s="30" t="s">
        <v>1372</v>
      </c>
      <c r="G582" s="60"/>
      <c r="H582" s="60"/>
      <c r="I582" s="193"/>
      <c r="J582" s="200"/>
      <c r="K582" s="60"/>
      <c r="L582" s="60"/>
      <c r="M582" s="226"/>
      <c r="N582" s="250"/>
      <c r="O582" s="227"/>
      <c r="P582" s="227"/>
      <c r="Q582" s="249"/>
      <c r="R582" s="194"/>
      <c r="S582" s="195"/>
      <c r="T582" s="196"/>
      <c r="U582" s="195"/>
      <c r="V582" s="197"/>
    </row>
    <row r="583" spans="1:22" s="107" customFormat="1" ht="25.05" customHeight="1">
      <c r="A583" s="264"/>
      <c r="B583" s="265"/>
      <c r="C583" s="289"/>
      <c r="D583" s="203"/>
      <c r="E583" s="266"/>
      <c r="F583" s="202"/>
      <c r="G583" s="267">
        <v>145</v>
      </c>
      <c r="H583" s="267">
        <v>95</v>
      </c>
      <c r="I583" s="268">
        <v>152</v>
      </c>
      <c r="J583" s="269">
        <f t="shared" si="8"/>
        <v>2.0939999999999999</v>
      </c>
      <c r="K583" s="267">
        <f t="shared" si="9"/>
        <v>600</v>
      </c>
      <c r="L583" s="267">
        <v>650</v>
      </c>
      <c r="M583" s="224"/>
      <c r="N583" s="246"/>
      <c r="O583" s="225"/>
      <c r="P583" s="225"/>
      <c r="Q583" s="247" t="s">
        <v>1467</v>
      </c>
      <c r="R583" s="32"/>
      <c r="S583" s="33"/>
      <c r="T583" s="34"/>
      <c r="U583" s="33"/>
      <c r="V583" s="106"/>
    </row>
    <row r="584" spans="1:22" s="198" customFormat="1" ht="25.05" customHeight="1">
      <c r="A584" s="26">
        <v>1</v>
      </c>
      <c r="B584" s="27" t="s">
        <v>198</v>
      </c>
      <c r="C584" s="288" t="s">
        <v>1481</v>
      </c>
      <c r="D584" s="204"/>
      <c r="E584" s="29">
        <v>2670</v>
      </c>
      <c r="F584" s="30" t="s">
        <v>1372</v>
      </c>
      <c r="G584" s="60"/>
      <c r="H584" s="60"/>
      <c r="I584" s="193"/>
      <c r="J584" s="200"/>
      <c r="K584" s="60"/>
      <c r="L584" s="60"/>
      <c r="M584" s="226"/>
      <c r="N584" s="250"/>
      <c r="O584" s="227"/>
      <c r="P584" s="227"/>
      <c r="Q584" s="249"/>
      <c r="R584" s="194"/>
      <c r="S584" s="195"/>
      <c r="T584" s="196"/>
      <c r="U584" s="195"/>
      <c r="V584" s="197"/>
    </row>
    <row r="585" spans="1:22" s="107" customFormat="1" ht="25.05" customHeight="1">
      <c r="A585" s="264"/>
      <c r="B585" s="265"/>
      <c r="C585" s="289"/>
      <c r="D585" s="203"/>
      <c r="E585" s="266"/>
      <c r="F585" s="202"/>
      <c r="G585" s="267">
        <v>145</v>
      </c>
      <c r="H585" s="267">
        <v>95</v>
      </c>
      <c r="I585" s="268">
        <v>146</v>
      </c>
      <c r="J585" s="269">
        <f t="shared" si="8"/>
        <v>2.0110000000000001</v>
      </c>
      <c r="K585" s="267">
        <f t="shared" si="9"/>
        <v>496</v>
      </c>
      <c r="L585" s="267">
        <v>546</v>
      </c>
      <c r="M585" s="224"/>
      <c r="N585" s="246"/>
      <c r="O585" s="225"/>
      <c r="P585" s="225"/>
      <c r="Q585" s="247" t="s">
        <v>1469</v>
      </c>
      <c r="R585" s="32"/>
      <c r="S585" s="33"/>
      <c r="T585" s="34"/>
      <c r="U585" s="33"/>
      <c r="V585" s="106"/>
    </row>
    <row r="586" spans="1:22" s="198" customFormat="1" ht="25.05" customHeight="1">
      <c r="A586" s="26">
        <v>1</v>
      </c>
      <c r="B586" s="27" t="s">
        <v>199</v>
      </c>
      <c r="C586" s="288" t="s">
        <v>1482</v>
      </c>
      <c r="D586" s="204"/>
      <c r="E586" s="29">
        <v>920</v>
      </c>
      <c r="F586" s="30" t="s">
        <v>1372</v>
      </c>
      <c r="G586" s="60"/>
      <c r="H586" s="60"/>
      <c r="I586" s="193"/>
      <c r="J586" s="200"/>
      <c r="K586" s="60"/>
      <c r="L586" s="60"/>
      <c r="M586" s="226"/>
      <c r="N586" s="250"/>
      <c r="O586" s="227"/>
      <c r="P586" s="227"/>
      <c r="Q586" s="249"/>
      <c r="R586" s="194"/>
      <c r="S586" s="195"/>
      <c r="T586" s="196"/>
      <c r="U586" s="195"/>
      <c r="V586" s="197"/>
    </row>
    <row r="587" spans="1:22" s="107" customFormat="1" ht="25.05" customHeight="1">
      <c r="A587" s="264"/>
      <c r="B587" s="265"/>
      <c r="C587" s="289"/>
      <c r="D587" s="203"/>
      <c r="E587" s="266"/>
      <c r="F587" s="202"/>
      <c r="G587" s="267">
        <v>130</v>
      </c>
      <c r="H587" s="267">
        <v>80</v>
      </c>
      <c r="I587" s="268">
        <v>123</v>
      </c>
      <c r="J587" s="269">
        <f t="shared" si="8"/>
        <v>1.2789999999999999</v>
      </c>
      <c r="K587" s="267">
        <f t="shared" si="9"/>
        <v>270</v>
      </c>
      <c r="L587" s="267">
        <v>320</v>
      </c>
      <c r="M587" s="224"/>
      <c r="N587" s="246"/>
      <c r="O587" s="225"/>
      <c r="P587" s="225"/>
      <c r="Q587" s="247" t="s">
        <v>1467</v>
      </c>
      <c r="R587" s="32"/>
      <c r="S587" s="33"/>
      <c r="T587" s="34"/>
      <c r="U587" s="33"/>
      <c r="V587" s="106"/>
    </row>
    <row r="588" spans="1:22" s="198" customFormat="1" ht="25.05" customHeight="1">
      <c r="A588" s="26">
        <v>1</v>
      </c>
      <c r="B588" s="27" t="s">
        <v>200</v>
      </c>
      <c r="C588" s="288" t="s">
        <v>1483</v>
      </c>
      <c r="D588" s="204"/>
      <c r="E588" s="29">
        <v>1090</v>
      </c>
      <c r="F588" s="30" t="s">
        <v>1372</v>
      </c>
      <c r="G588" s="60"/>
      <c r="H588" s="60"/>
      <c r="I588" s="193"/>
      <c r="J588" s="200"/>
      <c r="K588" s="60"/>
      <c r="L588" s="60"/>
      <c r="M588" s="226"/>
      <c r="N588" s="250"/>
      <c r="O588" s="227"/>
      <c r="P588" s="227"/>
      <c r="Q588" s="249"/>
      <c r="R588" s="194"/>
      <c r="S588" s="195"/>
      <c r="T588" s="196"/>
      <c r="U588" s="195"/>
      <c r="V588" s="197"/>
    </row>
    <row r="589" spans="1:22" s="107" customFormat="1" ht="25.05" customHeight="1">
      <c r="A589" s="264"/>
      <c r="B589" s="265"/>
      <c r="C589" s="289"/>
      <c r="D589" s="203"/>
      <c r="E589" s="266"/>
      <c r="F589" s="202"/>
      <c r="G589" s="267">
        <v>130</v>
      </c>
      <c r="H589" s="267">
        <v>80</v>
      </c>
      <c r="I589" s="268">
        <v>130</v>
      </c>
      <c r="J589" s="269">
        <f t="shared" si="8"/>
        <v>1.3520000000000001</v>
      </c>
      <c r="K589" s="267">
        <f t="shared" si="9"/>
        <v>407</v>
      </c>
      <c r="L589" s="267">
        <v>457</v>
      </c>
      <c r="M589" s="224"/>
      <c r="N589" s="246"/>
      <c r="O589" s="225"/>
      <c r="P589" s="225"/>
      <c r="Q589" s="247" t="s">
        <v>1467</v>
      </c>
      <c r="R589" s="32"/>
      <c r="S589" s="33"/>
      <c r="T589" s="34"/>
      <c r="U589" s="33"/>
      <c r="V589" s="106"/>
    </row>
    <row r="590" spans="1:22" s="198" customFormat="1" ht="25.05" customHeight="1">
      <c r="A590" s="26">
        <v>1</v>
      </c>
      <c r="B590" s="27" t="s">
        <v>201</v>
      </c>
      <c r="C590" s="288" t="s">
        <v>1484</v>
      </c>
      <c r="D590" s="204"/>
      <c r="E590" s="29">
        <v>320</v>
      </c>
      <c r="F590" s="30" t="s">
        <v>1372</v>
      </c>
      <c r="G590" s="60"/>
      <c r="H590" s="60"/>
      <c r="I590" s="193"/>
      <c r="J590" s="200"/>
      <c r="K590" s="60"/>
      <c r="L590" s="60"/>
      <c r="M590" s="226"/>
      <c r="N590" s="250"/>
      <c r="O590" s="227"/>
      <c r="P590" s="227"/>
      <c r="Q590" s="249"/>
      <c r="R590" s="194"/>
      <c r="S590" s="195"/>
      <c r="T590" s="196"/>
      <c r="U590" s="195"/>
      <c r="V590" s="197"/>
    </row>
    <row r="591" spans="1:22" s="107" customFormat="1" ht="25.05" customHeight="1">
      <c r="A591" s="264"/>
      <c r="B591" s="265"/>
      <c r="C591" s="289"/>
      <c r="D591" s="203"/>
      <c r="E591" s="266"/>
      <c r="F591" s="202"/>
      <c r="G591" s="267">
        <v>130</v>
      </c>
      <c r="H591" s="267">
        <v>80</v>
      </c>
      <c r="I591" s="268">
        <v>130</v>
      </c>
      <c r="J591" s="269">
        <f t="shared" si="8"/>
        <v>1.3520000000000001</v>
      </c>
      <c r="K591" s="267">
        <f t="shared" si="9"/>
        <v>563</v>
      </c>
      <c r="L591" s="267">
        <v>613</v>
      </c>
      <c r="M591" s="224"/>
      <c r="N591" s="246"/>
      <c r="O591" s="225"/>
      <c r="P591" s="225"/>
      <c r="Q591" s="247" t="s">
        <v>1467</v>
      </c>
      <c r="R591" s="32"/>
      <c r="S591" s="33"/>
      <c r="T591" s="34"/>
      <c r="U591" s="33"/>
      <c r="V591" s="106"/>
    </row>
    <row r="592" spans="1:22" s="198" customFormat="1" ht="25.05" customHeight="1">
      <c r="A592" s="26">
        <v>1</v>
      </c>
      <c r="B592" s="27" t="s">
        <v>202</v>
      </c>
      <c r="C592" s="288" t="s">
        <v>1485</v>
      </c>
      <c r="D592" s="204"/>
      <c r="E592" s="29">
        <v>210</v>
      </c>
      <c r="F592" s="30" t="s">
        <v>1372</v>
      </c>
      <c r="G592" s="60"/>
      <c r="H592" s="60"/>
      <c r="I592" s="193"/>
      <c r="J592" s="200"/>
      <c r="K592" s="60"/>
      <c r="L592" s="60"/>
      <c r="M592" s="226"/>
      <c r="N592" s="250"/>
      <c r="O592" s="227"/>
      <c r="P592" s="227"/>
      <c r="Q592" s="249"/>
      <c r="R592" s="194"/>
      <c r="S592" s="195"/>
      <c r="T592" s="196"/>
      <c r="U592" s="195"/>
      <c r="V592" s="197"/>
    </row>
    <row r="593" spans="1:22" s="107" customFormat="1" ht="25.05" customHeight="1">
      <c r="A593" s="264"/>
      <c r="B593" s="265"/>
      <c r="C593" s="289"/>
      <c r="D593" s="203"/>
      <c r="E593" s="266"/>
      <c r="F593" s="202"/>
      <c r="G593" s="267">
        <v>90</v>
      </c>
      <c r="H593" s="267">
        <v>60</v>
      </c>
      <c r="I593" s="268">
        <v>95</v>
      </c>
      <c r="J593" s="269">
        <f t="shared" si="8"/>
        <v>0.51300000000000001</v>
      </c>
      <c r="K593" s="267">
        <f t="shared" si="9"/>
        <v>97</v>
      </c>
      <c r="L593" s="267">
        <v>147</v>
      </c>
      <c r="M593" s="224"/>
      <c r="N593" s="246"/>
      <c r="O593" s="225"/>
      <c r="P593" s="225"/>
      <c r="Q593" s="247" t="s">
        <v>1467</v>
      </c>
      <c r="R593" s="32"/>
      <c r="S593" s="33"/>
      <c r="T593" s="34"/>
      <c r="U593" s="33"/>
      <c r="V593" s="106"/>
    </row>
    <row r="594" spans="1:22" s="198" customFormat="1" ht="25.05" customHeight="1">
      <c r="A594" s="26">
        <v>1</v>
      </c>
      <c r="B594" s="27" t="s">
        <v>203</v>
      </c>
      <c r="C594" s="288" t="s">
        <v>1486</v>
      </c>
      <c r="D594" s="204"/>
      <c r="E594" s="29">
        <v>210</v>
      </c>
      <c r="F594" s="30" t="s">
        <v>1372</v>
      </c>
      <c r="G594" s="60"/>
      <c r="H594" s="60"/>
      <c r="I594" s="193"/>
      <c r="J594" s="200"/>
      <c r="K594" s="60"/>
      <c r="L594" s="60"/>
      <c r="M594" s="226"/>
      <c r="N594" s="250"/>
      <c r="O594" s="227"/>
      <c r="P594" s="227"/>
      <c r="Q594" s="249"/>
      <c r="R594" s="194"/>
      <c r="S594" s="195"/>
      <c r="T594" s="196"/>
      <c r="U594" s="195"/>
      <c r="V594" s="197"/>
    </row>
    <row r="595" spans="1:22" s="107" customFormat="1" ht="25.05" customHeight="1">
      <c r="A595" s="264"/>
      <c r="B595" s="265"/>
      <c r="C595" s="289"/>
      <c r="D595" s="203"/>
      <c r="E595" s="266"/>
      <c r="F595" s="202"/>
      <c r="G595" s="267">
        <v>110</v>
      </c>
      <c r="H595" s="267">
        <v>70</v>
      </c>
      <c r="I595" s="268">
        <v>115</v>
      </c>
      <c r="J595" s="269">
        <f t="shared" si="8"/>
        <v>0.88600000000000001</v>
      </c>
      <c r="K595" s="267">
        <f t="shared" si="9"/>
        <v>335</v>
      </c>
      <c r="L595" s="267">
        <v>385</v>
      </c>
      <c r="M595" s="224"/>
      <c r="N595" s="246"/>
      <c r="O595" s="225"/>
      <c r="P595" s="225"/>
      <c r="Q595" s="247" t="s">
        <v>1467</v>
      </c>
      <c r="R595" s="32"/>
      <c r="S595" s="33"/>
      <c r="T595" s="34"/>
      <c r="U595" s="33"/>
      <c r="V595" s="106"/>
    </row>
    <row r="596" spans="1:22" s="107" customFormat="1" ht="25.05" customHeight="1">
      <c r="A596" s="26">
        <v>1</v>
      </c>
      <c r="B596" s="27" t="s">
        <v>204</v>
      </c>
      <c r="C596" s="288" t="s">
        <v>1487</v>
      </c>
      <c r="D596" s="191"/>
      <c r="E596" s="29">
        <v>30</v>
      </c>
      <c r="F596" s="30" t="s">
        <v>1372</v>
      </c>
      <c r="G596" s="60"/>
      <c r="H596" s="60"/>
      <c r="I596" s="108"/>
      <c r="J596" s="200">
        <f t="shared" si="8"/>
        <v>0</v>
      </c>
      <c r="K596" s="60">
        <v>100</v>
      </c>
      <c r="L596" s="60"/>
      <c r="M596" s="226"/>
      <c r="N596" s="248" t="s">
        <v>1488</v>
      </c>
      <c r="O596" s="227"/>
      <c r="P596" s="228"/>
      <c r="Q596" s="249" t="s">
        <v>1489</v>
      </c>
      <c r="R596" s="32"/>
      <c r="S596" s="33"/>
      <c r="T596" s="34"/>
      <c r="U596" s="33"/>
      <c r="V596" s="106"/>
    </row>
    <row r="597" spans="1:22" s="107" customFormat="1" ht="25.05" customHeight="1">
      <c r="A597" s="26">
        <v>2</v>
      </c>
      <c r="B597" s="27" t="s">
        <v>204</v>
      </c>
      <c r="C597" s="288" t="s">
        <v>1490</v>
      </c>
      <c r="D597" s="191"/>
      <c r="E597" s="29">
        <v>2</v>
      </c>
      <c r="F597" s="30" t="s">
        <v>289</v>
      </c>
      <c r="G597" s="60"/>
      <c r="H597" s="60"/>
      <c r="I597" s="108"/>
      <c r="J597" s="200">
        <f t="shared" si="8"/>
        <v>0</v>
      </c>
      <c r="K597" s="60">
        <v>1</v>
      </c>
      <c r="L597" s="60"/>
      <c r="M597" s="226"/>
      <c r="N597" s="248" t="s">
        <v>1491</v>
      </c>
      <c r="O597" s="227"/>
      <c r="P597" s="228"/>
      <c r="Q597" s="249" t="s">
        <v>1489</v>
      </c>
      <c r="R597" s="32"/>
      <c r="S597" s="33"/>
      <c r="T597" s="34"/>
      <c r="U597" s="33"/>
      <c r="V597" s="106"/>
    </row>
    <row r="598" spans="1:22" s="107" customFormat="1" ht="25.05" customHeight="1">
      <c r="A598" s="264"/>
      <c r="B598" s="265"/>
      <c r="C598" s="289"/>
      <c r="D598" s="203"/>
      <c r="E598" s="266"/>
      <c r="F598" s="202"/>
      <c r="G598" s="267">
        <v>135</v>
      </c>
      <c r="H598" s="267">
        <v>136</v>
      </c>
      <c r="I598" s="268">
        <v>71</v>
      </c>
      <c r="J598" s="269">
        <f>ROUND(I598*H598*G598/1000000,3)</f>
        <v>1.304</v>
      </c>
      <c r="K598" s="267">
        <v>101</v>
      </c>
      <c r="L598" s="267">
        <v>200</v>
      </c>
      <c r="M598" s="224"/>
      <c r="N598" s="246"/>
      <c r="O598" s="225"/>
      <c r="P598" s="225"/>
      <c r="Q598" s="247"/>
      <c r="R598" s="32"/>
      <c r="S598" s="33"/>
      <c r="T598" s="34"/>
      <c r="U598" s="33"/>
      <c r="V598" s="106"/>
    </row>
    <row r="599" spans="1:22" s="107" customFormat="1" ht="37.5" customHeight="1">
      <c r="A599" s="26">
        <v>1</v>
      </c>
      <c r="B599" s="27" t="s">
        <v>205</v>
      </c>
      <c r="C599" s="288" t="s">
        <v>1492</v>
      </c>
      <c r="D599" s="243"/>
      <c r="E599" s="29">
        <v>1</v>
      </c>
      <c r="F599" s="30" t="s">
        <v>289</v>
      </c>
      <c r="G599" s="60"/>
      <c r="H599" s="60"/>
      <c r="I599" s="108"/>
      <c r="J599" s="200">
        <f t="shared" si="8"/>
        <v>0</v>
      </c>
      <c r="K599" s="60">
        <v>0.1</v>
      </c>
      <c r="L599" s="60"/>
      <c r="M599" s="226"/>
      <c r="N599" s="248" t="s">
        <v>1493</v>
      </c>
      <c r="O599" s="227"/>
      <c r="P599" s="228"/>
      <c r="Q599" s="249" t="s">
        <v>1494</v>
      </c>
      <c r="R599" s="32"/>
      <c r="S599" s="33"/>
      <c r="T599" s="34"/>
      <c r="U599" s="33"/>
      <c r="V599" s="106"/>
    </row>
    <row r="600" spans="1:22" s="107" customFormat="1" ht="25.05" customHeight="1">
      <c r="A600" s="26">
        <v>2</v>
      </c>
      <c r="B600" s="27" t="s">
        <v>205</v>
      </c>
      <c r="C600" s="288" t="s">
        <v>1375</v>
      </c>
      <c r="D600" s="191"/>
      <c r="E600" s="29">
        <v>20</v>
      </c>
      <c r="F600" s="30" t="s">
        <v>289</v>
      </c>
      <c r="G600" s="60"/>
      <c r="H600" s="60"/>
      <c r="I600" s="108"/>
      <c r="J600" s="200">
        <f t="shared" si="8"/>
        <v>0</v>
      </c>
      <c r="K600" s="60">
        <v>0.7</v>
      </c>
      <c r="L600" s="60"/>
      <c r="M600" s="226"/>
      <c r="N600" s="248" t="s">
        <v>1495</v>
      </c>
      <c r="O600" s="227"/>
      <c r="P600" s="228"/>
      <c r="Q600" s="249" t="s">
        <v>1496</v>
      </c>
      <c r="R600" s="32"/>
      <c r="S600" s="33"/>
      <c r="T600" s="34"/>
      <c r="U600" s="33"/>
      <c r="V600" s="106"/>
    </row>
    <row r="601" spans="1:22" s="107" customFormat="1" ht="25.05" customHeight="1">
      <c r="A601" s="26">
        <v>3</v>
      </c>
      <c r="B601" s="27" t="s">
        <v>205</v>
      </c>
      <c r="C601" s="288" t="s">
        <v>1497</v>
      </c>
      <c r="D601" s="191"/>
      <c r="E601" s="29">
        <v>4</v>
      </c>
      <c r="F601" s="30" t="s">
        <v>289</v>
      </c>
      <c r="G601" s="60"/>
      <c r="H601" s="60"/>
      <c r="I601" s="108"/>
      <c r="J601" s="200">
        <f t="shared" si="8"/>
        <v>0</v>
      </c>
      <c r="K601" s="60">
        <v>0.7</v>
      </c>
      <c r="L601" s="60"/>
      <c r="M601" s="226"/>
      <c r="N601" s="248" t="s">
        <v>1498</v>
      </c>
      <c r="O601" s="227"/>
      <c r="P601" s="228"/>
      <c r="Q601" s="249" t="s">
        <v>1499</v>
      </c>
      <c r="R601" s="32"/>
      <c r="S601" s="33"/>
      <c r="T601" s="34"/>
      <c r="U601" s="33"/>
      <c r="V601" s="106"/>
    </row>
    <row r="602" spans="1:22" s="107" customFormat="1" ht="25.05" customHeight="1">
      <c r="A602" s="26">
        <v>4</v>
      </c>
      <c r="B602" s="27" t="s">
        <v>205</v>
      </c>
      <c r="C602" s="288" t="s">
        <v>1500</v>
      </c>
      <c r="D602" s="191"/>
      <c r="E602" s="29">
        <v>4</v>
      </c>
      <c r="F602" s="30" t="s">
        <v>289</v>
      </c>
      <c r="G602" s="60"/>
      <c r="H602" s="60"/>
      <c r="I602" s="108"/>
      <c r="J602" s="200">
        <f t="shared" si="8"/>
        <v>0</v>
      </c>
      <c r="K602" s="60">
        <v>1.4</v>
      </c>
      <c r="L602" s="60"/>
      <c r="M602" s="226"/>
      <c r="N602" s="248" t="s">
        <v>1501</v>
      </c>
      <c r="O602" s="227"/>
      <c r="P602" s="228"/>
      <c r="Q602" s="249" t="s">
        <v>1502</v>
      </c>
      <c r="R602" s="32"/>
      <c r="S602" s="33"/>
      <c r="T602" s="34"/>
      <c r="U602" s="33"/>
      <c r="V602" s="106"/>
    </row>
    <row r="603" spans="1:22" s="107" customFormat="1" ht="25.05" customHeight="1">
      <c r="A603" s="26">
        <v>5</v>
      </c>
      <c r="B603" s="27" t="s">
        <v>205</v>
      </c>
      <c r="C603" s="288" t="s">
        <v>1500</v>
      </c>
      <c r="D603" s="191"/>
      <c r="E603" s="29">
        <v>8</v>
      </c>
      <c r="F603" s="30" t="s">
        <v>289</v>
      </c>
      <c r="G603" s="60"/>
      <c r="H603" s="60"/>
      <c r="I603" s="108"/>
      <c r="J603" s="200">
        <f t="shared" si="8"/>
        <v>0</v>
      </c>
      <c r="K603" s="60">
        <v>2.8</v>
      </c>
      <c r="L603" s="60"/>
      <c r="M603" s="226"/>
      <c r="N603" s="248" t="s">
        <v>1503</v>
      </c>
      <c r="O603" s="227"/>
      <c r="P603" s="228"/>
      <c r="Q603" s="249" t="s">
        <v>1504</v>
      </c>
      <c r="R603" s="32"/>
      <c r="S603" s="33"/>
      <c r="T603" s="34"/>
      <c r="U603" s="33"/>
      <c r="V603" s="106"/>
    </row>
    <row r="604" spans="1:22" s="107" customFormat="1" ht="25.05" customHeight="1">
      <c r="A604" s="26">
        <v>6</v>
      </c>
      <c r="B604" s="27" t="s">
        <v>205</v>
      </c>
      <c r="C604" s="288" t="s">
        <v>1505</v>
      </c>
      <c r="D604" s="191"/>
      <c r="E604" s="29">
        <v>1</v>
      </c>
      <c r="F604" s="30" t="s">
        <v>289</v>
      </c>
      <c r="G604" s="60"/>
      <c r="H604" s="60"/>
      <c r="I604" s="108"/>
      <c r="J604" s="200">
        <f t="shared" si="8"/>
        <v>0</v>
      </c>
      <c r="K604" s="60">
        <v>2.4</v>
      </c>
      <c r="L604" s="60"/>
      <c r="M604" s="226"/>
      <c r="N604" s="248" t="s">
        <v>1506</v>
      </c>
      <c r="O604" s="227"/>
      <c r="P604" s="228"/>
      <c r="Q604" s="249" t="s">
        <v>1507</v>
      </c>
      <c r="R604" s="32"/>
      <c r="S604" s="33"/>
      <c r="T604" s="34"/>
      <c r="U604" s="33"/>
      <c r="V604" s="106"/>
    </row>
    <row r="605" spans="1:22" s="107" customFormat="1" ht="25.05" customHeight="1">
      <c r="A605" s="26">
        <v>7</v>
      </c>
      <c r="B605" s="27" t="s">
        <v>205</v>
      </c>
      <c r="C605" s="288" t="s">
        <v>1508</v>
      </c>
      <c r="D605" s="191"/>
      <c r="E605" s="29">
        <v>1</v>
      </c>
      <c r="F605" s="30" t="s">
        <v>289</v>
      </c>
      <c r="G605" s="60"/>
      <c r="H605" s="60"/>
      <c r="I605" s="108"/>
      <c r="J605" s="200">
        <f t="shared" si="8"/>
        <v>0</v>
      </c>
      <c r="K605" s="60">
        <v>2</v>
      </c>
      <c r="L605" s="60"/>
      <c r="M605" s="226"/>
      <c r="N605" s="248" t="s">
        <v>1509</v>
      </c>
      <c r="O605" s="227"/>
      <c r="P605" s="228"/>
      <c r="Q605" s="249" t="s">
        <v>1510</v>
      </c>
      <c r="R605" s="32"/>
      <c r="S605" s="33"/>
      <c r="T605" s="34"/>
      <c r="U605" s="33"/>
      <c r="V605" s="106"/>
    </row>
    <row r="606" spans="1:22" s="107" customFormat="1" ht="25.05" customHeight="1">
      <c r="A606" s="26">
        <v>8</v>
      </c>
      <c r="B606" s="27" t="s">
        <v>205</v>
      </c>
      <c r="C606" s="288" t="s">
        <v>1511</v>
      </c>
      <c r="D606" s="191"/>
      <c r="E606" s="29">
        <v>1</v>
      </c>
      <c r="F606" s="30" t="s">
        <v>289</v>
      </c>
      <c r="G606" s="60"/>
      <c r="H606" s="60"/>
      <c r="I606" s="108"/>
      <c r="J606" s="200">
        <f t="shared" si="8"/>
        <v>0</v>
      </c>
      <c r="K606" s="60">
        <v>17</v>
      </c>
      <c r="L606" s="60"/>
      <c r="M606" s="226"/>
      <c r="N606" s="248" t="s">
        <v>1512</v>
      </c>
      <c r="O606" s="227"/>
      <c r="P606" s="228"/>
      <c r="Q606" s="249" t="s">
        <v>1513</v>
      </c>
      <c r="R606" s="32"/>
      <c r="S606" s="33"/>
      <c r="T606" s="34"/>
      <c r="U606" s="33"/>
      <c r="V606" s="106"/>
    </row>
    <row r="607" spans="1:22" s="107" customFormat="1" ht="25.05" customHeight="1">
      <c r="A607" s="26">
        <v>9</v>
      </c>
      <c r="B607" s="27" t="s">
        <v>205</v>
      </c>
      <c r="C607" s="288" t="s">
        <v>1514</v>
      </c>
      <c r="D607" s="191"/>
      <c r="E607" s="29">
        <v>1</v>
      </c>
      <c r="F607" s="30" t="s">
        <v>289</v>
      </c>
      <c r="G607" s="60"/>
      <c r="H607" s="60"/>
      <c r="I607" s="108"/>
      <c r="J607" s="200">
        <f t="shared" si="8"/>
        <v>0</v>
      </c>
      <c r="K607" s="60">
        <v>1</v>
      </c>
      <c r="L607" s="60"/>
      <c r="M607" s="226"/>
      <c r="N607" s="248" t="s">
        <v>1515</v>
      </c>
      <c r="O607" s="227"/>
      <c r="P607" s="228"/>
      <c r="Q607" s="249" t="s">
        <v>1516</v>
      </c>
      <c r="R607" s="32"/>
      <c r="S607" s="33"/>
      <c r="T607" s="34"/>
      <c r="U607" s="33"/>
      <c r="V607" s="106"/>
    </row>
    <row r="608" spans="1:22" s="107" customFormat="1" ht="25.05" customHeight="1">
      <c r="A608" s="26">
        <v>10</v>
      </c>
      <c r="B608" s="27" t="s">
        <v>205</v>
      </c>
      <c r="C608" s="288" t="s">
        <v>1517</v>
      </c>
      <c r="D608" s="191"/>
      <c r="E608" s="29">
        <v>1</v>
      </c>
      <c r="F608" s="30" t="s">
        <v>105</v>
      </c>
      <c r="G608" s="60"/>
      <c r="H608" s="60"/>
      <c r="I608" s="108"/>
      <c r="J608" s="200">
        <f t="shared" si="8"/>
        <v>0</v>
      </c>
      <c r="K608" s="60">
        <v>5</v>
      </c>
      <c r="L608" s="60"/>
      <c r="M608" s="226"/>
      <c r="N608" s="248" t="s">
        <v>1518</v>
      </c>
      <c r="O608" s="227"/>
      <c r="P608" s="228"/>
      <c r="Q608" s="249"/>
      <c r="R608" s="32"/>
      <c r="S608" s="33"/>
      <c r="T608" s="34"/>
      <c r="U608" s="33"/>
      <c r="V608" s="106"/>
    </row>
    <row r="609" spans="1:22" s="107" customFormat="1" ht="25.05" customHeight="1">
      <c r="A609" s="26">
        <v>11</v>
      </c>
      <c r="B609" s="27" t="s">
        <v>205</v>
      </c>
      <c r="C609" s="288" t="s">
        <v>1519</v>
      </c>
      <c r="D609" s="191"/>
      <c r="E609" s="29">
        <v>50</v>
      </c>
      <c r="F609" s="30" t="s">
        <v>1372</v>
      </c>
      <c r="G609" s="60"/>
      <c r="H609" s="60"/>
      <c r="I609" s="108"/>
      <c r="J609" s="200">
        <f t="shared" si="8"/>
        <v>0</v>
      </c>
      <c r="K609" s="60">
        <v>7.5</v>
      </c>
      <c r="L609" s="60"/>
      <c r="M609" s="226"/>
      <c r="N609" s="248" t="s">
        <v>1520</v>
      </c>
      <c r="O609" s="227"/>
      <c r="P609" s="228"/>
      <c r="Q609" s="249" t="s">
        <v>1521</v>
      </c>
      <c r="R609" s="32"/>
      <c r="S609" s="33"/>
      <c r="T609" s="34"/>
      <c r="U609" s="33"/>
      <c r="V609" s="106"/>
    </row>
    <row r="610" spans="1:22" s="107" customFormat="1" ht="25.05" customHeight="1">
      <c r="A610" s="26">
        <v>12</v>
      </c>
      <c r="B610" s="27" t="s">
        <v>205</v>
      </c>
      <c r="C610" s="288" t="s">
        <v>1522</v>
      </c>
      <c r="D610" s="191"/>
      <c r="E610" s="29">
        <v>50</v>
      </c>
      <c r="F610" s="30" t="s">
        <v>1372</v>
      </c>
      <c r="G610" s="60"/>
      <c r="H610" s="60"/>
      <c r="I610" s="108"/>
      <c r="J610" s="200">
        <f t="shared" si="8"/>
        <v>0</v>
      </c>
      <c r="K610" s="60">
        <v>8</v>
      </c>
      <c r="L610" s="60"/>
      <c r="M610" s="226"/>
      <c r="N610" s="248" t="s">
        <v>1523</v>
      </c>
      <c r="O610" s="227"/>
      <c r="P610" s="228"/>
      <c r="Q610" s="249" t="s">
        <v>1521</v>
      </c>
      <c r="R610" s="32"/>
      <c r="S610" s="33"/>
      <c r="T610" s="34"/>
      <c r="U610" s="33"/>
      <c r="V610" s="106"/>
    </row>
    <row r="611" spans="1:22" s="107" customFormat="1" ht="25.05" customHeight="1">
      <c r="A611" s="26">
        <v>13</v>
      </c>
      <c r="B611" s="27" t="s">
        <v>205</v>
      </c>
      <c r="C611" s="288" t="s">
        <v>1524</v>
      </c>
      <c r="D611" s="204"/>
      <c r="E611" s="29">
        <v>1</v>
      </c>
      <c r="F611" s="30" t="s">
        <v>289</v>
      </c>
      <c r="G611" s="60"/>
      <c r="H611" s="60"/>
      <c r="I611" s="108"/>
      <c r="J611" s="200">
        <f t="shared" si="8"/>
        <v>0</v>
      </c>
      <c r="K611" s="60">
        <v>0.2</v>
      </c>
      <c r="L611" s="60"/>
      <c r="M611" s="226"/>
      <c r="N611" s="248" t="s">
        <v>1525</v>
      </c>
      <c r="O611" s="227"/>
      <c r="P611" s="228"/>
      <c r="Q611" s="249" t="s">
        <v>1526</v>
      </c>
      <c r="R611" s="32"/>
      <c r="S611" s="33"/>
      <c r="T611" s="34"/>
      <c r="U611" s="33"/>
      <c r="V611" s="106"/>
    </row>
    <row r="612" spans="1:22" s="107" customFormat="1" ht="25.05" customHeight="1">
      <c r="A612" s="26">
        <v>14</v>
      </c>
      <c r="B612" s="27" t="s">
        <v>205</v>
      </c>
      <c r="C612" s="288" t="s">
        <v>1527</v>
      </c>
      <c r="D612" s="191"/>
      <c r="E612" s="29">
        <v>86</v>
      </c>
      <c r="F612" s="30" t="s">
        <v>289</v>
      </c>
      <c r="G612" s="60"/>
      <c r="H612" s="60"/>
      <c r="I612" s="108"/>
      <c r="J612" s="200">
        <f t="shared" si="8"/>
        <v>0</v>
      </c>
      <c r="K612" s="60">
        <v>21.5</v>
      </c>
      <c r="L612" s="60"/>
      <c r="M612" s="226"/>
      <c r="N612" s="248" t="s">
        <v>1528</v>
      </c>
      <c r="O612" s="227"/>
      <c r="P612" s="228"/>
      <c r="Q612" s="249" t="s">
        <v>1529</v>
      </c>
      <c r="R612" s="32"/>
      <c r="S612" s="33"/>
      <c r="T612" s="34"/>
      <c r="U612" s="33"/>
      <c r="V612" s="106"/>
    </row>
    <row r="613" spans="1:22" s="107" customFormat="1" ht="25.05" customHeight="1">
      <c r="A613" s="26">
        <v>15</v>
      </c>
      <c r="B613" s="27" t="s">
        <v>205</v>
      </c>
      <c r="C613" s="288" t="s">
        <v>1530</v>
      </c>
      <c r="D613" s="191"/>
      <c r="E613" s="29">
        <v>37</v>
      </c>
      <c r="F613" s="30" t="s">
        <v>289</v>
      </c>
      <c r="G613" s="60"/>
      <c r="H613" s="60"/>
      <c r="I613" s="108"/>
      <c r="J613" s="200">
        <f t="shared" si="8"/>
        <v>0</v>
      </c>
      <c r="K613" s="60">
        <v>0.5</v>
      </c>
      <c r="L613" s="60"/>
      <c r="M613" s="226"/>
      <c r="N613" s="248" t="s">
        <v>1531</v>
      </c>
      <c r="O613" s="227"/>
      <c r="P613" s="228"/>
      <c r="Q613" s="249" t="s">
        <v>1532</v>
      </c>
      <c r="R613" s="32"/>
      <c r="S613" s="33"/>
      <c r="T613" s="34"/>
      <c r="U613" s="33"/>
      <c r="V613" s="106"/>
    </row>
    <row r="614" spans="1:22" s="107" customFormat="1" ht="25.05" customHeight="1">
      <c r="A614" s="26">
        <v>16</v>
      </c>
      <c r="B614" s="27" t="s">
        <v>205</v>
      </c>
      <c r="C614" s="288" t="s">
        <v>1533</v>
      </c>
      <c r="D614" s="191"/>
      <c r="E614" s="29">
        <v>25</v>
      </c>
      <c r="F614" s="30" t="s">
        <v>289</v>
      </c>
      <c r="G614" s="60"/>
      <c r="H614" s="60"/>
      <c r="I614" s="108"/>
      <c r="J614" s="200">
        <f t="shared" si="8"/>
        <v>0</v>
      </c>
      <c r="K614" s="60">
        <v>8.5</v>
      </c>
      <c r="L614" s="60"/>
      <c r="M614" s="226"/>
      <c r="N614" s="248" t="s">
        <v>1534</v>
      </c>
      <c r="O614" s="227"/>
      <c r="P614" s="228"/>
      <c r="Q614" s="249" t="s">
        <v>1535</v>
      </c>
      <c r="R614" s="32"/>
      <c r="S614" s="33"/>
      <c r="T614" s="34"/>
      <c r="U614" s="33"/>
      <c r="V614" s="106"/>
    </row>
    <row r="615" spans="1:22" s="107" customFormat="1" ht="25.05" customHeight="1">
      <c r="A615" s="26">
        <v>17</v>
      </c>
      <c r="B615" s="27" t="s">
        <v>205</v>
      </c>
      <c r="C615" s="288" t="s">
        <v>1536</v>
      </c>
      <c r="D615" s="191"/>
      <c r="E615" s="29">
        <v>68</v>
      </c>
      <c r="F615" s="30" t="s">
        <v>289</v>
      </c>
      <c r="G615" s="60"/>
      <c r="H615" s="60"/>
      <c r="I615" s="108"/>
      <c r="J615" s="200">
        <f t="shared" si="8"/>
        <v>0</v>
      </c>
      <c r="K615" s="60">
        <v>68</v>
      </c>
      <c r="L615" s="60"/>
      <c r="M615" s="226"/>
      <c r="N615" s="248" t="s">
        <v>1537</v>
      </c>
      <c r="O615" s="227"/>
      <c r="P615" s="228"/>
      <c r="Q615" s="249" t="s">
        <v>1538</v>
      </c>
      <c r="R615" s="32"/>
      <c r="S615" s="33"/>
      <c r="T615" s="34"/>
      <c r="U615" s="33"/>
      <c r="V615" s="106"/>
    </row>
    <row r="616" spans="1:22" s="107" customFormat="1" ht="25.05" customHeight="1">
      <c r="A616" s="26">
        <v>18</v>
      </c>
      <c r="B616" s="27" t="s">
        <v>205</v>
      </c>
      <c r="C616" s="288" t="s">
        <v>1536</v>
      </c>
      <c r="D616" s="191"/>
      <c r="E616" s="29">
        <v>20</v>
      </c>
      <c r="F616" s="30" t="s">
        <v>289</v>
      </c>
      <c r="G616" s="60"/>
      <c r="H616" s="60"/>
      <c r="I616" s="108"/>
      <c r="J616" s="200">
        <f t="shared" si="8"/>
        <v>0</v>
      </c>
      <c r="K616" s="60">
        <v>26</v>
      </c>
      <c r="L616" s="60"/>
      <c r="M616" s="226"/>
      <c r="N616" s="248" t="s">
        <v>1539</v>
      </c>
      <c r="O616" s="227"/>
      <c r="P616" s="228"/>
      <c r="Q616" s="249" t="s">
        <v>1540</v>
      </c>
      <c r="R616" s="32"/>
      <c r="S616" s="33"/>
      <c r="T616" s="34"/>
      <c r="U616" s="33"/>
      <c r="V616" s="106"/>
    </row>
    <row r="617" spans="1:22" s="107" customFormat="1" ht="25.05" customHeight="1">
      <c r="A617" s="26">
        <v>19</v>
      </c>
      <c r="B617" s="27" t="s">
        <v>205</v>
      </c>
      <c r="C617" s="288" t="s">
        <v>1541</v>
      </c>
      <c r="D617" s="191"/>
      <c r="E617" s="29">
        <v>58</v>
      </c>
      <c r="F617" s="30" t="s">
        <v>289</v>
      </c>
      <c r="G617" s="60"/>
      <c r="H617" s="60"/>
      <c r="I617" s="108"/>
      <c r="J617" s="200">
        <f t="shared" si="8"/>
        <v>0</v>
      </c>
      <c r="K617" s="60">
        <v>0.8</v>
      </c>
      <c r="L617" s="60"/>
      <c r="M617" s="226"/>
      <c r="N617" s="248" t="s">
        <v>1542</v>
      </c>
      <c r="O617" s="227"/>
      <c r="P617" s="228"/>
      <c r="Q617" s="249" t="s">
        <v>1543</v>
      </c>
      <c r="R617" s="32"/>
      <c r="S617" s="33"/>
      <c r="T617" s="34"/>
      <c r="U617" s="33"/>
      <c r="V617" s="106"/>
    </row>
    <row r="618" spans="1:22" s="107" customFormat="1" ht="25.05" customHeight="1">
      <c r="A618" s="26">
        <v>20</v>
      </c>
      <c r="B618" s="27" t="s">
        <v>205</v>
      </c>
      <c r="C618" s="288" t="s">
        <v>1541</v>
      </c>
      <c r="D618" s="191"/>
      <c r="E618" s="29">
        <v>19</v>
      </c>
      <c r="F618" s="30" t="s">
        <v>289</v>
      </c>
      <c r="G618" s="60"/>
      <c r="H618" s="60"/>
      <c r="I618" s="108"/>
      <c r="J618" s="200">
        <f t="shared" si="8"/>
        <v>0</v>
      </c>
      <c r="K618" s="60">
        <v>0.4</v>
      </c>
      <c r="L618" s="60"/>
      <c r="M618" s="226"/>
      <c r="N618" s="248" t="s">
        <v>1544</v>
      </c>
      <c r="O618" s="227"/>
      <c r="P618" s="228"/>
      <c r="Q618" s="249" t="s">
        <v>1545</v>
      </c>
      <c r="R618" s="32"/>
      <c r="S618" s="33"/>
      <c r="T618" s="34"/>
      <c r="U618" s="33"/>
      <c r="V618" s="106"/>
    </row>
    <row r="619" spans="1:22" s="107" customFormat="1" ht="25.05" customHeight="1">
      <c r="A619" s="26">
        <v>21</v>
      </c>
      <c r="B619" s="27" t="s">
        <v>205</v>
      </c>
      <c r="C619" s="288" t="s">
        <v>1546</v>
      </c>
      <c r="D619" s="191"/>
      <c r="E619" s="29">
        <v>11</v>
      </c>
      <c r="F619" s="30" t="s">
        <v>289</v>
      </c>
      <c r="G619" s="60"/>
      <c r="H619" s="60"/>
      <c r="I619" s="108"/>
      <c r="J619" s="200">
        <f t="shared" si="8"/>
        <v>0</v>
      </c>
      <c r="K619" s="60">
        <v>55</v>
      </c>
      <c r="L619" s="60"/>
      <c r="M619" s="226"/>
      <c r="N619" s="248" t="s">
        <v>1547</v>
      </c>
      <c r="O619" s="227"/>
      <c r="P619" s="228"/>
      <c r="Q619" s="249" t="s">
        <v>1548</v>
      </c>
      <c r="R619" s="32"/>
      <c r="S619" s="33"/>
      <c r="T619" s="34"/>
      <c r="U619" s="33"/>
      <c r="V619" s="106"/>
    </row>
    <row r="620" spans="1:22" s="107" customFormat="1" ht="25.05" customHeight="1">
      <c r="A620" s="26">
        <v>22</v>
      </c>
      <c r="B620" s="27" t="s">
        <v>205</v>
      </c>
      <c r="C620" s="288" t="s">
        <v>1549</v>
      </c>
      <c r="D620" s="191"/>
      <c r="E620" s="29">
        <v>14</v>
      </c>
      <c r="F620" s="30" t="s">
        <v>289</v>
      </c>
      <c r="G620" s="60"/>
      <c r="H620" s="60"/>
      <c r="I620" s="108"/>
      <c r="J620" s="200">
        <f t="shared" si="8"/>
        <v>0</v>
      </c>
      <c r="K620" s="60">
        <v>53.6</v>
      </c>
      <c r="L620" s="60"/>
      <c r="M620" s="226"/>
      <c r="N620" s="248" t="s">
        <v>1550</v>
      </c>
      <c r="O620" s="227"/>
      <c r="P620" s="228"/>
      <c r="Q620" s="249" t="s">
        <v>1551</v>
      </c>
      <c r="R620" s="32"/>
      <c r="S620" s="33"/>
      <c r="T620" s="34"/>
      <c r="U620" s="33"/>
      <c r="V620" s="106"/>
    </row>
    <row r="621" spans="1:22" s="107" customFormat="1" ht="25.05" customHeight="1">
      <c r="A621" s="26">
        <v>23</v>
      </c>
      <c r="B621" s="27" t="s">
        <v>205</v>
      </c>
      <c r="C621" s="288" t="s">
        <v>1552</v>
      </c>
      <c r="D621" s="191"/>
      <c r="E621" s="29">
        <v>51</v>
      </c>
      <c r="F621" s="30" t="s">
        <v>1372</v>
      </c>
      <c r="G621" s="60"/>
      <c r="H621" s="60"/>
      <c r="I621" s="108"/>
      <c r="J621" s="200">
        <f t="shared" si="8"/>
        <v>0</v>
      </c>
      <c r="K621" s="60">
        <v>100</v>
      </c>
      <c r="L621" s="60"/>
      <c r="M621" s="226"/>
      <c r="N621" s="248" t="s">
        <v>1553</v>
      </c>
      <c r="O621" s="227"/>
      <c r="P621" s="228"/>
      <c r="Q621" s="249" t="s">
        <v>1554</v>
      </c>
      <c r="R621" s="32"/>
      <c r="S621" s="33"/>
      <c r="T621" s="34"/>
      <c r="U621" s="33"/>
      <c r="V621" s="106"/>
    </row>
    <row r="622" spans="1:22" s="107" customFormat="1" ht="25.05" customHeight="1">
      <c r="A622" s="26">
        <v>24</v>
      </c>
      <c r="B622" s="27" t="s">
        <v>205</v>
      </c>
      <c r="C622" s="288" t="s">
        <v>1555</v>
      </c>
      <c r="D622" s="191"/>
      <c r="E622" s="29">
        <v>15</v>
      </c>
      <c r="F622" s="30" t="s">
        <v>289</v>
      </c>
      <c r="G622" s="60"/>
      <c r="H622" s="60"/>
      <c r="I622" s="108"/>
      <c r="J622" s="200">
        <f t="shared" si="8"/>
        <v>0</v>
      </c>
      <c r="K622" s="60">
        <v>1.5</v>
      </c>
      <c r="L622" s="60"/>
      <c r="M622" s="226"/>
      <c r="N622" s="248" t="s">
        <v>1556</v>
      </c>
      <c r="O622" s="227"/>
      <c r="P622" s="228"/>
      <c r="Q622" s="249" t="s">
        <v>1557</v>
      </c>
      <c r="R622" s="32"/>
      <c r="S622" s="33"/>
      <c r="T622" s="34"/>
      <c r="U622" s="33"/>
      <c r="V622" s="106"/>
    </row>
    <row r="623" spans="1:22" s="107" customFormat="1" ht="25.05" customHeight="1">
      <c r="A623" s="26">
        <v>25</v>
      </c>
      <c r="B623" s="27" t="s">
        <v>205</v>
      </c>
      <c r="C623" s="288" t="s">
        <v>1558</v>
      </c>
      <c r="D623" s="191"/>
      <c r="E623" s="29">
        <v>25</v>
      </c>
      <c r="F623" s="30" t="s">
        <v>289</v>
      </c>
      <c r="G623" s="60"/>
      <c r="H623" s="60"/>
      <c r="I623" s="108"/>
      <c r="J623" s="200">
        <f t="shared" si="8"/>
        <v>0</v>
      </c>
      <c r="K623" s="60">
        <v>7</v>
      </c>
      <c r="L623" s="60"/>
      <c r="M623" s="226"/>
      <c r="N623" s="248" t="s">
        <v>1559</v>
      </c>
      <c r="O623" s="227"/>
      <c r="P623" s="228"/>
      <c r="Q623" s="249" t="s">
        <v>1560</v>
      </c>
      <c r="R623" s="32"/>
      <c r="S623" s="33"/>
      <c r="T623" s="34"/>
      <c r="U623" s="33"/>
      <c r="V623" s="106"/>
    </row>
    <row r="624" spans="1:22" s="107" customFormat="1" ht="25.05" customHeight="1">
      <c r="A624" s="26">
        <v>26</v>
      </c>
      <c r="B624" s="27" t="s">
        <v>205</v>
      </c>
      <c r="C624" s="288" t="s">
        <v>1561</v>
      </c>
      <c r="D624" s="191"/>
      <c r="E624" s="29">
        <v>50</v>
      </c>
      <c r="F624" s="30" t="s">
        <v>289</v>
      </c>
      <c r="G624" s="60"/>
      <c r="H624" s="60"/>
      <c r="I624" s="108"/>
      <c r="J624" s="200">
        <f t="shared" si="8"/>
        <v>0</v>
      </c>
      <c r="K624" s="60">
        <v>9.5</v>
      </c>
      <c r="L624" s="60"/>
      <c r="M624" s="226"/>
      <c r="N624" s="248" t="s">
        <v>1562</v>
      </c>
      <c r="O624" s="227"/>
      <c r="P624" s="228"/>
      <c r="Q624" s="249" t="s">
        <v>1563</v>
      </c>
      <c r="R624" s="32"/>
      <c r="S624" s="33"/>
      <c r="T624" s="34"/>
      <c r="U624" s="33"/>
      <c r="V624" s="106"/>
    </row>
    <row r="625" spans="1:22" s="107" customFormat="1" ht="25.05" customHeight="1">
      <c r="A625" s="26">
        <v>27</v>
      </c>
      <c r="B625" s="27" t="s">
        <v>205</v>
      </c>
      <c r="C625" s="288" t="s">
        <v>1564</v>
      </c>
      <c r="D625" s="191"/>
      <c r="E625" s="29">
        <v>50</v>
      </c>
      <c r="F625" s="30" t="s">
        <v>289</v>
      </c>
      <c r="G625" s="60"/>
      <c r="H625" s="60"/>
      <c r="I625" s="108"/>
      <c r="J625" s="200">
        <f t="shared" si="8"/>
        <v>0</v>
      </c>
      <c r="K625" s="60">
        <v>1.1000000000000001</v>
      </c>
      <c r="L625" s="60"/>
      <c r="M625" s="226"/>
      <c r="N625" s="248" t="s">
        <v>1565</v>
      </c>
      <c r="O625" s="227"/>
      <c r="P625" s="228"/>
      <c r="Q625" s="249" t="s">
        <v>1545</v>
      </c>
      <c r="R625" s="32"/>
      <c r="S625" s="33"/>
      <c r="T625" s="34"/>
      <c r="U625" s="33"/>
      <c r="V625" s="106"/>
    </row>
    <row r="626" spans="1:22" s="107" customFormat="1" ht="25.05" customHeight="1">
      <c r="A626" s="26">
        <v>28</v>
      </c>
      <c r="B626" s="27" t="s">
        <v>205</v>
      </c>
      <c r="C626" s="288" t="s">
        <v>1566</v>
      </c>
      <c r="D626" s="191"/>
      <c r="E626" s="29">
        <v>20</v>
      </c>
      <c r="F626" s="30" t="s">
        <v>289</v>
      </c>
      <c r="G626" s="60"/>
      <c r="H626" s="60"/>
      <c r="I626" s="108"/>
      <c r="J626" s="200">
        <f t="shared" si="8"/>
        <v>0</v>
      </c>
      <c r="K626" s="60">
        <v>1.1000000000000001</v>
      </c>
      <c r="L626" s="60"/>
      <c r="M626" s="226"/>
      <c r="N626" s="248" t="s">
        <v>1567</v>
      </c>
      <c r="O626" s="227"/>
      <c r="P626" s="228"/>
      <c r="Q626" s="249" t="s">
        <v>1568</v>
      </c>
      <c r="R626" s="32"/>
      <c r="S626" s="33"/>
      <c r="T626" s="34"/>
      <c r="U626" s="33"/>
      <c r="V626" s="106"/>
    </row>
    <row r="627" spans="1:22" s="107" customFormat="1" ht="25.05" customHeight="1">
      <c r="A627" s="26">
        <v>29</v>
      </c>
      <c r="B627" s="27" t="s">
        <v>205</v>
      </c>
      <c r="C627" s="288" t="s">
        <v>1569</v>
      </c>
      <c r="D627" s="191"/>
      <c r="E627" s="29">
        <v>30</v>
      </c>
      <c r="F627" s="30" t="s">
        <v>289</v>
      </c>
      <c r="G627" s="60"/>
      <c r="H627" s="60"/>
      <c r="I627" s="108"/>
      <c r="J627" s="200">
        <f t="shared" si="8"/>
        <v>0</v>
      </c>
      <c r="K627" s="60">
        <f>0.7*30</f>
        <v>21</v>
      </c>
      <c r="L627" s="60"/>
      <c r="M627" s="226"/>
      <c r="N627" s="248" t="s">
        <v>1570</v>
      </c>
      <c r="O627" s="227"/>
      <c r="P627" s="228"/>
      <c r="Q627" s="249" t="s">
        <v>1543</v>
      </c>
      <c r="R627" s="32"/>
      <c r="S627" s="33"/>
      <c r="T627" s="34"/>
      <c r="U627" s="33"/>
      <c r="V627" s="106"/>
    </row>
    <row r="628" spans="1:22" s="107" customFormat="1" ht="25.05" customHeight="1">
      <c r="A628" s="26">
        <v>30</v>
      </c>
      <c r="B628" s="27" t="s">
        <v>205</v>
      </c>
      <c r="C628" s="288" t="s">
        <v>1571</v>
      </c>
      <c r="D628" s="191"/>
      <c r="E628" s="29">
        <v>130</v>
      </c>
      <c r="F628" s="30" t="s">
        <v>289</v>
      </c>
      <c r="G628" s="60"/>
      <c r="H628" s="60"/>
      <c r="I628" s="108"/>
      <c r="J628" s="200">
        <f t="shared" si="8"/>
        <v>0</v>
      </c>
      <c r="K628" s="60">
        <f>1.2*130</f>
        <v>156</v>
      </c>
      <c r="L628" s="60"/>
      <c r="M628" s="226"/>
      <c r="N628" s="248" t="s">
        <v>1572</v>
      </c>
      <c r="O628" s="227"/>
      <c r="P628" s="228"/>
      <c r="Q628" s="249" t="s">
        <v>1545</v>
      </c>
      <c r="R628" s="32"/>
      <c r="S628" s="33"/>
      <c r="T628" s="34"/>
      <c r="U628" s="33"/>
      <c r="V628" s="106"/>
    </row>
    <row r="629" spans="1:22" s="107" customFormat="1" ht="25.05" customHeight="1">
      <c r="A629" s="26">
        <v>31</v>
      </c>
      <c r="B629" s="27" t="s">
        <v>205</v>
      </c>
      <c r="C629" s="288" t="s">
        <v>1571</v>
      </c>
      <c r="D629" s="191"/>
      <c r="E629" s="29">
        <v>45</v>
      </c>
      <c r="F629" s="30" t="s">
        <v>289</v>
      </c>
      <c r="G629" s="60"/>
      <c r="H629" s="60"/>
      <c r="I629" s="108"/>
      <c r="J629" s="200">
        <f t="shared" si="8"/>
        <v>0</v>
      </c>
      <c r="K629" s="60">
        <f>2.8*45</f>
        <v>125.99999999999999</v>
      </c>
      <c r="L629" s="60"/>
      <c r="M629" s="226"/>
      <c r="N629" s="248" t="s">
        <v>1573</v>
      </c>
      <c r="O629" s="227"/>
      <c r="P629" s="228"/>
      <c r="Q629" s="249" t="s">
        <v>1568</v>
      </c>
      <c r="R629" s="32"/>
      <c r="S629" s="33"/>
      <c r="T629" s="34"/>
      <c r="U629" s="33"/>
      <c r="V629" s="106"/>
    </row>
    <row r="630" spans="1:22" s="107" customFormat="1" ht="25.05" customHeight="1">
      <c r="A630" s="26">
        <v>32</v>
      </c>
      <c r="B630" s="27" t="s">
        <v>205</v>
      </c>
      <c r="C630" s="288" t="s">
        <v>1574</v>
      </c>
      <c r="D630" s="191"/>
      <c r="E630" s="29">
        <v>15</v>
      </c>
      <c r="F630" s="30" t="s">
        <v>289</v>
      </c>
      <c r="G630" s="60"/>
      <c r="H630" s="60"/>
      <c r="I630" s="108"/>
      <c r="J630" s="200">
        <f t="shared" si="8"/>
        <v>0</v>
      </c>
      <c r="K630" s="60">
        <v>3.5</v>
      </c>
      <c r="L630" s="60"/>
      <c r="M630" s="226"/>
      <c r="N630" s="248" t="s">
        <v>1575</v>
      </c>
      <c r="O630" s="227"/>
      <c r="P630" s="228"/>
      <c r="Q630" s="249" t="s">
        <v>1576</v>
      </c>
      <c r="R630" s="32"/>
      <c r="S630" s="33"/>
      <c r="T630" s="34"/>
      <c r="U630" s="33"/>
      <c r="V630" s="106"/>
    </row>
    <row r="631" spans="1:22" s="107" customFormat="1" ht="25.05" customHeight="1">
      <c r="A631" s="26">
        <v>33</v>
      </c>
      <c r="B631" s="27" t="s">
        <v>205</v>
      </c>
      <c r="C631" s="288" t="s">
        <v>1577</v>
      </c>
      <c r="D631" s="191"/>
      <c r="E631" s="29">
        <v>15</v>
      </c>
      <c r="F631" s="30" t="s">
        <v>289</v>
      </c>
      <c r="G631" s="60"/>
      <c r="H631" s="60"/>
      <c r="I631" s="108"/>
      <c r="J631" s="200">
        <f t="shared" si="8"/>
        <v>0</v>
      </c>
      <c r="K631" s="60">
        <v>1.2</v>
      </c>
      <c r="L631" s="60"/>
      <c r="M631" s="226"/>
      <c r="N631" s="248" t="s">
        <v>1578</v>
      </c>
      <c r="O631" s="227"/>
      <c r="P631" s="228"/>
      <c r="Q631" s="249" t="s">
        <v>1579</v>
      </c>
      <c r="R631" s="32"/>
      <c r="S631" s="33"/>
      <c r="T631" s="34"/>
      <c r="U631" s="33"/>
      <c r="V631" s="106"/>
    </row>
    <row r="632" spans="1:22" s="107" customFormat="1" ht="25.05" customHeight="1">
      <c r="A632" s="26">
        <v>34</v>
      </c>
      <c r="B632" s="27" t="s">
        <v>205</v>
      </c>
      <c r="C632" s="288" t="s">
        <v>1577</v>
      </c>
      <c r="D632" s="191"/>
      <c r="E632" s="29">
        <v>25</v>
      </c>
      <c r="F632" s="30" t="s">
        <v>289</v>
      </c>
      <c r="G632" s="60"/>
      <c r="H632" s="60"/>
      <c r="I632" s="108"/>
      <c r="J632" s="200">
        <f t="shared" ref="J632:J695" si="10">ROUND(I632*H632*G632/1000000,3)</f>
        <v>0</v>
      </c>
      <c r="K632" s="60">
        <v>8.5</v>
      </c>
      <c r="L632" s="60"/>
      <c r="M632" s="226"/>
      <c r="N632" s="248" t="s">
        <v>1580</v>
      </c>
      <c r="O632" s="227"/>
      <c r="P632" s="228"/>
      <c r="Q632" s="249" t="s">
        <v>1581</v>
      </c>
      <c r="R632" s="32"/>
      <c r="S632" s="33"/>
      <c r="T632" s="34"/>
      <c r="U632" s="33"/>
      <c r="V632" s="106"/>
    </row>
    <row r="633" spans="1:22" s="107" customFormat="1" ht="25.05" customHeight="1">
      <c r="A633" s="26">
        <v>35</v>
      </c>
      <c r="B633" s="27" t="s">
        <v>205</v>
      </c>
      <c r="C633" s="288" t="s">
        <v>1582</v>
      </c>
      <c r="D633" s="191"/>
      <c r="E633" s="29">
        <v>25</v>
      </c>
      <c r="F633" s="30" t="s">
        <v>289</v>
      </c>
      <c r="G633" s="60"/>
      <c r="H633" s="60"/>
      <c r="I633" s="108"/>
      <c r="J633" s="200">
        <f t="shared" si="10"/>
        <v>0</v>
      </c>
      <c r="K633" s="60">
        <v>1.3</v>
      </c>
      <c r="L633" s="60"/>
      <c r="M633" s="226"/>
      <c r="N633" s="248" t="s">
        <v>1583</v>
      </c>
      <c r="O633" s="227"/>
      <c r="P633" s="228"/>
      <c r="Q633" s="249" t="s">
        <v>1568</v>
      </c>
      <c r="R633" s="32"/>
      <c r="S633" s="33"/>
      <c r="T633" s="34"/>
      <c r="U633" s="33"/>
      <c r="V633" s="106"/>
    </row>
    <row r="634" spans="1:22" s="107" customFormat="1" ht="25.05" customHeight="1">
      <c r="A634" s="26">
        <v>36</v>
      </c>
      <c r="B634" s="27" t="s">
        <v>205</v>
      </c>
      <c r="C634" s="288" t="s">
        <v>1584</v>
      </c>
      <c r="D634" s="204"/>
      <c r="E634" s="29">
        <v>30</v>
      </c>
      <c r="F634" s="30" t="s">
        <v>1372</v>
      </c>
      <c r="G634" s="60"/>
      <c r="H634" s="60"/>
      <c r="I634" s="108"/>
      <c r="J634" s="200">
        <f t="shared" si="10"/>
        <v>0</v>
      </c>
      <c r="K634" s="60">
        <v>50</v>
      </c>
      <c r="L634" s="60"/>
      <c r="M634" s="226"/>
      <c r="N634" s="248" t="s">
        <v>1585</v>
      </c>
      <c r="O634" s="227"/>
      <c r="P634" s="228"/>
      <c r="Q634" s="249" t="s">
        <v>1586</v>
      </c>
      <c r="R634" s="32"/>
      <c r="S634" s="33"/>
      <c r="T634" s="34"/>
      <c r="U634" s="33"/>
      <c r="V634" s="106"/>
    </row>
    <row r="635" spans="1:22" s="107" customFormat="1" ht="25.05" customHeight="1">
      <c r="A635" s="26">
        <v>37</v>
      </c>
      <c r="B635" s="27" t="s">
        <v>205</v>
      </c>
      <c r="C635" s="288" t="s">
        <v>1587</v>
      </c>
      <c r="D635" s="204"/>
      <c r="E635" s="29">
        <v>1</v>
      </c>
      <c r="F635" s="30" t="s">
        <v>289</v>
      </c>
      <c r="G635" s="60"/>
      <c r="H635" s="60"/>
      <c r="I635" s="108"/>
      <c r="J635" s="200">
        <f t="shared" si="10"/>
        <v>0</v>
      </c>
      <c r="K635" s="60">
        <v>2</v>
      </c>
      <c r="L635" s="60"/>
      <c r="M635" s="226"/>
      <c r="N635" s="248" t="s">
        <v>1588</v>
      </c>
      <c r="O635" s="227"/>
      <c r="P635" s="228"/>
      <c r="Q635" s="249" t="s">
        <v>1589</v>
      </c>
      <c r="R635" s="32"/>
      <c r="S635" s="33"/>
      <c r="T635" s="34"/>
      <c r="U635" s="33"/>
      <c r="V635" s="106"/>
    </row>
    <row r="636" spans="1:22" s="107" customFormat="1" ht="25.05" customHeight="1">
      <c r="A636" s="26">
        <v>38</v>
      </c>
      <c r="B636" s="27" t="s">
        <v>205</v>
      </c>
      <c r="C636" s="288" t="s">
        <v>1590</v>
      </c>
      <c r="D636" s="204"/>
      <c r="E636" s="29">
        <v>1</v>
      </c>
      <c r="F636" s="30" t="s">
        <v>289</v>
      </c>
      <c r="G636" s="60"/>
      <c r="H636" s="60"/>
      <c r="I636" s="108"/>
      <c r="J636" s="200">
        <f t="shared" si="10"/>
        <v>0</v>
      </c>
      <c r="K636" s="60">
        <v>2</v>
      </c>
      <c r="L636" s="60"/>
      <c r="M636" s="226"/>
      <c r="N636" s="248" t="s">
        <v>1591</v>
      </c>
      <c r="O636" s="227"/>
      <c r="P636" s="228"/>
      <c r="Q636" s="249" t="s">
        <v>1592</v>
      </c>
      <c r="R636" s="32"/>
      <c r="S636" s="33"/>
      <c r="T636" s="34"/>
      <c r="U636" s="33"/>
      <c r="V636" s="106"/>
    </row>
    <row r="637" spans="1:22" s="107" customFormat="1" ht="25.05" customHeight="1">
      <c r="A637" s="26">
        <v>39</v>
      </c>
      <c r="B637" s="27" t="s">
        <v>205</v>
      </c>
      <c r="C637" s="288" t="s">
        <v>1593</v>
      </c>
      <c r="D637" s="204"/>
      <c r="E637" s="29">
        <v>1</v>
      </c>
      <c r="F637" s="30" t="s">
        <v>289</v>
      </c>
      <c r="G637" s="60"/>
      <c r="H637" s="60"/>
      <c r="I637" s="108"/>
      <c r="J637" s="200">
        <f t="shared" si="10"/>
        <v>0</v>
      </c>
      <c r="K637" s="60">
        <v>2.6</v>
      </c>
      <c r="L637" s="60"/>
      <c r="M637" s="226"/>
      <c r="N637" s="248" t="s">
        <v>1594</v>
      </c>
      <c r="O637" s="227"/>
      <c r="P637" s="228"/>
      <c r="Q637" s="249" t="s">
        <v>1595</v>
      </c>
      <c r="R637" s="32"/>
      <c r="S637" s="33"/>
      <c r="T637" s="34"/>
      <c r="U637" s="33"/>
      <c r="V637" s="106"/>
    </row>
    <row r="638" spans="1:22" s="107" customFormat="1" ht="25.05" customHeight="1">
      <c r="A638" s="26">
        <v>40</v>
      </c>
      <c r="B638" s="27" t="s">
        <v>205</v>
      </c>
      <c r="C638" s="288" t="s">
        <v>1596</v>
      </c>
      <c r="D638" s="204"/>
      <c r="E638" s="29">
        <v>1</v>
      </c>
      <c r="F638" s="30" t="s">
        <v>289</v>
      </c>
      <c r="G638" s="60"/>
      <c r="H638" s="60"/>
      <c r="I638" s="108"/>
      <c r="J638" s="200">
        <f t="shared" si="10"/>
        <v>0</v>
      </c>
      <c r="K638" s="60">
        <v>2.6</v>
      </c>
      <c r="L638" s="60"/>
      <c r="M638" s="226"/>
      <c r="N638" s="248" t="s">
        <v>1597</v>
      </c>
      <c r="O638" s="227"/>
      <c r="P638" s="228"/>
      <c r="Q638" s="249" t="s">
        <v>1598</v>
      </c>
      <c r="R638" s="32"/>
      <c r="S638" s="33"/>
      <c r="T638" s="34"/>
      <c r="U638" s="33"/>
      <c r="V638" s="106"/>
    </row>
    <row r="639" spans="1:22" s="107" customFormat="1" ht="25.05" customHeight="1">
      <c r="A639" s="26">
        <v>41</v>
      </c>
      <c r="B639" s="27" t="s">
        <v>205</v>
      </c>
      <c r="C639" s="288" t="s">
        <v>1599</v>
      </c>
      <c r="D639" s="204"/>
      <c r="E639" s="29">
        <v>1</v>
      </c>
      <c r="F639" s="30" t="s">
        <v>289</v>
      </c>
      <c r="G639" s="60"/>
      <c r="H639" s="60"/>
      <c r="I639" s="108"/>
      <c r="J639" s="200">
        <f t="shared" si="10"/>
        <v>0</v>
      </c>
      <c r="K639" s="60">
        <v>2.6</v>
      </c>
      <c r="L639" s="60"/>
      <c r="M639" s="226"/>
      <c r="N639" s="248" t="s">
        <v>1600</v>
      </c>
      <c r="O639" s="227"/>
      <c r="P639" s="228"/>
      <c r="Q639" s="249" t="s">
        <v>1601</v>
      </c>
      <c r="R639" s="32"/>
      <c r="S639" s="33"/>
      <c r="T639" s="34"/>
      <c r="U639" s="33"/>
      <c r="V639" s="106"/>
    </row>
    <row r="640" spans="1:22" s="107" customFormat="1" ht="25.05" customHeight="1">
      <c r="A640" s="26">
        <v>42</v>
      </c>
      <c r="B640" s="27" t="s">
        <v>205</v>
      </c>
      <c r="C640" s="288" t="s">
        <v>1602</v>
      </c>
      <c r="D640" s="204"/>
      <c r="E640" s="29">
        <v>1</v>
      </c>
      <c r="F640" s="30" t="s">
        <v>289</v>
      </c>
      <c r="G640" s="60"/>
      <c r="H640" s="60"/>
      <c r="I640" s="108"/>
      <c r="J640" s="200">
        <f t="shared" si="10"/>
        <v>0</v>
      </c>
      <c r="K640" s="60">
        <v>2.6</v>
      </c>
      <c r="L640" s="60"/>
      <c r="M640" s="226"/>
      <c r="N640" s="248" t="s">
        <v>1603</v>
      </c>
      <c r="O640" s="227"/>
      <c r="P640" s="228"/>
      <c r="Q640" s="249" t="s">
        <v>1604</v>
      </c>
      <c r="R640" s="32"/>
      <c r="S640" s="33"/>
      <c r="T640" s="34"/>
      <c r="U640" s="33"/>
      <c r="V640" s="106"/>
    </row>
    <row r="641" spans="1:22" s="107" customFormat="1" ht="25.05" customHeight="1">
      <c r="A641" s="26">
        <v>43</v>
      </c>
      <c r="B641" s="27" t="s">
        <v>205</v>
      </c>
      <c r="C641" s="288" t="s">
        <v>1605</v>
      </c>
      <c r="D641" s="204"/>
      <c r="E641" s="29">
        <v>27</v>
      </c>
      <c r="F641" s="30" t="s">
        <v>289</v>
      </c>
      <c r="G641" s="60"/>
      <c r="H641" s="60"/>
      <c r="I641" s="108"/>
      <c r="J641" s="200">
        <f t="shared" si="10"/>
        <v>0</v>
      </c>
      <c r="K641" s="60">
        <f>0.7*27</f>
        <v>18.899999999999999</v>
      </c>
      <c r="L641" s="60"/>
      <c r="M641" s="226"/>
      <c r="N641" s="248" t="s">
        <v>1606</v>
      </c>
      <c r="O641" s="227"/>
      <c r="P641" s="228"/>
      <c r="Q641" s="249" t="s">
        <v>1538</v>
      </c>
      <c r="R641" s="32"/>
      <c r="S641" s="33"/>
      <c r="T641" s="34"/>
      <c r="U641" s="33"/>
      <c r="V641" s="106"/>
    </row>
    <row r="642" spans="1:22" s="107" customFormat="1" ht="25.05" customHeight="1">
      <c r="A642" s="26">
        <v>44</v>
      </c>
      <c r="B642" s="27" t="s">
        <v>205</v>
      </c>
      <c r="C642" s="288" t="s">
        <v>1564</v>
      </c>
      <c r="D642" s="204"/>
      <c r="E642" s="29">
        <v>20</v>
      </c>
      <c r="F642" s="30" t="s">
        <v>289</v>
      </c>
      <c r="G642" s="60"/>
      <c r="H642" s="60"/>
      <c r="I642" s="108"/>
      <c r="J642" s="200">
        <f t="shared" si="10"/>
        <v>0</v>
      </c>
      <c r="K642" s="60">
        <v>0.3</v>
      </c>
      <c r="L642" s="60"/>
      <c r="M642" s="226"/>
      <c r="N642" s="248" t="s">
        <v>1607</v>
      </c>
      <c r="O642" s="227"/>
      <c r="P642" s="228"/>
      <c r="Q642" s="249" t="s">
        <v>1543</v>
      </c>
      <c r="R642" s="32"/>
      <c r="S642" s="33"/>
      <c r="T642" s="34"/>
      <c r="U642" s="33"/>
      <c r="V642" s="106"/>
    </row>
    <row r="643" spans="1:22" s="107" customFormat="1" ht="25.05" customHeight="1">
      <c r="A643" s="264"/>
      <c r="B643" s="265"/>
      <c r="C643" s="289"/>
      <c r="D643" s="203"/>
      <c r="E643" s="266"/>
      <c r="F643" s="202"/>
      <c r="G643" s="267">
        <v>340</v>
      </c>
      <c r="H643" s="267">
        <v>120</v>
      </c>
      <c r="I643" s="268">
        <v>160</v>
      </c>
      <c r="J643" s="269">
        <f>ROUND(I643*H643*G643/1000000,3)</f>
        <v>6.5279999999999996</v>
      </c>
      <c r="K643" s="267">
        <f>SUM(K599:K642)</f>
        <v>804.40000000000009</v>
      </c>
      <c r="L643" s="267">
        <v>900</v>
      </c>
      <c r="M643" s="224"/>
      <c r="N643" s="246"/>
      <c r="O643" s="225"/>
      <c r="P643" s="225"/>
      <c r="Q643" s="247"/>
      <c r="R643" s="32"/>
      <c r="S643" s="33"/>
      <c r="T643" s="34"/>
      <c r="U643" s="33"/>
      <c r="V643" s="106"/>
    </row>
    <row r="644" spans="1:22" s="107" customFormat="1" ht="25.05" customHeight="1">
      <c r="A644" s="26">
        <v>1</v>
      </c>
      <c r="B644" s="27" t="s">
        <v>206</v>
      </c>
      <c r="C644" s="288" t="s">
        <v>1608</v>
      </c>
      <c r="D644" s="191"/>
      <c r="E644" s="29">
        <v>90</v>
      </c>
      <c r="F644" s="30" t="s">
        <v>1372</v>
      </c>
      <c r="G644" s="60"/>
      <c r="H644" s="60"/>
      <c r="I644" s="108"/>
      <c r="J644" s="200">
        <f t="shared" si="10"/>
        <v>0</v>
      </c>
      <c r="K644" s="60"/>
      <c r="L644" s="60"/>
      <c r="M644" s="226"/>
      <c r="N644" s="248" t="s">
        <v>1609</v>
      </c>
      <c r="O644" s="227"/>
      <c r="P644" s="228"/>
      <c r="Q644" s="249" t="s">
        <v>1545</v>
      </c>
      <c r="R644" s="32"/>
      <c r="S644" s="33"/>
      <c r="T644" s="34"/>
      <c r="U644" s="33"/>
      <c r="V644" s="106"/>
    </row>
    <row r="645" spans="1:22" s="107" customFormat="1" ht="25.05" customHeight="1">
      <c r="A645" s="26">
        <v>2</v>
      </c>
      <c r="B645" s="27" t="s">
        <v>206</v>
      </c>
      <c r="C645" s="288" t="s">
        <v>1608</v>
      </c>
      <c r="D645" s="191"/>
      <c r="E645" s="29">
        <v>90</v>
      </c>
      <c r="F645" s="30" t="s">
        <v>1372</v>
      </c>
      <c r="G645" s="60"/>
      <c r="H645" s="60"/>
      <c r="I645" s="108"/>
      <c r="J645" s="200">
        <f t="shared" si="10"/>
        <v>0</v>
      </c>
      <c r="K645" s="60"/>
      <c r="L645" s="60"/>
      <c r="M645" s="226"/>
      <c r="N645" s="248" t="s">
        <v>1610</v>
      </c>
      <c r="O645" s="227"/>
      <c r="P645" s="228"/>
      <c r="Q645" s="249" t="s">
        <v>1545</v>
      </c>
      <c r="R645" s="32"/>
      <c r="S645" s="33"/>
      <c r="T645" s="34"/>
      <c r="U645" s="33"/>
      <c r="V645" s="106"/>
    </row>
    <row r="646" spans="1:22" s="107" customFormat="1" ht="25.05" customHeight="1">
      <c r="A646" s="26">
        <v>3</v>
      </c>
      <c r="B646" s="27" t="s">
        <v>206</v>
      </c>
      <c r="C646" s="288" t="s">
        <v>1608</v>
      </c>
      <c r="D646" s="191"/>
      <c r="E646" s="29">
        <v>90</v>
      </c>
      <c r="F646" s="30" t="s">
        <v>1372</v>
      </c>
      <c r="G646" s="60"/>
      <c r="H646" s="60"/>
      <c r="I646" s="108"/>
      <c r="J646" s="200">
        <f t="shared" si="10"/>
        <v>0</v>
      </c>
      <c r="K646" s="60"/>
      <c r="L646" s="60"/>
      <c r="M646" s="226"/>
      <c r="N646" s="248" t="s">
        <v>1611</v>
      </c>
      <c r="O646" s="227"/>
      <c r="P646" s="228"/>
      <c r="Q646" s="249" t="s">
        <v>1545</v>
      </c>
      <c r="R646" s="32"/>
      <c r="S646" s="33"/>
      <c r="T646" s="34"/>
      <c r="U646" s="33"/>
      <c r="V646" s="106"/>
    </row>
    <row r="647" spans="1:22" s="107" customFormat="1" ht="25.05" customHeight="1">
      <c r="A647" s="26">
        <v>4</v>
      </c>
      <c r="B647" s="27" t="s">
        <v>206</v>
      </c>
      <c r="C647" s="288" t="s">
        <v>1608</v>
      </c>
      <c r="D647" s="191"/>
      <c r="E647" s="29">
        <v>90</v>
      </c>
      <c r="F647" s="30" t="s">
        <v>1372</v>
      </c>
      <c r="G647" s="60"/>
      <c r="H647" s="60"/>
      <c r="I647" s="108"/>
      <c r="J647" s="200">
        <f t="shared" si="10"/>
        <v>0</v>
      </c>
      <c r="K647" s="60"/>
      <c r="L647" s="60"/>
      <c r="M647" s="226"/>
      <c r="N647" s="248" t="s">
        <v>1612</v>
      </c>
      <c r="O647" s="227"/>
      <c r="P647" s="228"/>
      <c r="Q647" s="249" t="s">
        <v>1545</v>
      </c>
      <c r="R647" s="32"/>
      <c r="S647" s="33"/>
      <c r="T647" s="34"/>
      <c r="U647" s="33"/>
      <c r="V647" s="106"/>
    </row>
    <row r="648" spans="1:22" s="107" customFormat="1" ht="25.05" customHeight="1">
      <c r="A648" s="26">
        <v>5</v>
      </c>
      <c r="B648" s="27" t="s">
        <v>206</v>
      </c>
      <c r="C648" s="288" t="s">
        <v>1608</v>
      </c>
      <c r="D648" s="191"/>
      <c r="E648" s="29">
        <v>90</v>
      </c>
      <c r="F648" s="30" t="s">
        <v>1372</v>
      </c>
      <c r="G648" s="60"/>
      <c r="H648" s="60"/>
      <c r="I648" s="108"/>
      <c r="J648" s="200">
        <f t="shared" si="10"/>
        <v>0</v>
      </c>
      <c r="K648" s="60"/>
      <c r="L648" s="60"/>
      <c r="M648" s="226"/>
      <c r="N648" s="248" t="s">
        <v>1613</v>
      </c>
      <c r="O648" s="227"/>
      <c r="P648" s="228"/>
      <c r="Q648" s="249" t="s">
        <v>1545</v>
      </c>
      <c r="R648" s="32"/>
      <c r="S648" s="33"/>
      <c r="T648" s="34"/>
      <c r="U648" s="33"/>
      <c r="V648" s="106"/>
    </row>
    <row r="649" spans="1:22" s="107" customFormat="1" ht="25.05" customHeight="1">
      <c r="A649" s="26">
        <v>6</v>
      </c>
      <c r="B649" s="27" t="s">
        <v>206</v>
      </c>
      <c r="C649" s="288" t="s">
        <v>1614</v>
      </c>
      <c r="D649" s="191"/>
      <c r="E649" s="29">
        <v>40</v>
      </c>
      <c r="F649" s="30" t="s">
        <v>1372</v>
      </c>
      <c r="G649" s="60"/>
      <c r="H649" s="60"/>
      <c r="I649" s="108"/>
      <c r="J649" s="200">
        <f t="shared" si="10"/>
        <v>0</v>
      </c>
      <c r="K649" s="60"/>
      <c r="L649" s="60"/>
      <c r="M649" s="226"/>
      <c r="N649" s="248" t="s">
        <v>1615</v>
      </c>
      <c r="O649" s="227"/>
      <c r="P649" s="228"/>
      <c r="Q649" s="249" t="s">
        <v>1568</v>
      </c>
      <c r="R649" s="32"/>
      <c r="S649" s="33"/>
      <c r="T649" s="34"/>
      <c r="U649" s="33"/>
      <c r="V649" s="106"/>
    </row>
    <row r="650" spans="1:22" s="107" customFormat="1" ht="25.05" customHeight="1">
      <c r="A650" s="26">
        <v>7</v>
      </c>
      <c r="B650" s="27" t="s">
        <v>206</v>
      </c>
      <c r="C650" s="288" t="s">
        <v>1614</v>
      </c>
      <c r="D650" s="191"/>
      <c r="E650" s="29">
        <v>40</v>
      </c>
      <c r="F650" s="30" t="s">
        <v>1372</v>
      </c>
      <c r="G650" s="60"/>
      <c r="H650" s="60"/>
      <c r="I650" s="108"/>
      <c r="J650" s="200">
        <f t="shared" si="10"/>
        <v>0</v>
      </c>
      <c r="K650" s="60"/>
      <c r="L650" s="60"/>
      <c r="M650" s="226"/>
      <c r="N650" s="248" t="s">
        <v>1616</v>
      </c>
      <c r="O650" s="227"/>
      <c r="P650" s="228"/>
      <c r="Q650" s="249" t="s">
        <v>1568</v>
      </c>
      <c r="R650" s="32"/>
      <c r="S650" s="33"/>
      <c r="T650" s="34"/>
      <c r="U650" s="33"/>
      <c r="V650" s="106"/>
    </row>
    <row r="651" spans="1:22" s="107" customFormat="1" ht="25.05" customHeight="1">
      <c r="A651" s="26">
        <v>8</v>
      </c>
      <c r="B651" s="27" t="s">
        <v>206</v>
      </c>
      <c r="C651" s="288" t="s">
        <v>1614</v>
      </c>
      <c r="D651" s="191"/>
      <c r="E651" s="29">
        <v>40</v>
      </c>
      <c r="F651" s="30" t="s">
        <v>1372</v>
      </c>
      <c r="G651" s="60"/>
      <c r="H651" s="60"/>
      <c r="I651" s="108"/>
      <c r="J651" s="200">
        <f t="shared" si="10"/>
        <v>0</v>
      </c>
      <c r="K651" s="60"/>
      <c r="L651" s="60"/>
      <c r="M651" s="226"/>
      <c r="N651" s="248" t="s">
        <v>1617</v>
      </c>
      <c r="O651" s="227"/>
      <c r="P651" s="228"/>
      <c r="Q651" s="249" t="s">
        <v>1568</v>
      </c>
      <c r="R651" s="32"/>
      <c r="S651" s="33"/>
      <c r="T651" s="34"/>
      <c r="U651" s="33"/>
      <c r="V651" s="106"/>
    </row>
    <row r="652" spans="1:22" s="107" customFormat="1" ht="25.05" customHeight="1">
      <c r="A652" s="26">
        <v>9</v>
      </c>
      <c r="B652" s="27" t="s">
        <v>206</v>
      </c>
      <c r="C652" s="288" t="s">
        <v>1614</v>
      </c>
      <c r="D652" s="191"/>
      <c r="E652" s="29">
        <v>40</v>
      </c>
      <c r="F652" s="30" t="s">
        <v>1372</v>
      </c>
      <c r="G652" s="60"/>
      <c r="H652" s="60"/>
      <c r="I652" s="108"/>
      <c r="J652" s="200">
        <f t="shared" si="10"/>
        <v>0</v>
      </c>
      <c r="K652" s="60"/>
      <c r="L652" s="60"/>
      <c r="M652" s="226"/>
      <c r="N652" s="248" t="s">
        <v>1618</v>
      </c>
      <c r="O652" s="227"/>
      <c r="P652" s="228"/>
      <c r="Q652" s="249" t="s">
        <v>1568</v>
      </c>
      <c r="R652" s="32"/>
      <c r="S652" s="33"/>
      <c r="T652" s="34"/>
      <c r="U652" s="33"/>
      <c r="V652" s="106"/>
    </row>
    <row r="653" spans="1:22" s="107" customFormat="1" ht="25.05" customHeight="1">
      <c r="A653" s="26">
        <v>10</v>
      </c>
      <c r="B653" s="27" t="s">
        <v>206</v>
      </c>
      <c r="C653" s="288" t="s">
        <v>1614</v>
      </c>
      <c r="D653" s="191"/>
      <c r="E653" s="29">
        <v>40</v>
      </c>
      <c r="F653" s="30" t="s">
        <v>1372</v>
      </c>
      <c r="G653" s="60"/>
      <c r="H653" s="60"/>
      <c r="I653" s="108"/>
      <c r="J653" s="200">
        <f t="shared" si="10"/>
        <v>0</v>
      </c>
      <c r="K653" s="60"/>
      <c r="L653" s="60"/>
      <c r="M653" s="226"/>
      <c r="N653" s="248" t="s">
        <v>1619</v>
      </c>
      <c r="O653" s="227"/>
      <c r="P653" s="228"/>
      <c r="Q653" s="249" t="s">
        <v>1568</v>
      </c>
      <c r="R653" s="32"/>
      <c r="S653" s="33"/>
      <c r="T653" s="34"/>
      <c r="U653" s="33"/>
      <c r="V653" s="106"/>
    </row>
    <row r="654" spans="1:22" s="107" customFormat="1" ht="25.05" customHeight="1">
      <c r="A654" s="26">
        <v>11</v>
      </c>
      <c r="B654" s="27" t="s">
        <v>206</v>
      </c>
      <c r="C654" s="288" t="s">
        <v>1614</v>
      </c>
      <c r="D654" s="191"/>
      <c r="E654" s="29">
        <v>40</v>
      </c>
      <c r="F654" s="30" t="s">
        <v>1372</v>
      </c>
      <c r="G654" s="60"/>
      <c r="H654" s="60"/>
      <c r="I654" s="108"/>
      <c r="J654" s="200">
        <f t="shared" si="10"/>
        <v>0</v>
      </c>
      <c r="K654" s="60"/>
      <c r="L654" s="60"/>
      <c r="M654" s="226"/>
      <c r="N654" s="248" t="s">
        <v>1620</v>
      </c>
      <c r="O654" s="227"/>
      <c r="P654" s="228"/>
      <c r="Q654" s="249" t="s">
        <v>1568</v>
      </c>
      <c r="R654" s="32"/>
      <c r="S654" s="33"/>
      <c r="T654" s="34"/>
      <c r="U654" s="33"/>
      <c r="V654" s="106"/>
    </row>
    <row r="655" spans="1:22" s="107" customFormat="1" ht="25.05" customHeight="1">
      <c r="A655" s="26">
        <v>12</v>
      </c>
      <c r="B655" s="27" t="s">
        <v>206</v>
      </c>
      <c r="C655" s="288" t="s">
        <v>1614</v>
      </c>
      <c r="D655" s="191"/>
      <c r="E655" s="29">
        <v>40</v>
      </c>
      <c r="F655" s="30" t="s">
        <v>1372</v>
      </c>
      <c r="G655" s="60"/>
      <c r="H655" s="60"/>
      <c r="I655" s="108"/>
      <c r="J655" s="200">
        <f t="shared" si="10"/>
        <v>0</v>
      </c>
      <c r="K655" s="60"/>
      <c r="L655" s="60"/>
      <c r="M655" s="226"/>
      <c r="N655" s="248" t="s">
        <v>1621</v>
      </c>
      <c r="O655" s="227"/>
      <c r="P655" s="228"/>
      <c r="Q655" s="249" t="s">
        <v>1568</v>
      </c>
      <c r="R655" s="32"/>
      <c r="S655" s="33"/>
      <c r="T655" s="34"/>
      <c r="U655" s="33"/>
      <c r="V655" s="106"/>
    </row>
    <row r="656" spans="1:22" s="107" customFormat="1" ht="25.05" customHeight="1">
      <c r="A656" s="26">
        <v>13</v>
      </c>
      <c r="B656" s="27" t="s">
        <v>206</v>
      </c>
      <c r="C656" s="288" t="s">
        <v>1614</v>
      </c>
      <c r="D656" s="191"/>
      <c r="E656" s="29">
        <v>40</v>
      </c>
      <c r="F656" s="30" t="s">
        <v>1372</v>
      </c>
      <c r="G656" s="60"/>
      <c r="H656" s="60"/>
      <c r="I656" s="108"/>
      <c r="J656" s="200">
        <f t="shared" si="10"/>
        <v>0</v>
      </c>
      <c r="K656" s="60"/>
      <c r="L656" s="60"/>
      <c r="M656" s="226"/>
      <c r="N656" s="248" t="s">
        <v>1622</v>
      </c>
      <c r="O656" s="227"/>
      <c r="P656" s="228"/>
      <c r="Q656" s="249" t="s">
        <v>1568</v>
      </c>
      <c r="R656" s="32"/>
      <c r="S656" s="33"/>
      <c r="T656" s="34"/>
      <c r="U656" s="33"/>
      <c r="V656" s="106"/>
    </row>
    <row r="657" spans="1:22" s="107" customFormat="1" ht="25.05" customHeight="1">
      <c r="A657" s="26">
        <v>14</v>
      </c>
      <c r="B657" s="27" t="s">
        <v>206</v>
      </c>
      <c r="C657" s="288" t="s">
        <v>1614</v>
      </c>
      <c r="D657" s="191"/>
      <c r="E657" s="29">
        <v>40</v>
      </c>
      <c r="F657" s="30" t="s">
        <v>1372</v>
      </c>
      <c r="G657" s="60"/>
      <c r="H657" s="60"/>
      <c r="I657" s="108"/>
      <c r="J657" s="200">
        <f t="shared" si="10"/>
        <v>0</v>
      </c>
      <c r="K657" s="60"/>
      <c r="L657" s="60"/>
      <c r="M657" s="226"/>
      <c r="N657" s="248" t="s">
        <v>1623</v>
      </c>
      <c r="O657" s="227"/>
      <c r="P657" s="228"/>
      <c r="Q657" s="249" t="s">
        <v>1568</v>
      </c>
      <c r="R657" s="32"/>
      <c r="S657" s="33"/>
      <c r="T657" s="34"/>
      <c r="U657" s="33"/>
      <c r="V657" s="106"/>
    </row>
    <row r="658" spans="1:22" s="107" customFormat="1" ht="25.05" customHeight="1">
      <c r="A658" s="26">
        <v>15</v>
      </c>
      <c r="B658" s="27" t="s">
        <v>206</v>
      </c>
      <c r="C658" s="288" t="s">
        <v>1614</v>
      </c>
      <c r="D658" s="191"/>
      <c r="E658" s="29">
        <v>40</v>
      </c>
      <c r="F658" s="30" t="s">
        <v>1372</v>
      </c>
      <c r="G658" s="60"/>
      <c r="H658" s="60"/>
      <c r="I658" s="108"/>
      <c r="J658" s="200">
        <f t="shared" si="10"/>
        <v>0</v>
      </c>
      <c r="K658" s="60"/>
      <c r="L658" s="60"/>
      <c r="M658" s="226"/>
      <c r="N658" s="248" t="s">
        <v>1624</v>
      </c>
      <c r="O658" s="227"/>
      <c r="P658" s="228"/>
      <c r="Q658" s="249" t="s">
        <v>1568</v>
      </c>
      <c r="R658" s="32"/>
      <c r="S658" s="33"/>
      <c r="T658" s="34"/>
      <c r="U658" s="33"/>
      <c r="V658" s="106"/>
    </row>
    <row r="659" spans="1:22" s="107" customFormat="1" ht="25.05" customHeight="1">
      <c r="A659" s="264"/>
      <c r="B659" s="265"/>
      <c r="C659" s="289"/>
      <c r="D659" s="203"/>
      <c r="E659" s="266"/>
      <c r="F659" s="202"/>
      <c r="G659" s="267">
        <v>220</v>
      </c>
      <c r="H659" s="267">
        <v>220</v>
      </c>
      <c r="I659" s="268">
        <v>235</v>
      </c>
      <c r="J659" s="269">
        <f>ROUND(I659*H659*G659/1000000,3)</f>
        <v>11.374000000000001</v>
      </c>
      <c r="K659" s="267">
        <f>L659-150</f>
        <v>720</v>
      </c>
      <c r="L659" s="267">
        <v>870</v>
      </c>
      <c r="M659" s="224"/>
      <c r="N659" s="246"/>
      <c r="O659" s="225"/>
      <c r="P659" s="225"/>
      <c r="Q659" s="247"/>
      <c r="R659" s="32"/>
      <c r="S659" s="33"/>
      <c r="T659" s="34"/>
      <c r="U659" s="33"/>
      <c r="V659" s="106"/>
    </row>
    <row r="660" spans="1:22" s="107" customFormat="1" ht="25.05" customHeight="1">
      <c r="A660" s="26">
        <v>1</v>
      </c>
      <c r="B660" s="27" t="s">
        <v>207</v>
      </c>
      <c r="C660" s="288" t="s">
        <v>1614</v>
      </c>
      <c r="D660" s="191"/>
      <c r="E660" s="29">
        <v>40</v>
      </c>
      <c r="F660" s="30" t="s">
        <v>1372</v>
      </c>
      <c r="G660" s="60"/>
      <c r="H660" s="60"/>
      <c r="I660" s="108"/>
      <c r="J660" s="200">
        <f t="shared" si="10"/>
        <v>0</v>
      </c>
      <c r="K660" s="60"/>
      <c r="L660" s="60"/>
      <c r="M660" s="226"/>
      <c r="N660" s="248" t="s">
        <v>1625</v>
      </c>
      <c r="O660" s="227"/>
      <c r="P660" s="228"/>
      <c r="Q660" s="249" t="s">
        <v>1568</v>
      </c>
      <c r="R660" s="32"/>
      <c r="S660" s="33"/>
      <c r="T660" s="34"/>
      <c r="U660" s="33"/>
      <c r="V660" s="106"/>
    </row>
    <row r="661" spans="1:22" s="107" customFormat="1" ht="25.05" customHeight="1">
      <c r="A661" s="26">
        <v>2</v>
      </c>
      <c r="B661" s="27" t="s">
        <v>207</v>
      </c>
      <c r="C661" s="288" t="s">
        <v>1614</v>
      </c>
      <c r="D661" s="191"/>
      <c r="E661" s="29">
        <v>40</v>
      </c>
      <c r="F661" s="30" t="s">
        <v>1372</v>
      </c>
      <c r="G661" s="60"/>
      <c r="H661" s="60"/>
      <c r="I661" s="108"/>
      <c r="J661" s="200">
        <f t="shared" si="10"/>
        <v>0</v>
      </c>
      <c r="K661" s="60"/>
      <c r="L661" s="60"/>
      <c r="M661" s="226"/>
      <c r="N661" s="248" t="s">
        <v>1626</v>
      </c>
      <c r="O661" s="227"/>
      <c r="P661" s="228"/>
      <c r="Q661" s="249" t="s">
        <v>1568</v>
      </c>
      <c r="R661" s="32"/>
      <c r="S661" s="33"/>
      <c r="T661" s="34"/>
      <c r="U661" s="33"/>
      <c r="V661" s="106"/>
    </row>
    <row r="662" spans="1:22" s="107" customFormat="1" ht="25.05" customHeight="1">
      <c r="A662" s="26">
        <v>3</v>
      </c>
      <c r="B662" s="27" t="s">
        <v>207</v>
      </c>
      <c r="C662" s="288" t="s">
        <v>1614</v>
      </c>
      <c r="D662" s="191"/>
      <c r="E662" s="29">
        <v>40</v>
      </c>
      <c r="F662" s="30" t="s">
        <v>1372</v>
      </c>
      <c r="G662" s="60"/>
      <c r="H662" s="60"/>
      <c r="I662" s="108"/>
      <c r="J662" s="200">
        <f t="shared" si="10"/>
        <v>0</v>
      </c>
      <c r="K662" s="60"/>
      <c r="L662" s="60"/>
      <c r="M662" s="226"/>
      <c r="N662" s="248" t="s">
        <v>1627</v>
      </c>
      <c r="O662" s="227"/>
      <c r="P662" s="228"/>
      <c r="Q662" s="249" t="s">
        <v>1568</v>
      </c>
      <c r="R662" s="32"/>
      <c r="S662" s="33"/>
      <c r="T662" s="34"/>
      <c r="U662" s="33"/>
      <c r="V662" s="106"/>
    </row>
    <row r="663" spans="1:22" s="107" customFormat="1" ht="25.05" customHeight="1">
      <c r="A663" s="26">
        <v>4</v>
      </c>
      <c r="B663" s="27" t="s">
        <v>207</v>
      </c>
      <c r="C663" s="288" t="s">
        <v>1614</v>
      </c>
      <c r="D663" s="191"/>
      <c r="E663" s="29">
        <v>40</v>
      </c>
      <c r="F663" s="30" t="s">
        <v>1372</v>
      </c>
      <c r="G663" s="60"/>
      <c r="H663" s="60"/>
      <c r="I663" s="108"/>
      <c r="J663" s="200">
        <f t="shared" si="10"/>
        <v>0</v>
      </c>
      <c r="K663" s="60"/>
      <c r="L663" s="60"/>
      <c r="M663" s="226"/>
      <c r="N663" s="248" t="s">
        <v>1628</v>
      </c>
      <c r="O663" s="227"/>
      <c r="P663" s="228"/>
      <c r="Q663" s="249" t="s">
        <v>1568</v>
      </c>
      <c r="R663" s="32"/>
      <c r="S663" s="33"/>
      <c r="T663" s="34"/>
      <c r="U663" s="33"/>
      <c r="V663" s="106"/>
    </row>
    <row r="664" spans="1:22" s="107" customFormat="1" ht="25.05" customHeight="1">
      <c r="A664" s="26">
        <v>5</v>
      </c>
      <c r="B664" s="27" t="s">
        <v>207</v>
      </c>
      <c r="C664" s="288" t="s">
        <v>1614</v>
      </c>
      <c r="D664" s="191"/>
      <c r="E664" s="29">
        <v>40</v>
      </c>
      <c r="F664" s="30" t="s">
        <v>1372</v>
      </c>
      <c r="G664" s="60"/>
      <c r="H664" s="60"/>
      <c r="I664" s="108"/>
      <c r="J664" s="200">
        <f t="shared" si="10"/>
        <v>0</v>
      </c>
      <c r="K664" s="60"/>
      <c r="L664" s="60"/>
      <c r="M664" s="226"/>
      <c r="N664" s="248" t="s">
        <v>1629</v>
      </c>
      <c r="O664" s="227"/>
      <c r="P664" s="228"/>
      <c r="Q664" s="249" t="s">
        <v>1568</v>
      </c>
      <c r="R664" s="32"/>
      <c r="S664" s="33"/>
      <c r="T664" s="34"/>
      <c r="U664" s="33"/>
      <c r="V664" s="106"/>
    </row>
    <row r="665" spans="1:22" s="107" customFormat="1" ht="25.05" customHeight="1">
      <c r="A665" s="26">
        <v>6</v>
      </c>
      <c r="B665" s="27" t="s">
        <v>207</v>
      </c>
      <c r="C665" s="288" t="s">
        <v>1614</v>
      </c>
      <c r="D665" s="191"/>
      <c r="E665" s="29">
        <v>40</v>
      </c>
      <c r="F665" s="30" t="s">
        <v>1372</v>
      </c>
      <c r="G665" s="60"/>
      <c r="H665" s="60"/>
      <c r="I665" s="108"/>
      <c r="J665" s="200">
        <f t="shared" si="10"/>
        <v>0</v>
      </c>
      <c r="K665" s="60"/>
      <c r="L665" s="60"/>
      <c r="M665" s="226"/>
      <c r="N665" s="248" t="s">
        <v>1630</v>
      </c>
      <c r="O665" s="227"/>
      <c r="P665" s="228"/>
      <c r="Q665" s="249" t="s">
        <v>1568</v>
      </c>
      <c r="R665" s="32"/>
      <c r="S665" s="33"/>
      <c r="T665" s="34"/>
      <c r="U665" s="33"/>
      <c r="V665" s="106"/>
    </row>
    <row r="666" spans="1:22" s="107" customFormat="1" ht="25.05" customHeight="1">
      <c r="A666" s="26">
        <v>7</v>
      </c>
      <c r="B666" s="27" t="s">
        <v>207</v>
      </c>
      <c r="C666" s="288" t="s">
        <v>1614</v>
      </c>
      <c r="D666" s="191"/>
      <c r="E666" s="29">
        <v>40</v>
      </c>
      <c r="F666" s="30" t="s">
        <v>1372</v>
      </c>
      <c r="G666" s="60"/>
      <c r="H666" s="60"/>
      <c r="I666" s="108"/>
      <c r="J666" s="200">
        <f t="shared" si="10"/>
        <v>0</v>
      </c>
      <c r="K666" s="60"/>
      <c r="L666" s="60"/>
      <c r="M666" s="226"/>
      <c r="N666" s="248" t="s">
        <v>1631</v>
      </c>
      <c r="O666" s="227"/>
      <c r="P666" s="228"/>
      <c r="Q666" s="249" t="s">
        <v>1568</v>
      </c>
      <c r="R666" s="32"/>
      <c r="S666" s="33"/>
      <c r="T666" s="34"/>
      <c r="U666" s="33"/>
      <c r="V666" s="106"/>
    </row>
    <row r="667" spans="1:22" s="107" customFormat="1" ht="25.05" customHeight="1">
      <c r="A667" s="26">
        <v>8</v>
      </c>
      <c r="B667" s="27" t="s">
        <v>207</v>
      </c>
      <c r="C667" s="288" t="s">
        <v>1614</v>
      </c>
      <c r="D667" s="191"/>
      <c r="E667" s="29">
        <v>40</v>
      </c>
      <c r="F667" s="30" t="s">
        <v>1372</v>
      </c>
      <c r="G667" s="60"/>
      <c r="H667" s="60"/>
      <c r="I667" s="108"/>
      <c r="J667" s="200">
        <f t="shared" si="10"/>
        <v>0</v>
      </c>
      <c r="K667" s="60"/>
      <c r="L667" s="60"/>
      <c r="M667" s="226"/>
      <c r="N667" s="248" t="s">
        <v>1632</v>
      </c>
      <c r="O667" s="227"/>
      <c r="P667" s="228"/>
      <c r="Q667" s="249" t="s">
        <v>1568</v>
      </c>
      <c r="R667" s="32"/>
      <c r="S667" s="33"/>
      <c r="T667" s="34"/>
      <c r="U667" s="33"/>
      <c r="V667" s="106"/>
    </row>
    <row r="668" spans="1:22" s="107" customFormat="1" ht="25.05" customHeight="1">
      <c r="A668" s="26">
        <v>9</v>
      </c>
      <c r="B668" s="27" t="s">
        <v>207</v>
      </c>
      <c r="C668" s="288" t="s">
        <v>1614</v>
      </c>
      <c r="D668" s="191"/>
      <c r="E668" s="29">
        <v>40</v>
      </c>
      <c r="F668" s="30" t="s">
        <v>1372</v>
      </c>
      <c r="G668" s="60"/>
      <c r="H668" s="60"/>
      <c r="I668" s="108"/>
      <c r="J668" s="200">
        <f t="shared" si="10"/>
        <v>0</v>
      </c>
      <c r="K668" s="60"/>
      <c r="L668" s="60"/>
      <c r="M668" s="226"/>
      <c r="N668" s="248" t="s">
        <v>1633</v>
      </c>
      <c r="O668" s="227"/>
      <c r="P668" s="228"/>
      <c r="Q668" s="249" t="s">
        <v>1568</v>
      </c>
      <c r="R668" s="32"/>
      <c r="S668" s="33"/>
      <c r="T668" s="34"/>
      <c r="U668" s="33"/>
      <c r="V668" s="106"/>
    </row>
    <row r="669" spans="1:22" s="107" customFormat="1" ht="25.05" customHeight="1">
      <c r="A669" s="26">
        <v>10</v>
      </c>
      <c r="B669" s="27" t="s">
        <v>207</v>
      </c>
      <c r="C669" s="288" t="s">
        <v>1614</v>
      </c>
      <c r="D669" s="191"/>
      <c r="E669" s="29">
        <v>40</v>
      </c>
      <c r="F669" s="30" t="s">
        <v>1372</v>
      </c>
      <c r="G669" s="60"/>
      <c r="H669" s="60"/>
      <c r="I669" s="108"/>
      <c r="J669" s="200">
        <f t="shared" si="10"/>
        <v>0</v>
      </c>
      <c r="K669" s="60"/>
      <c r="L669" s="60"/>
      <c r="M669" s="226"/>
      <c r="N669" s="248" t="s">
        <v>1634</v>
      </c>
      <c r="O669" s="227"/>
      <c r="P669" s="228"/>
      <c r="Q669" s="249" t="s">
        <v>1568</v>
      </c>
      <c r="R669" s="32"/>
      <c r="S669" s="33"/>
      <c r="T669" s="34"/>
      <c r="U669" s="33"/>
      <c r="V669" s="106"/>
    </row>
    <row r="670" spans="1:22" s="107" customFormat="1" ht="25.05" customHeight="1">
      <c r="A670" s="264"/>
      <c r="B670" s="265"/>
      <c r="C670" s="289"/>
      <c r="D670" s="203"/>
      <c r="E670" s="266"/>
      <c r="F670" s="202"/>
      <c r="G670" s="267">
        <v>220</v>
      </c>
      <c r="H670" s="267">
        <v>220</v>
      </c>
      <c r="I670" s="268">
        <v>235</v>
      </c>
      <c r="J670" s="269">
        <f>ROUND(I670*H670*G670/1000000,3)</f>
        <v>11.374000000000001</v>
      </c>
      <c r="K670" s="267">
        <f>L670-120</f>
        <v>650</v>
      </c>
      <c r="L670" s="267">
        <v>770</v>
      </c>
      <c r="M670" s="224"/>
      <c r="N670" s="246"/>
      <c r="O670" s="225"/>
      <c r="P670" s="225"/>
      <c r="Q670" s="247"/>
      <c r="R670" s="32"/>
      <c r="S670" s="33"/>
      <c r="T670" s="34"/>
      <c r="U670" s="33"/>
      <c r="V670" s="106"/>
    </row>
    <row r="671" spans="1:22" s="107" customFormat="1" ht="25.05" customHeight="1">
      <c r="A671" s="26">
        <v>1</v>
      </c>
      <c r="B671" s="27" t="s">
        <v>208</v>
      </c>
      <c r="C671" s="288" t="s">
        <v>1614</v>
      </c>
      <c r="D671" s="191"/>
      <c r="E671" s="29">
        <v>40</v>
      </c>
      <c r="F671" s="30" t="s">
        <v>1372</v>
      </c>
      <c r="G671" s="60"/>
      <c r="H671" s="60"/>
      <c r="I671" s="108"/>
      <c r="J671" s="200">
        <f t="shared" si="10"/>
        <v>0</v>
      </c>
      <c r="K671" s="60"/>
      <c r="L671" s="60"/>
      <c r="M671" s="226"/>
      <c r="N671" s="248" t="s">
        <v>1635</v>
      </c>
      <c r="O671" s="227"/>
      <c r="P671" s="228"/>
      <c r="Q671" s="249" t="s">
        <v>1568</v>
      </c>
      <c r="R671" s="32"/>
      <c r="S671" s="33"/>
      <c r="T671" s="34"/>
      <c r="U671" s="33"/>
      <c r="V671" s="106"/>
    </row>
    <row r="672" spans="1:22" s="107" customFormat="1" ht="25.05" customHeight="1">
      <c r="A672" s="26">
        <v>2</v>
      </c>
      <c r="B672" s="27" t="s">
        <v>208</v>
      </c>
      <c r="C672" s="288" t="s">
        <v>1614</v>
      </c>
      <c r="D672" s="191"/>
      <c r="E672" s="29">
        <v>40</v>
      </c>
      <c r="F672" s="30" t="s">
        <v>1372</v>
      </c>
      <c r="G672" s="60"/>
      <c r="H672" s="60"/>
      <c r="I672" s="108"/>
      <c r="J672" s="200">
        <f t="shared" si="10"/>
        <v>0</v>
      </c>
      <c r="K672" s="60"/>
      <c r="L672" s="60"/>
      <c r="M672" s="226"/>
      <c r="N672" s="248" t="s">
        <v>1636</v>
      </c>
      <c r="O672" s="227"/>
      <c r="P672" s="228"/>
      <c r="Q672" s="249" t="s">
        <v>1568</v>
      </c>
      <c r="R672" s="32"/>
      <c r="S672" s="33"/>
      <c r="T672" s="34"/>
      <c r="U672" s="33"/>
      <c r="V672" s="106"/>
    </row>
    <row r="673" spans="1:22" s="107" customFormat="1" ht="25.05" customHeight="1">
      <c r="A673" s="26">
        <v>3</v>
      </c>
      <c r="B673" s="27" t="s">
        <v>208</v>
      </c>
      <c r="C673" s="288" t="s">
        <v>1614</v>
      </c>
      <c r="D673" s="191"/>
      <c r="E673" s="29">
        <v>40</v>
      </c>
      <c r="F673" s="30" t="s">
        <v>1372</v>
      </c>
      <c r="G673" s="60"/>
      <c r="H673" s="60"/>
      <c r="I673" s="108"/>
      <c r="J673" s="200">
        <f t="shared" si="10"/>
        <v>0</v>
      </c>
      <c r="K673" s="60"/>
      <c r="L673" s="60"/>
      <c r="M673" s="226"/>
      <c r="N673" s="248" t="s">
        <v>1637</v>
      </c>
      <c r="O673" s="227"/>
      <c r="P673" s="228"/>
      <c r="Q673" s="249" t="s">
        <v>1568</v>
      </c>
      <c r="R673" s="32"/>
      <c r="S673" s="33"/>
      <c r="T673" s="34"/>
      <c r="U673" s="33"/>
      <c r="V673" s="106"/>
    </row>
    <row r="674" spans="1:22" s="107" customFormat="1" ht="25.05" customHeight="1">
      <c r="A674" s="26">
        <v>4</v>
      </c>
      <c r="B674" s="27" t="s">
        <v>208</v>
      </c>
      <c r="C674" s="288" t="s">
        <v>1614</v>
      </c>
      <c r="D674" s="191"/>
      <c r="E674" s="29">
        <v>40</v>
      </c>
      <c r="F674" s="30" t="s">
        <v>1372</v>
      </c>
      <c r="G674" s="60"/>
      <c r="H674" s="60"/>
      <c r="I674" s="108"/>
      <c r="J674" s="200">
        <f t="shared" si="10"/>
        <v>0</v>
      </c>
      <c r="K674" s="60"/>
      <c r="L674" s="60"/>
      <c r="M674" s="226"/>
      <c r="N674" s="248" t="s">
        <v>1638</v>
      </c>
      <c r="O674" s="227"/>
      <c r="P674" s="228"/>
      <c r="Q674" s="249" t="s">
        <v>1568</v>
      </c>
      <c r="R674" s="32"/>
      <c r="S674" s="33"/>
      <c r="T674" s="34"/>
      <c r="U674" s="33"/>
      <c r="V674" s="106"/>
    </row>
    <row r="675" spans="1:22" s="107" customFormat="1" ht="25.05" customHeight="1">
      <c r="A675" s="26">
        <v>5</v>
      </c>
      <c r="B675" s="27" t="s">
        <v>208</v>
      </c>
      <c r="C675" s="288" t="s">
        <v>1614</v>
      </c>
      <c r="D675" s="191"/>
      <c r="E675" s="29">
        <v>40</v>
      </c>
      <c r="F675" s="30" t="s">
        <v>1372</v>
      </c>
      <c r="G675" s="60"/>
      <c r="H675" s="60"/>
      <c r="I675" s="108"/>
      <c r="J675" s="200">
        <f t="shared" si="10"/>
        <v>0</v>
      </c>
      <c r="K675" s="60"/>
      <c r="L675" s="60"/>
      <c r="M675" s="226"/>
      <c r="N675" s="248" t="s">
        <v>1639</v>
      </c>
      <c r="O675" s="227"/>
      <c r="P675" s="228"/>
      <c r="Q675" s="249" t="s">
        <v>1568</v>
      </c>
      <c r="R675" s="32"/>
      <c r="S675" s="33"/>
      <c r="T675" s="34"/>
      <c r="U675" s="33"/>
      <c r="V675" s="106"/>
    </row>
    <row r="676" spans="1:22" s="107" customFormat="1" ht="25.05" customHeight="1">
      <c r="A676" s="26">
        <v>6</v>
      </c>
      <c r="B676" s="27" t="s">
        <v>208</v>
      </c>
      <c r="C676" s="288" t="s">
        <v>1614</v>
      </c>
      <c r="D676" s="191"/>
      <c r="E676" s="29">
        <v>40</v>
      </c>
      <c r="F676" s="30" t="s">
        <v>1372</v>
      </c>
      <c r="G676" s="60"/>
      <c r="H676" s="60"/>
      <c r="I676" s="108"/>
      <c r="J676" s="200">
        <f t="shared" si="10"/>
        <v>0</v>
      </c>
      <c r="K676" s="60"/>
      <c r="L676" s="60"/>
      <c r="M676" s="226"/>
      <c r="N676" s="248" t="s">
        <v>1640</v>
      </c>
      <c r="O676" s="227"/>
      <c r="P676" s="228"/>
      <c r="Q676" s="249" t="s">
        <v>1568</v>
      </c>
      <c r="R676" s="32"/>
      <c r="S676" s="33"/>
      <c r="T676" s="34"/>
      <c r="U676" s="33"/>
      <c r="V676" s="106"/>
    </row>
    <row r="677" spans="1:22" s="107" customFormat="1" ht="25.05" customHeight="1">
      <c r="A677" s="26">
        <v>7</v>
      </c>
      <c r="B677" s="27" t="s">
        <v>208</v>
      </c>
      <c r="C677" s="288" t="s">
        <v>1614</v>
      </c>
      <c r="D677" s="191"/>
      <c r="E677" s="29">
        <v>40</v>
      </c>
      <c r="F677" s="30" t="s">
        <v>1372</v>
      </c>
      <c r="G677" s="60"/>
      <c r="H677" s="60"/>
      <c r="I677" s="108"/>
      <c r="J677" s="200">
        <f t="shared" si="10"/>
        <v>0</v>
      </c>
      <c r="K677" s="60"/>
      <c r="L677" s="60"/>
      <c r="M677" s="226"/>
      <c r="N677" s="248" t="s">
        <v>1641</v>
      </c>
      <c r="O677" s="227"/>
      <c r="P677" s="228"/>
      <c r="Q677" s="249" t="s">
        <v>1568</v>
      </c>
      <c r="R677" s="32"/>
      <c r="S677" s="33"/>
      <c r="T677" s="34"/>
      <c r="U677" s="33"/>
      <c r="V677" s="106"/>
    </row>
    <row r="678" spans="1:22" s="107" customFormat="1" ht="25.05" customHeight="1">
      <c r="A678" s="26">
        <v>8</v>
      </c>
      <c r="B678" s="27" t="s">
        <v>208</v>
      </c>
      <c r="C678" s="288" t="s">
        <v>1614</v>
      </c>
      <c r="D678" s="191"/>
      <c r="E678" s="29">
        <v>40</v>
      </c>
      <c r="F678" s="30" t="s">
        <v>1372</v>
      </c>
      <c r="G678" s="60"/>
      <c r="H678" s="60"/>
      <c r="I678" s="108"/>
      <c r="J678" s="200">
        <f t="shared" si="10"/>
        <v>0</v>
      </c>
      <c r="K678" s="60"/>
      <c r="L678" s="60"/>
      <c r="M678" s="226"/>
      <c r="N678" s="248" t="s">
        <v>1642</v>
      </c>
      <c r="O678" s="227"/>
      <c r="P678" s="228"/>
      <c r="Q678" s="249" t="s">
        <v>1568</v>
      </c>
      <c r="R678" s="32"/>
      <c r="S678" s="33"/>
      <c r="T678" s="34"/>
      <c r="U678" s="33"/>
      <c r="V678" s="106"/>
    </row>
    <row r="679" spans="1:22" s="107" customFormat="1" ht="25.05" customHeight="1">
      <c r="A679" s="26">
        <v>9</v>
      </c>
      <c r="B679" s="27" t="s">
        <v>208</v>
      </c>
      <c r="C679" s="288" t="s">
        <v>1614</v>
      </c>
      <c r="D679" s="191"/>
      <c r="E679" s="29">
        <v>40</v>
      </c>
      <c r="F679" s="30" t="s">
        <v>1372</v>
      </c>
      <c r="G679" s="60"/>
      <c r="H679" s="60"/>
      <c r="I679" s="108"/>
      <c r="J679" s="200">
        <f t="shared" si="10"/>
        <v>0</v>
      </c>
      <c r="K679" s="60"/>
      <c r="L679" s="60"/>
      <c r="M679" s="226"/>
      <c r="N679" s="248" t="s">
        <v>1643</v>
      </c>
      <c r="O679" s="227"/>
      <c r="P679" s="228"/>
      <c r="Q679" s="249" t="s">
        <v>1568</v>
      </c>
      <c r="R679" s="32"/>
      <c r="S679" s="33"/>
      <c r="T679" s="34"/>
      <c r="U679" s="33"/>
      <c r="V679" s="106"/>
    </row>
    <row r="680" spans="1:22" s="107" customFormat="1" ht="25.05" customHeight="1">
      <c r="A680" s="26">
        <v>10</v>
      </c>
      <c r="B680" s="27" t="s">
        <v>208</v>
      </c>
      <c r="C680" s="288" t="s">
        <v>1614</v>
      </c>
      <c r="D680" s="191"/>
      <c r="E680" s="29">
        <v>40</v>
      </c>
      <c r="F680" s="30" t="s">
        <v>1372</v>
      </c>
      <c r="G680" s="60"/>
      <c r="H680" s="60"/>
      <c r="I680" s="108"/>
      <c r="J680" s="200">
        <f t="shared" si="10"/>
        <v>0</v>
      </c>
      <c r="K680" s="60"/>
      <c r="L680" s="60"/>
      <c r="M680" s="226"/>
      <c r="N680" s="248" t="s">
        <v>1644</v>
      </c>
      <c r="O680" s="227"/>
      <c r="P680" s="228"/>
      <c r="Q680" s="249" t="s">
        <v>1568</v>
      </c>
      <c r="R680" s="32"/>
      <c r="S680" s="33"/>
      <c r="T680" s="34"/>
      <c r="U680" s="33"/>
      <c r="V680" s="106"/>
    </row>
    <row r="681" spans="1:22" s="107" customFormat="1" ht="25.05" customHeight="1">
      <c r="A681" s="264"/>
      <c r="B681" s="265"/>
      <c r="C681" s="289"/>
      <c r="D681" s="203"/>
      <c r="E681" s="266"/>
      <c r="F681" s="202"/>
      <c r="G681" s="267">
        <v>220</v>
      </c>
      <c r="H681" s="267">
        <v>220</v>
      </c>
      <c r="I681" s="268">
        <v>235</v>
      </c>
      <c r="J681" s="269">
        <f>ROUND(I681*H681*G681/1000000,3)</f>
        <v>11.374000000000001</v>
      </c>
      <c r="K681" s="267">
        <f>L681-120</f>
        <v>650</v>
      </c>
      <c r="L681" s="267">
        <v>770</v>
      </c>
      <c r="M681" s="224"/>
      <c r="N681" s="246"/>
      <c r="O681" s="225"/>
      <c r="P681" s="225"/>
      <c r="Q681" s="247"/>
      <c r="R681" s="32"/>
      <c r="S681" s="33"/>
      <c r="T681" s="34"/>
      <c r="U681" s="33"/>
      <c r="V681" s="106"/>
    </row>
    <row r="682" spans="1:22" s="107" customFormat="1" ht="25.05" customHeight="1">
      <c r="A682" s="26">
        <v>1</v>
      </c>
      <c r="B682" s="27" t="s">
        <v>209</v>
      </c>
      <c r="C682" s="288" t="s">
        <v>1645</v>
      </c>
      <c r="D682" s="191"/>
      <c r="E682" s="29">
        <v>216</v>
      </c>
      <c r="F682" s="30" t="s">
        <v>1372</v>
      </c>
      <c r="G682" s="60"/>
      <c r="H682" s="60"/>
      <c r="I682" s="108"/>
      <c r="J682" s="200">
        <f t="shared" si="10"/>
        <v>0</v>
      </c>
      <c r="K682" s="60">
        <v>367.2</v>
      </c>
      <c r="L682" s="60"/>
      <c r="M682" s="226"/>
      <c r="N682" s="248" t="s">
        <v>1646</v>
      </c>
      <c r="O682" s="227"/>
      <c r="P682" s="228"/>
      <c r="Q682" s="249" t="s">
        <v>1543</v>
      </c>
      <c r="R682" s="32"/>
      <c r="S682" s="33"/>
      <c r="T682" s="34"/>
      <c r="U682" s="33"/>
      <c r="V682" s="106"/>
    </row>
    <row r="683" spans="1:22" s="107" customFormat="1" ht="25.05" customHeight="1">
      <c r="A683" s="26">
        <v>2</v>
      </c>
      <c r="B683" s="27" t="s">
        <v>209</v>
      </c>
      <c r="C683" s="288" t="s">
        <v>1647</v>
      </c>
      <c r="D683" s="191"/>
      <c r="E683" s="29">
        <v>756</v>
      </c>
      <c r="F683" s="30" t="s">
        <v>1372</v>
      </c>
      <c r="G683" s="60"/>
      <c r="H683" s="60"/>
      <c r="I683" s="108"/>
      <c r="J683" s="200">
        <f t="shared" si="10"/>
        <v>0</v>
      </c>
      <c r="K683" s="60">
        <v>1764</v>
      </c>
      <c r="L683" s="60"/>
      <c r="M683" s="226"/>
      <c r="N683" s="248" t="s">
        <v>1648</v>
      </c>
      <c r="O683" s="227"/>
      <c r="P683" s="228"/>
      <c r="Q683" s="249" t="s">
        <v>1545</v>
      </c>
      <c r="R683" s="32"/>
      <c r="S683" s="33"/>
      <c r="T683" s="34"/>
      <c r="U683" s="33"/>
      <c r="V683" s="106"/>
    </row>
    <row r="684" spans="1:22" s="107" customFormat="1" ht="25.05" customHeight="1">
      <c r="A684" s="26">
        <v>3</v>
      </c>
      <c r="B684" s="27" t="s">
        <v>209</v>
      </c>
      <c r="C684" s="288" t="s">
        <v>1647</v>
      </c>
      <c r="D684" s="191"/>
      <c r="E684" s="29">
        <v>252</v>
      </c>
      <c r="F684" s="30" t="s">
        <v>1372</v>
      </c>
      <c r="G684" s="60"/>
      <c r="H684" s="60"/>
      <c r="I684" s="108"/>
      <c r="J684" s="200">
        <f t="shared" si="10"/>
        <v>0</v>
      </c>
      <c r="K684" s="60">
        <v>1218</v>
      </c>
      <c r="L684" s="60"/>
      <c r="M684" s="226"/>
      <c r="N684" s="248" t="s">
        <v>1649</v>
      </c>
      <c r="O684" s="227"/>
      <c r="P684" s="228"/>
      <c r="Q684" s="249" t="s">
        <v>1568</v>
      </c>
      <c r="R684" s="32"/>
      <c r="S684" s="33"/>
      <c r="T684" s="34"/>
      <c r="U684" s="33"/>
      <c r="V684" s="106"/>
    </row>
    <row r="685" spans="1:22" s="107" customFormat="1" ht="25.05" customHeight="1">
      <c r="A685" s="264"/>
      <c r="B685" s="265"/>
      <c r="C685" s="289"/>
      <c r="D685" s="203"/>
      <c r="E685" s="266"/>
      <c r="F685" s="202"/>
      <c r="G685" s="267">
        <v>341</v>
      </c>
      <c r="H685" s="267">
        <v>162</v>
      </c>
      <c r="I685" s="268">
        <v>171</v>
      </c>
      <c r="J685" s="269">
        <f>ROUND(I685*H685*G685/1000000,3)</f>
        <v>9.4459999999999997</v>
      </c>
      <c r="K685" s="267">
        <f>SUM(K682:K684)</f>
        <v>3349.2</v>
      </c>
      <c r="L685" s="267">
        <v>3500</v>
      </c>
      <c r="M685" s="224"/>
      <c r="N685" s="246"/>
      <c r="O685" s="225"/>
      <c r="P685" s="225"/>
      <c r="Q685" s="247"/>
      <c r="R685" s="32"/>
      <c r="S685" s="33"/>
      <c r="T685" s="34"/>
      <c r="U685" s="33"/>
      <c r="V685" s="106"/>
    </row>
    <row r="686" spans="1:22" s="151" customFormat="1" ht="25.05" customHeight="1">
      <c r="A686" s="26">
        <v>1</v>
      </c>
      <c r="B686" s="27" t="s">
        <v>210</v>
      </c>
      <c r="C686" s="288" t="s">
        <v>1650</v>
      </c>
      <c r="D686" s="191"/>
      <c r="E686" s="29">
        <v>4</v>
      </c>
      <c r="F686" s="30" t="s">
        <v>1651</v>
      </c>
      <c r="G686" s="199"/>
      <c r="H686" s="199"/>
      <c r="I686" s="199"/>
      <c r="J686" s="200">
        <f t="shared" si="10"/>
        <v>0</v>
      </c>
      <c r="K686" s="199"/>
      <c r="L686" s="199"/>
      <c r="M686" s="227"/>
      <c r="N686" s="227"/>
      <c r="O686" s="227"/>
      <c r="P686" s="227"/>
      <c r="Q686" s="230"/>
      <c r="R686" s="32"/>
      <c r="S686" s="148"/>
      <c r="T686" s="149"/>
      <c r="U686" s="148"/>
      <c r="V686" s="150"/>
    </row>
    <row r="687" spans="1:22" s="151" customFormat="1" ht="25.05" customHeight="1">
      <c r="A687" s="26">
        <v>2</v>
      </c>
      <c r="B687" s="27" t="s">
        <v>210</v>
      </c>
      <c r="C687" s="288" t="s">
        <v>1652</v>
      </c>
      <c r="D687" s="191"/>
      <c r="E687" s="29">
        <v>5</v>
      </c>
      <c r="F687" s="30" t="s">
        <v>1651</v>
      </c>
      <c r="G687" s="199"/>
      <c r="H687" s="199"/>
      <c r="I687" s="199"/>
      <c r="J687" s="200">
        <f t="shared" si="10"/>
        <v>0</v>
      </c>
      <c r="K687" s="199"/>
      <c r="L687" s="199"/>
      <c r="M687" s="227"/>
      <c r="N687" s="227"/>
      <c r="O687" s="227"/>
      <c r="P687" s="227"/>
      <c r="Q687" s="230"/>
      <c r="R687" s="32"/>
      <c r="S687" s="148"/>
      <c r="T687" s="149"/>
      <c r="U687" s="148"/>
      <c r="V687" s="150"/>
    </row>
    <row r="688" spans="1:22" s="107" customFormat="1" ht="25.05" customHeight="1">
      <c r="A688" s="264"/>
      <c r="B688" s="265"/>
      <c r="C688" s="289"/>
      <c r="D688" s="203"/>
      <c r="E688" s="266"/>
      <c r="F688" s="202"/>
      <c r="G688" s="267">
        <v>240</v>
      </c>
      <c r="H688" s="267">
        <v>140</v>
      </c>
      <c r="I688" s="268">
        <v>200</v>
      </c>
      <c r="J688" s="269">
        <f>ROUND(I688*H688*G688/1000000,3)</f>
        <v>6.72</v>
      </c>
      <c r="K688" s="267">
        <v>300</v>
      </c>
      <c r="L688" s="267">
        <v>340</v>
      </c>
      <c r="M688" s="224"/>
      <c r="N688" s="246"/>
      <c r="O688" s="225"/>
      <c r="P688" s="225"/>
      <c r="Q688" s="247"/>
      <c r="R688" s="32"/>
      <c r="S688" s="33"/>
      <c r="T688" s="34"/>
      <c r="U688" s="33"/>
      <c r="V688" s="106"/>
    </row>
    <row r="689" spans="1:22" s="151" customFormat="1" ht="25.05" customHeight="1">
      <c r="A689" s="26">
        <v>1</v>
      </c>
      <c r="B689" s="27" t="s">
        <v>211</v>
      </c>
      <c r="C689" s="288" t="s">
        <v>1653</v>
      </c>
      <c r="D689" s="191"/>
      <c r="E689" s="29">
        <v>10</v>
      </c>
      <c r="F689" s="30" t="s">
        <v>1651</v>
      </c>
      <c r="G689" s="199"/>
      <c r="H689" s="199"/>
      <c r="I689" s="199"/>
      <c r="J689" s="200">
        <f t="shared" si="10"/>
        <v>0</v>
      </c>
      <c r="K689" s="199"/>
      <c r="L689" s="199"/>
      <c r="M689" s="227"/>
      <c r="N689" s="227"/>
      <c r="O689" s="227"/>
      <c r="P689" s="227"/>
      <c r="Q689" s="230"/>
      <c r="R689" s="32"/>
      <c r="S689" s="148"/>
      <c r="T689" s="149"/>
      <c r="U689" s="148"/>
      <c r="V689" s="150"/>
    </row>
    <row r="690" spans="1:22" s="151" customFormat="1" ht="25.05" customHeight="1">
      <c r="A690" s="26">
        <v>2</v>
      </c>
      <c r="B690" s="27" t="s">
        <v>211</v>
      </c>
      <c r="C690" s="288" t="s">
        <v>1654</v>
      </c>
      <c r="D690" s="191"/>
      <c r="E690" s="29">
        <v>1</v>
      </c>
      <c r="F690" s="30" t="s">
        <v>105</v>
      </c>
      <c r="G690" s="199"/>
      <c r="H690" s="199"/>
      <c r="I690" s="199"/>
      <c r="J690" s="200">
        <f t="shared" si="10"/>
        <v>0</v>
      </c>
      <c r="K690" s="199"/>
      <c r="L690" s="199"/>
      <c r="M690" s="227"/>
      <c r="N690" s="227"/>
      <c r="O690" s="227"/>
      <c r="P690" s="227"/>
      <c r="Q690" s="230"/>
      <c r="R690" s="32"/>
      <c r="S690" s="148"/>
      <c r="T690" s="149"/>
      <c r="U690" s="148"/>
      <c r="V690" s="150"/>
    </row>
    <row r="691" spans="1:22" s="151" customFormat="1" ht="25.05" customHeight="1">
      <c r="A691" s="26">
        <v>3</v>
      </c>
      <c r="B691" s="27" t="s">
        <v>211</v>
      </c>
      <c r="C691" s="288" t="s">
        <v>1655</v>
      </c>
      <c r="D691" s="191"/>
      <c r="E691" s="29">
        <v>1000</v>
      </c>
      <c r="F691" s="30" t="s">
        <v>289</v>
      </c>
      <c r="G691" s="199"/>
      <c r="H691" s="199"/>
      <c r="I691" s="199"/>
      <c r="J691" s="200">
        <f t="shared" si="10"/>
        <v>0</v>
      </c>
      <c r="K691" s="199"/>
      <c r="L691" s="199"/>
      <c r="M691" s="227"/>
      <c r="N691" s="227"/>
      <c r="O691" s="227"/>
      <c r="P691" s="227"/>
      <c r="Q691" s="230"/>
      <c r="R691" s="32"/>
      <c r="S691" s="148"/>
      <c r="T691" s="149"/>
      <c r="U691" s="148"/>
      <c r="V691" s="150"/>
    </row>
    <row r="692" spans="1:22" s="151" customFormat="1" ht="25.05" customHeight="1">
      <c r="A692" s="26">
        <v>4</v>
      </c>
      <c r="B692" s="27" t="s">
        <v>211</v>
      </c>
      <c r="C692" s="288" t="s">
        <v>1656</v>
      </c>
      <c r="D692" s="191"/>
      <c r="E692" s="29">
        <v>800</v>
      </c>
      <c r="F692" s="30" t="s">
        <v>1372</v>
      </c>
      <c r="G692" s="199"/>
      <c r="H692" s="199"/>
      <c r="I692" s="199"/>
      <c r="J692" s="200">
        <f t="shared" si="10"/>
        <v>0</v>
      </c>
      <c r="K692" s="199"/>
      <c r="L692" s="199"/>
      <c r="M692" s="227"/>
      <c r="N692" s="227"/>
      <c r="O692" s="227"/>
      <c r="P692" s="227"/>
      <c r="Q692" s="230"/>
      <c r="R692" s="32"/>
      <c r="S692" s="148"/>
      <c r="T692" s="149"/>
      <c r="U692" s="148"/>
      <c r="V692" s="150"/>
    </row>
    <row r="693" spans="1:22" s="151" customFormat="1" ht="25.05" customHeight="1">
      <c r="A693" s="26">
        <v>5</v>
      </c>
      <c r="B693" s="27" t="s">
        <v>211</v>
      </c>
      <c r="C693" s="288" t="s">
        <v>1657</v>
      </c>
      <c r="D693" s="191"/>
      <c r="E693" s="29">
        <v>500</v>
      </c>
      <c r="F693" s="30" t="s">
        <v>289</v>
      </c>
      <c r="G693" s="199"/>
      <c r="H693" s="199"/>
      <c r="I693" s="199"/>
      <c r="J693" s="200">
        <f t="shared" si="10"/>
        <v>0</v>
      </c>
      <c r="K693" s="199"/>
      <c r="L693" s="199"/>
      <c r="M693" s="227"/>
      <c r="N693" s="227"/>
      <c r="O693" s="227"/>
      <c r="P693" s="227"/>
      <c r="Q693" s="230"/>
      <c r="R693" s="32"/>
      <c r="S693" s="148"/>
      <c r="T693" s="149"/>
      <c r="U693" s="148"/>
      <c r="V693" s="150"/>
    </row>
    <row r="694" spans="1:22" s="107" customFormat="1" ht="25.05" customHeight="1">
      <c r="A694" s="264"/>
      <c r="B694" s="265"/>
      <c r="C694" s="289"/>
      <c r="D694" s="203"/>
      <c r="E694" s="266"/>
      <c r="F694" s="202"/>
      <c r="G694" s="267">
        <v>122</v>
      </c>
      <c r="H694" s="267">
        <v>122</v>
      </c>
      <c r="I694" s="268">
        <v>140</v>
      </c>
      <c r="J694" s="269">
        <f>ROUND(I694*H694*G694/1000000,3)</f>
        <v>2.0840000000000001</v>
      </c>
      <c r="K694" s="267">
        <v>250</v>
      </c>
      <c r="L694" s="267">
        <v>300</v>
      </c>
      <c r="M694" s="224"/>
      <c r="N694" s="246"/>
      <c r="O694" s="225"/>
      <c r="P694" s="225"/>
      <c r="Q694" s="247"/>
      <c r="R694" s="32"/>
      <c r="S694" s="33"/>
      <c r="T694" s="34"/>
      <c r="U694" s="33"/>
      <c r="V694" s="106"/>
    </row>
    <row r="695" spans="1:22" s="151" customFormat="1" ht="25.05" customHeight="1">
      <c r="A695" s="26">
        <v>1</v>
      </c>
      <c r="B695" s="27" t="s">
        <v>212</v>
      </c>
      <c r="C695" s="288" t="s">
        <v>1658</v>
      </c>
      <c r="D695" s="191"/>
      <c r="E695" s="29">
        <v>8</v>
      </c>
      <c r="F695" s="30" t="s">
        <v>1651</v>
      </c>
      <c r="G695" s="199"/>
      <c r="H695" s="199"/>
      <c r="I695" s="199"/>
      <c r="J695" s="200">
        <f t="shared" si="10"/>
        <v>0</v>
      </c>
      <c r="K695" s="199"/>
      <c r="L695" s="199"/>
      <c r="M695" s="227"/>
      <c r="N695" s="248" t="s">
        <v>1659</v>
      </c>
      <c r="O695" s="227"/>
      <c r="P695" s="227"/>
      <c r="Q695" s="230"/>
      <c r="R695" s="32"/>
      <c r="S695" s="148"/>
      <c r="T695" s="149"/>
      <c r="U695" s="148"/>
      <c r="V695" s="150"/>
    </row>
    <row r="696" spans="1:22" s="151" customFormat="1" ht="25.05" customHeight="1">
      <c r="A696" s="26">
        <v>2</v>
      </c>
      <c r="B696" s="27" t="s">
        <v>212</v>
      </c>
      <c r="C696" s="288" t="s">
        <v>1660</v>
      </c>
      <c r="D696" s="191"/>
      <c r="E696" s="29">
        <v>4</v>
      </c>
      <c r="F696" s="30" t="s">
        <v>1651</v>
      </c>
      <c r="G696" s="199"/>
      <c r="H696" s="199"/>
      <c r="I696" s="199"/>
      <c r="J696" s="200">
        <f t="shared" ref="J696:J758" si="11">ROUND(I696*H696*G696/1000000,3)</f>
        <v>0</v>
      </c>
      <c r="K696" s="199"/>
      <c r="L696" s="199"/>
      <c r="M696" s="227"/>
      <c r="N696" s="248" t="s">
        <v>1661</v>
      </c>
      <c r="O696" s="227"/>
      <c r="P696" s="227"/>
      <c r="Q696" s="230"/>
      <c r="R696" s="32"/>
      <c r="S696" s="148"/>
      <c r="T696" s="149"/>
      <c r="U696" s="148"/>
      <c r="V696" s="150"/>
    </row>
    <row r="697" spans="1:22" s="151" customFormat="1" ht="25.05" customHeight="1">
      <c r="A697" s="26">
        <v>3</v>
      </c>
      <c r="B697" s="27" t="s">
        <v>212</v>
      </c>
      <c r="C697" s="288" t="s">
        <v>1662</v>
      </c>
      <c r="D697" s="191"/>
      <c r="E697" s="29">
        <v>230</v>
      </c>
      <c r="F697" s="30" t="s">
        <v>1372</v>
      </c>
      <c r="G697" s="199"/>
      <c r="H697" s="199"/>
      <c r="I697" s="199"/>
      <c r="J697" s="200">
        <f t="shared" si="11"/>
        <v>0</v>
      </c>
      <c r="K697" s="199"/>
      <c r="L697" s="199"/>
      <c r="M697" s="227"/>
      <c r="N697" s="248" t="s">
        <v>1663</v>
      </c>
      <c r="O697" s="227"/>
      <c r="P697" s="227"/>
      <c r="Q697" s="230"/>
      <c r="R697" s="32"/>
      <c r="S697" s="148"/>
      <c r="T697" s="149"/>
      <c r="U697" s="148"/>
      <c r="V697" s="150"/>
    </row>
    <row r="698" spans="1:22" s="151" customFormat="1" ht="25.05" customHeight="1">
      <c r="A698" s="26">
        <v>4</v>
      </c>
      <c r="B698" s="27" t="s">
        <v>212</v>
      </c>
      <c r="C698" s="288" t="s">
        <v>1664</v>
      </c>
      <c r="D698" s="191"/>
      <c r="E698" s="29">
        <v>500</v>
      </c>
      <c r="F698" s="30" t="s">
        <v>289</v>
      </c>
      <c r="G698" s="199"/>
      <c r="H698" s="199"/>
      <c r="I698" s="199"/>
      <c r="J698" s="200">
        <f t="shared" si="11"/>
        <v>0</v>
      </c>
      <c r="K698" s="199"/>
      <c r="L698" s="199"/>
      <c r="M698" s="227"/>
      <c r="N698" s="248" t="s">
        <v>1665</v>
      </c>
      <c r="O698" s="227"/>
      <c r="P698" s="227"/>
      <c r="Q698" s="230"/>
      <c r="R698" s="32"/>
      <c r="S698" s="148"/>
      <c r="T698" s="149"/>
      <c r="U698" s="148"/>
      <c r="V698" s="150"/>
    </row>
    <row r="699" spans="1:22" s="151" customFormat="1" ht="25.05" customHeight="1">
      <c r="A699" s="26">
        <v>5</v>
      </c>
      <c r="B699" s="27" t="s">
        <v>212</v>
      </c>
      <c r="C699" s="288" t="s">
        <v>1666</v>
      </c>
      <c r="D699" s="191"/>
      <c r="E699" s="29">
        <v>800</v>
      </c>
      <c r="F699" s="30" t="s">
        <v>1372</v>
      </c>
      <c r="G699" s="199"/>
      <c r="H699" s="199"/>
      <c r="I699" s="199"/>
      <c r="J699" s="200">
        <f t="shared" si="11"/>
        <v>0</v>
      </c>
      <c r="K699" s="199"/>
      <c r="L699" s="199"/>
      <c r="M699" s="227"/>
      <c r="N699" s="248" t="s">
        <v>1667</v>
      </c>
      <c r="O699" s="227"/>
      <c r="P699" s="227"/>
      <c r="Q699" s="230"/>
      <c r="R699" s="32"/>
      <c r="S699" s="148"/>
      <c r="T699" s="149"/>
      <c r="U699" s="148"/>
      <c r="V699" s="150"/>
    </row>
    <row r="700" spans="1:22" s="151" customFormat="1" ht="25.05" customHeight="1">
      <c r="A700" s="26">
        <v>6</v>
      </c>
      <c r="B700" s="27" t="s">
        <v>212</v>
      </c>
      <c r="C700" s="288" t="s">
        <v>1668</v>
      </c>
      <c r="D700" s="191"/>
      <c r="E700" s="29">
        <v>500</v>
      </c>
      <c r="F700" s="30" t="s">
        <v>289</v>
      </c>
      <c r="G700" s="199"/>
      <c r="H700" s="199"/>
      <c r="I700" s="199"/>
      <c r="J700" s="200">
        <f t="shared" si="11"/>
        <v>0</v>
      </c>
      <c r="K700" s="199"/>
      <c r="L700" s="199"/>
      <c r="M700" s="227"/>
      <c r="N700" s="248" t="s">
        <v>1669</v>
      </c>
      <c r="O700" s="227"/>
      <c r="P700" s="227"/>
      <c r="Q700" s="230"/>
      <c r="R700" s="32"/>
      <c r="S700" s="148"/>
      <c r="T700" s="149"/>
      <c r="U700" s="148"/>
      <c r="V700" s="150"/>
    </row>
    <row r="701" spans="1:22" s="151" customFormat="1" ht="25.05" customHeight="1">
      <c r="A701" s="26">
        <v>7</v>
      </c>
      <c r="B701" s="27" t="s">
        <v>212</v>
      </c>
      <c r="C701" s="288" t="s">
        <v>1670</v>
      </c>
      <c r="D701" s="191"/>
      <c r="E701" s="29">
        <v>9</v>
      </c>
      <c r="F701" s="30" t="s">
        <v>1651</v>
      </c>
      <c r="G701" s="199"/>
      <c r="H701" s="199"/>
      <c r="I701" s="199"/>
      <c r="J701" s="200">
        <f t="shared" si="11"/>
        <v>0</v>
      </c>
      <c r="K701" s="199"/>
      <c r="L701" s="199"/>
      <c r="M701" s="227"/>
      <c r="N701" s="248" t="s">
        <v>1671</v>
      </c>
      <c r="O701" s="227"/>
      <c r="P701" s="227"/>
      <c r="Q701" s="230"/>
      <c r="R701" s="32"/>
      <c r="S701" s="148"/>
      <c r="T701" s="149"/>
      <c r="U701" s="148"/>
      <c r="V701" s="150"/>
    </row>
    <row r="702" spans="1:22" s="107" customFormat="1" ht="25.05" customHeight="1">
      <c r="A702" s="264"/>
      <c r="B702" s="265"/>
      <c r="C702" s="289"/>
      <c r="D702" s="203"/>
      <c r="E702" s="266"/>
      <c r="F702" s="202"/>
      <c r="G702" s="267">
        <v>230</v>
      </c>
      <c r="H702" s="267">
        <v>180</v>
      </c>
      <c r="I702" s="268">
        <v>195</v>
      </c>
      <c r="J702" s="269">
        <f>ROUND(I702*H702*G702/1000000,3)</f>
        <v>8.0730000000000004</v>
      </c>
      <c r="K702" s="267">
        <v>586</v>
      </c>
      <c r="L702" s="267">
        <v>950</v>
      </c>
      <c r="M702" s="224"/>
      <c r="N702" s="246"/>
      <c r="O702" s="225"/>
      <c r="P702" s="225"/>
      <c r="Q702" s="247"/>
      <c r="R702" s="32"/>
      <c r="S702" s="33"/>
      <c r="T702" s="34"/>
      <c r="U702" s="33"/>
      <c r="V702" s="106"/>
    </row>
    <row r="703" spans="1:22" s="151" customFormat="1" ht="25.05" customHeight="1">
      <c r="A703" s="26">
        <v>1</v>
      </c>
      <c r="B703" s="27" t="s">
        <v>213</v>
      </c>
      <c r="C703" s="288" t="s">
        <v>1672</v>
      </c>
      <c r="D703" s="191"/>
      <c r="E703" s="29">
        <v>355</v>
      </c>
      <c r="F703" s="30" t="s">
        <v>1372</v>
      </c>
      <c r="G703" s="199"/>
      <c r="H703" s="199"/>
      <c r="I703" s="199"/>
      <c r="J703" s="200">
        <f t="shared" si="11"/>
        <v>0</v>
      </c>
      <c r="K703" s="199"/>
      <c r="L703" s="199"/>
      <c r="M703" s="227"/>
      <c r="N703" s="227"/>
      <c r="O703" s="227"/>
      <c r="P703" s="227"/>
      <c r="Q703" s="230"/>
      <c r="R703" s="32"/>
      <c r="S703" s="148"/>
      <c r="T703" s="149"/>
      <c r="U703" s="148"/>
      <c r="V703" s="150"/>
    </row>
    <row r="704" spans="1:22" s="151" customFormat="1" ht="25.05" customHeight="1">
      <c r="A704" s="26">
        <v>2</v>
      </c>
      <c r="B704" s="27" t="s">
        <v>213</v>
      </c>
      <c r="C704" s="288" t="s">
        <v>1673</v>
      </c>
      <c r="D704" s="191"/>
      <c r="E704" s="29">
        <v>2</v>
      </c>
      <c r="F704" s="30" t="s">
        <v>1372</v>
      </c>
      <c r="G704" s="199"/>
      <c r="H704" s="199"/>
      <c r="I704" s="199"/>
      <c r="J704" s="200">
        <f t="shared" si="11"/>
        <v>0</v>
      </c>
      <c r="K704" s="199"/>
      <c r="L704" s="199"/>
      <c r="M704" s="227"/>
      <c r="N704" s="227"/>
      <c r="O704" s="227"/>
      <c r="P704" s="227"/>
      <c r="Q704" s="230"/>
      <c r="R704" s="32"/>
      <c r="S704" s="148"/>
      <c r="T704" s="149"/>
      <c r="U704" s="148"/>
      <c r="V704" s="150"/>
    </row>
    <row r="705" spans="1:22" s="151" customFormat="1" ht="25.05" customHeight="1">
      <c r="A705" s="26">
        <v>3</v>
      </c>
      <c r="B705" s="27" t="s">
        <v>213</v>
      </c>
      <c r="C705" s="288" t="s">
        <v>1674</v>
      </c>
      <c r="D705" s="191"/>
      <c r="E705" s="29">
        <v>74</v>
      </c>
      <c r="F705" s="30" t="s">
        <v>1372</v>
      </c>
      <c r="G705" s="199"/>
      <c r="H705" s="199"/>
      <c r="I705" s="199"/>
      <c r="J705" s="200">
        <f t="shared" si="11"/>
        <v>0</v>
      </c>
      <c r="K705" s="199"/>
      <c r="L705" s="199"/>
      <c r="M705" s="227"/>
      <c r="N705" s="227"/>
      <c r="O705" s="227"/>
      <c r="P705" s="227"/>
      <c r="Q705" s="230"/>
      <c r="R705" s="32"/>
      <c r="S705" s="148"/>
      <c r="T705" s="149"/>
      <c r="U705" s="148"/>
      <c r="V705" s="150"/>
    </row>
    <row r="706" spans="1:22" s="151" customFormat="1" ht="25.05" customHeight="1">
      <c r="A706" s="26">
        <v>4</v>
      </c>
      <c r="B706" s="27" t="s">
        <v>213</v>
      </c>
      <c r="C706" s="288" t="s">
        <v>1675</v>
      </c>
      <c r="D706" s="191"/>
      <c r="E706" s="29">
        <v>2</v>
      </c>
      <c r="F706" s="30" t="s">
        <v>1372</v>
      </c>
      <c r="G706" s="199"/>
      <c r="H706" s="199"/>
      <c r="I706" s="199"/>
      <c r="J706" s="200">
        <f t="shared" si="11"/>
        <v>0</v>
      </c>
      <c r="K706" s="199"/>
      <c r="L706" s="199"/>
      <c r="M706" s="227"/>
      <c r="N706" s="227"/>
      <c r="O706" s="227"/>
      <c r="P706" s="227"/>
      <c r="Q706" s="230"/>
      <c r="R706" s="32"/>
      <c r="S706" s="148"/>
      <c r="T706" s="149"/>
      <c r="U706" s="148"/>
      <c r="V706" s="150"/>
    </row>
    <row r="707" spans="1:22" s="151" customFormat="1" ht="25.05" customHeight="1">
      <c r="A707" s="26">
        <v>5</v>
      </c>
      <c r="B707" s="27" t="s">
        <v>213</v>
      </c>
      <c r="C707" s="288" t="s">
        <v>1676</v>
      </c>
      <c r="D707" s="191"/>
      <c r="E707" s="29">
        <f>343-7</f>
        <v>336</v>
      </c>
      <c r="F707" s="30" t="s">
        <v>1372</v>
      </c>
      <c r="G707" s="199"/>
      <c r="H707" s="199"/>
      <c r="I707" s="199"/>
      <c r="J707" s="200">
        <f t="shared" si="11"/>
        <v>0</v>
      </c>
      <c r="K707" s="199"/>
      <c r="L707" s="199"/>
      <c r="M707" s="227"/>
      <c r="N707" s="227"/>
      <c r="O707" s="227"/>
      <c r="P707" s="227"/>
      <c r="Q707" s="230"/>
      <c r="R707" s="32"/>
      <c r="S707" s="148"/>
      <c r="T707" s="149"/>
      <c r="U707" s="148"/>
      <c r="V707" s="150"/>
    </row>
    <row r="708" spans="1:22" s="151" customFormat="1" ht="25.05" customHeight="1">
      <c r="A708" s="26">
        <v>6</v>
      </c>
      <c r="B708" s="27" t="s">
        <v>213</v>
      </c>
      <c r="C708" s="288" t="s">
        <v>1677</v>
      </c>
      <c r="D708" s="191"/>
      <c r="E708" s="29">
        <v>13</v>
      </c>
      <c r="F708" s="30" t="s">
        <v>1372</v>
      </c>
      <c r="G708" s="199"/>
      <c r="H708" s="199"/>
      <c r="I708" s="199"/>
      <c r="J708" s="200">
        <f t="shared" si="11"/>
        <v>0</v>
      </c>
      <c r="K708" s="199"/>
      <c r="L708" s="199"/>
      <c r="M708" s="227"/>
      <c r="N708" s="227"/>
      <c r="O708" s="227"/>
      <c r="P708" s="227"/>
      <c r="Q708" s="230"/>
      <c r="R708" s="32"/>
      <c r="S708" s="148"/>
      <c r="T708" s="149"/>
      <c r="U708" s="148"/>
      <c r="V708" s="150"/>
    </row>
    <row r="709" spans="1:22" s="151" customFormat="1" ht="25.05" customHeight="1">
      <c r="A709" s="26">
        <v>7</v>
      </c>
      <c r="B709" s="27" t="s">
        <v>213</v>
      </c>
      <c r="C709" s="288" t="s">
        <v>1678</v>
      </c>
      <c r="D709" s="191"/>
      <c r="E709" s="29">
        <v>1</v>
      </c>
      <c r="F709" s="30" t="s">
        <v>1372</v>
      </c>
      <c r="G709" s="199"/>
      <c r="H709" s="199"/>
      <c r="I709" s="199"/>
      <c r="J709" s="200">
        <f t="shared" si="11"/>
        <v>0</v>
      </c>
      <c r="K709" s="199"/>
      <c r="L709" s="199"/>
      <c r="M709" s="227"/>
      <c r="N709" s="227"/>
      <c r="O709" s="227"/>
      <c r="P709" s="227"/>
      <c r="Q709" s="230"/>
      <c r="R709" s="32"/>
      <c r="S709" s="148"/>
      <c r="T709" s="149"/>
      <c r="U709" s="148"/>
      <c r="V709" s="150"/>
    </row>
    <row r="710" spans="1:22" s="151" customFormat="1" ht="25.05" customHeight="1">
      <c r="A710" s="26">
        <v>8</v>
      </c>
      <c r="B710" s="27" t="s">
        <v>213</v>
      </c>
      <c r="C710" s="288" t="s">
        <v>1679</v>
      </c>
      <c r="D710" s="191"/>
      <c r="E710" s="29">
        <v>1</v>
      </c>
      <c r="F710" s="30" t="s">
        <v>1372</v>
      </c>
      <c r="G710" s="199"/>
      <c r="H710" s="199"/>
      <c r="I710" s="199"/>
      <c r="J710" s="200">
        <f t="shared" si="11"/>
        <v>0</v>
      </c>
      <c r="K710" s="199"/>
      <c r="L710" s="199"/>
      <c r="M710" s="227"/>
      <c r="N710" s="227"/>
      <c r="O710" s="227"/>
      <c r="P710" s="227"/>
      <c r="Q710" s="230"/>
      <c r="R710" s="32"/>
      <c r="S710" s="148"/>
      <c r="T710" s="149"/>
      <c r="U710" s="148"/>
      <c r="V710" s="150"/>
    </row>
    <row r="711" spans="1:22" s="151" customFormat="1" ht="25.05" customHeight="1">
      <c r="A711" s="26">
        <v>9</v>
      </c>
      <c r="B711" s="27" t="s">
        <v>213</v>
      </c>
      <c r="C711" s="288" t="s">
        <v>1680</v>
      </c>
      <c r="D711" s="191"/>
      <c r="E711" s="29">
        <v>1</v>
      </c>
      <c r="F711" s="30" t="s">
        <v>1372</v>
      </c>
      <c r="G711" s="199"/>
      <c r="H711" s="199"/>
      <c r="I711" s="199"/>
      <c r="J711" s="200">
        <f t="shared" si="11"/>
        <v>0</v>
      </c>
      <c r="K711" s="199"/>
      <c r="L711" s="199"/>
      <c r="M711" s="227"/>
      <c r="N711" s="227"/>
      <c r="O711" s="227"/>
      <c r="P711" s="227"/>
      <c r="Q711" s="230"/>
      <c r="R711" s="32"/>
      <c r="S711" s="148"/>
      <c r="T711" s="149"/>
      <c r="U711" s="148"/>
      <c r="V711" s="150"/>
    </row>
    <row r="712" spans="1:22" s="107" customFormat="1" ht="25.05" customHeight="1">
      <c r="A712" s="264"/>
      <c r="B712" s="265"/>
      <c r="C712" s="289"/>
      <c r="D712" s="203"/>
      <c r="E712" s="266"/>
      <c r="F712" s="202"/>
      <c r="G712" s="267">
        <v>290</v>
      </c>
      <c r="H712" s="267">
        <v>240</v>
      </c>
      <c r="I712" s="268">
        <v>254</v>
      </c>
      <c r="J712" s="269">
        <f>ROUND(I712*H712*G712/1000000,3)</f>
        <v>17.678000000000001</v>
      </c>
      <c r="K712" s="267">
        <f>L712-200</f>
        <v>1200</v>
      </c>
      <c r="L712" s="267">
        <v>1400</v>
      </c>
      <c r="M712" s="224"/>
      <c r="N712" s="246"/>
      <c r="O712" s="225"/>
      <c r="P712" s="225"/>
      <c r="Q712" s="247"/>
      <c r="R712" s="32"/>
      <c r="S712" s="33"/>
      <c r="T712" s="34"/>
      <c r="U712" s="33"/>
      <c r="V712" s="106"/>
    </row>
    <row r="713" spans="1:22" s="151" customFormat="1" ht="25.05" customHeight="1">
      <c r="A713" s="26">
        <v>1</v>
      </c>
      <c r="B713" s="27" t="s">
        <v>214</v>
      </c>
      <c r="C713" s="288" t="s">
        <v>1681</v>
      </c>
      <c r="D713" s="191"/>
      <c r="E713" s="29">
        <v>64</v>
      </c>
      <c r="F713" s="30" t="s">
        <v>1372</v>
      </c>
      <c r="G713" s="199"/>
      <c r="H713" s="199"/>
      <c r="I713" s="199"/>
      <c r="J713" s="200">
        <f t="shared" si="11"/>
        <v>0</v>
      </c>
      <c r="K713" s="199"/>
      <c r="L713" s="199"/>
      <c r="M713" s="227"/>
      <c r="N713" s="227"/>
      <c r="O713" s="227"/>
      <c r="P713" s="227"/>
      <c r="Q713" s="230"/>
      <c r="R713" s="32"/>
      <c r="S713" s="148"/>
      <c r="T713" s="149"/>
      <c r="U713" s="148"/>
      <c r="V713" s="150"/>
    </row>
    <row r="714" spans="1:22" s="107" customFormat="1" ht="25.05" customHeight="1">
      <c r="A714" s="264"/>
      <c r="B714" s="265"/>
      <c r="C714" s="289"/>
      <c r="D714" s="203"/>
      <c r="E714" s="266"/>
      <c r="F714" s="202"/>
      <c r="G714" s="267">
        <v>250</v>
      </c>
      <c r="H714" s="267">
        <v>250</v>
      </c>
      <c r="I714" s="268">
        <v>173</v>
      </c>
      <c r="J714" s="269">
        <f>ROUND(I714*H714*G714/1000000,3)</f>
        <v>10.813000000000001</v>
      </c>
      <c r="K714" s="267">
        <f>L714-200</f>
        <v>500</v>
      </c>
      <c r="L714" s="267">
        <v>700</v>
      </c>
      <c r="M714" s="224"/>
      <c r="N714" s="246"/>
      <c r="O714" s="225"/>
      <c r="P714" s="225"/>
      <c r="Q714" s="247"/>
      <c r="R714" s="32"/>
      <c r="S714" s="33"/>
      <c r="T714" s="34"/>
      <c r="U714" s="33"/>
      <c r="V714" s="106"/>
    </row>
    <row r="715" spans="1:22" s="151" customFormat="1" ht="25.05" customHeight="1">
      <c r="A715" s="26">
        <v>1</v>
      </c>
      <c r="B715" s="27" t="s">
        <v>215</v>
      </c>
      <c r="C715" s="288" t="s">
        <v>1676</v>
      </c>
      <c r="D715" s="191"/>
      <c r="E715" s="29">
        <v>7</v>
      </c>
      <c r="F715" s="30" t="s">
        <v>1372</v>
      </c>
      <c r="G715" s="199"/>
      <c r="H715" s="199"/>
      <c r="I715" s="199"/>
      <c r="J715" s="200">
        <f t="shared" si="11"/>
        <v>0</v>
      </c>
      <c r="K715" s="199"/>
      <c r="L715" s="199"/>
      <c r="M715" s="227"/>
      <c r="N715" s="227"/>
      <c r="O715" s="227"/>
      <c r="P715" s="227"/>
      <c r="Q715" s="230"/>
      <c r="R715" s="32"/>
      <c r="S715" s="148"/>
      <c r="T715" s="149"/>
      <c r="U715" s="148"/>
      <c r="V715" s="150"/>
    </row>
    <row r="716" spans="1:22" s="151" customFormat="1" ht="25.05" customHeight="1">
      <c r="A716" s="26">
        <v>2</v>
      </c>
      <c r="B716" s="27" t="s">
        <v>215</v>
      </c>
      <c r="C716" s="288" t="s">
        <v>1682</v>
      </c>
      <c r="D716" s="191"/>
      <c r="E716" s="29">
        <v>76</v>
      </c>
      <c r="F716" s="30" t="s">
        <v>1372</v>
      </c>
      <c r="G716" s="199"/>
      <c r="H716" s="199"/>
      <c r="I716" s="199"/>
      <c r="J716" s="200">
        <f t="shared" si="11"/>
        <v>0</v>
      </c>
      <c r="K716" s="199"/>
      <c r="L716" s="199"/>
      <c r="M716" s="227"/>
      <c r="N716" s="227"/>
      <c r="O716" s="227"/>
      <c r="P716" s="227"/>
      <c r="Q716" s="230"/>
      <c r="R716" s="32"/>
      <c r="S716" s="148"/>
      <c r="T716" s="149"/>
      <c r="U716" s="148"/>
      <c r="V716" s="150"/>
    </row>
    <row r="717" spans="1:22" s="107" customFormat="1" ht="25.05" customHeight="1">
      <c r="A717" s="264"/>
      <c r="B717" s="265"/>
      <c r="C717" s="289"/>
      <c r="D717" s="203"/>
      <c r="E717" s="266"/>
      <c r="F717" s="202"/>
      <c r="G717" s="267">
        <v>250</v>
      </c>
      <c r="H717" s="267">
        <v>250</v>
      </c>
      <c r="I717" s="268">
        <v>173</v>
      </c>
      <c r="J717" s="269">
        <f>ROUND(I717*H717*G717/1000000,3)</f>
        <v>10.813000000000001</v>
      </c>
      <c r="K717" s="267">
        <f>L717-200</f>
        <v>530</v>
      </c>
      <c r="L717" s="267">
        <v>730</v>
      </c>
      <c r="M717" s="224"/>
      <c r="N717" s="246"/>
      <c r="O717" s="225"/>
      <c r="P717" s="225"/>
      <c r="Q717" s="247"/>
      <c r="R717" s="32"/>
      <c r="S717" s="33"/>
      <c r="T717" s="34"/>
      <c r="U717" s="33"/>
      <c r="V717" s="106"/>
    </row>
    <row r="718" spans="1:22" s="151" customFormat="1" ht="25.05" customHeight="1">
      <c r="A718" s="26">
        <v>1</v>
      </c>
      <c r="B718" s="27" t="s">
        <v>216</v>
      </c>
      <c r="C718" s="288" t="s">
        <v>1683</v>
      </c>
      <c r="D718" s="191"/>
      <c r="E718" s="29">
        <v>240</v>
      </c>
      <c r="F718" s="30" t="s">
        <v>1372</v>
      </c>
      <c r="G718" s="199"/>
      <c r="H718" s="199"/>
      <c r="I718" s="199"/>
      <c r="J718" s="200">
        <f t="shared" si="11"/>
        <v>0</v>
      </c>
      <c r="K718" s="199"/>
      <c r="L718" s="199"/>
      <c r="M718" s="227"/>
      <c r="N718" s="227"/>
      <c r="O718" s="227"/>
      <c r="P718" s="227"/>
      <c r="Q718" s="230"/>
      <c r="R718" s="32"/>
      <c r="S718" s="148"/>
      <c r="T718" s="149"/>
      <c r="U718" s="148"/>
      <c r="V718" s="150"/>
    </row>
    <row r="719" spans="1:22" s="107" customFormat="1" ht="25.05" customHeight="1">
      <c r="A719" s="264"/>
      <c r="B719" s="265"/>
      <c r="C719" s="289"/>
      <c r="D719" s="203"/>
      <c r="E719" s="266"/>
      <c r="F719" s="202"/>
      <c r="G719" s="267">
        <v>240</v>
      </c>
      <c r="H719" s="267">
        <v>180</v>
      </c>
      <c r="I719" s="268">
        <v>254</v>
      </c>
      <c r="J719" s="269">
        <f>ROUND(I719*H719*G719/1000000,3)</f>
        <v>10.973000000000001</v>
      </c>
      <c r="K719" s="267">
        <f>L719-200</f>
        <v>1100</v>
      </c>
      <c r="L719" s="267">
        <v>1300</v>
      </c>
      <c r="M719" s="224"/>
      <c r="N719" s="246"/>
      <c r="O719" s="225"/>
      <c r="P719" s="225"/>
      <c r="Q719" s="247"/>
      <c r="R719" s="32"/>
      <c r="S719" s="33"/>
      <c r="T719" s="34"/>
      <c r="U719" s="33"/>
      <c r="V719" s="106"/>
    </row>
    <row r="720" spans="1:22" s="151" customFormat="1" ht="25.05" customHeight="1">
      <c r="A720" s="26">
        <v>1</v>
      </c>
      <c r="B720" s="27" t="s">
        <v>217</v>
      </c>
      <c r="C720" s="288" t="s">
        <v>1683</v>
      </c>
      <c r="D720" s="191"/>
      <c r="E720" s="29">
        <v>240</v>
      </c>
      <c r="F720" s="30" t="s">
        <v>1372</v>
      </c>
      <c r="G720" s="199"/>
      <c r="H720" s="199"/>
      <c r="I720" s="199"/>
      <c r="J720" s="200">
        <f t="shared" si="11"/>
        <v>0</v>
      </c>
      <c r="K720" s="199"/>
      <c r="L720" s="199"/>
      <c r="M720" s="227"/>
      <c r="N720" s="227"/>
      <c r="O720" s="227"/>
      <c r="P720" s="227"/>
      <c r="Q720" s="230"/>
      <c r="R720" s="32"/>
      <c r="S720" s="148"/>
      <c r="T720" s="149"/>
      <c r="U720" s="148"/>
      <c r="V720" s="150"/>
    </row>
    <row r="721" spans="1:22" s="107" customFormat="1" ht="25.05" customHeight="1">
      <c r="A721" s="264"/>
      <c r="B721" s="265"/>
      <c r="C721" s="289"/>
      <c r="D721" s="203"/>
      <c r="E721" s="266"/>
      <c r="F721" s="202"/>
      <c r="G721" s="267">
        <v>240</v>
      </c>
      <c r="H721" s="267">
        <v>180</v>
      </c>
      <c r="I721" s="268">
        <v>254</v>
      </c>
      <c r="J721" s="269">
        <f>ROUND(I721*H721*G721/1000000,3)</f>
        <v>10.973000000000001</v>
      </c>
      <c r="K721" s="267">
        <f>L721-200</f>
        <v>1100</v>
      </c>
      <c r="L721" s="267">
        <v>1300</v>
      </c>
      <c r="M721" s="224"/>
      <c r="N721" s="246"/>
      <c r="O721" s="225"/>
      <c r="P721" s="225"/>
      <c r="Q721" s="247"/>
      <c r="R721" s="32"/>
      <c r="S721" s="33"/>
      <c r="T721" s="34"/>
      <c r="U721" s="33"/>
      <c r="V721" s="106"/>
    </row>
    <row r="722" spans="1:22" s="151" customFormat="1" ht="25.05" customHeight="1">
      <c r="A722" s="26">
        <v>1</v>
      </c>
      <c r="B722" s="27" t="s">
        <v>218</v>
      </c>
      <c r="C722" s="288" t="s">
        <v>1684</v>
      </c>
      <c r="D722" s="191"/>
      <c r="E722" s="29">
        <v>240</v>
      </c>
      <c r="F722" s="30" t="s">
        <v>1372</v>
      </c>
      <c r="G722" s="199"/>
      <c r="H722" s="199"/>
      <c r="I722" s="199"/>
      <c r="J722" s="200">
        <f t="shared" si="11"/>
        <v>0</v>
      </c>
      <c r="K722" s="199"/>
      <c r="L722" s="199"/>
      <c r="M722" s="227"/>
      <c r="N722" s="227"/>
      <c r="O722" s="227"/>
      <c r="P722" s="227"/>
      <c r="Q722" s="230"/>
      <c r="R722" s="32"/>
      <c r="S722" s="148"/>
      <c r="T722" s="149"/>
      <c r="U722" s="148"/>
      <c r="V722" s="150"/>
    </row>
    <row r="723" spans="1:22" s="107" customFormat="1" ht="25.05" customHeight="1">
      <c r="A723" s="264"/>
      <c r="B723" s="265"/>
      <c r="C723" s="289"/>
      <c r="D723" s="203"/>
      <c r="E723" s="266"/>
      <c r="F723" s="202"/>
      <c r="G723" s="267">
        <v>240</v>
      </c>
      <c r="H723" s="267">
        <v>180</v>
      </c>
      <c r="I723" s="268">
        <v>254</v>
      </c>
      <c r="J723" s="269">
        <f>ROUND(I723*H723*G723/1000000,3)</f>
        <v>10.973000000000001</v>
      </c>
      <c r="K723" s="267">
        <f>L723-200</f>
        <v>970</v>
      </c>
      <c r="L723" s="267">
        <v>1170</v>
      </c>
      <c r="M723" s="224"/>
      <c r="N723" s="246"/>
      <c r="O723" s="225"/>
      <c r="P723" s="225"/>
      <c r="Q723" s="247"/>
      <c r="R723" s="32"/>
      <c r="S723" s="33"/>
      <c r="T723" s="34"/>
      <c r="U723" s="33"/>
      <c r="V723" s="106"/>
    </row>
    <row r="724" spans="1:22" s="151" customFormat="1" ht="25.05" customHeight="1">
      <c r="A724" s="26">
        <v>1</v>
      </c>
      <c r="B724" s="27" t="s">
        <v>219</v>
      </c>
      <c r="C724" s="288" t="s">
        <v>1684</v>
      </c>
      <c r="D724" s="191"/>
      <c r="E724" s="29">
        <v>110</v>
      </c>
      <c r="F724" s="30" t="s">
        <v>1372</v>
      </c>
      <c r="G724" s="199"/>
      <c r="H724" s="199"/>
      <c r="I724" s="199"/>
      <c r="J724" s="200">
        <f t="shared" si="11"/>
        <v>0</v>
      </c>
      <c r="K724" s="199"/>
      <c r="L724" s="199"/>
      <c r="M724" s="227"/>
      <c r="N724" s="227"/>
      <c r="O724" s="227"/>
      <c r="P724" s="227"/>
      <c r="Q724" s="230"/>
      <c r="R724" s="32"/>
      <c r="S724" s="148"/>
      <c r="T724" s="149"/>
      <c r="U724" s="148"/>
      <c r="V724" s="150"/>
    </row>
    <row r="725" spans="1:22" s="107" customFormat="1" ht="25.05" customHeight="1">
      <c r="A725" s="264"/>
      <c r="B725" s="265"/>
      <c r="C725" s="289"/>
      <c r="D725" s="203"/>
      <c r="E725" s="266"/>
      <c r="F725" s="202"/>
      <c r="G725" s="267">
        <v>240</v>
      </c>
      <c r="H725" s="267">
        <v>180</v>
      </c>
      <c r="I725" s="268">
        <v>254</v>
      </c>
      <c r="J725" s="269">
        <f>ROUND(I725*H725*G725/1000000,3)</f>
        <v>10.973000000000001</v>
      </c>
      <c r="K725" s="267">
        <v>500</v>
      </c>
      <c r="L725" s="267">
        <v>585</v>
      </c>
      <c r="M725" s="224"/>
      <c r="N725" s="246"/>
      <c r="O725" s="225"/>
      <c r="P725" s="225"/>
      <c r="Q725" s="247"/>
      <c r="R725" s="32"/>
      <c r="S725" s="33"/>
      <c r="T725" s="34"/>
      <c r="U725" s="33"/>
      <c r="V725" s="106"/>
    </row>
    <row r="726" spans="1:22" s="151" customFormat="1" ht="25.05" customHeight="1">
      <c r="A726" s="26">
        <v>1</v>
      </c>
      <c r="B726" s="27" t="s">
        <v>220</v>
      </c>
      <c r="C726" s="288" t="s">
        <v>1685</v>
      </c>
      <c r="D726" s="191"/>
      <c r="E726" s="29">
        <v>120</v>
      </c>
      <c r="F726" s="30" t="s">
        <v>1372</v>
      </c>
      <c r="G726" s="199"/>
      <c r="H726" s="199"/>
      <c r="I726" s="199"/>
      <c r="J726" s="200">
        <f t="shared" si="11"/>
        <v>0</v>
      </c>
      <c r="K726" s="199"/>
      <c r="L726" s="199"/>
      <c r="M726" s="227"/>
      <c r="N726" s="227"/>
      <c r="O726" s="227"/>
      <c r="P726" s="227"/>
      <c r="Q726" s="230"/>
      <c r="R726" s="32"/>
      <c r="S726" s="148"/>
      <c r="T726" s="149"/>
      <c r="U726" s="148"/>
      <c r="V726" s="150"/>
    </row>
    <row r="727" spans="1:22" s="107" customFormat="1" ht="25.05" customHeight="1">
      <c r="A727" s="264"/>
      <c r="B727" s="265"/>
      <c r="C727" s="289"/>
      <c r="D727" s="203"/>
      <c r="E727" s="266"/>
      <c r="F727" s="202"/>
      <c r="G727" s="267">
        <v>240</v>
      </c>
      <c r="H727" s="267">
        <v>180</v>
      </c>
      <c r="I727" s="268">
        <v>254</v>
      </c>
      <c r="J727" s="269">
        <f>ROUND(I727*H727*G727/1000000,3)</f>
        <v>10.973000000000001</v>
      </c>
      <c r="K727" s="267">
        <f>L727-200</f>
        <v>1000</v>
      </c>
      <c r="L727" s="267">
        <v>1200</v>
      </c>
      <c r="M727" s="224"/>
      <c r="N727" s="246"/>
      <c r="O727" s="225"/>
      <c r="P727" s="225"/>
      <c r="Q727" s="247"/>
      <c r="R727" s="32"/>
      <c r="S727" s="33"/>
      <c r="T727" s="34"/>
      <c r="U727" s="33"/>
      <c r="V727" s="106"/>
    </row>
    <row r="728" spans="1:22" s="151" customFormat="1" ht="25.05" customHeight="1">
      <c r="A728" s="26">
        <v>1</v>
      </c>
      <c r="B728" s="27" t="s">
        <v>221</v>
      </c>
      <c r="C728" s="288" t="s">
        <v>1686</v>
      </c>
      <c r="D728" s="191"/>
      <c r="E728" s="29">
        <v>120</v>
      </c>
      <c r="F728" s="30" t="s">
        <v>1372</v>
      </c>
      <c r="G728" s="199"/>
      <c r="H728" s="199"/>
      <c r="I728" s="199"/>
      <c r="J728" s="200">
        <f t="shared" si="11"/>
        <v>0</v>
      </c>
      <c r="K728" s="199"/>
      <c r="L728" s="199"/>
      <c r="M728" s="227"/>
      <c r="N728" s="227"/>
      <c r="O728" s="227"/>
      <c r="P728" s="227"/>
      <c r="Q728" s="230"/>
      <c r="R728" s="32"/>
      <c r="S728" s="148"/>
      <c r="T728" s="149"/>
      <c r="U728" s="148"/>
      <c r="V728" s="150"/>
    </row>
    <row r="729" spans="1:22" s="107" customFormat="1" ht="25.05" customHeight="1">
      <c r="A729" s="264"/>
      <c r="B729" s="265"/>
      <c r="C729" s="289"/>
      <c r="D729" s="203"/>
      <c r="E729" s="266"/>
      <c r="F729" s="202"/>
      <c r="G729" s="267">
        <v>240</v>
      </c>
      <c r="H729" s="267">
        <v>180</v>
      </c>
      <c r="I729" s="268">
        <v>254</v>
      </c>
      <c r="J729" s="269">
        <f>ROUND(I729*H729*G729/1000000,3)</f>
        <v>10.973000000000001</v>
      </c>
      <c r="K729" s="267">
        <f>L729-200</f>
        <v>970</v>
      </c>
      <c r="L729" s="267">
        <v>1170</v>
      </c>
      <c r="M729" s="224"/>
      <c r="N729" s="246"/>
      <c r="O729" s="225"/>
      <c r="P729" s="225"/>
      <c r="Q729" s="247"/>
      <c r="R729" s="32"/>
      <c r="S729" s="33"/>
      <c r="T729" s="34"/>
      <c r="U729" s="33"/>
      <c r="V729" s="106"/>
    </row>
    <row r="730" spans="1:22" s="151" customFormat="1" ht="25.05" customHeight="1">
      <c r="A730" s="26">
        <v>1</v>
      </c>
      <c r="B730" s="27" t="s">
        <v>222</v>
      </c>
      <c r="C730" s="288" t="s">
        <v>1686</v>
      </c>
      <c r="D730" s="191"/>
      <c r="E730" s="29">
        <v>110</v>
      </c>
      <c r="F730" s="30" t="s">
        <v>1372</v>
      </c>
      <c r="G730" s="199"/>
      <c r="H730" s="199"/>
      <c r="I730" s="199"/>
      <c r="J730" s="200">
        <f t="shared" si="11"/>
        <v>0</v>
      </c>
      <c r="K730" s="199"/>
      <c r="L730" s="199"/>
      <c r="M730" s="227"/>
      <c r="N730" s="227"/>
      <c r="O730" s="227"/>
      <c r="P730" s="227"/>
      <c r="Q730" s="230"/>
      <c r="R730" s="32"/>
      <c r="S730" s="148"/>
      <c r="T730" s="149"/>
      <c r="U730" s="148"/>
      <c r="V730" s="150"/>
    </row>
    <row r="731" spans="1:22" s="107" customFormat="1" ht="25.05" customHeight="1">
      <c r="A731" s="264"/>
      <c r="B731" s="265"/>
      <c r="C731" s="289"/>
      <c r="D731" s="203"/>
      <c r="E731" s="266"/>
      <c r="F731" s="202"/>
      <c r="G731" s="267">
        <v>240</v>
      </c>
      <c r="H731" s="267">
        <v>180</v>
      </c>
      <c r="I731" s="268">
        <v>254</v>
      </c>
      <c r="J731" s="269">
        <f>ROUND(I731*H731*G731/1000000,3)</f>
        <v>10.973000000000001</v>
      </c>
      <c r="K731" s="267">
        <f>L731-200</f>
        <v>900</v>
      </c>
      <c r="L731" s="267">
        <v>1100</v>
      </c>
      <c r="M731" s="224"/>
      <c r="N731" s="246"/>
      <c r="O731" s="225"/>
      <c r="P731" s="225"/>
      <c r="Q731" s="247"/>
      <c r="R731" s="32"/>
      <c r="S731" s="33"/>
      <c r="T731" s="34"/>
      <c r="U731" s="33"/>
      <c r="V731" s="106"/>
    </row>
    <row r="732" spans="1:22" s="151" customFormat="1" ht="25.05" customHeight="1">
      <c r="A732" s="26">
        <v>1</v>
      </c>
      <c r="B732" s="27" t="s">
        <v>223</v>
      </c>
      <c r="C732" s="288" t="s">
        <v>1687</v>
      </c>
      <c r="D732" s="191"/>
      <c r="E732" s="29">
        <v>1420</v>
      </c>
      <c r="F732" s="30" t="s">
        <v>1372</v>
      </c>
      <c r="G732" s="199"/>
      <c r="H732" s="199"/>
      <c r="I732" s="199"/>
      <c r="J732" s="200">
        <f t="shared" si="11"/>
        <v>0</v>
      </c>
      <c r="K732" s="199"/>
      <c r="L732" s="199"/>
      <c r="M732" s="227"/>
      <c r="N732" s="227"/>
      <c r="O732" s="227"/>
      <c r="P732" s="227"/>
      <c r="Q732" s="230"/>
      <c r="R732" s="32"/>
      <c r="S732" s="148"/>
      <c r="T732" s="149"/>
      <c r="U732" s="148"/>
      <c r="V732" s="150"/>
    </row>
    <row r="733" spans="1:22" s="107" customFormat="1" ht="25.05" customHeight="1">
      <c r="A733" s="264"/>
      <c r="B733" s="265"/>
      <c r="C733" s="289"/>
      <c r="D733" s="203"/>
      <c r="E733" s="266"/>
      <c r="F733" s="202"/>
      <c r="G733" s="267">
        <v>131</v>
      </c>
      <c r="H733" s="267">
        <v>156</v>
      </c>
      <c r="I733" s="268">
        <v>166</v>
      </c>
      <c r="J733" s="269">
        <f>ROUND(I733*H733*G733/1000000,3)</f>
        <v>3.3919999999999999</v>
      </c>
      <c r="K733" s="267">
        <f>L733-200</f>
        <v>2550</v>
      </c>
      <c r="L733" s="267">
        <v>2750</v>
      </c>
      <c r="M733" s="224"/>
      <c r="N733" s="246"/>
      <c r="O733" s="225"/>
      <c r="P733" s="225"/>
      <c r="Q733" s="247"/>
      <c r="R733" s="32"/>
      <c r="S733" s="33"/>
      <c r="T733" s="34"/>
      <c r="U733" s="33"/>
      <c r="V733" s="106"/>
    </row>
    <row r="734" spans="1:22" s="151" customFormat="1" ht="25.05" customHeight="1">
      <c r="A734" s="26">
        <v>1</v>
      </c>
      <c r="B734" s="27" t="s">
        <v>224</v>
      </c>
      <c r="C734" s="288" t="s">
        <v>1687</v>
      </c>
      <c r="D734" s="191"/>
      <c r="E734" s="29">
        <v>476</v>
      </c>
      <c r="F734" s="30" t="s">
        <v>1372</v>
      </c>
      <c r="G734" s="199"/>
      <c r="H734" s="199"/>
      <c r="I734" s="199"/>
      <c r="J734" s="200">
        <f t="shared" si="11"/>
        <v>0</v>
      </c>
      <c r="K734" s="199"/>
      <c r="L734" s="199"/>
      <c r="M734" s="227"/>
      <c r="N734" s="248" t="s">
        <v>1688</v>
      </c>
      <c r="O734" s="227"/>
      <c r="P734" s="227"/>
      <c r="Q734" s="230"/>
      <c r="R734" s="32"/>
      <c r="S734" s="148"/>
      <c r="T734" s="149"/>
      <c r="U734" s="148"/>
      <c r="V734" s="150"/>
    </row>
    <row r="735" spans="1:22" s="151" customFormat="1" ht="25.05" customHeight="1">
      <c r="A735" s="26">
        <v>2</v>
      </c>
      <c r="B735" s="27" t="s">
        <v>224</v>
      </c>
      <c r="C735" s="288" t="s">
        <v>1689</v>
      </c>
      <c r="D735" s="191"/>
      <c r="E735" s="29">
        <v>8950</v>
      </c>
      <c r="F735" s="30" t="s">
        <v>1372</v>
      </c>
      <c r="G735" s="199"/>
      <c r="H735" s="199"/>
      <c r="I735" s="199"/>
      <c r="J735" s="200">
        <f t="shared" si="11"/>
        <v>0</v>
      </c>
      <c r="K735" s="199"/>
      <c r="L735" s="199"/>
      <c r="M735" s="227"/>
      <c r="N735" s="248" t="s">
        <v>1690</v>
      </c>
      <c r="O735" s="227"/>
      <c r="P735" s="227"/>
      <c r="Q735" s="230"/>
      <c r="R735" s="32"/>
      <c r="S735" s="148"/>
      <c r="T735" s="149"/>
      <c r="U735" s="148"/>
      <c r="V735" s="150"/>
    </row>
    <row r="736" spans="1:22" s="151" customFormat="1" ht="25.05" customHeight="1">
      <c r="A736" s="26">
        <v>3</v>
      </c>
      <c r="B736" s="27" t="s">
        <v>224</v>
      </c>
      <c r="C736" s="288" t="s">
        <v>1691</v>
      </c>
      <c r="D736" s="191"/>
      <c r="E736" s="29">
        <v>5270</v>
      </c>
      <c r="F736" s="30" t="s">
        <v>1372</v>
      </c>
      <c r="G736" s="199"/>
      <c r="H736" s="199"/>
      <c r="I736" s="199"/>
      <c r="J736" s="200">
        <f t="shared" si="11"/>
        <v>0</v>
      </c>
      <c r="K736" s="199"/>
      <c r="L736" s="199"/>
      <c r="M736" s="227"/>
      <c r="N736" s="248" t="s">
        <v>1692</v>
      </c>
      <c r="O736" s="227"/>
      <c r="P736" s="227"/>
      <c r="Q736" s="230"/>
      <c r="R736" s="32"/>
      <c r="S736" s="148"/>
      <c r="T736" s="149"/>
      <c r="U736" s="148"/>
      <c r="V736" s="150"/>
    </row>
    <row r="737" spans="1:22" s="151" customFormat="1" ht="25.05" customHeight="1">
      <c r="A737" s="26">
        <v>4</v>
      </c>
      <c r="B737" s="27" t="s">
        <v>224</v>
      </c>
      <c r="C737" s="288" t="s">
        <v>1693</v>
      </c>
      <c r="D737" s="191"/>
      <c r="E737" s="29">
        <v>6800</v>
      </c>
      <c r="F737" s="30" t="s">
        <v>1417</v>
      </c>
      <c r="G737" s="199"/>
      <c r="H737" s="199"/>
      <c r="I737" s="199"/>
      <c r="J737" s="200">
        <f t="shared" si="11"/>
        <v>0</v>
      </c>
      <c r="K737" s="199"/>
      <c r="L737" s="199"/>
      <c r="M737" s="227"/>
      <c r="N737" s="248" t="s">
        <v>1694</v>
      </c>
      <c r="O737" s="227"/>
      <c r="P737" s="227"/>
      <c r="Q737" s="230"/>
      <c r="R737" s="32"/>
      <c r="S737" s="148"/>
      <c r="T737" s="149"/>
      <c r="U737" s="148"/>
      <c r="V737" s="150"/>
    </row>
    <row r="738" spans="1:22" s="151" customFormat="1" ht="25.05" customHeight="1">
      <c r="A738" s="26">
        <v>5</v>
      </c>
      <c r="B738" s="27" t="s">
        <v>224</v>
      </c>
      <c r="C738" s="288" t="s">
        <v>1695</v>
      </c>
      <c r="D738" s="191"/>
      <c r="E738" s="29">
        <v>7800</v>
      </c>
      <c r="F738" s="30" t="s">
        <v>1417</v>
      </c>
      <c r="G738" s="199"/>
      <c r="H738" s="199"/>
      <c r="I738" s="199"/>
      <c r="J738" s="200">
        <f t="shared" si="11"/>
        <v>0</v>
      </c>
      <c r="K738" s="199"/>
      <c r="L738" s="199"/>
      <c r="M738" s="227"/>
      <c r="N738" s="248" t="s">
        <v>1696</v>
      </c>
      <c r="O738" s="227"/>
      <c r="P738" s="227"/>
      <c r="Q738" s="230"/>
      <c r="R738" s="32"/>
      <c r="S738" s="148"/>
      <c r="T738" s="149"/>
      <c r="U738" s="148"/>
      <c r="V738" s="150"/>
    </row>
    <row r="739" spans="1:22" s="151" customFormat="1" ht="25.05" customHeight="1">
      <c r="A739" s="26">
        <v>6</v>
      </c>
      <c r="B739" s="27" t="s">
        <v>224</v>
      </c>
      <c r="C739" s="288" t="s">
        <v>1697</v>
      </c>
      <c r="D739" s="191"/>
      <c r="E739" s="29">
        <v>185</v>
      </c>
      <c r="F739" s="30" t="s">
        <v>1417</v>
      </c>
      <c r="G739" s="199"/>
      <c r="H739" s="199"/>
      <c r="I739" s="199"/>
      <c r="J739" s="200">
        <f t="shared" si="11"/>
        <v>0</v>
      </c>
      <c r="K739" s="199"/>
      <c r="L739" s="199"/>
      <c r="M739" s="227"/>
      <c r="N739" s="248" t="s">
        <v>1698</v>
      </c>
      <c r="O739" s="227"/>
      <c r="P739" s="227"/>
      <c r="Q739" s="230"/>
      <c r="R739" s="32"/>
      <c r="S739" s="148"/>
      <c r="T739" s="149"/>
      <c r="U739" s="148"/>
      <c r="V739" s="150"/>
    </row>
    <row r="740" spans="1:22" s="151" customFormat="1" ht="25.05" customHeight="1">
      <c r="A740" s="26">
        <v>7</v>
      </c>
      <c r="B740" s="27" t="s">
        <v>224</v>
      </c>
      <c r="C740" s="288" t="s">
        <v>1699</v>
      </c>
      <c r="D740" s="191"/>
      <c r="E740" s="29">
        <v>800</v>
      </c>
      <c r="F740" s="30" t="s">
        <v>1417</v>
      </c>
      <c r="G740" s="199"/>
      <c r="H740" s="199"/>
      <c r="I740" s="199"/>
      <c r="J740" s="200">
        <f t="shared" si="11"/>
        <v>0</v>
      </c>
      <c r="K740" s="199"/>
      <c r="L740" s="199"/>
      <c r="M740" s="227"/>
      <c r="N740" s="248" t="s">
        <v>1700</v>
      </c>
      <c r="O740" s="227"/>
      <c r="P740" s="227"/>
      <c r="Q740" s="230"/>
      <c r="R740" s="32"/>
      <c r="S740" s="148"/>
      <c r="T740" s="149"/>
      <c r="U740" s="148"/>
      <c r="V740" s="150"/>
    </row>
    <row r="741" spans="1:22" s="151" customFormat="1" ht="25.05" customHeight="1">
      <c r="A741" s="26">
        <v>8</v>
      </c>
      <c r="B741" s="27" t="s">
        <v>224</v>
      </c>
      <c r="C741" s="288" t="s">
        <v>1701</v>
      </c>
      <c r="D741" s="191"/>
      <c r="E741" s="29">
        <v>354</v>
      </c>
      <c r="F741" s="30" t="s">
        <v>1417</v>
      </c>
      <c r="G741" s="199"/>
      <c r="H741" s="199"/>
      <c r="I741" s="199"/>
      <c r="J741" s="200">
        <f t="shared" si="11"/>
        <v>0</v>
      </c>
      <c r="K741" s="199"/>
      <c r="L741" s="199"/>
      <c r="M741" s="227"/>
      <c r="N741" s="248" t="s">
        <v>1702</v>
      </c>
      <c r="O741" s="227"/>
      <c r="P741" s="227"/>
      <c r="Q741" s="230"/>
      <c r="R741" s="32"/>
      <c r="S741" s="148"/>
      <c r="T741" s="149"/>
      <c r="U741" s="148"/>
      <c r="V741" s="150"/>
    </row>
    <row r="742" spans="1:22" s="107" customFormat="1" ht="25.05" customHeight="1">
      <c r="A742" s="264"/>
      <c r="B742" s="265"/>
      <c r="C742" s="289"/>
      <c r="D742" s="203"/>
      <c r="E742" s="266"/>
      <c r="F742" s="202"/>
      <c r="G742" s="267">
        <v>221</v>
      </c>
      <c r="H742" s="267">
        <v>135</v>
      </c>
      <c r="I742" s="268">
        <v>135</v>
      </c>
      <c r="J742" s="269">
        <f>ROUND(I742*H742*G742/1000000,3)</f>
        <v>4.0279999999999996</v>
      </c>
      <c r="K742" s="267">
        <f>L742-200</f>
        <v>1300</v>
      </c>
      <c r="L742" s="267">
        <v>1500</v>
      </c>
      <c r="M742" s="224"/>
      <c r="N742" s="246"/>
      <c r="O742" s="225"/>
      <c r="P742" s="225"/>
      <c r="Q742" s="247"/>
      <c r="R742" s="32"/>
      <c r="S742" s="33"/>
      <c r="T742" s="34"/>
      <c r="U742" s="33"/>
      <c r="V742" s="106"/>
    </row>
    <row r="743" spans="1:22" s="151" customFormat="1" ht="25.05" customHeight="1">
      <c r="A743" s="26">
        <v>1</v>
      </c>
      <c r="B743" s="27" t="s">
        <v>225</v>
      </c>
      <c r="C743" s="288" t="s">
        <v>1703</v>
      </c>
      <c r="D743" s="191"/>
      <c r="E743" s="29">
        <v>4</v>
      </c>
      <c r="F743" s="30" t="s">
        <v>1704</v>
      </c>
      <c r="G743" s="199"/>
      <c r="H743" s="199"/>
      <c r="I743" s="199"/>
      <c r="J743" s="200">
        <f t="shared" si="11"/>
        <v>0</v>
      </c>
      <c r="K743" s="199"/>
      <c r="L743" s="199"/>
      <c r="M743" s="227"/>
      <c r="N743" s="227"/>
      <c r="O743" s="227"/>
      <c r="P743" s="227"/>
      <c r="Q743" s="230"/>
      <c r="R743" s="32"/>
      <c r="S743" s="148"/>
      <c r="T743" s="149"/>
      <c r="U743" s="148"/>
      <c r="V743" s="150"/>
    </row>
    <row r="744" spans="1:22" s="151" customFormat="1" ht="25.05" customHeight="1">
      <c r="A744" s="26">
        <v>2</v>
      </c>
      <c r="B744" s="27" t="s">
        <v>225</v>
      </c>
      <c r="C744" s="288" t="s">
        <v>1705</v>
      </c>
      <c r="D744" s="191"/>
      <c r="E744" s="29">
        <v>1</v>
      </c>
      <c r="F744" s="30" t="s">
        <v>1704</v>
      </c>
      <c r="G744" s="199"/>
      <c r="H744" s="199"/>
      <c r="I744" s="199"/>
      <c r="J744" s="200">
        <f t="shared" si="11"/>
        <v>0</v>
      </c>
      <c r="K744" s="199"/>
      <c r="L744" s="199"/>
      <c r="M744" s="227"/>
      <c r="N744" s="227"/>
      <c r="O744" s="227"/>
      <c r="P744" s="227"/>
      <c r="Q744" s="230"/>
      <c r="R744" s="32"/>
      <c r="S744" s="148"/>
      <c r="T744" s="149"/>
      <c r="U744" s="148"/>
      <c r="V744" s="150"/>
    </row>
    <row r="745" spans="1:22" s="151" customFormat="1" ht="25.05" customHeight="1">
      <c r="A745" s="26">
        <v>3</v>
      </c>
      <c r="B745" s="27" t="s">
        <v>225</v>
      </c>
      <c r="C745" s="288" t="s">
        <v>1705</v>
      </c>
      <c r="D745" s="191"/>
      <c r="E745" s="29">
        <v>1</v>
      </c>
      <c r="F745" s="30" t="s">
        <v>1704</v>
      </c>
      <c r="G745" s="199"/>
      <c r="H745" s="199"/>
      <c r="I745" s="199"/>
      <c r="J745" s="200">
        <f t="shared" si="11"/>
        <v>0</v>
      </c>
      <c r="K745" s="199"/>
      <c r="L745" s="199"/>
      <c r="M745" s="227"/>
      <c r="N745" s="227"/>
      <c r="O745" s="227"/>
      <c r="P745" s="227"/>
      <c r="Q745" s="230"/>
      <c r="R745" s="32"/>
      <c r="S745" s="148"/>
      <c r="T745" s="149"/>
      <c r="U745" s="148"/>
      <c r="V745" s="150"/>
    </row>
    <row r="746" spans="1:22" s="151" customFormat="1" ht="25.05" customHeight="1">
      <c r="A746" s="26">
        <v>4</v>
      </c>
      <c r="B746" s="27" t="s">
        <v>225</v>
      </c>
      <c r="C746" s="288" t="s">
        <v>1705</v>
      </c>
      <c r="D746" s="191"/>
      <c r="E746" s="29">
        <v>1</v>
      </c>
      <c r="F746" s="30" t="s">
        <v>1704</v>
      </c>
      <c r="G746" s="199"/>
      <c r="H746" s="199"/>
      <c r="I746" s="199"/>
      <c r="J746" s="200">
        <f t="shared" si="11"/>
        <v>0</v>
      </c>
      <c r="K746" s="199"/>
      <c r="L746" s="199"/>
      <c r="M746" s="227"/>
      <c r="N746" s="227"/>
      <c r="O746" s="227"/>
      <c r="P746" s="227"/>
      <c r="Q746" s="230"/>
      <c r="R746" s="32"/>
      <c r="S746" s="148"/>
      <c r="T746" s="149"/>
      <c r="U746" s="148"/>
      <c r="V746" s="150"/>
    </row>
    <row r="747" spans="1:22" s="151" customFormat="1" ht="25.05" customHeight="1">
      <c r="A747" s="26">
        <v>5</v>
      </c>
      <c r="B747" s="27" t="s">
        <v>225</v>
      </c>
      <c r="C747" s="288" t="s">
        <v>1705</v>
      </c>
      <c r="D747" s="191"/>
      <c r="E747" s="29">
        <v>1</v>
      </c>
      <c r="F747" s="30" t="s">
        <v>1704</v>
      </c>
      <c r="G747" s="199"/>
      <c r="H747" s="199"/>
      <c r="I747" s="199"/>
      <c r="J747" s="200">
        <f t="shared" si="11"/>
        <v>0</v>
      </c>
      <c r="K747" s="199"/>
      <c r="L747" s="199"/>
      <c r="M747" s="227"/>
      <c r="N747" s="227"/>
      <c r="O747" s="227"/>
      <c r="P747" s="227"/>
      <c r="Q747" s="230"/>
      <c r="R747" s="32"/>
      <c r="S747" s="148"/>
      <c r="T747" s="149"/>
      <c r="U747" s="148"/>
      <c r="V747" s="150"/>
    </row>
    <row r="748" spans="1:22" s="107" customFormat="1" ht="25.05" customHeight="1">
      <c r="A748" s="264"/>
      <c r="B748" s="265"/>
      <c r="C748" s="289"/>
      <c r="D748" s="203"/>
      <c r="E748" s="266"/>
      <c r="F748" s="202"/>
      <c r="G748" s="267">
        <v>240</v>
      </c>
      <c r="H748" s="267">
        <v>140</v>
      </c>
      <c r="I748" s="268">
        <v>190</v>
      </c>
      <c r="J748" s="269">
        <f>ROUND(I748*H748*G748/1000000,3)</f>
        <v>6.3840000000000003</v>
      </c>
      <c r="K748" s="267">
        <v>400</v>
      </c>
      <c r="L748" s="267">
        <v>500</v>
      </c>
      <c r="M748" s="224"/>
      <c r="N748" s="246"/>
      <c r="O748" s="225"/>
      <c r="P748" s="225"/>
      <c r="Q748" s="247"/>
      <c r="R748" s="32"/>
      <c r="S748" s="33"/>
      <c r="T748" s="34"/>
      <c r="U748" s="33"/>
      <c r="V748" s="106"/>
    </row>
    <row r="749" spans="1:22" s="151" customFormat="1" ht="25.05" customHeight="1">
      <c r="A749" s="26">
        <v>1</v>
      </c>
      <c r="B749" s="27" t="s">
        <v>226</v>
      </c>
      <c r="C749" s="288" t="s">
        <v>1706</v>
      </c>
      <c r="D749" s="191"/>
      <c r="E749" s="29">
        <v>180</v>
      </c>
      <c r="F749" s="30" t="s">
        <v>1393</v>
      </c>
      <c r="G749" s="199"/>
      <c r="H749" s="199"/>
      <c r="I749" s="199"/>
      <c r="J749" s="200">
        <f t="shared" si="11"/>
        <v>0</v>
      </c>
      <c r="K749" s="199"/>
      <c r="L749" s="199"/>
      <c r="M749" s="227"/>
      <c r="N749" s="244" t="s">
        <v>1707</v>
      </c>
      <c r="O749" s="227"/>
      <c r="P749" s="227"/>
      <c r="Q749" s="230"/>
      <c r="R749" s="32"/>
      <c r="S749" s="148"/>
      <c r="T749" s="149"/>
      <c r="U749" s="148"/>
      <c r="V749" s="150"/>
    </row>
    <row r="750" spans="1:22" s="151" customFormat="1" ht="25.05" customHeight="1">
      <c r="A750" s="26">
        <v>2</v>
      </c>
      <c r="B750" s="27" t="s">
        <v>226</v>
      </c>
      <c r="C750" s="288" t="s">
        <v>1655</v>
      </c>
      <c r="D750" s="191"/>
      <c r="E750" s="29">
        <v>85</v>
      </c>
      <c r="F750" s="30" t="s">
        <v>289</v>
      </c>
      <c r="G750" s="199"/>
      <c r="H750" s="199"/>
      <c r="I750" s="199"/>
      <c r="J750" s="200">
        <f t="shared" si="11"/>
        <v>0</v>
      </c>
      <c r="K750" s="199"/>
      <c r="L750" s="199"/>
      <c r="M750" s="227"/>
      <c r="N750" s="244" t="s">
        <v>1708</v>
      </c>
      <c r="O750" s="227"/>
      <c r="P750" s="227"/>
      <c r="Q750" s="230"/>
      <c r="R750" s="32"/>
      <c r="S750" s="148"/>
      <c r="T750" s="149"/>
      <c r="U750" s="148"/>
      <c r="V750" s="150"/>
    </row>
    <row r="751" spans="1:22" s="151" customFormat="1" ht="25.05" customHeight="1">
      <c r="A751" s="26">
        <v>3</v>
      </c>
      <c r="B751" s="27" t="s">
        <v>226</v>
      </c>
      <c r="C751" s="288" t="s">
        <v>1709</v>
      </c>
      <c r="D751" s="191"/>
      <c r="E751" s="29">
        <v>180</v>
      </c>
      <c r="F751" s="30" t="s">
        <v>1372</v>
      </c>
      <c r="G751" s="199"/>
      <c r="H751" s="199"/>
      <c r="I751" s="199"/>
      <c r="J751" s="200">
        <f t="shared" si="11"/>
        <v>0</v>
      </c>
      <c r="K751" s="199"/>
      <c r="L751" s="199"/>
      <c r="M751" s="227"/>
      <c r="N751" s="244" t="s">
        <v>1710</v>
      </c>
      <c r="O751" s="227"/>
      <c r="P751" s="227"/>
      <c r="Q751" s="230"/>
      <c r="R751" s="32"/>
      <c r="S751" s="148"/>
      <c r="T751" s="149"/>
      <c r="U751" s="148"/>
      <c r="V751" s="150"/>
    </row>
    <row r="752" spans="1:22" s="151" customFormat="1" ht="25.05" customHeight="1">
      <c r="A752" s="26">
        <v>4</v>
      </c>
      <c r="B752" s="27" t="s">
        <v>226</v>
      </c>
      <c r="C752" s="288" t="s">
        <v>1711</v>
      </c>
      <c r="D752" s="191"/>
      <c r="E752" s="29">
        <v>2000</v>
      </c>
      <c r="F752" s="30" t="s">
        <v>289</v>
      </c>
      <c r="G752" s="199"/>
      <c r="H752" s="199"/>
      <c r="I752" s="199"/>
      <c r="J752" s="200">
        <f t="shared" si="11"/>
        <v>0</v>
      </c>
      <c r="K752" s="199"/>
      <c r="L752" s="199"/>
      <c r="M752" s="227"/>
      <c r="N752" s="244" t="s">
        <v>1712</v>
      </c>
      <c r="O752" s="227"/>
      <c r="P752" s="227"/>
      <c r="Q752" s="230"/>
      <c r="R752" s="32"/>
      <c r="S752" s="148"/>
      <c r="T752" s="149"/>
      <c r="U752" s="148"/>
      <c r="V752" s="150"/>
    </row>
    <row r="753" spans="1:22" s="151" customFormat="1" ht="25.05" customHeight="1">
      <c r="A753" s="26">
        <v>5</v>
      </c>
      <c r="B753" s="27" t="s">
        <v>226</v>
      </c>
      <c r="C753" s="288" t="s">
        <v>1713</v>
      </c>
      <c r="D753" s="191"/>
      <c r="E753" s="29">
        <v>90</v>
      </c>
      <c r="F753" s="245" t="s">
        <v>1714</v>
      </c>
      <c r="G753" s="199"/>
      <c r="H753" s="199"/>
      <c r="I753" s="199"/>
      <c r="J753" s="200">
        <f t="shared" si="11"/>
        <v>0</v>
      </c>
      <c r="K753" s="199"/>
      <c r="L753" s="199"/>
      <c r="M753" s="227"/>
      <c r="N753" s="244" t="s">
        <v>1715</v>
      </c>
      <c r="O753" s="227"/>
      <c r="P753" s="227"/>
      <c r="Q753" s="230"/>
      <c r="R753" s="32"/>
      <c r="S753" s="148"/>
      <c r="T753" s="149"/>
      <c r="U753" s="148"/>
      <c r="V753" s="150"/>
    </row>
    <row r="754" spans="1:22" s="107" customFormat="1" ht="25.05" customHeight="1">
      <c r="A754" s="264"/>
      <c r="B754" s="265"/>
      <c r="C754" s="289"/>
      <c r="D754" s="203"/>
      <c r="E754" s="266"/>
      <c r="F754" s="202"/>
      <c r="G754" s="267">
        <v>130</v>
      </c>
      <c r="H754" s="267">
        <v>100</v>
      </c>
      <c r="I754" s="268">
        <v>80</v>
      </c>
      <c r="J754" s="269">
        <f>ROUND(I754*H754*G754/1000000,3)</f>
        <v>1.04</v>
      </c>
      <c r="K754" s="267">
        <v>300</v>
      </c>
      <c r="L754" s="267">
        <v>400</v>
      </c>
      <c r="M754" s="224"/>
      <c r="N754" s="246"/>
      <c r="O754" s="225"/>
      <c r="P754" s="225"/>
      <c r="Q754" s="247"/>
      <c r="R754" s="32"/>
      <c r="S754" s="33"/>
      <c r="T754" s="34"/>
      <c r="U754" s="33"/>
      <c r="V754" s="106"/>
    </row>
    <row r="755" spans="1:22" s="151" customFormat="1" ht="25.05" customHeight="1">
      <c r="A755" s="26">
        <v>1</v>
      </c>
      <c r="B755" s="27" t="s">
        <v>2078</v>
      </c>
      <c r="C755" s="288" t="s">
        <v>228</v>
      </c>
      <c r="D755" s="30"/>
      <c r="E755" s="29">
        <v>1</v>
      </c>
      <c r="F755" s="30" t="s">
        <v>289</v>
      </c>
      <c r="G755" s="199"/>
      <c r="H755" s="199"/>
      <c r="I755" s="199"/>
      <c r="J755" s="200">
        <f t="shared" si="11"/>
        <v>0</v>
      </c>
      <c r="K755" s="199">
        <v>2500</v>
      </c>
      <c r="L755" s="199">
        <v>2850</v>
      </c>
      <c r="M755" s="227" t="s">
        <v>1716</v>
      </c>
      <c r="N755" s="227"/>
      <c r="O755" s="227"/>
      <c r="P755" s="227"/>
      <c r="Q755" s="232" t="s">
        <v>1717</v>
      </c>
      <c r="R755" s="32"/>
      <c r="S755" s="148"/>
      <c r="T755" s="149"/>
      <c r="U755" s="148"/>
      <c r="V755" s="150"/>
    </row>
    <row r="756" spans="1:22" s="151" customFormat="1" ht="25.05" customHeight="1">
      <c r="A756" s="264"/>
      <c r="B756" s="265"/>
      <c r="C756" s="289"/>
      <c r="D756" s="202"/>
      <c r="E756" s="266"/>
      <c r="F756" s="202"/>
      <c r="G756" s="269">
        <v>1580</v>
      </c>
      <c r="H756" s="269">
        <v>110</v>
      </c>
      <c r="I756" s="269">
        <v>140</v>
      </c>
      <c r="J756" s="269">
        <f>ROUND(I756*H756*G756/1000000,3)</f>
        <v>24.332000000000001</v>
      </c>
      <c r="K756" s="269">
        <v>2500</v>
      </c>
      <c r="L756" s="269">
        <v>2850</v>
      </c>
      <c r="M756" s="225"/>
      <c r="N756" s="225"/>
      <c r="O756" s="225"/>
      <c r="P756" s="225"/>
      <c r="Q756" s="231"/>
      <c r="R756" s="32"/>
      <c r="S756" s="148"/>
      <c r="T756" s="149"/>
      <c r="U756" s="148"/>
      <c r="V756" s="150"/>
    </row>
    <row r="757" spans="1:22" s="151" customFormat="1" ht="25.05" customHeight="1">
      <c r="A757" s="26">
        <v>1</v>
      </c>
      <c r="B757" s="27" t="s">
        <v>231</v>
      </c>
      <c r="C757" s="288" t="s">
        <v>1718</v>
      </c>
      <c r="D757" s="191"/>
      <c r="E757" s="29">
        <v>2</v>
      </c>
      <c r="F757" s="30" t="s">
        <v>289</v>
      </c>
      <c r="G757" s="199"/>
      <c r="H757" s="199"/>
      <c r="I757" s="199"/>
      <c r="J757" s="200">
        <f t="shared" si="11"/>
        <v>0</v>
      </c>
      <c r="K757" s="199">
        <v>31</v>
      </c>
      <c r="L757" s="199"/>
      <c r="M757" s="227" t="s">
        <v>1716</v>
      </c>
      <c r="N757" s="248" t="s">
        <v>1719</v>
      </c>
      <c r="O757" s="227"/>
      <c r="P757" s="227"/>
      <c r="Q757" s="230"/>
      <c r="R757" s="32"/>
      <c r="S757" s="148"/>
      <c r="T757" s="149"/>
      <c r="U757" s="148"/>
      <c r="V757" s="150"/>
    </row>
    <row r="758" spans="1:22" s="151" customFormat="1" ht="25.05" customHeight="1">
      <c r="A758" s="26">
        <v>2</v>
      </c>
      <c r="B758" s="27" t="s">
        <v>231</v>
      </c>
      <c r="C758" s="288" t="s">
        <v>1720</v>
      </c>
      <c r="D758" s="191"/>
      <c r="E758" s="29">
        <v>12</v>
      </c>
      <c r="F758" s="30" t="s">
        <v>289</v>
      </c>
      <c r="G758" s="199"/>
      <c r="H758" s="199"/>
      <c r="I758" s="199"/>
      <c r="J758" s="200">
        <f t="shared" si="11"/>
        <v>0</v>
      </c>
      <c r="K758" s="199">
        <v>79</v>
      </c>
      <c r="L758" s="199"/>
      <c r="M758" s="227" t="s">
        <v>1716</v>
      </c>
      <c r="N758" s="248" t="s">
        <v>1721</v>
      </c>
      <c r="O758" s="227"/>
      <c r="P758" s="227"/>
      <c r="Q758" s="230"/>
      <c r="R758" s="32"/>
      <c r="S758" s="148"/>
      <c r="T758" s="149"/>
      <c r="U758" s="148"/>
      <c r="V758" s="150"/>
    </row>
    <row r="759" spans="1:22" s="151" customFormat="1" ht="25.05" customHeight="1">
      <c r="A759" s="26">
        <v>3</v>
      </c>
      <c r="B759" s="27" t="s">
        <v>231</v>
      </c>
      <c r="C759" s="288" t="s">
        <v>1722</v>
      </c>
      <c r="D759" s="191"/>
      <c r="E759" s="29">
        <v>48</v>
      </c>
      <c r="F759" s="30" t="s">
        <v>289</v>
      </c>
      <c r="G759" s="199"/>
      <c r="H759" s="199"/>
      <c r="I759" s="199"/>
      <c r="J759" s="200">
        <f t="shared" ref="J759:J822" si="12">ROUND(I759*H759*G759/1000000,3)</f>
        <v>0</v>
      </c>
      <c r="K759" s="199">
        <v>25</v>
      </c>
      <c r="L759" s="199"/>
      <c r="M759" s="227" t="s">
        <v>1716</v>
      </c>
      <c r="N759" s="248" t="s">
        <v>1723</v>
      </c>
      <c r="O759" s="227"/>
      <c r="P759" s="227"/>
      <c r="Q759" s="230"/>
      <c r="R759" s="32"/>
      <c r="S759" s="148"/>
      <c r="T759" s="149"/>
      <c r="U759" s="148"/>
      <c r="V759" s="150"/>
    </row>
    <row r="760" spans="1:22" s="151" customFormat="1" ht="25.05" customHeight="1">
      <c r="A760" s="26">
        <v>4</v>
      </c>
      <c r="B760" s="27" t="s">
        <v>231</v>
      </c>
      <c r="C760" s="288" t="s">
        <v>1724</v>
      </c>
      <c r="D760" s="191"/>
      <c r="E760" s="29">
        <v>12</v>
      </c>
      <c r="F760" s="30" t="s">
        <v>289</v>
      </c>
      <c r="G760" s="199"/>
      <c r="H760" s="199"/>
      <c r="I760" s="199"/>
      <c r="J760" s="200">
        <f t="shared" si="12"/>
        <v>0</v>
      </c>
      <c r="K760" s="199">
        <v>10</v>
      </c>
      <c r="L760" s="199"/>
      <c r="M760" s="227" t="s">
        <v>1716</v>
      </c>
      <c r="N760" s="248" t="s">
        <v>1725</v>
      </c>
      <c r="O760" s="227"/>
      <c r="P760" s="227"/>
      <c r="Q760" s="230"/>
      <c r="R760" s="32"/>
      <c r="S760" s="148"/>
      <c r="T760" s="149"/>
      <c r="U760" s="148"/>
      <c r="V760" s="150"/>
    </row>
    <row r="761" spans="1:22" s="151" customFormat="1" ht="25.05" customHeight="1">
      <c r="A761" s="26">
        <v>5</v>
      </c>
      <c r="B761" s="27" t="s">
        <v>231</v>
      </c>
      <c r="C761" s="288" t="s">
        <v>1726</v>
      </c>
      <c r="D761" s="191"/>
      <c r="E761" s="29">
        <v>1</v>
      </c>
      <c r="F761" s="30" t="s">
        <v>289</v>
      </c>
      <c r="G761" s="199"/>
      <c r="H761" s="199"/>
      <c r="I761" s="199"/>
      <c r="J761" s="200">
        <f t="shared" si="12"/>
        <v>0</v>
      </c>
      <c r="K761" s="199">
        <v>12</v>
      </c>
      <c r="L761" s="199"/>
      <c r="M761" s="227" t="s">
        <v>1716</v>
      </c>
      <c r="N761" s="248" t="s">
        <v>1727</v>
      </c>
      <c r="O761" s="227"/>
      <c r="P761" s="227"/>
      <c r="Q761" s="230"/>
      <c r="R761" s="32"/>
      <c r="S761" s="148"/>
      <c r="T761" s="149"/>
      <c r="U761" s="148"/>
      <c r="V761" s="150"/>
    </row>
    <row r="762" spans="1:22" s="151" customFormat="1" ht="25.05" customHeight="1">
      <c r="A762" s="26">
        <v>6</v>
      </c>
      <c r="B762" s="27" t="s">
        <v>231</v>
      </c>
      <c r="C762" s="288" t="s">
        <v>1728</v>
      </c>
      <c r="D762" s="191"/>
      <c r="E762" s="29">
        <v>1</v>
      </c>
      <c r="F762" s="30" t="s">
        <v>289</v>
      </c>
      <c r="G762" s="199"/>
      <c r="H762" s="199"/>
      <c r="I762" s="199"/>
      <c r="J762" s="200">
        <f t="shared" si="12"/>
        <v>0</v>
      </c>
      <c r="K762" s="199">
        <v>3</v>
      </c>
      <c r="L762" s="199"/>
      <c r="M762" s="227" t="s">
        <v>1716</v>
      </c>
      <c r="N762" s="248" t="s">
        <v>1729</v>
      </c>
      <c r="O762" s="227"/>
      <c r="P762" s="227"/>
      <c r="Q762" s="230"/>
      <c r="R762" s="32"/>
      <c r="S762" s="148"/>
      <c r="T762" s="149"/>
      <c r="U762" s="148"/>
      <c r="V762" s="150"/>
    </row>
    <row r="763" spans="1:22" s="151" customFormat="1" ht="25.05" customHeight="1">
      <c r="A763" s="26">
        <v>7</v>
      </c>
      <c r="B763" s="27" t="s">
        <v>231</v>
      </c>
      <c r="C763" s="288" t="s">
        <v>1730</v>
      </c>
      <c r="D763" s="191"/>
      <c r="E763" s="29">
        <v>1</v>
      </c>
      <c r="F763" s="30" t="s">
        <v>289</v>
      </c>
      <c r="G763" s="199"/>
      <c r="H763" s="199"/>
      <c r="I763" s="199"/>
      <c r="J763" s="200">
        <f t="shared" si="12"/>
        <v>0</v>
      </c>
      <c r="K763" s="199">
        <v>4</v>
      </c>
      <c r="L763" s="199"/>
      <c r="M763" s="227" t="s">
        <v>1716</v>
      </c>
      <c r="N763" s="248" t="s">
        <v>1731</v>
      </c>
      <c r="O763" s="227"/>
      <c r="P763" s="227"/>
      <c r="Q763" s="230"/>
      <c r="R763" s="32"/>
      <c r="S763" s="148"/>
      <c r="T763" s="149"/>
      <c r="U763" s="148"/>
      <c r="V763" s="150"/>
    </row>
    <row r="764" spans="1:22" s="151" customFormat="1" ht="25.05" customHeight="1">
      <c r="A764" s="26">
        <v>8</v>
      </c>
      <c r="B764" s="27" t="s">
        <v>231</v>
      </c>
      <c r="C764" s="288" t="s">
        <v>1732</v>
      </c>
      <c r="D764" s="191"/>
      <c r="E764" s="29">
        <v>1</v>
      </c>
      <c r="F764" s="30" t="s">
        <v>289</v>
      </c>
      <c r="G764" s="199"/>
      <c r="H764" s="199"/>
      <c r="I764" s="199"/>
      <c r="J764" s="200">
        <f t="shared" si="12"/>
        <v>0</v>
      </c>
      <c r="K764" s="199">
        <v>1</v>
      </c>
      <c r="L764" s="199"/>
      <c r="M764" s="227" t="s">
        <v>1716</v>
      </c>
      <c r="N764" s="248" t="s">
        <v>1733</v>
      </c>
      <c r="O764" s="227"/>
      <c r="P764" s="227"/>
      <c r="Q764" s="230"/>
      <c r="R764" s="32"/>
      <c r="S764" s="148"/>
      <c r="T764" s="149"/>
      <c r="U764" s="148"/>
      <c r="V764" s="150"/>
    </row>
    <row r="765" spans="1:22" s="151" customFormat="1" ht="25.05" customHeight="1">
      <c r="A765" s="26">
        <v>9</v>
      </c>
      <c r="B765" s="27" t="s">
        <v>231</v>
      </c>
      <c r="C765" s="288" t="s">
        <v>1734</v>
      </c>
      <c r="D765" s="191"/>
      <c r="E765" s="29">
        <v>1</v>
      </c>
      <c r="F765" s="30" t="s">
        <v>289</v>
      </c>
      <c r="G765" s="199"/>
      <c r="H765" s="199"/>
      <c r="I765" s="199"/>
      <c r="J765" s="200">
        <f t="shared" si="12"/>
        <v>0</v>
      </c>
      <c r="K765" s="199">
        <v>1</v>
      </c>
      <c r="L765" s="199"/>
      <c r="M765" s="227" t="s">
        <v>1716</v>
      </c>
      <c r="N765" s="248" t="s">
        <v>1735</v>
      </c>
      <c r="O765" s="227"/>
      <c r="P765" s="227"/>
      <c r="Q765" s="230"/>
      <c r="R765" s="32"/>
      <c r="S765" s="148"/>
      <c r="T765" s="149"/>
      <c r="U765" s="148"/>
      <c r="V765" s="150"/>
    </row>
    <row r="766" spans="1:22" s="151" customFormat="1" ht="25.05" customHeight="1">
      <c r="A766" s="26">
        <v>10</v>
      </c>
      <c r="B766" s="27" t="s">
        <v>231</v>
      </c>
      <c r="C766" s="288" t="s">
        <v>1736</v>
      </c>
      <c r="D766" s="191"/>
      <c r="E766" s="29">
        <v>10</v>
      </c>
      <c r="F766" s="30" t="s">
        <v>303</v>
      </c>
      <c r="G766" s="199"/>
      <c r="H766" s="199"/>
      <c r="I766" s="199"/>
      <c r="J766" s="200">
        <f t="shared" si="12"/>
        <v>0</v>
      </c>
      <c r="K766" s="199">
        <v>4</v>
      </c>
      <c r="L766" s="199"/>
      <c r="M766" s="227" t="s">
        <v>1716</v>
      </c>
      <c r="N766" s="248" t="s">
        <v>1737</v>
      </c>
      <c r="O766" s="227"/>
      <c r="P766" s="227"/>
      <c r="Q766" s="230"/>
      <c r="R766" s="32"/>
      <c r="S766" s="148"/>
      <c r="T766" s="149"/>
      <c r="U766" s="148"/>
      <c r="V766" s="150"/>
    </row>
    <row r="767" spans="1:22" s="151" customFormat="1" ht="25.05" customHeight="1">
      <c r="A767" s="26">
        <v>11</v>
      </c>
      <c r="B767" s="27" t="s">
        <v>231</v>
      </c>
      <c r="C767" s="288" t="s">
        <v>1738</v>
      </c>
      <c r="D767" s="191"/>
      <c r="E767" s="29">
        <v>6</v>
      </c>
      <c r="F767" s="30" t="s">
        <v>303</v>
      </c>
      <c r="G767" s="199"/>
      <c r="H767" s="199"/>
      <c r="I767" s="199"/>
      <c r="J767" s="200">
        <f t="shared" si="12"/>
        <v>0</v>
      </c>
      <c r="K767" s="199">
        <v>2</v>
      </c>
      <c r="L767" s="199"/>
      <c r="M767" s="227" t="s">
        <v>1716</v>
      </c>
      <c r="N767" s="248" t="s">
        <v>1739</v>
      </c>
      <c r="O767" s="227"/>
      <c r="P767" s="227"/>
      <c r="Q767" s="230"/>
      <c r="R767" s="32"/>
      <c r="S767" s="148"/>
      <c r="T767" s="149"/>
      <c r="U767" s="148"/>
      <c r="V767" s="150"/>
    </row>
    <row r="768" spans="1:22" s="151" customFormat="1" ht="25.05" customHeight="1">
      <c r="A768" s="264"/>
      <c r="B768" s="265"/>
      <c r="C768" s="289"/>
      <c r="D768" s="202"/>
      <c r="E768" s="266"/>
      <c r="F768" s="202"/>
      <c r="G768" s="269">
        <v>110</v>
      </c>
      <c r="H768" s="269">
        <v>130</v>
      </c>
      <c r="I768" s="269">
        <v>125</v>
      </c>
      <c r="J768" s="269">
        <f>ROUND(I768*H768*G768/1000000,3)</f>
        <v>1.788</v>
      </c>
      <c r="K768" s="269">
        <f>SUM(K757:K767)</f>
        <v>172</v>
      </c>
      <c r="L768" s="269">
        <v>372</v>
      </c>
      <c r="M768" s="225"/>
      <c r="N768" s="225"/>
      <c r="O768" s="225"/>
      <c r="P768" s="225"/>
      <c r="Q768" s="231"/>
      <c r="R768" s="32"/>
      <c r="S768" s="148"/>
      <c r="T768" s="149"/>
      <c r="U768" s="148"/>
      <c r="V768" s="150"/>
    </row>
    <row r="769" spans="1:22" s="151" customFormat="1" ht="25.05" customHeight="1">
      <c r="A769" s="26">
        <v>1</v>
      </c>
      <c r="B769" s="27" t="s">
        <v>232</v>
      </c>
      <c r="C769" s="288" t="s">
        <v>233</v>
      </c>
      <c r="D769" s="30"/>
      <c r="E769" s="29">
        <v>1</v>
      </c>
      <c r="F769" s="30" t="s">
        <v>303</v>
      </c>
      <c r="G769" s="60"/>
      <c r="H769" s="60"/>
      <c r="I769" s="108"/>
      <c r="J769" s="152">
        <f t="shared" si="12"/>
        <v>0</v>
      </c>
      <c r="K769" s="60"/>
      <c r="L769" s="60"/>
      <c r="M769" s="234" t="s">
        <v>1740</v>
      </c>
      <c r="N769" s="250"/>
      <c r="O769" s="227"/>
      <c r="P769" s="228"/>
      <c r="Q769" s="249" t="s">
        <v>1741</v>
      </c>
      <c r="R769" s="32"/>
      <c r="S769" s="148"/>
      <c r="T769" s="149"/>
      <c r="U769" s="148"/>
      <c r="V769" s="150"/>
    </row>
    <row r="770" spans="1:22" s="151" customFormat="1" ht="25.05" customHeight="1">
      <c r="A770" s="264"/>
      <c r="B770" s="265"/>
      <c r="C770" s="289"/>
      <c r="D770" s="202"/>
      <c r="E770" s="266"/>
      <c r="F770" s="202"/>
      <c r="G770" s="269">
        <v>1300</v>
      </c>
      <c r="H770" s="269">
        <v>350</v>
      </c>
      <c r="I770" s="269">
        <v>402.5</v>
      </c>
      <c r="J770" s="269">
        <f>ROUND(I770*H770*G770/1000000,3)</f>
        <v>183.13800000000001</v>
      </c>
      <c r="K770" s="269">
        <v>42200</v>
      </c>
      <c r="L770" s="269">
        <v>42700</v>
      </c>
      <c r="M770" s="225"/>
      <c r="N770" s="225"/>
      <c r="O770" s="225"/>
      <c r="P770" s="225"/>
      <c r="Q770" s="233"/>
      <c r="R770" s="32"/>
      <c r="S770" s="148"/>
      <c r="T770" s="149"/>
      <c r="U770" s="148"/>
      <c r="V770" s="150"/>
    </row>
    <row r="771" spans="1:22" s="151" customFormat="1" ht="25.05" customHeight="1">
      <c r="A771" s="26">
        <v>1</v>
      </c>
      <c r="B771" s="27" t="s">
        <v>234</v>
      </c>
      <c r="C771" s="288" t="s">
        <v>233</v>
      </c>
      <c r="D771" s="30"/>
      <c r="E771" s="29">
        <v>1</v>
      </c>
      <c r="F771" s="30" t="s">
        <v>303</v>
      </c>
      <c r="G771" s="60"/>
      <c r="H771" s="60"/>
      <c r="I771" s="108"/>
      <c r="J771" s="152">
        <f t="shared" si="12"/>
        <v>0</v>
      </c>
      <c r="K771" s="60"/>
      <c r="L771" s="60"/>
      <c r="M771" s="234" t="s">
        <v>1740</v>
      </c>
      <c r="N771" s="250"/>
      <c r="O771" s="227"/>
      <c r="P771" s="228"/>
      <c r="Q771" s="232" t="s">
        <v>1742</v>
      </c>
      <c r="R771" s="32"/>
      <c r="S771" s="148"/>
      <c r="T771" s="149"/>
      <c r="U771" s="148"/>
      <c r="V771" s="150"/>
    </row>
    <row r="772" spans="1:22" s="151" customFormat="1" ht="25.05" customHeight="1">
      <c r="A772" s="264"/>
      <c r="B772" s="265"/>
      <c r="C772" s="289"/>
      <c r="D772" s="270"/>
      <c r="E772" s="266"/>
      <c r="F772" s="202"/>
      <c r="G772" s="269">
        <v>1300</v>
      </c>
      <c r="H772" s="269">
        <v>350</v>
      </c>
      <c r="I772" s="268">
        <v>402.5</v>
      </c>
      <c r="J772" s="269">
        <f>ROUND(I772*H772*G772/1000000,3)</f>
        <v>183.13800000000001</v>
      </c>
      <c r="K772" s="269">
        <v>42200</v>
      </c>
      <c r="L772" s="269">
        <v>42700</v>
      </c>
      <c r="M772" s="225"/>
      <c r="N772" s="225"/>
      <c r="O772" s="225"/>
      <c r="P772" s="225"/>
      <c r="Q772" s="233"/>
      <c r="R772" s="32"/>
      <c r="S772" s="148"/>
      <c r="T772" s="149"/>
      <c r="U772" s="148"/>
      <c r="V772" s="150"/>
    </row>
    <row r="773" spans="1:22" s="151" customFormat="1" ht="25.05" customHeight="1">
      <c r="A773" s="26">
        <v>1</v>
      </c>
      <c r="B773" s="27" t="s">
        <v>235</v>
      </c>
      <c r="C773" s="288" t="s">
        <v>1743</v>
      </c>
      <c r="D773" s="30"/>
      <c r="E773" s="29">
        <v>2</v>
      </c>
      <c r="F773" s="30" t="s">
        <v>303</v>
      </c>
      <c r="G773" s="60"/>
      <c r="H773" s="60"/>
      <c r="I773" s="108"/>
      <c r="J773" s="152">
        <f t="shared" si="12"/>
        <v>0</v>
      </c>
      <c r="K773" s="60"/>
      <c r="L773" s="60"/>
      <c r="M773" s="234" t="s">
        <v>1744</v>
      </c>
      <c r="N773" s="248"/>
      <c r="O773" s="227"/>
      <c r="P773" s="228"/>
      <c r="Q773" s="232" t="s">
        <v>1745</v>
      </c>
      <c r="R773" s="32"/>
      <c r="S773" s="148"/>
      <c r="T773" s="149"/>
      <c r="U773" s="148"/>
      <c r="V773" s="150"/>
    </row>
    <row r="774" spans="1:22" s="151" customFormat="1" ht="25.05" customHeight="1">
      <c r="A774" s="26">
        <v>2</v>
      </c>
      <c r="B774" s="27" t="s">
        <v>235</v>
      </c>
      <c r="C774" s="288" t="s">
        <v>1746</v>
      </c>
      <c r="D774" s="30"/>
      <c r="E774" s="29">
        <v>32</v>
      </c>
      <c r="F774" s="30" t="s">
        <v>303</v>
      </c>
      <c r="G774" s="60"/>
      <c r="H774" s="60"/>
      <c r="I774" s="108"/>
      <c r="J774" s="152">
        <f t="shared" si="12"/>
        <v>0</v>
      </c>
      <c r="K774" s="60"/>
      <c r="L774" s="60"/>
      <c r="M774" s="234" t="s">
        <v>1744</v>
      </c>
      <c r="N774" s="248"/>
      <c r="O774" s="227"/>
      <c r="P774" s="228"/>
      <c r="Q774" s="232" t="s">
        <v>1747</v>
      </c>
      <c r="R774" s="32"/>
      <c r="S774" s="148"/>
      <c r="T774" s="149"/>
      <c r="U774" s="148"/>
      <c r="V774" s="150"/>
    </row>
    <row r="775" spans="1:22" s="151" customFormat="1" ht="25.05" customHeight="1">
      <c r="A775" s="26">
        <v>3</v>
      </c>
      <c r="B775" s="27" t="s">
        <v>235</v>
      </c>
      <c r="C775" s="288" t="s">
        <v>1748</v>
      </c>
      <c r="D775" s="30"/>
      <c r="E775" s="29">
        <v>4</v>
      </c>
      <c r="F775" s="30" t="s">
        <v>303</v>
      </c>
      <c r="G775" s="60"/>
      <c r="H775" s="60"/>
      <c r="I775" s="108"/>
      <c r="J775" s="152">
        <f t="shared" si="12"/>
        <v>0</v>
      </c>
      <c r="K775" s="60"/>
      <c r="L775" s="60"/>
      <c r="M775" s="234" t="s">
        <v>1744</v>
      </c>
      <c r="N775" s="248"/>
      <c r="O775" s="227"/>
      <c r="P775" s="228"/>
      <c r="Q775" s="232" t="s">
        <v>1749</v>
      </c>
      <c r="R775" s="32"/>
      <c r="S775" s="148"/>
      <c r="T775" s="149"/>
      <c r="U775" s="148"/>
      <c r="V775" s="150"/>
    </row>
    <row r="776" spans="1:22" s="151" customFormat="1" ht="25.05" customHeight="1">
      <c r="A776" s="264"/>
      <c r="B776" s="265"/>
      <c r="C776" s="289"/>
      <c r="D776" s="270"/>
      <c r="E776" s="266"/>
      <c r="F776" s="202"/>
      <c r="G776" s="267">
        <v>455</v>
      </c>
      <c r="H776" s="267">
        <v>250</v>
      </c>
      <c r="I776" s="268">
        <v>230</v>
      </c>
      <c r="J776" s="269">
        <f>ROUND(I776*H776*G776/1000000,3)</f>
        <v>26.163</v>
      </c>
      <c r="K776" s="269">
        <v>2000</v>
      </c>
      <c r="L776" s="269">
        <v>2200</v>
      </c>
      <c r="M776" s="225"/>
      <c r="N776" s="225"/>
      <c r="O776" s="225"/>
      <c r="P776" s="225"/>
      <c r="Q776" s="233"/>
      <c r="R776" s="32"/>
      <c r="S776" s="148"/>
      <c r="T776" s="149"/>
      <c r="U776" s="148"/>
      <c r="V776" s="150"/>
    </row>
    <row r="777" spans="1:22" s="151" customFormat="1" ht="25.05" customHeight="1">
      <c r="A777" s="26">
        <v>1</v>
      </c>
      <c r="B777" s="27" t="s">
        <v>237</v>
      </c>
      <c r="C777" s="288" t="s">
        <v>238</v>
      </c>
      <c r="D777" s="30"/>
      <c r="E777" s="29">
        <v>2</v>
      </c>
      <c r="F777" s="30" t="s">
        <v>303</v>
      </c>
      <c r="G777" s="60"/>
      <c r="H777" s="60"/>
      <c r="I777" s="108"/>
      <c r="J777" s="152">
        <f t="shared" si="12"/>
        <v>0</v>
      </c>
      <c r="K777" s="60"/>
      <c r="L777" s="60"/>
      <c r="M777" s="234" t="s">
        <v>1750</v>
      </c>
      <c r="N777" s="248"/>
      <c r="O777" s="227"/>
      <c r="P777" s="228"/>
      <c r="Q777" s="232" t="s">
        <v>1745</v>
      </c>
      <c r="R777" s="32"/>
      <c r="S777" s="148"/>
      <c r="T777" s="149"/>
      <c r="U777" s="148"/>
      <c r="V777" s="150"/>
    </row>
    <row r="778" spans="1:22" s="151" customFormat="1" ht="25.05" customHeight="1">
      <c r="A778" s="26">
        <v>2</v>
      </c>
      <c r="B778" s="27" t="s">
        <v>237</v>
      </c>
      <c r="C778" s="288" t="s">
        <v>1751</v>
      </c>
      <c r="D778" s="30"/>
      <c r="E778" s="29">
        <v>48</v>
      </c>
      <c r="F778" s="30" t="s">
        <v>303</v>
      </c>
      <c r="G778" s="60"/>
      <c r="H778" s="60"/>
      <c r="I778" s="108"/>
      <c r="J778" s="152">
        <f t="shared" si="12"/>
        <v>0</v>
      </c>
      <c r="K778" s="60"/>
      <c r="L778" s="60"/>
      <c r="M778" s="234" t="s">
        <v>1750</v>
      </c>
      <c r="N778" s="248"/>
      <c r="O778" s="227"/>
      <c r="P778" s="228"/>
      <c r="Q778" s="232" t="s">
        <v>1752</v>
      </c>
      <c r="R778" s="32"/>
      <c r="S778" s="148"/>
      <c r="T778" s="149"/>
      <c r="U778" s="148"/>
      <c r="V778" s="150"/>
    </row>
    <row r="779" spans="1:22" s="151" customFormat="1" ht="25.05" customHeight="1">
      <c r="A779" s="26">
        <v>3</v>
      </c>
      <c r="B779" s="27" t="s">
        <v>237</v>
      </c>
      <c r="C779" s="288" t="s">
        <v>1753</v>
      </c>
      <c r="D779" s="30"/>
      <c r="E779" s="29">
        <v>2</v>
      </c>
      <c r="F779" s="30" t="s">
        <v>303</v>
      </c>
      <c r="G779" s="60"/>
      <c r="H779" s="60"/>
      <c r="I779" s="108"/>
      <c r="J779" s="152">
        <f t="shared" si="12"/>
        <v>0</v>
      </c>
      <c r="K779" s="60"/>
      <c r="L779" s="60"/>
      <c r="M779" s="234" t="s">
        <v>1750</v>
      </c>
      <c r="N779" s="248"/>
      <c r="O779" s="227"/>
      <c r="P779" s="228"/>
      <c r="Q779" s="232" t="s">
        <v>1754</v>
      </c>
      <c r="R779" s="32"/>
      <c r="S779" s="148"/>
      <c r="T779" s="149"/>
      <c r="U779" s="148"/>
      <c r="V779" s="150"/>
    </row>
    <row r="780" spans="1:22" s="151" customFormat="1" ht="25.05" customHeight="1">
      <c r="A780" s="26">
        <v>4</v>
      </c>
      <c r="B780" s="27" t="s">
        <v>237</v>
      </c>
      <c r="C780" s="288" t="s">
        <v>1755</v>
      </c>
      <c r="D780" s="30"/>
      <c r="E780" s="29">
        <v>2</v>
      </c>
      <c r="F780" s="30" t="s">
        <v>303</v>
      </c>
      <c r="G780" s="60"/>
      <c r="H780" s="60"/>
      <c r="I780" s="108"/>
      <c r="J780" s="152">
        <f t="shared" si="12"/>
        <v>0</v>
      </c>
      <c r="K780" s="60"/>
      <c r="L780" s="60"/>
      <c r="M780" s="234" t="s">
        <v>1756</v>
      </c>
      <c r="N780" s="248"/>
      <c r="O780" s="227"/>
      <c r="P780" s="228"/>
      <c r="Q780" s="232" t="s">
        <v>1757</v>
      </c>
      <c r="R780" s="32"/>
      <c r="S780" s="148"/>
      <c r="T780" s="149"/>
      <c r="U780" s="148"/>
      <c r="V780" s="150"/>
    </row>
    <row r="781" spans="1:22" s="151" customFormat="1" ht="25.05" customHeight="1">
      <c r="A781" s="26">
        <v>5</v>
      </c>
      <c r="B781" s="27" t="s">
        <v>237</v>
      </c>
      <c r="C781" s="288" t="s">
        <v>1758</v>
      </c>
      <c r="D781" s="30"/>
      <c r="E781" s="29">
        <v>6</v>
      </c>
      <c r="F781" s="30" t="s">
        <v>289</v>
      </c>
      <c r="G781" s="60"/>
      <c r="H781" s="60"/>
      <c r="I781" s="108"/>
      <c r="J781" s="152">
        <f t="shared" si="12"/>
        <v>0</v>
      </c>
      <c r="K781" s="60"/>
      <c r="L781" s="60"/>
      <c r="M781" s="234"/>
      <c r="N781" s="248"/>
      <c r="O781" s="227"/>
      <c r="P781" s="228"/>
      <c r="Q781" s="232" t="s">
        <v>1745</v>
      </c>
      <c r="R781" s="32"/>
      <c r="S781" s="148"/>
      <c r="T781" s="149"/>
      <c r="U781" s="148"/>
      <c r="V781" s="150"/>
    </row>
    <row r="782" spans="1:22" s="151" customFormat="1" ht="25.05" customHeight="1">
      <c r="A782" s="264"/>
      <c r="B782" s="265"/>
      <c r="C782" s="289"/>
      <c r="D782" s="270"/>
      <c r="E782" s="266"/>
      <c r="F782" s="202"/>
      <c r="G782" s="267">
        <v>605</v>
      </c>
      <c r="H782" s="267">
        <v>255</v>
      </c>
      <c r="I782" s="268">
        <v>170</v>
      </c>
      <c r="J782" s="269">
        <f>ROUND(I782*H782*G782/1000000,3)</f>
        <v>26.227</v>
      </c>
      <c r="K782" s="269">
        <v>3240</v>
      </c>
      <c r="L782" s="269">
        <v>3500</v>
      </c>
      <c r="M782" s="225"/>
      <c r="N782" s="225"/>
      <c r="O782" s="225"/>
      <c r="P782" s="225"/>
      <c r="Q782" s="233"/>
      <c r="R782" s="32"/>
      <c r="S782" s="148"/>
      <c r="T782" s="149"/>
      <c r="U782" s="148"/>
      <c r="V782" s="150"/>
    </row>
    <row r="783" spans="1:22" s="151" customFormat="1" ht="25.05" customHeight="1">
      <c r="A783" s="26">
        <v>1</v>
      </c>
      <c r="B783" s="27" t="s">
        <v>239</v>
      </c>
      <c r="C783" s="288" t="s">
        <v>240</v>
      </c>
      <c r="D783" s="30"/>
      <c r="E783" s="29">
        <v>1</v>
      </c>
      <c r="F783" s="30" t="s">
        <v>303</v>
      </c>
      <c r="G783" s="60"/>
      <c r="H783" s="60"/>
      <c r="I783" s="108"/>
      <c r="J783" s="152">
        <f t="shared" si="12"/>
        <v>0</v>
      </c>
      <c r="K783" s="60"/>
      <c r="L783" s="60"/>
      <c r="M783" s="234" t="s">
        <v>1759</v>
      </c>
      <c r="N783" s="248"/>
      <c r="O783" s="227"/>
      <c r="P783" s="228"/>
      <c r="Q783" s="232" t="s">
        <v>1741</v>
      </c>
      <c r="R783" s="32"/>
      <c r="S783" s="148"/>
      <c r="T783" s="149"/>
      <c r="U783" s="148"/>
      <c r="V783" s="150"/>
    </row>
    <row r="784" spans="1:22" s="151" customFormat="1" ht="25.05" customHeight="1">
      <c r="A784" s="26">
        <v>2</v>
      </c>
      <c r="B784" s="27" t="s">
        <v>239</v>
      </c>
      <c r="C784" s="288" t="s">
        <v>1760</v>
      </c>
      <c r="D784" s="30"/>
      <c r="E784" s="29">
        <v>4</v>
      </c>
      <c r="F784" s="30" t="s">
        <v>289</v>
      </c>
      <c r="G784" s="60"/>
      <c r="H784" s="60"/>
      <c r="I784" s="108"/>
      <c r="J784" s="152">
        <f t="shared" si="12"/>
        <v>0</v>
      </c>
      <c r="K784" s="60"/>
      <c r="L784" s="60"/>
      <c r="M784" s="234" t="s">
        <v>1759</v>
      </c>
      <c r="N784" s="248"/>
      <c r="O784" s="227"/>
      <c r="P784" s="228"/>
      <c r="Q784" s="232" t="s">
        <v>1761</v>
      </c>
      <c r="R784" s="32"/>
      <c r="S784" s="148"/>
      <c r="T784" s="149"/>
      <c r="U784" s="148"/>
      <c r="V784" s="150"/>
    </row>
    <row r="785" spans="1:22" s="151" customFormat="1" ht="25.05" customHeight="1">
      <c r="A785" s="26">
        <v>3</v>
      </c>
      <c r="B785" s="27" t="s">
        <v>239</v>
      </c>
      <c r="C785" s="288" t="s">
        <v>1762</v>
      </c>
      <c r="D785" s="30"/>
      <c r="E785" s="29">
        <v>4</v>
      </c>
      <c r="F785" s="30" t="s">
        <v>303</v>
      </c>
      <c r="G785" s="60"/>
      <c r="H785" s="60"/>
      <c r="I785" s="108"/>
      <c r="J785" s="152">
        <f t="shared" si="12"/>
        <v>0</v>
      </c>
      <c r="K785" s="60"/>
      <c r="L785" s="60"/>
      <c r="M785" s="234" t="s">
        <v>1759</v>
      </c>
      <c r="N785" s="248"/>
      <c r="O785" s="227"/>
      <c r="P785" s="228"/>
      <c r="Q785" s="232" t="s">
        <v>1763</v>
      </c>
      <c r="R785" s="32"/>
      <c r="S785" s="148"/>
      <c r="T785" s="149"/>
      <c r="U785" s="148"/>
      <c r="V785" s="150"/>
    </row>
    <row r="786" spans="1:22" s="151" customFormat="1" ht="25.05" customHeight="1">
      <c r="A786" s="26">
        <v>4</v>
      </c>
      <c r="B786" s="27" t="s">
        <v>239</v>
      </c>
      <c r="C786" s="288" t="s">
        <v>1764</v>
      </c>
      <c r="D786" s="30"/>
      <c r="E786" s="29">
        <v>4</v>
      </c>
      <c r="F786" s="30" t="s">
        <v>289</v>
      </c>
      <c r="G786" s="60"/>
      <c r="H786" s="60"/>
      <c r="I786" s="108"/>
      <c r="J786" s="152">
        <f t="shared" si="12"/>
        <v>0</v>
      </c>
      <c r="K786" s="60"/>
      <c r="L786" s="60"/>
      <c r="M786" s="234" t="s">
        <v>1759</v>
      </c>
      <c r="N786" s="248"/>
      <c r="O786" s="227"/>
      <c r="P786" s="228"/>
      <c r="Q786" s="232" t="s">
        <v>1765</v>
      </c>
      <c r="R786" s="32"/>
      <c r="S786" s="148"/>
      <c r="T786" s="149"/>
      <c r="U786" s="148"/>
      <c r="V786" s="150"/>
    </row>
    <row r="787" spans="1:22" s="151" customFormat="1" ht="25.05" customHeight="1">
      <c r="A787" s="26">
        <v>5</v>
      </c>
      <c r="B787" s="27" t="s">
        <v>239</v>
      </c>
      <c r="C787" s="288" t="s">
        <v>1766</v>
      </c>
      <c r="D787" s="30"/>
      <c r="E787" s="29">
        <v>4</v>
      </c>
      <c r="F787" s="30" t="s">
        <v>289</v>
      </c>
      <c r="G787" s="60"/>
      <c r="H787" s="60"/>
      <c r="I787" s="108"/>
      <c r="J787" s="152">
        <f t="shared" si="12"/>
        <v>0</v>
      </c>
      <c r="K787" s="60"/>
      <c r="L787" s="60"/>
      <c r="M787" s="234" t="s">
        <v>1759</v>
      </c>
      <c r="N787" s="248"/>
      <c r="O787" s="227"/>
      <c r="P787" s="228"/>
      <c r="Q787" s="232" t="s">
        <v>1767</v>
      </c>
      <c r="R787" s="32"/>
      <c r="S787" s="148"/>
      <c r="T787" s="149"/>
      <c r="U787" s="148"/>
      <c r="V787" s="150"/>
    </row>
    <row r="788" spans="1:22" s="151" customFormat="1" ht="25.05" customHeight="1">
      <c r="A788" s="264"/>
      <c r="B788" s="265"/>
      <c r="C788" s="289"/>
      <c r="D788" s="270"/>
      <c r="E788" s="266"/>
      <c r="F788" s="202"/>
      <c r="G788" s="267">
        <v>310</v>
      </c>
      <c r="H788" s="267">
        <v>165</v>
      </c>
      <c r="I788" s="268">
        <v>270</v>
      </c>
      <c r="J788" s="269">
        <f>ROUND(I788*H788*G788/1000000,3)</f>
        <v>13.811</v>
      </c>
      <c r="K788" s="269">
        <v>1000</v>
      </c>
      <c r="L788" s="269">
        <v>1200</v>
      </c>
      <c r="M788" s="225"/>
      <c r="N788" s="225"/>
      <c r="O788" s="225"/>
      <c r="P788" s="225"/>
      <c r="Q788" s="233"/>
      <c r="R788" s="32"/>
      <c r="S788" s="148"/>
      <c r="T788" s="149"/>
      <c r="U788" s="148"/>
      <c r="V788" s="150"/>
    </row>
    <row r="789" spans="1:22" s="151" customFormat="1" ht="25.05" customHeight="1">
      <c r="A789" s="26">
        <v>1</v>
      </c>
      <c r="B789" s="27" t="s">
        <v>241</v>
      </c>
      <c r="C789" s="288" t="s">
        <v>240</v>
      </c>
      <c r="D789" s="30"/>
      <c r="E789" s="29">
        <v>1</v>
      </c>
      <c r="F789" s="30" t="s">
        <v>303</v>
      </c>
      <c r="G789" s="60"/>
      <c r="H789" s="60"/>
      <c r="I789" s="108"/>
      <c r="J789" s="152">
        <f t="shared" si="12"/>
        <v>0</v>
      </c>
      <c r="K789" s="60"/>
      <c r="L789" s="60"/>
      <c r="M789" s="234" t="s">
        <v>1759</v>
      </c>
      <c r="N789" s="248"/>
      <c r="O789" s="227"/>
      <c r="P789" s="228"/>
      <c r="Q789" s="232" t="s">
        <v>1742</v>
      </c>
      <c r="R789" s="32"/>
      <c r="S789" s="148"/>
      <c r="T789" s="149"/>
      <c r="U789" s="148"/>
      <c r="V789" s="150"/>
    </row>
    <row r="790" spans="1:22" s="151" customFormat="1" ht="25.05" customHeight="1">
      <c r="A790" s="26">
        <v>2</v>
      </c>
      <c r="B790" s="27" t="s">
        <v>241</v>
      </c>
      <c r="C790" s="288" t="s">
        <v>1760</v>
      </c>
      <c r="D790" s="30"/>
      <c r="E790" s="29">
        <v>4</v>
      </c>
      <c r="F790" s="30" t="s">
        <v>289</v>
      </c>
      <c r="G790" s="60"/>
      <c r="H790" s="60"/>
      <c r="I790" s="108"/>
      <c r="J790" s="152">
        <f t="shared" si="12"/>
        <v>0</v>
      </c>
      <c r="K790" s="60"/>
      <c r="L790" s="60"/>
      <c r="M790" s="234" t="s">
        <v>1759</v>
      </c>
      <c r="N790" s="248"/>
      <c r="O790" s="227"/>
      <c r="P790" s="228"/>
      <c r="Q790" s="232" t="s">
        <v>1768</v>
      </c>
      <c r="R790" s="32"/>
      <c r="S790" s="148"/>
      <c r="T790" s="149"/>
      <c r="U790" s="148"/>
      <c r="V790" s="150"/>
    </row>
    <row r="791" spans="1:22" s="151" customFormat="1" ht="25.05" customHeight="1">
      <c r="A791" s="26">
        <v>3</v>
      </c>
      <c r="B791" s="27" t="s">
        <v>241</v>
      </c>
      <c r="C791" s="288" t="s">
        <v>1762</v>
      </c>
      <c r="D791" s="30"/>
      <c r="E791" s="29">
        <v>4</v>
      </c>
      <c r="F791" s="30" t="s">
        <v>303</v>
      </c>
      <c r="G791" s="60"/>
      <c r="H791" s="60"/>
      <c r="I791" s="108"/>
      <c r="J791" s="152">
        <f t="shared" si="12"/>
        <v>0</v>
      </c>
      <c r="K791" s="60"/>
      <c r="L791" s="60"/>
      <c r="M791" s="234" t="s">
        <v>1759</v>
      </c>
      <c r="N791" s="248"/>
      <c r="O791" s="227"/>
      <c r="P791" s="228"/>
      <c r="Q791" s="232" t="s">
        <v>1769</v>
      </c>
      <c r="R791" s="32"/>
      <c r="S791" s="148"/>
      <c r="T791" s="149"/>
      <c r="U791" s="148"/>
      <c r="V791" s="150"/>
    </row>
    <row r="792" spans="1:22" s="151" customFormat="1" ht="25.05" customHeight="1">
      <c r="A792" s="26">
        <v>4</v>
      </c>
      <c r="B792" s="27" t="s">
        <v>241</v>
      </c>
      <c r="C792" s="288" t="s">
        <v>1764</v>
      </c>
      <c r="D792" s="30"/>
      <c r="E792" s="29">
        <v>4</v>
      </c>
      <c r="F792" s="30" t="s">
        <v>303</v>
      </c>
      <c r="G792" s="60"/>
      <c r="H792" s="60"/>
      <c r="I792" s="108"/>
      <c r="J792" s="152">
        <f t="shared" si="12"/>
        <v>0</v>
      </c>
      <c r="K792" s="60"/>
      <c r="L792" s="60"/>
      <c r="M792" s="234" t="s">
        <v>1759</v>
      </c>
      <c r="N792" s="248"/>
      <c r="O792" s="227"/>
      <c r="P792" s="228"/>
      <c r="Q792" s="232" t="s">
        <v>1770</v>
      </c>
      <c r="R792" s="32"/>
      <c r="S792" s="148"/>
      <c r="T792" s="149"/>
      <c r="U792" s="148"/>
      <c r="V792" s="150"/>
    </row>
    <row r="793" spans="1:22" s="151" customFormat="1" ht="25.05" customHeight="1">
      <c r="A793" s="26">
        <v>5</v>
      </c>
      <c r="B793" s="27" t="s">
        <v>241</v>
      </c>
      <c r="C793" s="288" t="s">
        <v>1766</v>
      </c>
      <c r="D793" s="30"/>
      <c r="E793" s="29">
        <v>4</v>
      </c>
      <c r="F793" s="30" t="s">
        <v>303</v>
      </c>
      <c r="G793" s="60"/>
      <c r="H793" s="60"/>
      <c r="I793" s="108"/>
      <c r="J793" s="152">
        <f t="shared" si="12"/>
        <v>0</v>
      </c>
      <c r="K793" s="60"/>
      <c r="L793" s="60"/>
      <c r="M793" s="234" t="s">
        <v>1759</v>
      </c>
      <c r="N793" s="248"/>
      <c r="O793" s="227"/>
      <c r="P793" s="228"/>
      <c r="Q793" s="232" t="s">
        <v>1771</v>
      </c>
      <c r="R793" s="32"/>
      <c r="S793" s="148"/>
      <c r="T793" s="149"/>
      <c r="U793" s="148"/>
      <c r="V793" s="150"/>
    </row>
    <row r="794" spans="1:22" s="151" customFormat="1" ht="25.05" customHeight="1">
      <c r="A794" s="264"/>
      <c r="B794" s="265"/>
      <c r="C794" s="289"/>
      <c r="D794" s="270"/>
      <c r="E794" s="266"/>
      <c r="F794" s="202"/>
      <c r="G794" s="267">
        <v>310</v>
      </c>
      <c r="H794" s="267">
        <v>165</v>
      </c>
      <c r="I794" s="268">
        <v>270</v>
      </c>
      <c r="J794" s="269">
        <f>ROUND(I794*H794*G794/1000000,3)</f>
        <v>13.811</v>
      </c>
      <c r="K794" s="269">
        <v>1000</v>
      </c>
      <c r="L794" s="269">
        <v>1200</v>
      </c>
      <c r="M794" s="225"/>
      <c r="N794" s="225"/>
      <c r="O794" s="225"/>
      <c r="P794" s="225"/>
      <c r="Q794" s="233"/>
      <c r="R794" s="32"/>
      <c r="S794" s="148"/>
      <c r="T794" s="149"/>
      <c r="U794" s="148"/>
      <c r="V794" s="150"/>
    </row>
    <row r="795" spans="1:22" s="151" customFormat="1" ht="25.05" customHeight="1">
      <c r="A795" s="26">
        <v>1</v>
      </c>
      <c r="B795" s="27" t="s">
        <v>242</v>
      </c>
      <c r="C795" s="288" t="s">
        <v>243</v>
      </c>
      <c r="D795" s="30"/>
      <c r="E795" s="29">
        <v>1</v>
      </c>
      <c r="F795" s="30" t="s">
        <v>303</v>
      </c>
      <c r="G795" s="60"/>
      <c r="H795" s="60"/>
      <c r="I795" s="108"/>
      <c r="J795" s="152">
        <f t="shared" si="12"/>
        <v>0</v>
      </c>
      <c r="K795" s="60"/>
      <c r="L795" s="60"/>
      <c r="M795" s="234" t="s">
        <v>1772</v>
      </c>
      <c r="N795" s="248"/>
      <c r="O795" s="227"/>
      <c r="P795" s="228"/>
      <c r="Q795" s="232" t="s">
        <v>1741</v>
      </c>
      <c r="R795" s="32"/>
      <c r="S795" s="148"/>
      <c r="T795" s="149"/>
      <c r="U795" s="148"/>
      <c r="V795" s="150"/>
    </row>
    <row r="796" spans="1:22" s="151" customFormat="1" ht="25.05" customHeight="1">
      <c r="A796" s="26">
        <v>2</v>
      </c>
      <c r="B796" s="27" t="s">
        <v>242</v>
      </c>
      <c r="C796" s="288" t="s">
        <v>1773</v>
      </c>
      <c r="D796" s="30"/>
      <c r="E796" s="29">
        <v>4</v>
      </c>
      <c r="F796" s="30" t="s">
        <v>289</v>
      </c>
      <c r="G796" s="60"/>
      <c r="H796" s="60"/>
      <c r="I796" s="108"/>
      <c r="J796" s="152">
        <f t="shared" si="12"/>
        <v>0</v>
      </c>
      <c r="K796" s="60"/>
      <c r="L796" s="60"/>
      <c r="M796" s="234" t="s">
        <v>1772</v>
      </c>
      <c r="N796" s="248"/>
      <c r="O796" s="227"/>
      <c r="P796" s="228"/>
      <c r="Q796" s="232" t="s">
        <v>1774</v>
      </c>
      <c r="R796" s="32"/>
      <c r="S796" s="148"/>
      <c r="T796" s="149"/>
      <c r="U796" s="148"/>
      <c r="V796" s="150"/>
    </row>
    <row r="797" spans="1:22" s="151" customFormat="1" ht="25.05" customHeight="1">
      <c r="A797" s="26">
        <v>3</v>
      </c>
      <c r="B797" s="27" t="s">
        <v>242</v>
      </c>
      <c r="C797" s="288" t="s">
        <v>1775</v>
      </c>
      <c r="D797" s="30"/>
      <c r="E797" s="29">
        <v>4</v>
      </c>
      <c r="F797" s="30" t="s">
        <v>303</v>
      </c>
      <c r="G797" s="60"/>
      <c r="H797" s="60"/>
      <c r="I797" s="108"/>
      <c r="J797" s="152">
        <f t="shared" si="12"/>
        <v>0</v>
      </c>
      <c r="K797" s="60"/>
      <c r="L797" s="60"/>
      <c r="M797" s="234" t="s">
        <v>1772</v>
      </c>
      <c r="N797" s="248"/>
      <c r="O797" s="227"/>
      <c r="P797" s="228"/>
      <c r="Q797" s="232" t="s">
        <v>1776</v>
      </c>
      <c r="R797" s="32"/>
      <c r="S797" s="148"/>
      <c r="T797" s="149"/>
      <c r="U797" s="148"/>
      <c r="V797" s="150"/>
    </row>
    <row r="798" spans="1:22" s="151" customFormat="1" ht="25.05" customHeight="1">
      <c r="A798" s="26">
        <v>4</v>
      </c>
      <c r="B798" s="27" t="s">
        <v>242</v>
      </c>
      <c r="C798" s="288" t="s">
        <v>1777</v>
      </c>
      <c r="D798" s="30"/>
      <c r="E798" s="29">
        <v>4</v>
      </c>
      <c r="F798" s="30" t="s">
        <v>289</v>
      </c>
      <c r="G798" s="60"/>
      <c r="H798" s="60"/>
      <c r="I798" s="108"/>
      <c r="J798" s="152">
        <f t="shared" si="12"/>
        <v>0</v>
      </c>
      <c r="K798" s="60"/>
      <c r="L798" s="60"/>
      <c r="M798" s="234" t="s">
        <v>1772</v>
      </c>
      <c r="N798" s="248"/>
      <c r="O798" s="227"/>
      <c r="P798" s="228"/>
      <c r="Q798" s="232" t="s">
        <v>1778</v>
      </c>
      <c r="R798" s="32"/>
      <c r="S798" s="148"/>
      <c r="T798" s="149"/>
      <c r="U798" s="148"/>
      <c r="V798" s="150"/>
    </row>
    <row r="799" spans="1:22" s="151" customFormat="1" ht="25.05" customHeight="1">
      <c r="A799" s="26">
        <v>5</v>
      </c>
      <c r="B799" s="27" t="s">
        <v>242</v>
      </c>
      <c r="C799" s="288" t="s">
        <v>1779</v>
      </c>
      <c r="D799" s="30"/>
      <c r="E799" s="29">
        <v>4</v>
      </c>
      <c r="F799" s="30" t="s">
        <v>289</v>
      </c>
      <c r="G799" s="60"/>
      <c r="H799" s="60"/>
      <c r="I799" s="108"/>
      <c r="J799" s="152">
        <f t="shared" si="12"/>
        <v>0</v>
      </c>
      <c r="K799" s="60"/>
      <c r="L799" s="60"/>
      <c r="M799" s="234" t="s">
        <v>1772</v>
      </c>
      <c r="N799" s="248"/>
      <c r="O799" s="227"/>
      <c r="P799" s="228"/>
      <c r="Q799" s="232" t="s">
        <v>1780</v>
      </c>
      <c r="R799" s="32"/>
      <c r="S799" s="148"/>
      <c r="T799" s="149"/>
      <c r="U799" s="148"/>
      <c r="V799" s="150"/>
    </row>
    <row r="800" spans="1:22" s="151" customFormat="1" ht="25.05" customHeight="1">
      <c r="A800" s="26">
        <v>6</v>
      </c>
      <c r="B800" s="27" t="s">
        <v>242</v>
      </c>
      <c r="C800" s="288" t="s">
        <v>1781</v>
      </c>
      <c r="D800" s="30"/>
      <c r="E800" s="29">
        <v>2</v>
      </c>
      <c r="F800" s="30" t="s">
        <v>289</v>
      </c>
      <c r="G800" s="60"/>
      <c r="H800" s="60"/>
      <c r="I800" s="108"/>
      <c r="J800" s="152">
        <f t="shared" si="12"/>
        <v>0</v>
      </c>
      <c r="K800" s="60"/>
      <c r="L800" s="60"/>
      <c r="M800" s="234" t="s">
        <v>1772</v>
      </c>
      <c r="N800" s="248"/>
      <c r="O800" s="227"/>
      <c r="P800" s="228"/>
      <c r="Q800" s="232" t="s">
        <v>1741</v>
      </c>
      <c r="R800" s="32"/>
      <c r="S800" s="148"/>
      <c r="T800" s="149"/>
      <c r="U800" s="148"/>
      <c r="V800" s="150"/>
    </row>
    <row r="801" spans="1:22" s="151" customFormat="1" ht="25.05" customHeight="1">
      <c r="A801" s="26">
        <v>7</v>
      </c>
      <c r="B801" s="27" t="s">
        <v>242</v>
      </c>
      <c r="C801" s="288" t="s">
        <v>1782</v>
      </c>
      <c r="D801" s="30"/>
      <c r="E801" s="29">
        <v>2</v>
      </c>
      <c r="F801" s="30" t="s">
        <v>289</v>
      </c>
      <c r="G801" s="60"/>
      <c r="H801" s="60"/>
      <c r="I801" s="108"/>
      <c r="J801" s="152">
        <f t="shared" si="12"/>
        <v>0</v>
      </c>
      <c r="K801" s="60"/>
      <c r="L801" s="60"/>
      <c r="M801" s="234" t="s">
        <v>1772</v>
      </c>
      <c r="N801" s="248"/>
      <c r="O801" s="227"/>
      <c r="P801" s="228"/>
      <c r="Q801" s="232" t="s">
        <v>1741</v>
      </c>
      <c r="R801" s="32"/>
      <c r="S801" s="148"/>
      <c r="T801" s="149"/>
      <c r="U801" s="148"/>
      <c r="V801" s="150"/>
    </row>
    <row r="802" spans="1:22" s="151" customFormat="1" ht="25.05" customHeight="1">
      <c r="A802" s="26">
        <v>8</v>
      </c>
      <c r="B802" s="27" t="s">
        <v>242</v>
      </c>
      <c r="C802" s="288" t="s">
        <v>1783</v>
      </c>
      <c r="D802" s="30"/>
      <c r="E802" s="29">
        <v>1</v>
      </c>
      <c r="F802" s="30" t="s">
        <v>303</v>
      </c>
      <c r="G802" s="60"/>
      <c r="H802" s="60"/>
      <c r="I802" s="108"/>
      <c r="J802" s="152">
        <f t="shared" si="12"/>
        <v>0</v>
      </c>
      <c r="K802" s="60"/>
      <c r="L802" s="60"/>
      <c r="M802" s="234" t="s">
        <v>1772</v>
      </c>
      <c r="N802" s="248"/>
      <c r="O802" s="227"/>
      <c r="P802" s="228"/>
      <c r="Q802" s="232" t="s">
        <v>1741</v>
      </c>
      <c r="R802" s="32"/>
      <c r="S802" s="148"/>
      <c r="T802" s="149"/>
      <c r="U802" s="148"/>
      <c r="V802" s="150"/>
    </row>
    <row r="803" spans="1:22" s="151" customFormat="1" ht="25.05" customHeight="1">
      <c r="A803" s="26">
        <v>9</v>
      </c>
      <c r="B803" s="27" t="s">
        <v>242</v>
      </c>
      <c r="C803" s="288" t="s">
        <v>1784</v>
      </c>
      <c r="D803" s="30"/>
      <c r="E803" s="29">
        <v>2</v>
      </c>
      <c r="F803" s="30" t="s">
        <v>303</v>
      </c>
      <c r="G803" s="60"/>
      <c r="H803" s="60"/>
      <c r="I803" s="108"/>
      <c r="J803" s="152">
        <f t="shared" si="12"/>
        <v>0</v>
      </c>
      <c r="K803" s="60"/>
      <c r="L803" s="60"/>
      <c r="M803" s="234" t="s">
        <v>1772</v>
      </c>
      <c r="N803" s="248"/>
      <c r="O803" s="227"/>
      <c r="P803" s="228"/>
      <c r="Q803" s="232" t="s">
        <v>1741</v>
      </c>
      <c r="R803" s="32"/>
      <c r="S803" s="148"/>
      <c r="T803" s="149"/>
      <c r="U803" s="148"/>
      <c r="V803" s="150"/>
    </row>
    <row r="804" spans="1:22" s="151" customFormat="1" ht="25.05" customHeight="1">
      <c r="A804" s="264"/>
      <c r="B804" s="265"/>
      <c r="C804" s="289"/>
      <c r="D804" s="270"/>
      <c r="E804" s="266"/>
      <c r="F804" s="202"/>
      <c r="G804" s="267">
        <v>300</v>
      </c>
      <c r="H804" s="267">
        <v>235</v>
      </c>
      <c r="I804" s="268">
        <v>300</v>
      </c>
      <c r="J804" s="269">
        <f>ROUND(I804*H804*G804/1000000,3)</f>
        <v>21.15</v>
      </c>
      <c r="K804" s="269">
        <v>300</v>
      </c>
      <c r="L804" s="269">
        <v>500</v>
      </c>
      <c r="M804" s="225"/>
      <c r="N804" s="225"/>
      <c r="O804" s="225"/>
      <c r="P804" s="225"/>
      <c r="Q804" s="233"/>
      <c r="R804" s="32"/>
      <c r="S804" s="148"/>
      <c r="T804" s="149"/>
      <c r="U804" s="148"/>
      <c r="V804" s="150"/>
    </row>
    <row r="805" spans="1:22" s="151" customFormat="1" ht="25.05" customHeight="1">
      <c r="A805" s="26">
        <v>1</v>
      </c>
      <c r="B805" s="27" t="s">
        <v>244</v>
      </c>
      <c r="C805" s="288" t="s">
        <v>243</v>
      </c>
      <c r="D805" s="30"/>
      <c r="E805" s="29">
        <v>1</v>
      </c>
      <c r="F805" s="30" t="s">
        <v>303</v>
      </c>
      <c r="G805" s="60"/>
      <c r="H805" s="60"/>
      <c r="I805" s="108"/>
      <c r="J805" s="152">
        <f t="shared" si="12"/>
        <v>0</v>
      </c>
      <c r="K805" s="60"/>
      <c r="L805" s="60"/>
      <c r="M805" s="234" t="s">
        <v>1772</v>
      </c>
      <c r="N805" s="248"/>
      <c r="O805" s="227"/>
      <c r="P805" s="228"/>
      <c r="Q805" s="232" t="s">
        <v>1742</v>
      </c>
      <c r="R805" s="32"/>
      <c r="S805" s="148"/>
      <c r="T805" s="149"/>
      <c r="U805" s="148"/>
      <c r="V805" s="150"/>
    </row>
    <row r="806" spans="1:22" s="151" customFormat="1" ht="25.05" customHeight="1">
      <c r="A806" s="26">
        <v>2</v>
      </c>
      <c r="B806" s="27" t="s">
        <v>244</v>
      </c>
      <c r="C806" s="288" t="s">
        <v>1785</v>
      </c>
      <c r="D806" s="30"/>
      <c r="E806" s="29">
        <v>4</v>
      </c>
      <c r="F806" s="30" t="s">
        <v>289</v>
      </c>
      <c r="G806" s="60"/>
      <c r="H806" s="60"/>
      <c r="I806" s="108"/>
      <c r="J806" s="152">
        <f t="shared" si="12"/>
        <v>0</v>
      </c>
      <c r="K806" s="60"/>
      <c r="L806" s="60"/>
      <c r="M806" s="234" t="s">
        <v>1772</v>
      </c>
      <c r="N806" s="248"/>
      <c r="O806" s="227"/>
      <c r="P806" s="228"/>
      <c r="Q806" s="232" t="s">
        <v>1786</v>
      </c>
      <c r="R806" s="32"/>
      <c r="S806" s="148"/>
      <c r="T806" s="149"/>
      <c r="U806" s="148"/>
      <c r="V806" s="150"/>
    </row>
    <row r="807" spans="1:22" s="151" customFormat="1" ht="25.05" customHeight="1">
      <c r="A807" s="26">
        <v>3</v>
      </c>
      <c r="B807" s="27" t="s">
        <v>244</v>
      </c>
      <c r="C807" s="288" t="s">
        <v>1775</v>
      </c>
      <c r="D807" s="30"/>
      <c r="E807" s="29">
        <v>4</v>
      </c>
      <c r="F807" s="30" t="s">
        <v>303</v>
      </c>
      <c r="G807" s="60"/>
      <c r="H807" s="60"/>
      <c r="I807" s="108"/>
      <c r="J807" s="152">
        <f t="shared" si="12"/>
        <v>0</v>
      </c>
      <c r="K807" s="60"/>
      <c r="L807" s="60"/>
      <c r="M807" s="234" t="s">
        <v>1772</v>
      </c>
      <c r="N807" s="248"/>
      <c r="O807" s="227"/>
      <c r="P807" s="228"/>
      <c r="Q807" s="232" t="s">
        <v>1787</v>
      </c>
      <c r="R807" s="32"/>
      <c r="S807" s="148"/>
      <c r="T807" s="149"/>
      <c r="U807" s="148"/>
      <c r="V807" s="150"/>
    </row>
    <row r="808" spans="1:22" s="151" customFormat="1" ht="25.05" customHeight="1">
      <c r="A808" s="26">
        <v>4</v>
      </c>
      <c r="B808" s="27" t="s">
        <v>244</v>
      </c>
      <c r="C808" s="288" t="s">
        <v>1777</v>
      </c>
      <c r="D808" s="30"/>
      <c r="E808" s="29">
        <v>4</v>
      </c>
      <c r="F808" s="30" t="s">
        <v>289</v>
      </c>
      <c r="G808" s="60"/>
      <c r="H808" s="60"/>
      <c r="I808" s="108"/>
      <c r="J808" s="152">
        <f t="shared" si="12"/>
        <v>0</v>
      </c>
      <c r="K808" s="60"/>
      <c r="L808" s="60"/>
      <c r="M808" s="234" t="s">
        <v>1772</v>
      </c>
      <c r="N808" s="248"/>
      <c r="O808" s="227"/>
      <c r="P808" s="228"/>
      <c r="Q808" s="232" t="s">
        <v>1788</v>
      </c>
      <c r="R808" s="32"/>
      <c r="S808" s="148"/>
      <c r="T808" s="149"/>
      <c r="U808" s="148"/>
      <c r="V808" s="150"/>
    </row>
    <row r="809" spans="1:22" s="151" customFormat="1" ht="25.05" customHeight="1">
      <c r="A809" s="26">
        <v>5</v>
      </c>
      <c r="B809" s="27" t="s">
        <v>244</v>
      </c>
      <c r="C809" s="288" t="s">
        <v>1779</v>
      </c>
      <c r="D809" s="30"/>
      <c r="E809" s="29">
        <v>4</v>
      </c>
      <c r="F809" s="30" t="s">
        <v>289</v>
      </c>
      <c r="G809" s="60"/>
      <c r="H809" s="60"/>
      <c r="I809" s="108"/>
      <c r="J809" s="152">
        <f t="shared" si="12"/>
        <v>0</v>
      </c>
      <c r="K809" s="60"/>
      <c r="L809" s="60"/>
      <c r="M809" s="234" t="s">
        <v>1772</v>
      </c>
      <c r="N809" s="248"/>
      <c r="O809" s="227"/>
      <c r="P809" s="228"/>
      <c r="Q809" s="232" t="s">
        <v>1789</v>
      </c>
      <c r="R809" s="32"/>
      <c r="S809" s="148"/>
      <c r="T809" s="149"/>
      <c r="U809" s="148"/>
      <c r="V809" s="150"/>
    </row>
    <row r="810" spans="1:22" s="151" customFormat="1" ht="25.05" customHeight="1">
      <c r="A810" s="26">
        <v>6</v>
      </c>
      <c r="B810" s="27" t="s">
        <v>244</v>
      </c>
      <c r="C810" s="288" t="s">
        <v>1781</v>
      </c>
      <c r="D810" s="30"/>
      <c r="E810" s="29">
        <v>2</v>
      </c>
      <c r="F810" s="30" t="s">
        <v>289</v>
      </c>
      <c r="G810" s="60"/>
      <c r="H810" s="60"/>
      <c r="I810" s="108"/>
      <c r="J810" s="152">
        <f t="shared" si="12"/>
        <v>0</v>
      </c>
      <c r="K810" s="60"/>
      <c r="L810" s="60"/>
      <c r="M810" s="234" t="s">
        <v>1772</v>
      </c>
      <c r="N810" s="248"/>
      <c r="O810" s="227"/>
      <c r="P810" s="228"/>
      <c r="Q810" s="232" t="s">
        <v>1741</v>
      </c>
      <c r="R810" s="32"/>
      <c r="S810" s="148"/>
      <c r="T810" s="149"/>
      <c r="U810" s="148"/>
      <c r="V810" s="150"/>
    </row>
    <row r="811" spans="1:22" s="151" customFormat="1" ht="25.05" customHeight="1">
      <c r="A811" s="26">
        <v>7</v>
      </c>
      <c r="B811" s="27" t="s">
        <v>244</v>
      </c>
      <c r="C811" s="288" t="s">
        <v>1782</v>
      </c>
      <c r="D811" s="30"/>
      <c r="E811" s="29">
        <v>2</v>
      </c>
      <c r="F811" s="30" t="s">
        <v>289</v>
      </c>
      <c r="G811" s="60"/>
      <c r="H811" s="60"/>
      <c r="I811" s="108"/>
      <c r="J811" s="152">
        <f t="shared" si="12"/>
        <v>0</v>
      </c>
      <c r="K811" s="60"/>
      <c r="L811" s="60"/>
      <c r="M811" s="234" t="s">
        <v>1772</v>
      </c>
      <c r="N811" s="248"/>
      <c r="O811" s="227"/>
      <c r="P811" s="228"/>
      <c r="Q811" s="232" t="s">
        <v>1741</v>
      </c>
      <c r="R811" s="32"/>
      <c r="S811" s="148"/>
      <c r="T811" s="149"/>
      <c r="U811" s="148"/>
      <c r="V811" s="150"/>
    </row>
    <row r="812" spans="1:22" s="151" customFormat="1" ht="25.05" customHeight="1">
      <c r="A812" s="26">
        <v>8</v>
      </c>
      <c r="B812" s="27" t="s">
        <v>244</v>
      </c>
      <c r="C812" s="288" t="s">
        <v>1783</v>
      </c>
      <c r="D812" s="30"/>
      <c r="E812" s="29">
        <v>1</v>
      </c>
      <c r="F812" s="30" t="s">
        <v>303</v>
      </c>
      <c r="G812" s="60"/>
      <c r="H812" s="60"/>
      <c r="I812" s="108"/>
      <c r="J812" s="152">
        <f t="shared" si="12"/>
        <v>0</v>
      </c>
      <c r="K812" s="60"/>
      <c r="L812" s="60"/>
      <c r="M812" s="234" t="s">
        <v>1772</v>
      </c>
      <c r="N812" s="248"/>
      <c r="O812" s="227"/>
      <c r="P812" s="228"/>
      <c r="Q812" s="232" t="s">
        <v>1742</v>
      </c>
      <c r="R812" s="32"/>
      <c r="S812" s="148"/>
      <c r="T812" s="149"/>
      <c r="U812" s="148"/>
      <c r="V812" s="150"/>
    </row>
    <row r="813" spans="1:22" s="151" customFormat="1" ht="25.05" customHeight="1">
      <c r="A813" s="26">
        <v>9</v>
      </c>
      <c r="B813" s="27" t="s">
        <v>244</v>
      </c>
      <c r="C813" s="288" t="s">
        <v>1784</v>
      </c>
      <c r="D813" s="30"/>
      <c r="E813" s="29">
        <v>2</v>
      </c>
      <c r="F813" s="30" t="s">
        <v>303</v>
      </c>
      <c r="G813" s="60"/>
      <c r="H813" s="60"/>
      <c r="I813" s="108"/>
      <c r="J813" s="152">
        <f t="shared" si="12"/>
        <v>0</v>
      </c>
      <c r="K813" s="60"/>
      <c r="L813" s="60"/>
      <c r="M813" s="234" t="s">
        <v>1772</v>
      </c>
      <c r="N813" s="248"/>
      <c r="O813" s="227"/>
      <c r="P813" s="228"/>
      <c r="Q813" s="232" t="s">
        <v>1742</v>
      </c>
      <c r="R813" s="32"/>
      <c r="S813" s="148"/>
      <c r="T813" s="149"/>
      <c r="U813" s="148"/>
      <c r="V813" s="150"/>
    </row>
    <row r="814" spans="1:22" s="151" customFormat="1" ht="25.05" customHeight="1">
      <c r="A814" s="264"/>
      <c r="B814" s="265"/>
      <c r="C814" s="289"/>
      <c r="D814" s="270"/>
      <c r="E814" s="266"/>
      <c r="F814" s="202"/>
      <c r="G814" s="267">
        <v>300</v>
      </c>
      <c r="H814" s="267">
        <v>230</v>
      </c>
      <c r="I814" s="268">
        <v>300</v>
      </c>
      <c r="J814" s="269">
        <f>ROUND(I814*H814*G814/1000000,3)</f>
        <v>20.7</v>
      </c>
      <c r="K814" s="269">
        <v>300</v>
      </c>
      <c r="L814" s="269">
        <v>500</v>
      </c>
      <c r="M814" s="225"/>
      <c r="N814" s="225"/>
      <c r="O814" s="225"/>
      <c r="P814" s="225"/>
      <c r="Q814" s="233"/>
      <c r="R814" s="32"/>
      <c r="S814" s="148"/>
      <c r="T814" s="149"/>
      <c r="U814" s="148"/>
      <c r="V814" s="150"/>
    </row>
    <row r="815" spans="1:22" s="151" customFormat="1" ht="25.05" customHeight="1">
      <c r="A815" s="26">
        <v>1</v>
      </c>
      <c r="B815" s="27" t="s">
        <v>245</v>
      </c>
      <c r="C815" s="288" t="s">
        <v>1790</v>
      </c>
      <c r="D815" s="30"/>
      <c r="E815" s="29">
        <v>1</v>
      </c>
      <c r="F815" s="30" t="s">
        <v>303</v>
      </c>
      <c r="G815" s="60"/>
      <c r="H815" s="60"/>
      <c r="I815" s="108"/>
      <c r="J815" s="152">
        <f t="shared" si="12"/>
        <v>0</v>
      </c>
      <c r="K815" s="60"/>
      <c r="L815" s="60"/>
      <c r="M815" s="234" t="s">
        <v>1791</v>
      </c>
      <c r="N815" s="248"/>
      <c r="O815" s="227"/>
      <c r="P815" s="228"/>
      <c r="Q815" s="232" t="s">
        <v>1792</v>
      </c>
      <c r="R815" s="32"/>
      <c r="S815" s="148"/>
      <c r="T815" s="149"/>
      <c r="U815" s="148"/>
      <c r="V815" s="150"/>
    </row>
    <row r="816" spans="1:22" s="151" customFormat="1" ht="25.05" customHeight="1">
      <c r="A816" s="26">
        <v>2</v>
      </c>
      <c r="B816" s="27" t="s">
        <v>245</v>
      </c>
      <c r="C816" s="288" t="s">
        <v>1793</v>
      </c>
      <c r="D816" s="30"/>
      <c r="E816" s="29">
        <v>4</v>
      </c>
      <c r="F816" s="30" t="s">
        <v>289</v>
      </c>
      <c r="G816" s="60"/>
      <c r="H816" s="60"/>
      <c r="I816" s="108"/>
      <c r="J816" s="152">
        <f t="shared" si="12"/>
        <v>0</v>
      </c>
      <c r="K816" s="60"/>
      <c r="L816" s="60"/>
      <c r="M816" s="234" t="s">
        <v>1791</v>
      </c>
      <c r="N816" s="248"/>
      <c r="O816" s="227"/>
      <c r="P816" s="228"/>
      <c r="Q816" s="232" t="s">
        <v>1794</v>
      </c>
      <c r="R816" s="32"/>
      <c r="S816" s="148"/>
      <c r="T816" s="149"/>
      <c r="U816" s="148"/>
      <c r="V816" s="150"/>
    </row>
    <row r="817" spans="1:22" s="151" customFormat="1" ht="25.05" customHeight="1">
      <c r="A817" s="26">
        <v>3</v>
      </c>
      <c r="B817" s="27" t="s">
        <v>245</v>
      </c>
      <c r="C817" s="288" t="s">
        <v>1795</v>
      </c>
      <c r="D817" s="30"/>
      <c r="E817" s="29">
        <v>4</v>
      </c>
      <c r="F817" s="30" t="s">
        <v>303</v>
      </c>
      <c r="G817" s="60"/>
      <c r="H817" s="60"/>
      <c r="I817" s="108"/>
      <c r="J817" s="152">
        <f t="shared" si="12"/>
        <v>0</v>
      </c>
      <c r="K817" s="60"/>
      <c r="L817" s="60"/>
      <c r="M817" s="234" t="s">
        <v>1791</v>
      </c>
      <c r="N817" s="248"/>
      <c r="O817" s="227"/>
      <c r="P817" s="228"/>
      <c r="Q817" s="232" t="s">
        <v>1796</v>
      </c>
      <c r="R817" s="32"/>
      <c r="S817" s="148"/>
      <c r="T817" s="149"/>
      <c r="U817" s="148"/>
      <c r="V817" s="150"/>
    </row>
    <row r="818" spans="1:22" s="151" customFormat="1" ht="25.05" customHeight="1">
      <c r="A818" s="26">
        <v>4</v>
      </c>
      <c r="B818" s="27" t="s">
        <v>245</v>
      </c>
      <c r="C818" s="288" t="s">
        <v>1797</v>
      </c>
      <c r="D818" s="30"/>
      <c r="E818" s="29">
        <v>4</v>
      </c>
      <c r="F818" s="30" t="s">
        <v>289</v>
      </c>
      <c r="G818" s="60"/>
      <c r="H818" s="60"/>
      <c r="I818" s="108"/>
      <c r="J818" s="152">
        <f t="shared" si="12"/>
        <v>0</v>
      </c>
      <c r="K818" s="60"/>
      <c r="L818" s="60"/>
      <c r="M818" s="234" t="s">
        <v>1791</v>
      </c>
      <c r="N818" s="248"/>
      <c r="O818" s="227"/>
      <c r="P818" s="228"/>
      <c r="Q818" s="232" t="s">
        <v>1798</v>
      </c>
      <c r="R818" s="32"/>
      <c r="S818" s="148"/>
      <c r="T818" s="149"/>
      <c r="U818" s="148"/>
      <c r="V818" s="150"/>
    </row>
    <row r="819" spans="1:22" s="151" customFormat="1" ht="25.05" customHeight="1">
      <c r="A819" s="26">
        <v>5</v>
      </c>
      <c r="B819" s="27" t="s">
        <v>245</v>
      </c>
      <c r="C819" s="288" t="s">
        <v>1799</v>
      </c>
      <c r="D819" s="30"/>
      <c r="E819" s="29">
        <v>4</v>
      </c>
      <c r="F819" s="30" t="s">
        <v>289</v>
      </c>
      <c r="G819" s="60"/>
      <c r="H819" s="60"/>
      <c r="I819" s="108"/>
      <c r="J819" s="152">
        <f t="shared" si="12"/>
        <v>0</v>
      </c>
      <c r="K819" s="60"/>
      <c r="L819" s="60"/>
      <c r="M819" s="234" t="s">
        <v>1791</v>
      </c>
      <c r="N819" s="248"/>
      <c r="O819" s="227"/>
      <c r="P819" s="228"/>
      <c r="Q819" s="232" t="s">
        <v>1800</v>
      </c>
      <c r="R819" s="32"/>
      <c r="S819" s="148"/>
      <c r="T819" s="149"/>
      <c r="U819" s="148"/>
      <c r="V819" s="150"/>
    </row>
    <row r="820" spans="1:22" s="151" customFormat="1" ht="25.05" customHeight="1">
      <c r="A820" s="26">
        <v>6</v>
      </c>
      <c r="B820" s="27" t="s">
        <v>245</v>
      </c>
      <c r="C820" s="288" t="s">
        <v>1801</v>
      </c>
      <c r="D820" s="30"/>
      <c r="E820" s="29">
        <v>4</v>
      </c>
      <c r="F820" s="30" t="s">
        <v>289</v>
      </c>
      <c r="G820" s="60"/>
      <c r="H820" s="60"/>
      <c r="I820" s="108"/>
      <c r="J820" s="152">
        <f t="shared" si="12"/>
        <v>0</v>
      </c>
      <c r="K820" s="60"/>
      <c r="L820" s="60"/>
      <c r="M820" s="234" t="s">
        <v>1791</v>
      </c>
      <c r="N820" s="248"/>
      <c r="O820" s="227"/>
      <c r="P820" s="228"/>
      <c r="Q820" s="232" t="s">
        <v>1802</v>
      </c>
      <c r="R820" s="32"/>
      <c r="S820" s="148"/>
      <c r="T820" s="149"/>
      <c r="U820" s="148"/>
      <c r="V820" s="150"/>
    </row>
    <row r="821" spans="1:22" s="151" customFormat="1" ht="25.05" customHeight="1">
      <c r="A821" s="26">
        <v>7</v>
      </c>
      <c r="B821" s="27" t="s">
        <v>245</v>
      </c>
      <c r="C821" s="288" t="s">
        <v>1803</v>
      </c>
      <c r="D821" s="30"/>
      <c r="E821" s="29">
        <v>2</v>
      </c>
      <c r="F821" s="30" t="s">
        <v>289</v>
      </c>
      <c r="G821" s="60"/>
      <c r="H821" s="60"/>
      <c r="I821" s="108"/>
      <c r="J821" s="152">
        <f t="shared" si="12"/>
        <v>0</v>
      </c>
      <c r="K821" s="60"/>
      <c r="L821" s="60"/>
      <c r="M821" s="234" t="s">
        <v>1791</v>
      </c>
      <c r="N821" s="248"/>
      <c r="O821" s="227"/>
      <c r="P821" s="228"/>
      <c r="Q821" s="232" t="s">
        <v>1792</v>
      </c>
      <c r="R821" s="32"/>
      <c r="S821" s="148"/>
      <c r="T821" s="149"/>
      <c r="U821" s="148"/>
      <c r="V821" s="150"/>
    </row>
    <row r="822" spans="1:22" s="151" customFormat="1" ht="25.05" customHeight="1">
      <c r="A822" s="26">
        <v>8</v>
      </c>
      <c r="B822" s="27" t="s">
        <v>245</v>
      </c>
      <c r="C822" s="288" t="s">
        <v>1804</v>
      </c>
      <c r="D822" s="30"/>
      <c r="E822" s="29">
        <v>2</v>
      </c>
      <c r="F822" s="30" t="s">
        <v>289</v>
      </c>
      <c r="G822" s="60"/>
      <c r="H822" s="60"/>
      <c r="I822" s="108"/>
      <c r="J822" s="152">
        <f t="shared" si="12"/>
        <v>0</v>
      </c>
      <c r="K822" s="60"/>
      <c r="L822" s="60"/>
      <c r="M822" s="234" t="s">
        <v>1791</v>
      </c>
      <c r="N822" s="248"/>
      <c r="O822" s="227"/>
      <c r="P822" s="228"/>
      <c r="Q822" s="232" t="s">
        <v>1792</v>
      </c>
      <c r="R822" s="32"/>
      <c r="S822" s="148"/>
      <c r="T822" s="149"/>
      <c r="U822" s="148"/>
      <c r="V822" s="150"/>
    </row>
    <row r="823" spans="1:22" s="151" customFormat="1" ht="25.05" customHeight="1">
      <c r="A823" s="264"/>
      <c r="B823" s="265"/>
      <c r="C823" s="289"/>
      <c r="D823" s="270"/>
      <c r="E823" s="266"/>
      <c r="F823" s="202"/>
      <c r="G823" s="267">
        <v>220</v>
      </c>
      <c r="H823" s="267">
        <v>180</v>
      </c>
      <c r="I823" s="268">
        <v>215</v>
      </c>
      <c r="J823" s="269">
        <f>ROUND(I823*H823*G823/1000000,3)</f>
        <v>8.5139999999999993</v>
      </c>
      <c r="K823" s="269">
        <v>200</v>
      </c>
      <c r="L823" s="269">
        <v>400</v>
      </c>
      <c r="M823" s="225"/>
      <c r="N823" s="225"/>
      <c r="O823" s="225"/>
      <c r="P823" s="225"/>
      <c r="Q823" s="233"/>
      <c r="R823" s="32"/>
      <c r="S823" s="148"/>
      <c r="T823" s="149"/>
      <c r="U823" s="148"/>
      <c r="V823" s="150"/>
    </row>
    <row r="824" spans="1:22" s="151" customFormat="1" ht="25.05" customHeight="1">
      <c r="A824" s="26">
        <v>1</v>
      </c>
      <c r="B824" s="27" t="s">
        <v>247</v>
      </c>
      <c r="C824" s="288" t="s">
        <v>246</v>
      </c>
      <c r="D824" s="30"/>
      <c r="E824" s="29">
        <v>1</v>
      </c>
      <c r="F824" s="30" t="s">
        <v>303</v>
      </c>
      <c r="G824" s="60"/>
      <c r="H824" s="60"/>
      <c r="I824" s="108"/>
      <c r="J824" s="152">
        <f t="shared" ref="J824:J885" si="13">ROUND(I824*H824*G824/1000000,3)</f>
        <v>0</v>
      </c>
      <c r="K824" s="60"/>
      <c r="L824" s="60"/>
      <c r="M824" s="234" t="s">
        <v>1791</v>
      </c>
      <c r="N824" s="248"/>
      <c r="O824" s="227"/>
      <c r="P824" s="228"/>
      <c r="Q824" s="232" t="s">
        <v>1805</v>
      </c>
      <c r="R824" s="32"/>
      <c r="S824" s="148"/>
      <c r="T824" s="149"/>
      <c r="U824" s="148"/>
      <c r="V824" s="150"/>
    </row>
    <row r="825" spans="1:22" s="151" customFormat="1" ht="25.05" customHeight="1">
      <c r="A825" s="26">
        <v>2</v>
      </c>
      <c r="B825" s="27" t="s">
        <v>247</v>
      </c>
      <c r="C825" s="288" t="s">
        <v>1793</v>
      </c>
      <c r="D825" s="30"/>
      <c r="E825" s="29">
        <v>4</v>
      </c>
      <c r="F825" s="30" t="s">
        <v>289</v>
      </c>
      <c r="G825" s="60"/>
      <c r="H825" s="60"/>
      <c r="I825" s="108"/>
      <c r="J825" s="152">
        <f t="shared" si="13"/>
        <v>0</v>
      </c>
      <c r="K825" s="60"/>
      <c r="L825" s="60"/>
      <c r="M825" s="234" t="s">
        <v>1791</v>
      </c>
      <c r="N825" s="248"/>
      <c r="O825" s="227"/>
      <c r="P825" s="228"/>
      <c r="Q825" s="232" t="s">
        <v>1806</v>
      </c>
      <c r="R825" s="32"/>
      <c r="S825" s="148"/>
      <c r="T825" s="149"/>
      <c r="U825" s="148"/>
      <c r="V825" s="150"/>
    </row>
    <row r="826" spans="1:22" s="151" customFormat="1" ht="25.05" customHeight="1">
      <c r="A826" s="26">
        <v>3</v>
      </c>
      <c r="B826" s="27" t="s">
        <v>247</v>
      </c>
      <c r="C826" s="288" t="s">
        <v>1795</v>
      </c>
      <c r="D826" s="30"/>
      <c r="E826" s="29">
        <v>4</v>
      </c>
      <c r="F826" s="30" t="s">
        <v>303</v>
      </c>
      <c r="G826" s="60"/>
      <c r="H826" s="60"/>
      <c r="I826" s="108"/>
      <c r="J826" s="152">
        <f t="shared" si="13"/>
        <v>0</v>
      </c>
      <c r="K826" s="60"/>
      <c r="L826" s="60"/>
      <c r="M826" s="234" t="s">
        <v>1791</v>
      </c>
      <c r="N826" s="248"/>
      <c r="O826" s="227"/>
      <c r="P826" s="228"/>
      <c r="Q826" s="232" t="s">
        <v>1807</v>
      </c>
      <c r="R826" s="32"/>
      <c r="S826" s="148"/>
      <c r="T826" s="149"/>
      <c r="U826" s="148"/>
      <c r="V826" s="150"/>
    </row>
    <row r="827" spans="1:22" s="151" customFormat="1" ht="25.05" customHeight="1">
      <c r="A827" s="26">
        <v>4</v>
      </c>
      <c r="B827" s="27" t="s">
        <v>247</v>
      </c>
      <c r="C827" s="288" t="s">
        <v>1797</v>
      </c>
      <c r="D827" s="30"/>
      <c r="E827" s="29">
        <v>4</v>
      </c>
      <c r="F827" s="30" t="s">
        <v>289</v>
      </c>
      <c r="G827" s="60"/>
      <c r="H827" s="60"/>
      <c r="I827" s="108"/>
      <c r="J827" s="152">
        <f t="shared" si="13"/>
        <v>0</v>
      </c>
      <c r="K827" s="60"/>
      <c r="L827" s="60"/>
      <c r="M827" s="234" t="s">
        <v>1791</v>
      </c>
      <c r="N827" s="248"/>
      <c r="O827" s="227"/>
      <c r="P827" s="228"/>
      <c r="Q827" s="232" t="s">
        <v>1808</v>
      </c>
      <c r="R827" s="32"/>
      <c r="S827" s="148"/>
      <c r="T827" s="149"/>
      <c r="U827" s="148"/>
      <c r="V827" s="150"/>
    </row>
    <row r="828" spans="1:22" s="151" customFormat="1" ht="25.05" customHeight="1">
      <c r="A828" s="26">
        <v>5</v>
      </c>
      <c r="B828" s="27" t="s">
        <v>247</v>
      </c>
      <c r="C828" s="288" t="s">
        <v>1799</v>
      </c>
      <c r="D828" s="30"/>
      <c r="E828" s="29">
        <v>4</v>
      </c>
      <c r="F828" s="30" t="s">
        <v>289</v>
      </c>
      <c r="G828" s="60"/>
      <c r="H828" s="60"/>
      <c r="I828" s="108"/>
      <c r="J828" s="152">
        <f t="shared" si="13"/>
        <v>0</v>
      </c>
      <c r="K828" s="60"/>
      <c r="L828" s="60"/>
      <c r="M828" s="234" t="s">
        <v>1791</v>
      </c>
      <c r="N828" s="248"/>
      <c r="O828" s="227"/>
      <c r="P828" s="228"/>
      <c r="Q828" s="232" t="s">
        <v>1809</v>
      </c>
      <c r="R828" s="32"/>
      <c r="S828" s="148"/>
      <c r="T828" s="149"/>
      <c r="U828" s="148"/>
      <c r="V828" s="150"/>
    </row>
    <row r="829" spans="1:22" s="151" customFormat="1" ht="25.05" customHeight="1">
      <c r="A829" s="26">
        <v>6</v>
      </c>
      <c r="B829" s="27" t="s">
        <v>247</v>
      </c>
      <c r="C829" s="288" t="s">
        <v>1801</v>
      </c>
      <c r="D829" s="30"/>
      <c r="E829" s="29">
        <v>4</v>
      </c>
      <c r="F829" s="30" t="s">
        <v>289</v>
      </c>
      <c r="G829" s="60"/>
      <c r="H829" s="60"/>
      <c r="I829" s="108"/>
      <c r="J829" s="152">
        <f t="shared" si="13"/>
        <v>0</v>
      </c>
      <c r="K829" s="60"/>
      <c r="L829" s="60"/>
      <c r="M829" s="234" t="s">
        <v>1791</v>
      </c>
      <c r="N829" s="248"/>
      <c r="O829" s="227"/>
      <c r="P829" s="228"/>
      <c r="Q829" s="232" t="s">
        <v>1810</v>
      </c>
      <c r="R829" s="32"/>
      <c r="S829" s="148"/>
      <c r="T829" s="149"/>
      <c r="U829" s="148"/>
      <c r="V829" s="150"/>
    </row>
    <row r="830" spans="1:22" s="151" customFormat="1" ht="25.05" customHeight="1">
      <c r="A830" s="26">
        <v>7</v>
      </c>
      <c r="B830" s="27" t="s">
        <v>247</v>
      </c>
      <c r="C830" s="288" t="s">
        <v>1803</v>
      </c>
      <c r="D830" s="30"/>
      <c r="E830" s="29">
        <v>2</v>
      </c>
      <c r="F830" s="30" t="s">
        <v>289</v>
      </c>
      <c r="G830" s="60"/>
      <c r="H830" s="60"/>
      <c r="I830" s="108"/>
      <c r="J830" s="152">
        <f t="shared" si="13"/>
        <v>0</v>
      </c>
      <c r="K830" s="60"/>
      <c r="L830" s="60"/>
      <c r="M830" s="234" t="s">
        <v>1791</v>
      </c>
      <c r="N830" s="248"/>
      <c r="O830" s="227"/>
      <c r="P830" s="228"/>
      <c r="Q830" s="232" t="s">
        <v>1811</v>
      </c>
      <c r="R830" s="32"/>
      <c r="S830" s="148"/>
      <c r="T830" s="149"/>
      <c r="U830" s="148"/>
      <c r="V830" s="150"/>
    </row>
    <row r="831" spans="1:22" s="151" customFormat="1" ht="25.05" customHeight="1">
      <c r="A831" s="26">
        <v>8</v>
      </c>
      <c r="B831" s="27" t="s">
        <v>247</v>
      </c>
      <c r="C831" s="288" t="s">
        <v>1804</v>
      </c>
      <c r="D831" s="30"/>
      <c r="E831" s="29">
        <v>2</v>
      </c>
      <c r="F831" s="30" t="s">
        <v>289</v>
      </c>
      <c r="G831" s="60"/>
      <c r="H831" s="60"/>
      <c r="I831" s="108"/>
      <c r="J831" s="152">
        <f t="shared" si="13"/>
        <v>0</v>
      </c>
      <c r="K831" s="60"/>
      <c r="L831" s="60"/>
      <c r="M831" s="234" t="s">
        <v>1791</v>
      </c>
      <c r="N831" s="248"/>
      <c r="O831" s="227"/>
      <c r="P831" s="228"/>
      <c r="Q831" s="232" t="s">
        <v>1812</v>
      </c>
      <c r="R831" s="32"/>
      <c r="S831" s="148"/>
      <c r="T831" s="149"/>
      <c r="U831" s="148"/>
      <c r="V831" s="150"/>
    </row>
    <row r="832" spans="1:22" s="151" customFormat="1" ht="25.05" customHeight="1">
      <c r="A832" s="264"/>
      <c r="B832" s="265"/>
      <c r="C832" s="289"/>
      <c r="D832" s="270"/>
      <c r="E832" s="266"/>
      <c r="F832" s="202"/>
      <c r="G832" s="267">
        <v>220</v>
      </c>
      <c r="H832" s="267">
        <v>180</v>
      </c>
      <c r="I832" s="268">
        <v>215</v>
      </c>
      <c r="J832" s="269">
        <f>ROUND(I832*H832*G832/1000000,3)</f>
        <v>8.5139999999999993</v>
      </c>
      <c r="K832" s="269">
        <v>200</v>
      </c>
      <c r="L832" s="269">
        <v>400</v>
      </c>
      <c r="M832" s="225"/>
      <c r="N832" s="225"/>
      <c r="O832" s="225"/>
      <c r="P832" s="225"/>
      <c r="Q832" s="233"/>
      <c r="R832" s="32"/>
      <c r="S832" s="148"/>
      <c r="T832" s="149"/>
      <c r="U832" s="148"/>
      <c r="V832" s="150"/>
    </row>
    <row r="833" spans="1:22" s="151" customFormat="1" ht="25.05" customHeight="1">
      <c r="A833" s="26">
        <v>1</v>
      </c>
      <c r="B833" s="27" t="s">
        <v>248</v>
      </c>
      <c r="C833" s="288" t="s">
        <v>1813</v>
      </c>
      <c r="D833" s="30"/>
      <c r="E833" s="29">
        <v>2</v>
      </c>
      <c r="F833" s="30" t="s">
        <v>303</v>
      </c>
      <c r="G833" s="60"/>
      <c r="H833" s="60"/>
      <c r="I833" s="108"/>
      <c r="J833" s="152">
        <f t="shared" si="13"/>
        <v>0</v>
      </c>
      <c r="K833" s="60"/>
      <c r="L833" s="60"/>
      <c r="M833" s="234" t="s">
        <v>1814</v>
      </c>
      <c r="N833" s="248"/>
      <c r="O833" s="227"/>
      <c r="P833" s="228"/>
      <c r="Q833" s="232" t="s">
        <v>1745</v>
      </c>
      <c r="R833" s="32"/>
      <c r="S833" s="148"/>
      <c r="T833" s="149"/>
      <c r="U833" s="148"/>
      <c r="V833" s="150"/>
    </row>
    <row r="834" spans="1:22" s="151" customFormat="1" ht="25.05" customHeight="1">
      <c r="A834" s="26">
        <v>2</v>
      </c>
      <c r="B834" s="27" t="s">
        <v>248</v>
      </c>
      <c r="C834" s="288" t="s">
        <v>1815</v>
      </c>
      <c r="D834" s="30"/>
      <c r="E834" s="29">
        <v>4</v>
      </c>
      <c r="F834" s="30" t="s">
        <v>303</v>
      </c>
      <c r="G834" s="60"/>
      <c r="H834" s="60"/>
      <c r="I834" s="108"/>
      <c r="J834" s="152">
        <f t="shared" si="13"/>
        <v>0</v>
      </c>
      <c r="K834" s="60"/>
      <c r="L834" s="60"/>
      <c r="M834" s="234" t="s">
        <v>1814</v>
      </c>
      <c r="N834" s="248"/>
      <c r="O834" s="227"/>
      <c r="P834" s="228"/>
      <c r="Q834" s="232" t="s">
        <v>1754</v>
      </c>
      <c r="R834" s="32"/>
      <c r="S834" s="148"/>
      <c r="T834" s="149"/>
      <c r="U834" s="148"/>
      <c r="V834" s="150"/>
    </row>
    <row r="835" spans="1:22" s="151" customFormat="1" ht="25.05" customHeight="1">
      <c r="A835" s="26">
        <v>3</v>
      </c>
      <c r="B835" s="27" t="s">
        <v>248</v>
      </c>
      <c r="C835" s="288" t="s">
        <v>1816</v>
      </c>
      <c r="D835" s="30"/>
      <c r="E835" s="29">
        <v>24</v>
      </c>
      <c r="F835" s="30" t="s">
        <v>303</v>
      </c>
      <c r="G835" s="60"/>
      <c r="H835" s="60"/>
      <c r="I835" s="108"/>
      <c r="J835" s="152">
        <f t="shared" si="13"/>
        <v>0</v>
      </c>
      <c r="K835" s="60"/>
      <c r="L835" s="60"/>
      <c r="M835" s="234" t="s">
        <v>1814</v>
      </c>
      <c r="N835" s="248"/>
      <c r="O835" s="227"/>
      <c r="P835" s="228"/>
      <c r="Q835" s="232" t="s">
        <v>1817</v>
      </c>
      <c r="R835" s="32"/>
      <c r="S835" s="148"/>
      <c r="T835" s="149"/>
      <c r="U835" s="148"/>
      <c r="V835" s="150"/>
    </row>
    <row r="836" spans="1:22" s="151" customFormat="1" ht="25.05" customHeight="1">
      <c r="A836" s="26">
        <v>4</v>
      </c>
      <c r="B836" s="27" t="s">
        <v>248</v>
      </c>
      <c r="C836" s="288" t="s">
        <v>1818</v>
      </c>
      <c r="D836" s="30"/>
      <c r="E836" s="29">
        <v>2</v>
      </c>
      <c r="F836" s="30" t="s">
        <v>303</v>
      </c>
      <c r="G836" s="60"/>
      <c r="H836" s="60"/>
      <c r="I836" s="108"/>
      <c r="J836" s="152">
        <f t="shared" si="13"/>
        <v>0</v>
      </c>
      <c r="K836" s="60"/>
      <c r="L836" s="60"/>
      <c r="M836" s="234" t="s">
        <v>1814</v>
      </c>
      <c r="N836" s="248"/>
      <c r="O836" s="227"/>
      <c r="P836" s="228"/>
      <c r="Q836" s="232" t="s">
        <v>1754</v>
      </c>
      <c r="R836" s="32"/>
      <c r="S836" s="148"/>
      <c r="T836" s="149"/>
      <c r="U836" s="148"/>
      <c r="V836" s="150"/>
    </row>
    <row r="837" spans="1:22" s="151" customFormat="1" ht="25.05" customHeight="1">
      <c r="A837" s="26">
        <v>5</v>
      </c>
      <c r="B837" s="27" t="s">
        <v>248</v>
      </c>
      <c r="C837" s="288" t="s">
        <v>1819</v>
      </c>
      <c r="D837" s="30"/>
      <c r="E837" s="29">
        <v>8</v>
      </c>
      <c r="F837" s="30" t="s">
        <v>303</v>
      </c>
      <c r="G837" s="60"/>
      <c r="H837" s="60"/>
      <c r="I837" s="108"/>
      <c r="J837" s="152">
        <f t="shared" si="13"/>
        <v>0</v>
      </c>
      <c r="K837" s="60"/>
      <c r="L837" s="60"/>
      <c r="M837" s="234" t="s">
        <v>1814</v>
      </c>
      <c r="N837" s="248"/>
      <c r="O837" s="227"/>
      <c r="P837" s="228"/>
      <c r="Q837" s="232" t="s">
        <v>1820</v>
      </c>
      <c r="R837" s="32"/>
      <c r="S837" s="148"/>
      <c r="T837" s="149"/>
      <c r="U837" s="148"/>
      <c r="V837" s="150"/>
    </row>
    <row r="838" spans="1:22" s="151" customFormat="1" ht="25.05" customHeight="1">
      <c r="A838" s="26">
        <v>6</v>
      </c>
      <c r="B838" s="27" t="s">
        <v>248</v>
      </c>
      <c r="C838" s="288" t="s">
        <v>1821</v>
      </c>
      <c r="D838" s="30"/>
      <c r="E838" s="29">
        <v>4</v>
      </c>
      <c r="F838" s="30" t="s">
        <v>289</v>
      </c>
      <c r="G838" s="60"/>
      <c r="H838" s="60"/>
      <c r="I838" s="108"/>
      <c r="J838" s="152">
        <f t="shared" si="13"/>
        <v>0</v>
      </c>
      <c r="K838" s="60"/>
      <c r="L838" s="60"/>
      <c r="M838" s="234" t="s">
        <v>1814</v>
      </c>
      <c r="N838" s="248"/>
      <c r="O838" s="227"/>
      <c r="P838" s="228"/>
      <c r="Q838" s="232" t="s">
        <v>1822</v>
      </c>
      <c r="R838" s="32"/>
      <c r="S838" s="148"/>
      <c r="T838" s="149"/>
      <c r="U838" s="148"/>
      <c r="V838" s="150"/>
    </row>
    <row r="839" spans="1:22" s="151" customFormat="1" ht="25.05" customHeight="1">
      <c r="A839" s="26">
        <v>7</v>
      </c>
      <c r="B839" s="27" t="s">
        <v>248</v>
      </c>
      <c r="C839" s="288" t="s">
        <v>1823</v>
      </c>
      <c r="D839" s="30"/>
      <c r="E839" s="29">
        <v>4</v>
      </c>
      <c r="F839" s="30" t="s">
        <v>289</v>
      </c>
      <c r="G839" s="60"/>
      <c r="H839" s="60"/>
      <c r="I839" s="108"/>
      <c r="J839" s="152">
        <f t="shared" si="13"/>
        <v>0</v>
      </c>
      <c r="K839" s="60"/>
      <c r="L839" s="60"/>
      <c r="M839" s="234" t="s">
        <v>1814</v>
      </c>
      <c r="N839" s="248"/>
      <c r="O839" s="227"/>
      <c r="P839" s="228"/>
      <c r="Q839" s="232" t="s">
        <v>1824</v>
      </c>
      <c r="R839" s="32"/>
      <c r="S839" s="148"/>
      <c r="T839" s="149"/>
      <c r="U839" s="148"/>
      <c r="V839" s="150"/>
    </row>
    <row r="840" spans="1:22" s="151" customFormat="1" ht="25.05" customHeight="1">
      <c r="A840" s="26">
        <v>8</v>
      </c>
      <c r="B840" s="27" t="s">
        <v>248</v>
      </c>
      <c r="C840" s="288" t="s">
        <v>1825</v>
      </c>
      <c r="D840" s="30"/>
      <c r="E840" s="29">
        <v>4</v>
      </c>
      <c r="F840" s="30" t="s">
        <v>289</v>
      </c>
      <c r="G840" s="60"/>
      <c r="H840" s="60"/>
      <c r="I840" s="108"/>
      <c r="J840" s="152">
        <f t="shared" si="13"/>
        <v>0</v>
      </c>
      <c r="K840" s="60"/>
      <c r="L840" s="60"/>
      <c r="M840" s="234" t="s">
        <v>1814</v>
      </c>
      <c r="N840" s="248"/>
      <c r="O840" s="227"/>
      <c r="P840" s="228"/>
      <c r="Q840" s="232" t="s">
        <v>1826</v>
      </c>
      <c r="R840" s="32"/>
      <c r="S840" s="148"/>
      <c r="T840" s="149"/>
      <c r="U840" s="148"/>
      <c r="V840" s="150"/>
    </row>
    <row r="841" spans="1:22" s="151" customFormat="1" ht="25.05" customHeight="1">
      <c r="A841" s="26">
        <v>9</v>
      </c>
      <c r="B841" s="27" t="s">
        <v>248</v>
      </c>
      <c r="C841" s="288" t="s">
        <v>1827</v>
      </c>
      <c r="D841" s="30"/>
      <c r="E841" s="29">
        <v>4</v>
      </c>
      <c r="F841" s="30" t="s">
        <v>303</v>
      </c>
      <c r="G841" s="60"/>
      <c r="H841" s="60"/>
      <c r="I841" s="108"/>
      <c r="J841" s="152">
        <f t="shared" si="13"/>
        <v>0</v>
      </c>
      <c r="K841" s="60"/>
      <c r="L841" s="60"/>
      <c r="M841" s="234" t="s">
        <v>1814</v>
      </c>
      <c r="N841" s="248"/>
      <c r="O841" s="227"/>
      <c r="P841" s="228"/>
      <c r="Q841" s="232" t="s">
        <v>1828</v>
      </c>
      <c r="R841" s="32"/>
      <c r="S841" s="148"/>
      <c r="T841" s="149"/>
      <c r="U841" s="148"/>
      <c r="V841" s="150"/>
    </row>
    <row r="842" spans="1:22" s="151" customFormat="1" ht="25.05" customHeight="1">
      <c r="A842" s="26">
        <v>10</v>
      </c>
      <c r="B842" s="27" t="s">
        <v>248</v>
      </c>
      <c r="C842" s="292" t="s">
        <v>1829</v>
      </c>
      <c r="D842" s="30"/>
      <c r="E842" s="29">
        <v>8</v>
      </c>
      <c r="F842" s="30" t="s">
        <v>303</v>
      </c>
      <c r="G842" s="60"/>
      <c r="H842" s="60"/>
      <c r="I842" s="108"/>
      <c r="J842" s="152">
        <f t="shared" si="13"/>
        <v>0</v>
      </c>
      <c r="K842" s="60"/>
      <c r="L842" s="60"/>
      <c r="M842" s="234" t="s">
        <v>1814</v>
      </c>
      <c r="N842" s="248"/>
      <c r="O842" s="227"/>
      <c r="P842" s="228"/>
      <c r="Q842" s="232" t="s">
        <v>1830</v>
      </c>
      <c r="R842" s="32"/>
      <c r="S842" s="148"/>
      <c r="T842" s="149"/>
      <c r="U842" s="148"/>
      <c r="V842" s="150"/>
    </row>
    <row r="843" spans="1:22" s="151" customFormat="1" ht="25.05" customHeight="1">
      <c r="A843" s="264"/>
      <c r="B843" s="265"/>
      <c r="C843" s="289"/>
      <c r="D843" s="270"/>
      <c r="E843" s="266"/>
      <c r="F843" s="202"/>
      <c r="G843" s="267">
        <v>480</v>
      </c>
      <c r="H843" s="267">
        <v>240</v>
      </c>
      <c r="I843" s="268">
        <v>165</v>
      </c>
      <c r="J843" s="269">
        <f>ROUND(I843*H843*G843/1000000,3)</f>
        <v>19.007999999999999</v>
      </c>
      <c r="K843" s="269">
        <v>1200</v>
      </c>
      <c r="L843" s="269">
        <v>1400</v>
      </c>
      <c r="M843" s="225"/>
      <c r="N843" s="225"/>
      <c r="O843" s="225"/>
      <c r="P843" s="225"/>
      <c r="Q843" s="233"/>
      <c r="R843" s="32"/>
      <c r="S843" s="148"/>
      <c r="T843" s="149"/>
      <c r="U843" s="148"/>
      <c r="V843" s="150"/>
    </row>
    <row r="844" spans="1:22" s="151" customFormat="1" ht="25.05" customHeight="1">
      <c r="A844" s="26">
        <v>1</v>
      </c>
      <c r="B844" s="27" t="s">
        <v>249</v>
      </c>
      <c r="C844" s="288" t="s">
        <v>1831</v>
      </c>
      <c r="D844" s="30"/>
      <c r="E844" s="29">
        <v>1</v>
      </c>
      <c r="F844" s="30" t="s">
        <v>303</v>
      </c>
      <c r="G844" s="60"/>
      <c r="H844" s="60"/>
      <c r="I844" s="108"/>
      <c r="J844" s="152">
        <f t="shared" si="13"/>
        <v>0</v>
      </c>
      <c r="K844" s="60"/>
      <c r="L844" s="60"/>
      <c r="M844" s="234" t="s">
        <v>1814</v>
      </c>
      <c r="N844" s="248"/>
      <c r="O844" s="227"/>
      <c r="P844" s="228"/>
      <c r="Q844" s="232" t="s">
        <v>1741</v>
      </c>
      <c r="R844" s="32"/>
      <c r="S844" s="148"/>
      <c r="T844" s="149"/>
      <c r="U844" s="148"/>
      <c r="V844" s="150"/>
    </row>
    <row r="845" spans="1:22" s="151" customFormat="1" ht="25.05" customHeight="1">
      <c r="A845" s="26">
        <v>2</v>
      </c>
      <c r="B845" s="27" t="s">
        <v>249</v>
      </c>
      <c r="C845" s="288" t="s">
        <v>1832</v>
      </c>
      <c r="D845" s="30"/>
      <c r="E845" s="29">
        <v>8</v>
      </c>
      <c r="F845" s="30" t="s">
        <v>303</v>
      </c>
      <c r="G845" s="60"/>
      <c r="H845" s="60"/>
      <c r="I845" s="108"/>
      <c r="J845" s="152">
        <f t="shared" si="13"/>
        <v>0</v>
      </c>
      <c r="K845" s="60"/>
      <c r="L845" s="60"/>
      <c r="M845" s="234" t="s">
        <v>1814</v>
      </c>
      <c r="N845" s="248"/>
      <c r="O845" s="227"/>
      <c r="P845" s="228"/>
      <c r="Q845" s="232" t="s">
        <v>1833</v>
      </c>
      <c r="R845" s="32"/>
      <c r="S845" s="148"/>
      <c r="T845" s="149"/>
      <c r="U845" s="148"/>
      <c r="V845" s="150"/>
    </row>
    <row r="846" spans="1:22" s="151" customFormat="1" ht="25.05" customHeight="1">
      <c r="A846" s="26">
        <v>3</v>
      </c>
      <c r="B846" s="27" t="s">
        <v>249</v>
      </c>
      <c r="C846" s="288" t="s">
        <v>1816</v>
      </c>
      <c r="D846" s="30"/>
      <c r="E846" s="29">
        <v>16</v>
      </c>
      <c r="F846" s="30" t="s">
        <v>303</v>
      </c>
      <c r="G846" s="60"/>
      <c r="H846" s="60"/>
      <c r="I846" s="108"/>
      <c r="J846" s="152">
        <f t="shared" si="13"/>
        <v>0</v>
      </c>
      <c r="K846" s="60"/>
      <c r="L846" s="60"/>
      <c r="M846" s="234" t="s">
        <v>1814</v>
      </c>
      <c r="N846" s="248"/>
      <c r="O846" s="227"/>
      <c r="P846" s="228"/>
      <c r="Q846" s="232" t="s">
        <v>1834</v>
      </c>
      <c r="R846" s="32"/>
      <c r="S846" s="148"/>
      <c r="T846" s="149"/>
      <c r="U846" s="148"/>
      <c r="V846" s="150"/>
    </row>
    <row r="847" spans="1:22" s="151" customFormat="1" ht="25.05" customHeight="1">
      <c r="A847" s="26">
        <v>4</v>
      </c>
      <c r="B847" s="27" t="s">
        <v>249</v>
      </c>
      <c r="C847" s="288" t="s">
        <v>1821</v>
      </c>
      <c r="D847" s="30"/>
      <c r="E847" s="29">
        <v>8</v>
      </c>
      <c r="F847" s="30" t="s">
        <v>289</v>
      </c>
      <c r="G847" s="60"/>
      <c r="H847" s="60"/>
      <c r="I847" s="108"/>
      <c r="J847" s="152">
        <f t="shared" si="13"/>
        <v>0</v>
      </c>
      <c r="K847" s="60"/>
      <c r="L847" s="60"/>
      <c r="M847" s="234" t="s">
        <v>1814</v>
      </c>
      <c r="N847" s="248"/>
      <c r="O847" s="227"/>
      <c r="P847" s="228"/>
      <c r="Q847" s="232" t="s">
        <v>1778</v>
      </c>
      <c r="R847" s="32"/>
      <c r="S847" s="148"/>
      <c r="T847" s="149"/>
      <c r="U847" s="148"/>
      <c r="V847" s="150"/>
    </row>
    <row r="848" spans="1:22" s="151" customFormat="1" ht="25.05" customHeight="1">
      <c r="A848" s="26">
        <v>5</v>
      </c>
      <c r="B848" s="27" t="s">
        <v>249</v>
      </c>
      <c r="C848" s="288" t="s">
        <v>1835</v>
      </c>
      <c r="D848" s="30"/>
      <c r="E848" s="29">
        <v>8</v>
      </c>
      <c r="F848" s="30" t="s">
        <v>289</v>
      </c>
      <c r="G848" s="60"/>
      <c r="H848" s="60"/>
      <c r="I848" s="108"/>
      <c r="J848" s="152">
        <f t="shared" si="13"/>
        <v>0</v>
      </c>
      <c r="K848" s="60"/>
      <c r="L848" s="60"/>
      <c r="M848" s="234" t="s">
        <v>1814</v>
      </c>
      <c r="N848" s="248"/>
      <c r="O848" s="227"/>
      <c r="P848" s="228"/>
      <c r="Q848" s="232" t="s">
        <v>1780</v>
      </c>
      <c r="R848" s="32"/>
      <c r="S848" s="148"/>
      <c r="T848" s="149"/>
      <c r="U848" s="148"/>
      <c r="V848" s="150"/>
    </row>
    <row r="849" spans="1:22" s="151" customFormat="1" ht="25.05" customHeight="1">
      <c r="A849" s="26">
        <v>6</v>
      </c>
      <c r="B849" s="27" t="s">
        <v>249</v>
      </c>
      <c r="C849" s="288" t="s">
        <v>1836</v>
      </c>
      <c r="D849" s="30"/>
      <c r="E849" s="29">
        <v>8</v>
      </c>
      <c r="F849" s="30" t="s">
        <v>289</v>
      </c>
      <c r="G849" s="60"/>
      <c r="H849" s="60"/>
      <c r="I849" s="108"/>
      <c r="J849" s="152">
        <f t="shared" si="13"/>
        <v>0</v>
      </c>
      <c r="K849" s="60"/>
      <c r="L849" s="60"/>
      <c r="M849" s="234" t="s">
        <v>1814</v>
      </c>
      <c r="N849" s="248"/>
      <c r="O849" s="227"/>
      <c r="P849" s="228"/>
      <c r="Q849" s="232" t="s">
        <v>1837</v>
      </c>
      <c r="R849" s="32"/>
      <c r="S849" s="148"/>
      <c r="T849" s="149"/>
      <c r="U849" s="148"/>
      <c r="V849" s="150"/>
    </row>
    <row r="850" spans="1:22" s="151" customFormat="1" ht="25.05" customHeight="1">
      <c r="A850" s="26">
        <v>7</v>
      </c>
      <c r="B850" s="27" t="s">
        <v>249</v>
      </c>
      <c r="C850" s="288" t="s">
        <v>1827</v>
      </c>
      <c r="D850" s="30"/>
      <c r="E850" s="29">
        <v>8</v>
      </c>
      <c r="F850" s="30" t="s">
        <v>303</v>
      </c>
      <c r="G850" s="60"/>
      <c r="H850" s="60"/>
      <c r="I850" s="108"/>
      <c r="J850" s="152">
        <f t="shared" si="13"/>
        <v>0</v>
      </c>
      <c r="K850" s="60"/>
      <c r="L850" s="60"/>
      <c r="M850" s="234" t="s">
        <v>1814</v>
      </c>
      <c r="N850" s="248"/>
      <c r="O850" s="227"/>
      <c r="P850" s="228"/>
      <c r="Q850" s="232" t="s">
        <v>1838</v>
      </c>
      <c r="R850" s="32"/>
      <c r="S850" s="148"/>
      <c r="T850" s="149"/>
      <c r="U850" s="148"/>
      <c r="V850" s="150"/>
    </row>
    <row r="851" spans="1:22" s="151" customFormat="1" ht="25.05" customHeight="1">
      <c r="A851" s="26">
        <v>8</v>
      </c>
      <c r="B851" s="27" t="s">
        <v>249</v>
      </c>
      <c r="C851" s="292" t="s">
        <v>1839</v>
      </c>
      <c r="D851" s="30"/>
      <c r="E851" s="29">
        <v>1</v>
      </c>
      <c r="F851" s="30" t="s">
        <v>303</v>
      </c>
      <c r="G851" s="60"/>
      <c r="H851" s="60"/>
      <c r="I851" s="108"/>
      <c r="J851" s="152">
        <f t="shared" si="13"/>
        <v>0</v>
      </c>
      <c r="K851" s="60"/>
      <c r="L851" s="60"/>
      <c r="M851" s="234" t="s">
        <v>1840</v>
      </c>
      <c r="N851" s="248"/>
      <c r="O851" s="227"/>
      <c r="P851" s="228"/>
      <c r="Q851" s="232" t="s">
        <v>1841</v>
      </c>
      <c r="R851" s="32"/>
      <c r="S851" s="148"/>
      <c r="T851" s="149"/>
      <c r="U851" s="148"/>
      <c r="V851" s="150"/>
    </row>
    <row r="852" spans="1:22" s="151" customFormat="1" ht="25.05" customHeight="1">
      <c r="A852" s="26">
        <v>9</v>
      </c>
      <c r="B852" s="27" t="s">
        <v>249</v>
      </c>
      <c r="C852" s="288" t="s">
        <v>1816</v>
      </c>
      <c r="D852" s="30"/>
      <c r="E852" s="29">
        <v>4</v>
      </c>
      <c r="F852" s="30" t="s">
        <v>303</v>
      </c>
      <c r="G852" s="60"/>
      <c r="H852" s="60"/>
      <c r="I852" s="108"/>
      <c r="J852" s="152">
        <f t="shared" si="13"/>
        <v>0</v>
      </c>
      <c r="K852" s="60"/>
      <c r="L852" s="60"/>
      <c r="M852" s="234" t="s">
        <v>1814</v>
      </c>
      <c r="N852" s="248"/>
      <c r="O852" s="227"/>
      <c r="P852" s="228"/>
      <c r="Q852" s="232" t="s">
        <v>1842</v>
      </c>
      <c r="R852" s="32"/>
      <c r="S852" s="148"/>
      <c r="T852" s="149"/>
      <c r="U852" s="148"/>
      <c r="V852" s="150"/>
    </row>
    <row r="853" spans="1:22" s="151" customFormat="1" ht="25.05" customHeight="1">
      <c r="A853" s="26">
        <v>10</v>
      </c>
      <c r="B853" s="27" t="s">
        <v>249</v>
      </c>
      <c r="C853" s="288" t="s">
        <v>1843</v>
      </c>
      <c r="D853" s="30"/>
      <c r="E853" s="29">
        <v>2</v>
      </c>
      <c r="F853" s="30" t="s">
        <v>289</v>
      </c>
      <c r="G853" s="60"/>
      <c r="H853" s="60"/>
      <c r="I853" s="108"/>
      <c r="J853" s="152">
        <f t="shared" si="13"/>
        <v>0</v>
      </c>
      <c r="K853" s="60"/>
      <c r="L853" s="60"/>
      <c r="M853" s="234" t="s">
        <v>1814</v>
      </c>
      <c r="N853" s="248"/>
      <c r="O853" s="227"/>
      <c r="P853" s="228"/>
      <c r="Q853" s="232" t="s">
        <v>1778</v>
      </c>
      <c r="R853" s="32"/>
      <c r="S853" s="148"/>
      <c r="T853" s="149"/>
      <c r="U853" s="148"/>
      <c r="V853" s="150"/>
    </row>
    <row r="854" spans="1:22" s="151" customFormat="1" ht="25.05" customHeight="1">
      <c r="A854" s="26">
        <v>11</v>
      </c>
      <c r="B854" s="27" t="s">
        <v>249</v>
      </c>
      <c r="C854" s="288" t="s">
        <v>1835</v>
      </c>
      <c r="D854" s="30"/>
      <c r="E854" s="29">
        <v>2</v>
      </c>
      <c r="F854" s="30" t="s">
        <v>289</v>
      </c>
      <c r="G854" s="60"/>
      <c r="H854" s="60"/>
      <c r="I854" s="108"/>
      <c r="J854" s="152">
        <f t="shared" si="13"/>
        <v>0</v>
      </c>
      <c r="K854" s="60"/>
      <c r="L854" s="60"/>
      <c r="M854" s="234" t="s">
        <v>1814</v>
      </c>
      <c r="N854" s="248"/>
      <c r="O854" s="227"/>
      <c r="P854" s="228"/>
      <c r="Q854" s="232" t="s">
        <v>1780</v>
      </c>
      <c r="R854" s="32"/>
      <c r="S854" s="148"/>
      <c r="T854" s="149"/>
      <c r="U854" s="148"/>
      <c r="V854" s="150"/>
    </row>
    <row r="855" spans="1:22" s="151" customFormat="1" ht="25.05" customHeight="1">
      <c r="A855" s="26">
        <v>12</v>
      </c>
      <c r="B855" s="27" t="s">
        <v>249</v>
      </c>
      <c r="C855" s="288" t="s">
        <v>1844</v>
      </c>
      <c r="D855" s="30"/>
      <c r="E855" s="29">
        <v>2</v>
      </c>
      <c r="F855" s="30" t="s">
        <v>289</v>
      </c>
      <c r="G855" s="60"/>
      <c r="H855" s="60"/>
      <c r="I855" s="108"/>
      <c r="J855" s="152">
        <f t="shared" si="13"/>
        <v>0</v>
      </c>
      <c r="K855" s="60"/>
      <c r="L855" s="60"/>
      <c r="M855" s="234" t="s">
        <v>1814</v>
      </c>
      <c r="N855" s="248"/>
      <c r="O855" s="227"/>
      <c r="P855" s="228"/>
      <c r="Q855" s="232" t="s">
        <v>1837</v>
      </c>
      <c r="R855" s="32"/>
      <c r="S855" s="148"/>
      <c r="T855" s="149"/>
      <c r="U855" s="148"/>
      <c r="V855" s="150"/>
    </row>
    <row r="856" spans="1:22" s="151" customFormat="1" ht="25.05" customHeight="1">
      <c r="A856" s="26">
        <v>13</v>
      </c>
      <c r="B856" s="27" t="s">
        <v>249</v>
      </c>
      <c r="C856" s="288" t="s">
        <v>1827</v>
      </c>
      <c r="D856" s="30"/>
      <c r="E856" s="29">
        <v>2</v>
      </c>
      <c r="F856" s="30" t="s">
        <v>303</v>
      </c>
      <c r="G856" s="60"/>
      <c r="H856" s="60"/>
      <c r="I856" s="108"/>
      <c r="J856" s="152">
        <f t="shared" si="13"/>
        <v>0</v>
      </c>
      <c r="K856" s="60"/>
      <c r="L856" s="60"/>
      <c r="M856" s="234" t="s">
        <v>1814</v>
      </c>
      <c r="N856" s="248"/>
      <c r="O856" s="227"/>
      <c r="P856" s="228"/>
      <c r="Q856" s="232" t="s">
        <v>1838</v>
      </c>
      <c r="R856" s="32"/>
      <c r="S856" s="148"/>
      <c r="T856" s="149"/>
      <c r="U856" s="148"/>
      <c r="V856" s="150"/>
    </row>
    <row r="857" spans="1:22" s="151" customFormat="1" ht="25.05" customHeight="1">
      <c r="A857" s="264"/>
      <c r="B857" s="265"/>
      <c r="C857" s="289"/>
      <c r="D857" s="270"/>
      <c r="E857" s="266"/>
      <c r="F857" s="202"/>
      <c r="G857" s="267">
        <v>310</v>
      </c>
      <c r="H857" s="267">
        <v>300</v>
      </c>
      <c r="I857" s="268">
        <v>165</v>
      </c>
      <c r="J857" s="269">
        <f>ROUND(I857*H857*G857/1000000,3)</f>
        <v>15.345000000000001</v>
      </c>
      <c r="K857" s="269">
        <v>1619.5</v>
      </c>
      <c r="L857" s="269">
        <v>2000</v>
      </c>
      <c r="M857" s="225"/>
      <c r="N857" s="225"/>
      <c r="O857" s="225"/>
      <c r="P857" s="225"/>
      <c r="Q857" s="233"/>
      <c r="R857" s="32"/>
      <c r="S857" s="148"/>
      <c r="T857" s="149"/>
      <c r="U857" s="148"/>
      <c r="V857" s="150"/>
    </row>
    <row r="858" spans="1:22" s="151" customFormat="1" ht="25.05" customHeight="1">
      <c r="A858" s="26">
        <v>1</v>
      </c>
      <c r="B858" s="27" t="s">
        <v>250</v>
      </c>
      <c r="C858" s="288" t="s">
        <v>1831</v>
      </c>
      <c r="D858" s="30"/>
      <c r="E858" s="29">
        <v>1</v>
      </c>
      <c r="F858" s="30" t="s">
        <v>303</v>
      </c>
      <c r="G858" s="60"/>
      <c r="H858" s="60"/>
      <c r="I858" s="108"/>
      <c r="J858" s="152">
        <f t="shared" si="13"/>
        <v>0</v>
      </c>
      <c r="K858" s="60"/>
      <c r="L858" s="60"/>
      <c r="M858" s="234" t="s">
        <v>1814</v>
      </c>
      <c r="N858" s="248"/>
      <c r="O858" s="227"/>
      <c r="P858" s="228"/>
      <c r="Q858" s="232" t="s">
        <v>1742</v>
      </c>
      <c r="R858" s="32"/>
      <c r="S858" s="148"/>
      <c r="T858" s="149"/>
      <c r="U858" s="148"/>
      <c r="V858" s="150"/>
    </row>
    <row r="859" spans="1:22" s="151" customFormat="1" ht="25.05" customHeight="1">
      <c r="A859" s="26">
        <v>2</v>
      </c>
      <c r="B859" s="27" t="s">
        <v>250</v>
      </c>
      <c r="C859" s="288" t="s">
        <v>1832</v>
      </c>
      <c r="D859" s="30"/>
      <c r="E859" s="29">
        <v>8</v>
      </c>
      <c r="F859" s="30" t="s">
        <v>303</v>
      </c>
      <c r="G859" s="60"/>
      <c r="H859" s="60"/>
      <c r="I859" s="108"/>
      <c r="J859" s="152">
        <f t="shared" si="13"/>
        <v>0</v>
      </c>
      <c r="K859" s="60"/>
      <c r="L859" s="60"/>
      <c r="M859" s="234" t="s">
        <v>1814</v>
      </c>
      <c r="N859" s="248"/>
      <c r="O859" s="227"/>
      <c r="P859" s="228"/>
      <c r="Q859" s="232" t="s">
        <v>1845</v>
      </c>
      <c r="R859" s="32"/>
      <c r="S859" s="148"/>
      <c r="T859" s="149"/>
      <c r="U859" s="148"/>
      <c r="V859" s="150"/>
    </row>
    <row r="860" spans="1:22" s="151" customFormat="1" ht="25.05" customHeight="1">
      <c r="A860" s="26">
        <v>3</v>
      </c>
      <c r="B860" s="27" t="s">
        <v>250</v>
      </c>
      <c r="C860" s="288" t="s">
        <v>1816</v>
      </c>
      <c r="D860" s="30"/>
      <c r="E860" s="29">
        <v>16</v>
      </c>
      <c r="F860" s="30" t="s">
        <v>303</v>
      </c>
      <c r="G860" s="60"/>
      <c r="H860" s="60"/>
      <c r="I860" s="108"/>
      <c r="J860" s="152">
        <f t="shared" si="13"/>
        <v>0</v>
      </c>
      <c r="K860" s="60"/>
      <c r="L860" s="60"/>
      <c r="M860" s="234" t="s">
        <v>1814</v>
      </c>
      <c r="N860" s="248"/>
      <c r="O860" s="227"/>
      <c r="P860" s="228"/>
      <c r="Q860" s="232" t="s">
        <v>1846</v>
      </c>
      <c r="R860" s="32"/>
      <c r="S860" s="148"/>
      <c r="T860" s="149"/>
      <c r="U860" s="148"/>
      <c r="V860" s="150"/>
    </row>
    <row r="861" spans="1:22" s="151" customFormat="1" ht="25.05" customHeight="1">
      <c r="A861" s="26">
        <v>4</v>
      </c>
      <c r="B861" s="27" t="s">
        <v>250</v>
      </c>
      <c r="C861" s="288" t="s">
        <v>1821</v>
      </c>
      <c r="D861" s="30"/>
      <c r="E861" s="29">
        <v>8</v>
      </c>
      <c r="F861" s="30" t="s">
        <v>289</v>
      </c>
      <c r="G861" s="60"/>
      <c r="H861" s="60"/>
      <c r="I861" s="108"/>
      <c r="J861" s="152">
        <f t="shared" si="13"/>
        <v>0</v>
      </c>
      <c r="K861" s="60"/>
      <c r="L861" s="60"/>
      <c r="M861" s="234" t="s">
        <v>1814</v>
      </c>
      <c r="N861" s="248"/>
      <c r="O861" s="227"/>
      <c r="P861" s="228"/>
      <c r="Q861" s="232" t="s">
        <v>1788</v>
      </c>
      <c r="R861" s="32"/>
      <c r="S861" s="148"/>
      <c r="T861" s="149"/>
      <c r="U861" s="148"/>
      <c r="V861" s="150"/>
    </row>
    <row r="862" spans="1:22" s="151" customFormat="1" ht="25.05" customHeight="1">
      <c r="A862" s="26">
        <v>5</v>
      </c>
      <c r="B862" s="27" t="s">
        <v>250</v>
      </c>
      <c r="C862" s="288" t="s">
        <v>1835</v>
      </c>
      <c r="D862" s="30"/>
      <c r="E862" s="29">
        <v>8</v>
      </c>
      <c r="F862" s="30" t="s">
        <v>289</v>
      </c>
      <c r="G862" s="60"/>
      <c r="H862" s="60"/>
      <c r="I862" s="108"/>
      <c r="J862" s="152">
        <f t="shared" si="13"/>
        <v>0</v>
      </c>
      <c r="K862" s="60"/>
      <c r="L862" s="60"/>
      <c r="M862" s="234" t="s">
        <v>1814</v>
      </c>
      <c r="N862" s="248"/>
      <c r="O862" s="227"/>
      <c r="P862" s="228"/>
      <c r="Q862" s="232" t="s">
        <v>1789</v>
      </c>
      <c r="R862" s="32"/>
      <c r="S862" s="148"/>
      <c r="T862" s="149"/>
      <c r="U862" s="148"/>
      <c r="V862" s="150"/>
    </row>
    <row r="863" spans="1:22" s="151" customFormat="1" ht="25.05" customHeight="1">
      <c r="A863" s="26">
        <v>6</v>
      </c>
      <c r="B863" s="27" t="s">
        <v>250</v>
      </c>
      <c r="C863" s="288" t="s">
        <v>1836</v>
      </c>
      <c r="D863" s="30"/>
      <c r="E863" s="29">
        <v>8</v>
      </c>
      <c r="F863" s="30" t="s">
        <v>289</v>
      </c>
      <c r="G863" s="60"/>
      <c r="H863" s="60"/>
      <c r="I863" s="108"/>
      <c r="J863" s="152">
        <f t="shared" si="13"/>
        <v>0</v>
      </c>
      <c r="K863" s="60"/>
      <c r="L863" s="60"/>
      <c r="M863" s="234" t="s">
        <v>1814</v>
      </c>
      <c r="N863" s="248"/>
      <c r="O863" s="227"/>
      <c r="P863" s="228"/>
      <c r="Q863" s="232" t="s">
        <v>1847</v>
      </c>
      <c r="R863" s="32"/>
      <c r="S863" s="148"/>
      <c r="T863" s="149"/>
      <c r="U863" s="148"/>
      <c r="V863" s="150"/>
    </row>
    <row r="864" spans="1:22" s="151" customFormat="1" ht="25.05" customHeight="1">
      <c r="A864" s="26">
        <v>7</v>
      </c>
      <c r="B864" s="27" t="s">
        <v>250</v>
      </c>
      <c r="C864" s="288" t="s">
        <v>1827</v>
      </c>
      <c r="D864" s="30"/>
      <c r="E864" s="29">
        <v>8</v>
      </c>
      <c r="F864" s="30" t="s">
        <v>303</v>
      </c>
      <c r="G864" s="60"/>
      <c r="H864" s="60"/>
      <c r="I864" s="108"/>
      <c r="J864" s="152">
        <f t="shared" si="13"/>
        <v>0</v>
      </c>
      <c r="K864" s="60"/>
      <c r="L864" s="60"/>
      <c r="M864" s="234" t="s">
        <v>1814</v>
      </c>
      <c r="N864" s="248"/>
      <c r="O864" s="227"/>
      <c r="P864" s="228"/>
      <c r="Q864" s="232" t="s">
        <v>1848</v>
      </c>
      <c r="R864" s="32"/>
      <c r="S864" s="148"/>
      <c r="T864" s="149"/>
      <c r="U864" s="148"/>
      <c r="V864" s="150"/>
    </row>
    <row r="865" spans="1:22" s="151" customFormat="1" ht="25.05" customHeight="1">
      <c r="A865" s="26">
        <v>8</v>
      </c>
      <c r="B865" s="27" t="s">
        <v>250</v>
      </c>
      <c r="C865" s="292" t="s">
        <v>1839</v>
      </c>
      <c r="D865" s="30"/>
      <c r="E865" s="29">
        <v>1</v>
      </c>
      <c r="F865" s="30" t="s">
        <v>303</v>
      </c>
      <c r="G865" s="60"/>
      <c r="H865" s="60"/>
      <c r="I865" s="108"/>
      <c r="J865" s="152">
        <f t="shared" si="13"/>
        <v>0</v>
      </c>
      <c r="K865" s="60"/>
      <c r="L865" s="60"/>
      <c r="M865" s="234" t="s">
        <v>1840</v>
      </c>
      <c r="N865" s="248"/>
      <c r="O865" s="227"/>
      <c r="P865" s="228"/>
      <c r="Q865" s="232" t="s">
        <v>1742</v>
      </c>
      <c r="R865" s="32"/>
      <c r="S865" s="148"/>
      <c r="T865" s="149"/>
      <c r="U865" s="148"/>
      <c r="V865" s="150"/>
    </row>
    <row r="866" spans="1:22" s="151" customFormat="1" ht="25.05" customHeight="1">
      <c r="A866" s="26">
        <v>9</v>
      </c>
      <c r="B866" s="27" t="s">
        <v>250</v>
      </c>
      <c r="C866" s="288" t="s">
        <v>1816</v>
      </c>
      <c r="D866" s="30"/>
      <c r="E866" s="29">
        <v>4</v>
      </c>
      <c r="F866" s="30" t="s">
        <v>303</v>
      </c>
      <c r="G866" s="60"/>
      <c r="H866" s="60"/>
      <c r="I866" s="108"/>
      <c r="J866" s="152">
        <f t="shared" si="13"/>
        <v>0</v>
      </c>
      <c r="K866" s="60"/>
      <c r="L866" s="60"/>
      <c r="M866" s="234" t="s">
        <v>1814</v>
      </c>
      <c r="N866" s="248"/>
      <c r="O866" s="227"/>
      <c r="P866" s="228"/>
      <c r="Q866" s="232" t="s">
        <v>1849</v>
      </c>
      <c r="R866" s="32"/>
      <c r="S866" s="148"/>
      <c r="T866" s="149"/>
      <c r="U866" s="148"/>
      <c r="V866" s="150"/>
    </row>
    <row r="867" spans="1:22" s="151" customFormat="1" ht="25.05" customHeight="1">
      <c r="A867" s="26">
        <v>10</v>
      </c>
      <c r="B867" s="27" t="s">
        <v>250</v>
      </c>
      <c r="C867" s="288" t="s">
        <v>1843</v>
      </c>
      <c r="D867" s="30"/>
      <c r="E867" s="29">
        <v>2</v>
      </c>
      <c r="F867" s="30" t="s">
        <v>289</v>
      </c>
      <c r="G867" s="60"/>
      <c r="H867" s="60"/>
      <c r="I867" s="108"/>
      <c r="J867" s="152">
        <f t="shared" si="13"/>
        <v>0</v>
      </c>
      <c r="K867" s="60"/>
      <c r="L867" s="60"/>
      <c r="M867" s="234" t="s">
        <v>1814</v>
      </c>
      <c r="N867" s="248"/>
      <c r="O867" s="227"/>
      <c r="P867" s="228"/>
      <c r="Q867" s="232" t="s">
        <v>1788</v>
      </c>
      <c r="R867" s="32"/>
      <c r="S867" s="148"/>
      <c r="T867" s="149"/>
      <c r="U867" s="148"/>
      <c r="V867" s="150"/>
    </row>
    <row r="868" spans="1:22" s="151" customFormat="1" ht="25.05" customHeight="1">
      <c r="A868" s="26">
        <v>11</v>
      </c>
      <c r="B868" s="27" t="s">
        <v>250</v>
      </c>
      <c r="C868" s="288" t="s">
        <v>1835</v>
      </c>
      <c r="D868" s="30"/>
      <c r="E868" s="29">
        <v>2</v>
      </c>
      <c r="F868" s="30" t="s">
        <v>289</v>
      </c>
      <c r="G868" s="60"/>
      <c r="H868" s="60"/>
      <c r="I868" s="108"/>
      <c r="J868" s="152">
        <f t="shared" si="13"/>
        <v>0</v>
      </c>
      <c r="K868" s="60"/>
      <c r="L868" s="60"/>
      <c r="M868" s="234" t="s">
        <v>1814</v>
      </c>
      <c r="N868" s="248"/>
      <c r="O868" s="227"/>
      <c r="P868" s="228"/>
      <c r="Q868" s="232" t="s">
        <v>1789</v>
      </c>
      <c r="R868" s="32"/>
      <c r="S868" s="148"/>
      <c r="T868" s="149"/>
      <c r="U868" s="148"/>
      <c r="V868" s="150"/>
    </row>
    <row r="869" spans="1:22" s="151" customFormat="1" ht="25.05" customHeight="1">
      <c r="A869" s="26">
        <v>12</v>
      </c>
      <c r="B869" s="27" t="s">
        <v>250</v>
      </c>
      <c r="C869" s="288" t="s">
        <v>1844</v>
      </c>
      <c r="D869" s="30"/>
      <c r="E869" s="29">
        <v>2</v>
      </c>
      <c r="F869" s="30" t="s">
        <v>289</v>
      </c>
      <c r="G869" s="60"/>
      <c r="H869" s="60"/>
      <c r="I869" s="108"/>
      <c r="J869" s="152">
        <f t="shared" si="13"/>
        <v>0</v>
      </c>
      <c r="K869" s="60"/>
      <c r="L869" s="60"/>
      <c r="M869" s="234" t="s">
        <v>1814</v>
      </c>
      <c r="N869" s="248"/>
      <c r="O869" s="227"/>
      <c r="P869" s="228"/>
      <c r="Q869" s="232" t="s">
        <v>1847</v>
      </c>
      <c r="R869" s="32"/>
      <c r="S869" s="148"/>
      <c r="T869" s="149"/>
      <c r="U869" s="148"/>
      <c r="V869" s="150"/>
    </row>
    <row r="870" spans="1:22" s="151" customFormat="1" ht="25.05" customHeight="1">
      <c r="A870" s="26">
        <v>13</v>
      </c>
      <c r="B870" s="27" t="s">
        <v>250</v>
      </c>
      <c r="C870" s="288" t="s">
        <v>1827</v>
      </c>
      <c r="D870" s="30"/>
      <c r="E870" s="29">
        <v>2</v>
      </c>
      <c r="F870" s="30" t="s">
        <v>303</v>
      </c>
      <c r="G870" s="60"/>
      <c r="H870" s="60"/>
      <c r="I870" s="108"/>
      <c r="J870" s="152">
        <f t="shared" si="13"/>
        <v>0</v>
      </c>
      <c r="K870" s="60"/>
      <c r="L870" s="60"/>
      <c r="M870" s="234" t="s">
        <v>1814</v>
      </c>
      <c r="N870" s="248"/>
      <c r="O870" s="227"/>
      <c r="P870" s="228"/>
      <c r="Q870" s="232" t="s">
        <v>1848</v>
      </c>
      <c r="R870" s="32"/>
      <c r="S870" s="148"/>
      <c r="T870" s="149"/>
      <c r="U870" s="148"/>
      <c r="V870" s="150"/>
    </row>
    <row r="871" spans="1:22" s="151" customFormat="1" ht="25.05" customHeight="1">
      <c r="A871" s="264"/>
      <c r="B871" s="265"/>
      <c r="C871" s="289"/>
      <c r="D871" s="270"/>
      <c r="E871" s="266"/>
      <c r="F871" s="202"/>
      <c r="G871" s="267">
        <v>300</v>
      </c>
      <c r="H871" s="267">
        <v>300</v>
      </c>
      <c r="I871" s="268">
        <v>165</v>
      </c>
      <c r="J871" s="269">
        <f>ROUND(I871*H871*G871/1000000,3)</f>
        <v>14.85</v>
      </c>
      <c r="K871" s="269">
        <v>1619.5</v>
      </c>
      <c r="L871" s="269">
        <v>2000</v>
      </c>
      <c r="M871" s="225"/>
      <c r="N871" s="225"/>
      <c r="O871" s="225"/>
      <c r="P871" s="225"/>
      <c r="Q871" s="233"/>
      <c r="R871" s="32"/>
      <c r="S871" s="148"/>
      <c r="T871" s="149"/>
      <c r="U871" s="148"/>
      <c r="V871" s="150"/>
    </row>
    <row r="872" spans="1:22" s="151" customFormat="1" ht="25.05" customHeight="1">
      <c r="A872" s="26">
        <v>1</v>
      </c>
      <c r="B872" s="27" t="s">
        <v>251</v>
      </c>
      <c r="C872" s="288" t="s">
        <v>252</v>
      </c>
      <c r="D872" s="30"/>
      <c r="E872" s="29">
        <v>2</v>
      </c>
      <c r="F872" s="30" t="s">
        <v>303</v>
      </c>
      <c r="G872" s="60"/>
      <c r="H872" s="60"/>
      <c r="I872" s="108"/>
      <c r="J872" s="152">
        <f t="shared" si="13"/>
        <v>0</v>
      </c>
      <c r="K872" s="60"/>
      <c r="L872" s="60"/>
      <c r="M872" s="234" t="s">
        <v>1814</v>
      </c>
      <c r="N872" s="248"/>
      <c r="O872" s="227"/>
      <c r="P872" s="228"/>
      <c r="Q872" s="232" t="s">
        <v>1745</v>
      </c>
      <c r="R872" s="32"/>
      <c r="S872" s="148"/>
      <c r="T872" s="149"/>
      <c r="U872" s="148"/>
      <c r="V872" s="150"/>
    </row>
    <row r="873" spans="1:22" s="151" customFormat="1" ht="25.05" customHeight="1">
      <c r="A873" s="26">
        <v>2</v>
      </c>
      <c r="B873" s="27" t="s">
        <v>251</v>
      </c>
      <c r="C873" s="288" t="s">
        <v>1821</v>
      </c>
      <c r="D873" s="30"/>
      <c r="E873" s="29">
        <v>8</v>
      </c>
      <c r="F873" s="30" t="s">
        <v>289</v>
      </c>
      <c r="G873" s="60"/>
      <c r="H873" s="60"/>
      <c r="I873" s="108"/>
      <c r="J873" s="152">
        <f t="shared" si="13"/>
        <v>0</v>
      </c>
      <c r="K873" s="60"/>
      <c r="L873" s="60"/>
      <c r="M873" s="234" t="s">
        <v>1814</v>
      </c>
      <c r="N873" s="248"/>
      <c r="O873" s="227"/>
      <c r="P873" s="228"/>
      <c r="Q873" s="232" t="s">
        <v>1822</v>
      </c>
      <c r="R873" s="32"/>
      <c r="S873" s="148"/>
      <c r="T873" s="149"/>
      <c r="U873" s="148"/>
      <c r="V873" s="150"/>
    </row>
    <row r="874" spans="1:22" s="151" customFormat="1" ht="25.05" customHeight="1">
      <c r="A874" s="26">
        <v>3</v>
      </c>
      <c r="B874" s="27" t="s">
        <v>251</v>
      </c>
      <c r="C874" s="288" t="s">
        <v>1823</v>
      </c>
      <c r="D874" s="30"/>
      <c r="E874" s="29">
        <v>8</v>
      </c>
      <c r="F874" s="30" t="s">
        <v>289</v>
      </c>
      <c r="G874" s="60"/>
      <c r="H874" s="60"/>
      <c r="I874" s="108"/>
      <c r="J874" s="152">
        <f t="shared" si="13"/>
        <v>0</v>
      </c>
      <c r="K874" s="60"/>
      <c r="L874" s="60"/>
      <c r="M874" s="234" t="s">
        <v>1814</v>
      </c>
      <c r="N874" s="248"/>
      <c r="O874" s="227"/>
      <c r="P874" s="228"/>
      <c r="Q874" s="232" t="s">
        <v>1824</v>
      </c>
      <c r="R874" s="32"/>
      <c r="S874" s="148"/>
      <c r="T874" s="149"/>
      <c r="U874" s="148"/>
      <c r="V874" s="150"/>
    </row>
    <row r="875" spans="1:22" s="151" customFormat="1" ht="25.05" customHeight="1">
      <c r="A875" s="26">
        <v>4</v>
      </c>
      <c r="B875" s="27" t="s">
        <v>251</v>
      </c>
      <c r="C875" s="288" t="s">
        <v>1825</v>
      </c>
      <c r="D875" s="30"/>
      <c r="E875" s="29">
        <v>8</v>
      </c>
      <c r="F875" s="30" t="s">
        <v>289</v>
      </c>
      <c r="G875" s="60"/>
      <c r="H875" s="60"/>
      <c r="I875" s="108"/>
      <c r="J875" s="152">
        <f t="shared" si="13"/>
        <v>0</v>
      </c>
      <c r="K875" s="60"/>
      <c r="L875" s="60"/>
      <c r="M875" s="234" t="s">
        <v>1814</v>
      </c>
      <c r="N875" s="248"/>
      <c r="O875" s="227"/>
      <c r="P875" s="228"/>
      <c r="Q875" s="232" t="s">
        <v>1826</v>
      </c>
      <c r="R875" s="32"/>
      <c r="S875" s="148"/>
      <c r="T875" s="149"/>
      <c r="U875" s="148"/>
      <c r="V875" s="150"/>
    </row>
    <row r="876" spans="1:22" s="151" customFormat="1" ht="25.05" customHeight="1">
      <c r="A876" s="26">
        <v>5</v>
      </c>
      <c r="B876" s="27" t="s">
        <v>251</v>
      </c>
      <c r="C876" s="288" t="s">
        <v>1816</v>
      </c>
      <c r="D876" s="30"/>
      <c r="E876" s="29">
        <v>16</v>
      </c>
      <c r="F876" s="30" t="s">
        <v>303</v>
      </c>
      <c r="G876" s="60"/>
      <c r="H876" s="60"/>
      <c r="I876" s="108"/>
      <c r="J876" s="152">
        <f t="shared" si="13"/>
        <v>0</v>
      </c>
      <c r="K876" s="60"/>
      <c r="L876" s="60"/>
      <c r="M876" s="234" t="s">
        <v>1814</v>
      </c>
      <c r="N876" s="248"/>
      <c r="O876" s="227"/>
      <c r="P876" s="228"/>
      <c r="Q876" s="232" t="s">
        <v>1817</v>
      </c>
      <c r="R876" s="32"/>
      <c r="S876" s="148"/>
      <c r="T876" s="149"/>
      <c r="U876" s="148"/>
      <c r="V876" s="150"/>
    </row>
    <row r="877" spans="1:22" s="151" customFormat="1" ht="25.05" customHeight="1">
      <c r="A877" s="26">
        <v>6</v>
      </c>
      <c r="B877" s="27" t="s">
        <v>251</v>
      </c>
      <c r="C877" s="292" t="s">
        <v>1827</v>
      </c>
      <c r="D877" s="30"/>
      <c r="E877" s="29">
        <v>8</v>
      </c>
      <c r="F877" s="30" t="s">
        <v>303</v>
      </c>
      <c r="G877" s="60"/>
      <c r="H877" s="60"/>
      <c r="I877" s="108"/>
      <c r="J877" s="152">
        <f t="shared" si="13"/>
        <v>0</v>
      </c>
      <c r="K877" s="60"/>
      <c r="L877" s="60"/>
      <c r="M877" s="234" t="s">
        <v>1814</v>
      </c>
      <c r="N877" s="248"/>
      <c r="O877" s="227"/>
      <c r="P877" s="228"/>
      <c r="Q877" s="232" t="s">
        <v>1828</v>
      </c>
      <c r="R877" s="32"/>
      <c r="S877" s="148"/>
      <c r="T877" s="149"/>
      <c r="U877" s="148"/>
      <c r="V877" s="150"/>
    </row>
    <row r="878" spans="1:22" s="151" customFormat="1" ht="25.05" customHeight="1">
      <c r="A878" s="264"/>
      <c r="B878" s="265"/>
      <c r="C878" s="289"/>
      <c r="D878" s="270"/>
      <c r="E878" s="266"/>
      <c r="F878" s="202"/>
      <c r="G878" s="267">
        <v>245</v>
      </c>
      <c r="H878" s="267">
        <v>155</v>
      </c>
      <c r="I878" s="268">
        <v>165</v>
      </c>
      <c r="J878" s="269">
        <f>ROUND(I878*H878*G878/1000000,3)</f>
        <v>6.266</v>
      </c>
      <c r="K878" s="269">
        <v>450</v>
      </c>
      <c r="L878" s="269">
        <v>500</v>
      </c>
      <c r="M878" s="225"/>
      <c r="N878" s="225"/>
      <c r="O878" s="225"/>
      <c r="P878" s="225"/>
      <c r="Q878" s="233"/>
      <c r="R878" s="32"/>
      <c r="S878" s="148"/>
      <c r="T878" s="149"/>
      <c r="U878" s="148"/>
      <c r="V878" s="150"/>
    </row>
    <row r="879" spans="1:22" s="151" customFormat="1" ht="25.05" customHeight="1">
      <c r="A879" s="26">
        <v>1</v>
      </c>
      <c r="B879" s="27" t="s">
        <v>253</v>
      </c>
      <c r="C879" s="288" t="s">
        <v>1850</v>
      </c>
      <c r="D879" s="30"/>
      <c r="E879" s="29">
        <v>1</v>
      </c>
      <c r="F879" s="30" t="s">
        <v>303</v>
      </c>
      <c r="G879" s="60"/>
      <c r="H879" s="60"/>
      <c r="I879" s="108"/>
      <c r="J879" s="152">
        <f t="shared" si="13"/>
        <v>0</v>
      </c>
      <c r="K879" s="60"/>
      <c r="L879" s="60"/>
      <c r="M879" s="234" t="s">
        <v>1851</v>
      </c>
      <c r="N879" s="248"/>
      <c r="O879" s="227"/>
      <c r="P879" s="228"/>
      <c r="Q879" s="232" t="s">
        <v>1741</v>
      </c>
      <c r="R879" s="32"/>
      <c r="S879" s="148"/>
      <c r="T879" s="149"/>
      <c r="U879" s="148"/>
      <c r="V879" s="150"/>
    </row>
    <row r="880" spans="1:22" s="151" customFormat="1" ht="25.05" customHeight="1">
      <c r="A880" s="26">
        <v>2</v>
      </c>
      <c r="B880" s="27" t="s">
        <v>253</v>
      </c>
      <c r="C880" s="288" t="s">
        <v>1852</v>
      </c>
      <c r="D880" s="30"/>
      <c r="E880" s="29">
        <v>1</v>
      </c>
      <c r="F880" s="30" t="s">
        <v>303</v>
      </c>
      <c r="G880" s="60"/>
      <c r="H880" s="60"/>
      <c r="I880" s="108"/>
      <c r="J880" s="152">
        <f t="shared" si="13"/>
        <v>0</v>
      </c>
      <c r="K880" s="60"/>
      <c r="L880" s="60"/>
      <c r="M880" s="234" t="s">
        <v>1851</v>
      </c>
      <c r="N880" s="248"/>
      <c r="O880" s="227"/>
      <c r="P880" s="228"/>
      <c r="Q880" s="232" t="s">
        <v>1741</v>
      </c>
      <c r="R880" s="32"/>
      <c r="S880" s="148"/>
      <c r="T880" s="149"/>
      <c r="U880" s="148"/>
      <c r="V880" s="150"/>
    </row>
    <row r="881" spans="1:22" s="151" customFormat="1" ht="25.05" customHeight="1">
      <c r="A881" s="26">
        <v>3</v>
      </c>
      <c r="B881" s="27" t="s">
        <v>253</v>
      </c>
      <c r="C881" s="288" t="s">
        <v>1843</v>
      </c>
      <c r="D881" s="30"/>
      <c r="E881" s="29">
        <v>2</v>
      </c>
      <c r="F881" s="30" t="s">
        <v>289</v>
      </c>
      <c r="G881" s="60"/>
      <c r="H881" s="60"/>
      <c r="I881" s="108"/>
      <c r="J881" s="152">
        <f t="shared" si="13"/>
        <v>0</v>
      </c>
      <c r="K881" s="60"/>
      <c r="L881" s="60"/>
      <c r="M881" s="234" t="s">
        <v>1851</v>
      </c>
      <c r="N881" s="248"/>
      <c r="O881" s="227"/>
      <c r="P881" s="228"/>
      <c r="Q881" s="232" t="s">
        <v>1778</v>
      </c>
      <c r="R881" s="32"/>
      <c r="S881" s="148"/>
      <c r="T881" s="149"/>
      <c r="U881" s="148"/>
      <c r="V881" s="150"/>
    </row>
    <row r="882" spans="1:22" s="151" customFormat="1" ht="25.05" customHeight="1">
      <c r="A882" s="26">
        <v>4</v>
      </c>
      <c r="B882" s="27" t="s">
        <v>253</v>
      </c>
      <c r="C882" s="288" t="s">
        <v>1835</v>
      </c>
      <c r="D882" s="30"/>
      <c r="E882" s="29">
        <v>2</v>
      </c>
      <c r="F882" s="30" t="s">
        <v>289</v>
      </c>
      <c r="G882" s="60"/>
      <c r="H882" s="60"/>
      <c r="I882" s="108"/>
      <c r="J882" s="152">
        <f t="shared" si="13"/>
        <v>0</v>
      </c>
      <c r="K882" s="60"/>
      <c r="L882" s="60"/>
      <c r="M882" s="234" t="s">
        <v>1851</v>
      </c>
      <c r="N882" s="248"/>
      <c r="O882" s="227"/>
      <c r="P882" s="228"/>
      <c r="Q882" s="232" t="s">
        <v>1780</v>
      </c>
      <c r="R882" s="32"/>
      <c r="S882" s="148"/>
      <c r="T882" s="149"/>
      <c r="U882" s="148"/>
      <c r="V882" s="150"/>
    </row>
    <row r="883" spans="1:22" s="151" customFormat="1" ht="25.05" customHeight="1">
      <c r="A883" s="26">
        <v>5</v>
      </c>
      <c r="B883" s="27" t="s">
        <v>253</v>
      </c>
      <c r="C883" s="288" t="s">
        <v>1844</v>
      </c>
      <c r="D883" s="30"/>
      <c r="E883" s="29">
        <v>2</v>
      </c>
      <c r="F883" s="30" t="s">
        <v>289</v>
      </c>
      <c r="G883" s="60"/>
      <c r="H883" s="60"/>
      <c r="I883" s="108"/>
      <c r="J883" s="152">
        <f t="shared" si="13"/>
        <v>0</v>
      </c>
      <c r="K883" s="60"/>
      <c r="L883" s="60"/>
      <c r="M883" s="234" t="s">
        <v>1851</v>
      </c>
      <c r="N883" s="248"/>
      <c r="O883" s="227"/>
      <c r="P883" s="228"/>
      <c r="Q883" s="232" t="s">
        <v>1837</v>
      </c>
      <c r="R883" s="32"/>
      <c r="S883" s="148"/>
      <c r="T883" s="149"/>
      <c r="U883" s="148"/>
      <c r="V883" s="150"/>
    </row>
    <row r="884" spans="1:22" s="151" customFormat="1" ht="25.05" customHeight="1">
      <c r="A884" s="26">
        <v>6</v>
      </c>
      <c r="B884" s="27" t="s">
        <v>253</v>
      </c>
      <c r="C884" s="288" t="s">
        <v>1827</v>
      </c>
      <c r="D884" s="30"/>
      <c r="E884" s="29">
        <v>2</v>
      </c>
      <c r="F884" s="30" t="s">
        <v>303</v>
      </c>
      <c r="G884" s="60"/>
      <c r="H884" s="60"/>
      <c r="I884" s="108"/>
      <c r="J884" s="152">
        <f t="shared" si="13"/>
        <v>0</v>
      </c>
      <c r="K884" s="60"/>
      <c r="L884" s="60"/>
      <c r="M884" s="234" t="s">
        <v>1851</v>
      </c>
      <c r="N884" s="248"/>
      <c r="O884" s="227"/>
      <c r="P884" s="228"/>
      <c r="Q884" s="232" t="s">
        <v>1838</v>
      </c>
      <c r="R884" s="32"/>
      <c r="S884" s="148"/>
      <c r="T884" s="149"/>
      <c r="U884" s="148"/>
      <c r="V884" s="150"/>
    </row>
    <row r="885" spans="1:22" s="151" customFormat="1" ht="25.05" customHeight="1">
      <c r="A885" s="26">
        <v>7</v>
      </c>
      <c r="B885" s="27" t="s">
        <v>253</v>
      </c>
      <c r="C885" s="292" t="s">
        <v>1816</v>
      </c>
      <c r="D885" s="30"/>
      <c r="E885" s="29">
        <v>12</v>
      </c>
      <c r="F885" s="30" t="s">
        <v>303</v>
      </c>
      <c r="G885" s="60"/>
      <c r="H885" s="60"/>
      <c r="I885" s="108"/>
      <c r="J885" s="152">
        <f t="shared" si="13"/>
        <v>0</v>
      </c>
      <c r="K885" s="60"/>
      <c r="L885" s="60"/>
      <c r="M885" s="234" t="s">
        <v>1851</v>
      </c>
      <c r="N885" s="248"/>
      <c r="O885" s="227"/>
      <c r="P885" s="228"/>
      <c r="Q885" s="232" t="s">
        <v>1842</v>
      </c>
      <c r="R885" s="32"/>
      <c r="S885" s="148"/>
      <c r="T885" s="149"/>
      <c r="U885" s="148"/>
      <c r="V885" s="150"/>
    </row>
    <row r="886" spans="1:22" s="151" customFormat="1" ht="25.05" customHeight="1">
      <c r="A886" s="264"/>
      <c r="B886" s="265"/>
      <c r="C886" s="289"/>
      <c r="D886" s="270"/>
      <c r="E886" s="266"/>
      <c r="F886" s="202"/>
      <c r="G886" s="267">
        <v>405</v>
      </c>
      <c r="H886" s="267">
        <v>245</v>
      </c>
      <c r="I886" s="268">
        <v>140</v>
      </c>
      <c r="J886" s="269">
        <f>ROUND(I886*H886*G886/1000000,3)</f>
        <v>13.891999999999999</v>
      </c>
      <c r="K886" s="269">
        <v>1619.5</v>
      </c>
      <c r="L886" s="269">
        <v>1900</v>
      </c>
      <c r="M886" s="225"/>
      <c r="N886" s="225"/>
      <c r="O886" s="225"/>
      <c r="P886" s="225"/>
      <c r="Q886" s="233"/>
      <c r="R886" s="32"/>
      <c r="S886" s="148"/>
      <c r="T886" s="149"/>
      <c r="U886" s="148"/>
      <c r="V886" s="150"/>
    </row>
    <row r="887" spans="1:22" s="151" customFormat="1" ht="25.05" customHeight="1">
      <c r="A887" s="26">
        <v>1</v>
      </c>
      <c r="B887" s="27" t="s">
        <v>255</v>
      </c>
      <c r="C887" s="293" t="s">
        <v>1853</v>
      </c>
      <c r="D887" s="30"/>
      <c r="E887" s="29">
        <v>1</v>
      </c>
      <c r="F887" s="30" t="s">
        <v>303</v>
      </c>
      <c r="G887" s="60"/>
      <c r="H887" s="60"/>
      <c r="I887" s="108"/>
      <c r="J887" s="152">
        <f t="shared" ref="J887:J949" si="14">ROUND(I887*H887*G887/1000000,3)</f>
        <v>0</v>
      </c>
      <c r="K887" s="60"/>
      <c r="L887" s="60"/>
      <c r="M887" s="234" t="s">
        <v>1851</v>
      </c>
      <c r="N887" s="248"/>
      <c r="O887" s="227"/>
      <c r="P887" s="228"/>
      <c r="Q887" s="232" t="s">
        <v>1742</v>
      </c>
      <c r="R887" s="32"/>
      <c r="S887" s="148"/>
      <c r="T887" s="149"/>
      <c r="U887" s="148"/>
      <c r="V887" s="150"/>
    </row>
    <row r="888" spans="1:22" s="151" customFormat="1" ht="25.05" customHeight="1">
      <c r="A888" s="26">
        <v>2</v>
      </c>
      <c r="B888" s="27" t="s">
        <v>255</v>
      </c>
      <c r="C888" s="293" t="s">
        <v>1854</v>
      </c>
      <c r="D888" s="30"/>
      <c r="E888" s="29">
        <v>1</v>
      </c>
      <c r="F888" s="30" t="s">
        <v>303</v>
      </c>
      <c r="G888" s="60"/>
      <c r="H888" s="60"/>
      <c r="I888" s="108"/>
      <c r="J888" s="152">
        <f t="shared" si="14"/>
        <v>0</v>
      </c>
      <c r="K888" s="60"/>
      <c r="L888" s="60"/>
      <c r="M888" s="234" t="s">
        <v>1851</v>
      </c>
      <c r="N888" s="248"/>
      <c r="O888" s="227"/>
      <c r="P888" s="228"/>
      <c r="Q888" s="232" t="s">
        <v>1742</v>
      </c>
      <c r="R888" s="32"/>
      <c r="S888" s="148"/>
      <c r="T888" s="149"/>
      <c r="U888" s="148"/>
      <c r="V888" s="150"/>
    </row>
    <row r="889" spans="1:22" s="151" customFormat="1" ht="25.05" customHeight="1">
      <c r="A889" s="26">
        <v>3</v>
      </c>
      <c r="B889" s="27" t="s">
        <v>255</v>
      </c>
      <c r="C889" s="293" t="s">
        <v>1855</v>
      </c>
      <c r="D889" s="30"/>
      <c r="E889" s="29">
        <v>2</v>
      </c>
      <c r="F889" s="30" t="s">
        <v>289</v>
      </c>
      <c r="G889" s="60"/>
      <c r="H889" s="60"/>
      <c r="I889" s="108"/>
      <c r="J889" s="152">
        <f t="shared" si="14"/>
        <v>0</v>
      </c>
      <c r="K889" s="60"/>
      <c r="L889" s="60"/>
      <c r="M889" s="234" t="s">
        <v>1851</v>
      </c>
      <c r="N889" s="248"/>
      <c r="O889" s="227"/>
      <c r="P889" s="228"/>
      <c r="Q889" s="232" t="s">
        <v>1788</v>
      </c>
      <c r="R889" s="32"/>
      <c r="S889" s="148"/>
      <c r="T889" s="149"/>
      <c r="U889" s="148"/>
      <c r="V889" s="150"/>
    </row>
    <row r="890" spans="1:22" s="151" customFormat="1" ht="25.05" customHeight="1">
      <c r="A890" s="26">
        <v>4</v>
      </c>
      <c r="B890" s="27" t="s">
        <v>255</v>
      </c>
      <c r="C890" s="293" t="s">
        <v>1856</v>
      </c>
      <c r="D890" s="30"/>
      <c r="E890" s="29">
        <v>2</v>
      </c>
      <c r="F890" s="30" t="s">
        <v>289</v>
      </c>
      <c r="G890" s="60"/>
      <c r="H890" s="60"/>
      <c r="I890" s="108"/>
      <c r="J890" s="152">
        <f t="shared" si="14"/>
        <v>0</v>
      </c>
      <c r="K890" s="60"/>
      <c r="L890" s="60"/>
      <c r="M890" s="234" t="s">
        <v>1851</v>
      </c>
      <c r="N890" s="248"/>
      <c r="O890" s="227"/>
      <c r="P890" s="228"/>
      <c r="Q890" s="232" t="s">
        <v>1789</v>
      </c>
      <c r="R890" s="32"/>
      <c r="S890" s="148"/>
      <c r="T890" s="149"/>
      <c r="U890" s="148"/>
      <c r="V890" s="150"/>
    </row>
    <row r="891" spans="1:22" s="151" customFormat="1" ht="25.05" customHeight="1">
      <c r="A891" s="26">
        <v>5</v>
      </c>
      <c r="B891" s="27" t="s">
        <v>255</v>
      </c>
      <c r="C891" s="293" t="s">
        <v>1857</v>
      </c>
      <c r="D891" s="30"/>
      <c r="E891" s="29">
        <v>2</v>
      </c>
      <c r="F891" s="30" t="s">
        <v>289</v>
      </c>
      <c r="G891" s="60"/>
      <c r="H891" s="60"/>
      <c r="I891" s="108"/>
      <c r="J891" s="152">
        <f t="shared" si="14"/>
        <v>0</v>
      </c>
      <c r="K891" s="60"/>
      <c r="L891" s="60"/>
      <c r="M891" s="234" t="s">
        <v>1851</v>
      </c>
      <c r="N891" s="248"/>
      <c r="O891" s="227"/>
      <c r="P891" s="228"/>
      <c r="Q891" s="232" t="s">
        <v>1847</v>
      </c>
      <c r="R891" s="32"/>
      <c r="S891" s="148"/>
      <c r="T891" s="149"/>
      <c r="U891" s="148"/>
      <c r="V891" s="150"/>
    </row>
    <row r="892" spans="1:22" s="151" customFormat="1" ht="25.05" customHeight="1">
      <c r="A892" s="26">
        <v>6</v>
      </c>
      <c r="B892" s="27" t="s">
        <v>255</v>
      </c>
      <c r="C892" s="294" t="s">
        <v>1858</v>
      </c>
      <c r="D892" s="30"/>
      <c r="E892" s="29">
        <v>2</v>
      </c>
      <c r="F892" s="30" t="s">
        <v>303</v>
      </c>
      <c r="G892" s="60"/>
      <c r="H892" s="60"/>
      <c r="I892" s="108"/>
      <c r="J892" s="152">
        <f t="shared" si="14"/>
        <v>0</v>
      </c>
      <c r="K892" s="60"/>
      <c r="L892" s="60"/>
      <c r="M892" s="234" t="s">
        <v>1851</v>
      </c>
      <c r="N892" s="248"/>
      <c r="O892" s="227"/>
      <c r="P892" s="228"/>
      <c r="Q892" s="232" t="s">
        <v>1848</v>
      </c>
      <c r="R892" s="32"/>
      <c r="S892" s="148"/>
      <c r="T892" s="149"/>
      <c r="U892" s="148"/>
      <c r="V892" s="150"/>
    </row>
    <row r="893" spans="1:22" s="151" customFormat="1" ht="25.05" customHeight="1">
      <c r="A893" s="26">
        <v>7</v>
      </c>
      <c r="B893" s="27" t="s">
        <v>255</v>
      </c>
      <c r="C893" s="293" t="s">
        <v>1859</v>
      </c>
      <c r="D893" s="30"/>
      <c r="E893" s="29">
        <v>12</v>
      </c>
      <c r="F893" s="30" t="s">
        <v>303</v>
      </c>
      <c r="G893" s="60"/>
      <c r="H893" s="60"/>
      <c r="I893" s="108"/>
      <c r="J893" s="152">
        <f t="shared" si="14"/>
        <v>0</v>
      </c>
      <c r="K893" s="60"/>
      <c r="L893" s="60"/>
      <c r="M893" s="234" t="s">
        <v>1851</v>
      </c>
      <c r="N893" s="248"/>
      <c r="O893" s="227"/>
      <c r="P893" s="228"/>
      <c r="Q893" s="232" t="s">
        <v>1849</v>
      </c>
      <c r="R893" s="32"/>
      <c r="S893" s="148"/>
      <c r="T893" s="149"/>
      <c r="U893" s="148"/>
      <c r="V893" s="150"/>
    </row>
    <row r="894" spans="1:22" s="151" customFormat="1" ht="25.05" customHeight="1">
      <c r="A894" s="264"/>
      <c r="B894" s="265"/>
      <c r="C894" s="289"/>
      <c r="D894" s="270"/>
      <c r="E894" s="266"/>
      <c r="F894" s="202"/>
      <c r="G894" s="267">
        <v>405</v>
      </c>
      <c r="H894" s="267">
        <v>240</v>
      </c>
      <c r="I894" s="268">
        <v>140</v>
      </c>
      <c r="J894" s="269">
        <f>ROUND(I894*H894*G894/1000000,3)</f>
        <v>13.608000000000001</v>
      </c>
      <c r="K894" s="269">
        <v>1619.5</v>
      </c>
      <c r="L894" s="269">
        <v>1900</v>
      </c>
      <c r="M894" s="225"/>
      <c r="N894" s="225"/>
      <c r="O894" s="225"/>
      <c r="P894" s="225"/>
      <c r="Q894" s="233"/>
      <c r="R894" s="32"/>
      <c r="S894" s="148"/>
      <c r="T894" s="149"/>
      <c r="U894" s="148"/>
      <c r="V894" s="150"/>
    </row>
    <row r="895" spans="1:22" s="151" customFormat="1" ht="25.05" customHeight="1">
      <c r="A895" s="26">
        <v>1</v>
      </c>
      <c r="B895" s="27" t="s">
        <v>256</v>
      </c>
      <c r="C895" s="293" t="s">
        <v>257</v>
      </c>
      <c r="D895" s="30"/>
      <c r="E895" s="29">
        <v>2</v>
      </c>
      <c r="F895" s="30" t="s">
        <v>303</v>
      </c>
      <c r="G895" s="60"/>
      <c r="H895" s="60"/>
      <c r="I895" s="108"/>
      <c r="J895" s="152">
        <f t="shared" si="14"/>
        <v>0</v>
      </c>
      <c r="K895" s="60"/>
      <c r="L895" s="60"/>
      <c r="M895" s="234" t="s">
        <v>1860</v>
      </c>
      <c r="N895" s="248"/>
      <c r="O895" s="227"/>
      <c r="P895" s="228"/>
      <c r="Q895" s="232" t="s">
        <v>1745</v>
      </c>
      <c r="R895" s="32"/>
      <c r="S895" s="148"/>
      <c r="T895" s="149"/>
      <c r="U895" s="148"/>
      <c r="V895" s="150"/>
    </row>
    <row r="896" spans="1:22" s="151" customFormat="1" ht="25.05" customHeight="1">
      <c r="A896" s="26">
        <v>2</v>
      </c>
      <c r="B896" s="27" t="s">
        <v>256</v>
      </c>
      <c r="C896" s="293" t="s">
        <v>1861</v>
      </c>
      <c r="D896" s="30"/>
      <c r="E896" s="29">
        <v>4</v>
      </c>
      <c r="F896" s="30" t="s">
        <v>303</v>
      </c>
      <c r="G896" s="60"/>
      <c r="H896" s="60"/>
      <c r="I896" s="108"/>
      <c r="J896" s="152">
        <f t="shared" si="14"/>
        <v>0</v>
      </c>
      <c r="K896" s="60"/>
      <c r="L896" s="60"/>
      <c r="M896" s="234" t="s">
        <v>1860</v>
      </c>
      <c r="N896" s="248"/>
      <c r="O896" s="227"/>
      <c r="P896" s="228"/>
      <c r="Q896" s="232" t="s">
        <v>1862</v>
      </c>
      <c r="R896" s="32"/>
      <c r="S896" s="148"/>
      <c r="T896" s="149"/>
      <c r="U896" s="148"/>
      <c r="V896" s="150"/>
    </row>
    <row r="897" spans="1:22" s="151" customFormat="1" ht="25.05" customHeight="1">
      <c r="A897" s="26">
        <v>3</v>
      </c>
      <c r="B897" s="27" t="s">
        <v>256</v>
      </c>
      <c r="C897" s="293" t="s">
        <v>1863</v>
      </c>
      <c r="D897" s="30"/>
      <c r="E897" s="29">
        <v>2</v>
      </c>
      <c r="F897" s="30" t="s">
        <v>289</v>
      </c>
      <c r="G897" s="60"/>
      <c r="H897" s="60"/>
      <c r="I897" s="108"/>
      <c r="J897" s="152">
        <f t="shared" si="14"/>
        <v>0</v>
      </c>
      <c r="K897" s="60"/>
      <c r="L897" s="60"/>
      <c r="M897" s="234" t="s">
        <v>1860</v>
      </c>
      <c r="N897" s="248"/>
      <c r="O897" s="227"/>
      <c r="P897" s="228"/>
      <c r="Q897" s="232" t="s">
        <v>1864</v>
      </c>
      <c r="R897" s="32"/>
      <c r="S897" s="148"/>
      <c r="T897" s="149"/>
      <c r="U897" s="148"/>
      <c r="V897" s="150"/>
    </row>
    <row r="898" spans="1:22" s="151" customFormat="1" ht="25.05" customHeight="1">
      <c r="A898" s="26">
        <v>4</v>
      </c>
      <c r="B898" s="27" t="s">
        <v>256</v>
      </c>
      <c r="C898" s="293" t="s">
        <v>1865</v>
      </c>
      <c r="D898" s="30"/>
      <c r="E898" s="29">
        <v>4</v>
      </c>
      <c r="F898" s="30" t="s">
        <v>289</v>
      </c>
      <c r="G898" s="60"/>
      <c r="H898" s="60"/>
      <c r="I898" s="108"/>
      <c r="J898" s="152">
        <f t="shared" si="14"/>
        <v>0</v>
      </c>
      <c r="K898" s="60"/>
      <c r="L898" s="60"/>
      <c r="M898" s="234" t="s">
        <v>1860</v>
      </c>
      <c r="N898" s="248"/>
      <c r="O898" s="227"/>
      <c r="P898" s="228"/>
      <c r="Q898" s="232" t="s">
        <v>1866</v>
      </c>
      <c r="R898" s="32"/>
      <c r="S898" s="148"/>
      <c r="T898" s="149"/>
      <c r="U898" s="148"/>
      <c r="V898" s="150"/>
    </row>
    <row r="899" spans="1:22" s="151" customFormat="1" ht="25.05" customHeight="1">
      <c r="A899" s="26">
        <v>5</v>
      </c>
      <c r="B899" s="27" t="s">
        <v>256</v>
      </c>
      <c r="C899" s="293" t="s">
        <v>1867</v>
      </c>
      <c r="D899" s="30"/>
      <c r="E899" s="29">
        <v>4</v>
      </c>
      <c r="F899" s="30" t="s">
        <v>289</v>
      </c>
      <c r="G899" s="60"/>
      <c r="H899" s="60"/>
      <c r="I899" s="108"/>
      <c r="J899" s="152">
        <f t="shared" si="14"/>
        <v>0</v>
      </c>
      <c r="K899" s="60"/>
      <c r="L899" s="60"/>
      <c r="M899" s="234" t="s">
        <v>1860</v>
      </c>
      <c r="N899" s="248"/>
      <c r="O899" s="227"/>
      <c r="P899" s="228"/>
      <c r="Q899" s="232" t="s">
        <v>1868</v>
      </c>
      <c r="R899" s="32"/>
      <c r="S899" s="148"/>
      <c r="T899" s="149"/>
      <c r="U899" s="148"/>
      <c r="V899" s="150"/>
    </row>
    <row r="900" spans="1:22" s="151" customFormat="1" ht="25.05" customHeight="1">
      <c r="A900" s="26">
        <v>6</v>
      </c>
      <c r="B900" s="27" t="s">
        <v>256</v>
      </c>
      <c r="C900" s="293" t="s">
        <v>1869</v>
      </c>
      <c r="D900" s="30"/>
      <c r="E900" s="29">
        <v>4</v>
      </c>
      <c r="F900" s="30" t="s">
        <v>289</v>
      </c>
      <c r="G900" s="60"/>
      <c r="H900" s="60"/>
      <c r="I900" s="108"/>
      <c r="J900" s="152">
        <f t="shared" si="14"/>
        <v>0</v>
      </c>
      <c r="K900" s="60"/>
      <c r="L900" s="60"/>
      <c r="M900" s="234" t="s">
        <v>1860</v>
      </c>
      <c r="N900" s="248"/>
      <c r="O900" s="227"/>
      <c r="P900" s="228"/>
      <c r="Q900" s="232" t="s">
        <v>1757</v>
      </c>
      <c r="R900" s="32"/>
      <c r="S900" s="148"/>
      <c r="T900" s="149"/>
      <c r="U900" s="148"/>
      <c r="V900" s="150"/>
    </row>
    <row r="901" spans="1:22" s="151" customFormat="1" ht="25.05" customHeight="1">
      <c r="A901" s="26">
        <v>7</v>
      </c>
      <c r="B901" s="27" t="s">
        <v>256</v>
      </c>
      <c r="C901" s="293" t="s">
        <v>1870</v>
      </c>
      <c r="D901" s="30"/>
      <c r="E901" s="29">
        <v>72</v>
      </c>
      <c r="F901" s="30" t="s">
        <v>303</v>
      </c>
      <c r="G901" s="60"/>
      <c r="H901" s="60"/>
      <c r="I901" s="108"/>
      <c r="J901" s="152">
        <f t="shared" si="14"/>
        <v>0</v>
      </c>
      <c r="K901" s="60"/>
      <c r="L901" s="60"/>
      <c r="M901" s="234" t="s">
        <v>1860</v>
      </c>
      <c r="N901" s="248"/>
      <c r="O901" s="227"/>
      <c r="P901" s="228"/>
      <c r="Q901" s="232" t="s">
        <v>1871</v>
      </c>
      <c r="R901" s="32"/>
      <c r="S901" s="148"/>
      <c r="T901" s="149"/>
      <c r="U901" s="148"/>
      <c r="V901" s="150"/>
    </row>
    <row r="902" spans="1:22" s="151" customFormat="1" ht="25.05" customHeight="1">
      <c r="A902" s="26">
        <v>8</v>
      </c>
      <c r="B902" s="27" t="s">
        <v>256</v>
      </c>
      <c r="C902" s="293" t="s">
        <v>1872</v>
      </c>
      <c r="D902" s="30"/>
      <c r="E902" s="29">
        <v>64</v>
      </c>
      <c r="F902" s="30" t="s">
        <v>303</v>
      </c>
      <c r="G902" s="60"/>
      <c r="H902" s="60"/>
      <c r="I902" s="108"/>
      <c r="J902" s="152">
        <f t="shared" si="14"/>
        <v>0</v>
      </c>
      <c r="K902" s="60"/>
      <c r="L902" s="60"/>
      <c r="M902" s="234" t="s">
        <v>1860</v>
      </c>
      <c r="N902" s="248"/>
      <c r="O902" s="227"/>
      <c r="P902" s="228"/>
      <c r="Q902" s="232" t="s">
        <v>1830</v>
      </c>
      <c r="R902" s="32"/>
      <c r="S902" s="148"/>
      <c r="T902" s="149"/>
      <c r="U902" s="148"/>
      <c r="V902" s="150"/>
    </row>
    <row r="903" spans="1:22" s="151" customFormat="1" ht="25.05" customHeight="1">
      <c r="A903" s="26">
        <v>9</v>
      </c>
      <c r="B903" s="27" t="s">
        <v>256</v>
      </c>
      <c r="C903" s="293" t="s">
        <v>1873</v>
      </c>
      <c r="D903" s="30"/>
      <c r="E903" s="29">
        <v>4</v>
      </c>
      <c r="F903" s="30" t="s">
        <v>303</v>
      </c>
      <c r="G903" s="60"/>
      <c r="H903" s="60"/>
      <c r="I903" s="108"/>
      <c r="J903" s="152">
        <f t="shared" si="14"/>
        <v>0</v>
      </c>
      <c r="K903" s="60"/>
      <c r="L903" s="60"/>
      <c r="M903" s="234" t="s">
        <v>1860</v>
      </c>
      <c r="N903" s="248"/>
      <c r="O903" s="227"/>
      <c r="P903" s="228"/>
      <c r="Q903" s="232" t="s">
        <v>1874</v>
      </c>
      <c r="R903" s="32"/>
      <c r="S903" s="148"/>
      <c r="T903" s="149"/>
      <c r="U903" s="148"/>
      <c r="V903" s="150"/>
    </row>
    <row r="904" spans="1:22" s="151" customFormat="1" ht="25.05" customHeight="1">
      <c r="A904" s="26">
        <v>10</v>
      </c>
      <c r="B904" s="27" t="s">
        <v>256</v>
      </c>
      <c r="C904" s="293" t="s">
        <v>1875</v>
      </c>
      <c r="D904" s="30"/>
      <c r="E904" s="29">
        <v>4</v>
      </c>
      <c r="F904" s="30" t="s">
        <v>289</v>
      </c>
      <c r="G904" s="60"/>
      <c r="H904" s="60"/>
      <c r="I904" s="108"/>
      <c r="J904" s="152">
        <f t="shared" si="14"/>
        <v>0</v>
      </c>
      <c r="K904" s="60"/>
      <c r="L904" s="60"/>
      <c r="M904" s="234" t="s">
        <v>1860</v>
      </c>
      <c r="N904" s="248"/>
      <c r="O904" s="227"/>
      <c r="P904" s="228"/>
      <c r="Q904" s="232" t="s">
        <v>1876</v>
      </c>
      <c r="R904" s="32"/>
      <c r="S904" s="148"/>
      <c r="T904" s="149"/>
      <c r="U904" s="148"/>
      <c r="V904" s="150"/>
    </row>
    <row r="905" spans="1:22" s="151" customFormat="1" ht="25.05" customHeight="1">
      <c r="A905" s="264"/>
      <c r="B905" s="265"/>
      <c r="C905" s="289"/>
      <c r="D905" s="270"/>
      <c r="E905" s="266"/>
      <c r="F905" s="202"/>
      <c r="G905" s="267">
        <v>260</v>
      </c>
      <c r="H905" s="267">
        <v>120</v>
      </c>
      <c r="I905" s="268">
        <v>140</v>
      </c>
      <c r="J905" s="269">
        <f>ROUND(I905*H905*G905/1000000,3)</f>
        <v>4.3680000000000003</v>
      </c>
      <c r="K905" s="269">
        <v>300</v>
      </c>
      <c r="L905" s="269">
        <v>500</v>
      </c>
      <c r="M905" s="225"/>
      <c r="N905" s="225"/>
      <c r="O905" s="225"/>
      <c r="P905" s="225"/>
      <c r="Q905" s="233"/>
      <c r="R905" s="32"/>
      <c r="S905" s="148"/>
      <c r="T905" s="149"/>
      <c r="U905" s="148"/>
      <c r="V905" s="150"/>
    </row>
    <row r="906" spans="1:22" s="151" customFormat="1" ht="25.05" customHeight="1">
      <c r="A906" s="26">
        <v>1</v>
      </c>
      <c r="B906" s="27" t="s">
        <v>258</v>
      </c>
      <c r="C906" s="293" t="s">
        <v>259</v>
      </c>
      <c r="D906" s="30"/>
      <c r="E906" s="29">
        <v>2</v>
      </c>
      <c r="F906" s="30" t="s">
        <v>303</v>
      </c>
      <c r="G906" s="60"/>
      <c r="H906" s="60"/>
      <c r="I906" s="108"/>
      <c r="J906" s="152">
        <f t="shared" si="14"/>
        <v>0</v>
      </c>
      <c r="K906" s="60"/>
      <c r="L906" s="60"/>
      <c r="M906" s="234" t="s">
        <v>1877</v>
      </c>
      <c r="N906" s="248"/>
      <c r="O906" s="227"/>
      <c r="P906" s="228"/>
      <c r="Q906" s="232" t="s">
        <v>1745</v>
      </c>
      <c r="R906" s="32"/>
      <c r="S906" s="148"/>
      <c r="T906" s="149"/>
      <c r="U906" s="148"/>
      <c r="V906" s="150"/>
    </row>
    <row r="907" spans="1:22" s="151" customFormat="1" ht="25.05" customHeight="1">
      <c r="A907" s="26">
        <v>2</v>
      </c>
      <c r="B907" s="27" t="s">
        <v>258</v>
      </c>
      <c r="C907" s="293" t="s">
        <v>1878</v>
      </c>
      <c r="D907" s="30"/>
      <c r="E907" s="29">
        <v>2</v>
      </c>
      <c r="F907" s="30" t="s">
        <v>303</v>
      </c>
      <c r="G907" s="60"/>
      <c r="H907" s="60"/>
      <c r="I907" s="108"/>
      <c r="J907" s="152">
        <f t="shared" si="14"/>
        <v>0</v>
      </c>
      <c r="K907" s="60"/>
      <c r="L907" s="60"/>
      <c r="M907" s="234" t="s">
        <v>1877</v>
      </c>
      <c r="N907" s="248"/>
      <c r="O907" s="227"/>
      <c r="P907" s="228"/>
      <c r="Q907" s="232" t="s">
        <v>1752</v>
      </c>
      <c r="R907" s="32"/>
      <c r="S907" s="148"/>
      <c r="T907" s="149"/>
      <c r="U907" s="148"/>
      <c r="V907" s="150"/>
    </row>
    <row r="908" spans="1:22" s="151" customFormat="1" ht="25.05" customHeight="1">
      <c r="A908" s="26">
        <v>3</v>
      </c>
      <c r="B908" s="27" t="s">
        <v>258</v>
      </c>
      <c r="C908" s="293" t="s">
        <v>1879</v>
      </c>
      <c r="D908" s="30"/>
      <c r="E908" s="29">
        <v>8</v>
      </c>
      <c r="F908" s="30" t="s">
        <v>303</v>
      </c>
      <c r="G908" s="60"/>
      <c r="H908" s="60"/>
      <c r="I908" s="108"/>
      <c r="J908" s="152">
        <f t="shared" si="14"/>
        <v>0</v>
      </c>
      <c r="K908" s="60"/>
      <c r="L908" s="60"/>
      <c r="M908" s="234" t="s">
        <v>1877</v>
      </c>
      <c r="N908" s="248"/>
      <c r="O908" s="227"/>
      <c r="P908" s="228"/>
      <c r="Q908" s="232" t="s">
        <v>1745</v>
      </c>
      <c r="R908" s="32"/>
      <c r="S908" s="148"/>
      <c r="T908" s="149"/>
      <c r="U908" s="148"/>
      <c r="V908" s="150"/>
    </row>
    <row r="909" spans="1:22" s="151" customFormat="1" ht="25.05" customHeight="1">
      <c r="A909" s="26">
        <v>4</v>
      </c>
      <c r="B909" s="27" t="s">
        <v>258</v>
      </c>
      <c r="C909" s="293" t="s">
        <v>1766</v>
      </c>
      <c r="D909" s="30"/>
      <c r="E909" s="29">
        <v>8</v>
      </c>
      <c r="F909" s="30" t="s">
        <v>289</v>
      </c>
      <c r="G909" s="60"/>
      <c r="H909" s="60"/>
      <c r="I909" s="108"/>
      <c r="J909" s="152">
        <f t="shared" si="14"/>
        <v>0</v>
      </c>
      <c r="K909" s="60"/>
      <c r="L909" s="60"/>
      <c r="M909" s="234" t="s">
        <v>1877</v>
      </c>
      <c r="N909" s="248"/>
      <c r="O909" s="227"/>
      <c r="P909" s="228"/>
      <c r="Q909" s="232" t="s">
        <v>1745</v>
      </c>
      <c r="R909" s="32"/>
      <c r="S909" s="148"/>
      <c r="T909" s="149"/>
      <c r="U909" s="148"/>
      <c r="V909" s="150"/>
    </row>
    <row r="910" spans="1:22" s="151" customFormat="1" ht="25.05" customHeight="1">
      <c r="A910" s="26">
        <v>5</v>
      </c>
      <c r="B910" s="27" t="s">
        <v>258</v>
      </c>
      <c r="C910" s="293" t="s">
        <v>1880</v>
      </c>
      <c r="D910" s="30"/>
      <c r="E910" s="29">
        <v>8</v>
      </c>
      <c r="F910" s="30" t="s">
        <v>289</v>
      </c>
      <c r="G910" s="60"/>
      <c r="H910" s="60"/>
      <c r="I910" s="108"/>
      <c r="J910" s="152">
        <f t="shared" si="14"/>
        <v>0</v>
      </c>
      <c r="K910" s="60"/>
      <c r="L910" s="60"/>
      <c r="M910" s="234" t="s">
        <v>1877</v>
      </c>
      <c r="N910" s="248"/>
      <c r="O910" s="227"/>
      <c r="P910" s="228"/>
      <c r="Q910" s="232" t="s">
        <v>1745</v>
      </c>
      <c r="R910" s="32"/>
      <c r="S910" s="148"/>
      <c r="T910" s="149"/>
      <c r="U910" s="148"/>
      <c r="V910" s="150"/>
    </row>
    <row r="911" spans="1:22" s="151" customFormat="1" ht="25.05" customHeight="1">
      <c r="A911" s="26">
        <v>6</v>
      </c>
      <c r="B911" s="27" t="s">
        <v>258</v>
      </c>
      <c r="C911" s="293" t="s">
        <v>1881</v>
      </c>
      <c r="D911" s="30"/>
      <c r="E911" s="29">
        <v>8</v>
      </c>
      <c r="F911" s="30" t="s">
        <v>303</v>
      </c>
      <c r="G911" s="60"/>
      <c r="H911" s="60"/>
      <c r="I911" s="108"/>
      <c r="J911" s="152">
        <f t="shared" si="14"/>
        <v>0</v>
      </c>
      <c r="K911" s="60"/>
      <c r="L911" s="60"/>
      <c r="M911" s="234" t="s">
        <v>1877</v>
      </c>
      <c r="N911" s="248"/>
      <c r="O911" s="227"/>
      <c r="P911" s="228"/>
      <c r="Q911" s="232" t="s">
        <v>1745</v>
      </c>
      <c r="R911" s="32"/>
      <c r="S911" s="148"/>
      <c r="T911" s="149"/>
      <c r="U911" s="148"/>
      <c r="V911" s="150"/>
    </row>
    <row r="912" spans="1:22" s="151" customFormat="1" ht="25.05" customHeight="1">
      <c r="A912" s="26">
        <v>7</v>
      </c>
      <c r="B912" s="27" t="s">
        <v>258</v>
      </c>
      <c r="C912" s="293" t="s">
        <v>1882</v>
      </c>
      <c r="D912" s="30"/>
      <c r="E912" s="29">
        <v>2</v>
      </c>
      <c r="F912" s="30" t="s">
        <v>289</v>
      </c>
      <c r="G912" s="60"/>
      <c r="H912" s="60"/>
      <c r="I912" s="108"/>
      <c r="J912" s="152">
        <f t="shared" si="14"/>
        <v>0</v>
      </c>
      <c r="K912" s="60"/>
      <c r="L912" s="60"/>
      <c r="M912" s="234" t="s">
        <v>1877</v>
      </c>
      <c r="N912" s="248"/>
      <c r="O912" s="227"/>
      <c r="P912" s="228"/>
      <c r="Q912" s="232" t="s">
        <v>1745</v>
      </c>
      <c r="R912" s="32"/>
      <c r="S912" s="148"/>
      <c r="T912" s="149"/>
      <c r="U912" s="148"/>
      <c r="V912" s="150"/>
    </row>
    <row r="913" spans="1:22" s="151" customFormat="1" ht="25.05" customHeight="1">
      <c r="A913" s="26">
        <v>8</v>
      </c>
      <c r="B913" s="27" t="s">
        <v>258</v>
      </c>
      <c r="C913" s="293" t="s">
        <v>1883</v>
      </c>
      <c r="D913" s="30"/>
      <c r="E913" s="29">
        <v>4</v>
      </c>
      <c r="F913" s="30" t="s">
        <v>289</v>
      </c>
      <c r="G913" s="60"/>
      <c r="H913" s="60"/>
      <c r="I913" s="108"/>
      <c r="J913" s="152">
        <f t="shared" si="14"/>
        <v>0</v>
      </c>
      <c r="K913" s="60"/>
      <c r="L913" s="60"/>
      <c r="M913" s="234"/>
      <c r="N913" s="248"/>
      <c r="O913" s="227"/>
      <c r="P913" s="228"/>
      <c r="Q913" s="232" t="s">
        <v>1745</v>
      </c>
      <c r="R913" s="32"/>
      <c r="S913" s="148"/>
      <c r="T913" s="149"/>
      <c r="U913" s="148"/>
      <c r="V913" s="150"/>
    </row>
    <row r="914" spans="1:22" s="151" customFormat="1" ht="25.05" customHeight="1">
      <c r="A914" s="26">
        <v>9</v>
      </c>
      <c r="B914" s="27" t="s">
        <v>258</v>
      </c>
      <c r="C914" s="293" t="s">
        <v>1884</v>
      </c>
      <c r="D914" s="30"/>
      <c r="E914" s="29">
        <v>4</v>
      </c>
      <c r="F914" s="30" t="s">
        <v>289</v>
      </c>
      <c r="G914" s="60"/>
      <c r="H914" s="60"/>
      <c r="I914" s="108"/>
      <c r="J914" s="152">
        <f t="shared" si="14"/>
        <v>0</v>
      </c>
      <c r="K914" s="60"/>
      <c r="L914" s="60"/>
      <c r="M914" s="234"/>
      <c r="N914" s="248"/>
      <c r="O914" s="227"/>
      <c r="P914" s="228"/>
      <c r="Q914" s="232" t="s">
        <v>1745</v>
      </c>
      <c r="R914" s="32"/>
      <c r="S914" s="148"/>
      <c r="T914" s="149"/>
      <c r="U914" s="148"/>
      <c r="V914" s="150"/>
    </row>
    <row r="915" spans="1:22" s="151" customFormat="1" ht="25.05" customHeight="1">
      <c r="A915" s="26">
        <v>10</v>
      </c>
      <c r="B915" s="27" t="s">
        <v>258</v>
      </c>
      <c r="C915" s="293" t="s">
        <v>1885</v>
      </c>
      <c r="D915" s="30"/>
      <c r="E915" s="29">
        <v>4</v>
      </c>
      <c r="F915" s="30" t="s">
        <v>289</v>
      </c>
      <c r="G915" s="60"/>
      <c r="H915" s="60"/>
      <c r="I915" s="108"/>
      <c r="J915" s="152">
        <f t="shared" si="14"/>
        <v>0</v>
      </c>
      <c r="K915" s="60"/>
      <c r="L915" s="60"/>
      <c r="M915" s="234"/>
      <c r="N915" s="248"/>
      <c r="O915" s="227"/>
      <c r="P915" s="228"/>
      <c r="Q915" s="232" t="s">
        <v>1745</v>
      </c>
      <c r="R915" s="32"/>
      <c r="S915" s="148"/>
      <c r="T915" s="149"/>
      <c r="U915" s="148"/>
      <c r="V915" s="150"/>
    </row>
    <row r="916" spans="1:22" s="151" customFormat="1" ht="25.05" customHeight="1">
      <c r="A916" s="26">
        <v>11</v>
      </c>
      <c r="B916" s="27" t="s">
        <v>258</v>
      </c>
      <c r="C916" s="293" t="s">
        <v>1886</v>
      </c>
      <c r="D916" s="30"/>
      <c r="E916" s="29">
        <v>4</v>
      </c>
      <c r="F916" s="30" t="s">
        <v>289</v>
      </c>
      <c r="G916" s="60"/>
      <c r="H916" s="60"/>
      <c r="I916" s="108"/>
      <c r="J916" s="152">
        <f t="shared" si="14"/>
        <v>0</v>
      </c>
      <c r="K916" s="60"/>
      <c r="L916" s="60"/>
      <c r="M916" s="234"/>
      <c r="N916" s="248"/>
      <c r="O916" s="227"/>
      <c r="P916" s="228"/>
      <c r="Q916" s="232" t="s">
        <v>1745</v>
      </c>
      <c r="R916" s="32"/>
      <c r="S916" s="148"/>
      <c r="T916" s="149"/>
      <c r="U916" s="148"/>
      <c r="V916" s="150"/>
    </row>
    <row r="917" spans="1:22" s="151" customFormat="1" ht="25.05" customHeight="1">
      <c r="A917" s="264"/>
      <c r="B917" s="265"/>
      <c r="C917" s="289"/>
      <c r="D917" s="270"/>
      <c r="E917" s="266"/>
      <c r="F917" s="202"/>
      <c r="G917" s="267">
        <v>260</v>
      </c>
      <c r="H917" s="267">
        <v>230</v>
      </c>
      <c r="I917" s="268">
        <v>215</v>
      </c>
      <c r="J917" s="269">
        <f>ROUND(I917*H917*G917/1000000,3)</f>
        <v>12.856999999999999</v>
      </c>
      <c r="K917" s="269">
        <v>400</v>
      </c>
      <c r="L917" s="269">
        <v>800</v>
      </c>
      <c r="M917" s="225"/>
      <c r="N917" s="225"/>
      <c r="O917" s="225"/>
      <c r="P917" s="225"/>
      <c r="Q917" s="233"/>
      <c r="R917" s="32"/>
      <c r="S917" s="148"/>
      <c r="T917" s="149"/>
      <c r="U917" s="148"/>
      <c r="V917" s="150"/>
    </row>
    <row r="918" spans="1:22" s="151" customFormat="1" ht="25.05" customHeight="1">
      <c r="A918" s="26">
        <v>1</v>
      </c>
      <c r="B918" s="27" t="s">
        <v>260</v>
      </c>
      <c r="C918" s="293" t="s">
        <v>261</v>
      </c>
      <c r="D918" s="30"/>
      <c r="E918" s="29">
        <v>2</v>
      </c>
      <c r="F918" s="30" t="s">
        <v>303</v>
      </c>
      <c r="G918" s="60"/>
      <c r="H918" s="60"/>
      <c r="I918" s="108"/>
      <c r="J918" s="152">
        <f t="shared" si="14"/>
        <v>0</v>
      </c>
      <c r="K918" s="60"/>
      <c r="L918" s="60"/>
      <c r="M918" s="234" t="s">
        <v>1887</v>
      </c>
      <c r="N918" s="248"/>
      <c r="O918" s="227"/>
      <c r="P918" s="228"/>
      <c r="Q918" s="232" t="s">
        <v>1745</v>
      </c>
      <c r="R918" s="32"/>
      <c r="S918" s="148"/>
      <c r="T918" s="149"/>
      <c r="U918" s="148"/>
      <c r="V918" s="150"/>
    </row>
    <row r="919" spans="1:22" s="151" customFormat="1" ht="25.05" customHeight="1">
      <c r="A919" s="26">
        <v>1</v>
      </c>
      <c r="B919" s="27" t="s">
        <v>260</v>
      </c>
      <c r="C919" s="293" t="s">
        <v>1888</v>
      </c>
      <c r="D919" s="30"/>
      <c r="E919" s="29">
        <v>2</v>
      </c>
      <c r="F919" s="30" t="s">
        <v>289</v>
      </c>
      <c r="G919" s="60"/>
      <c r="H919" s="60"/>
      <c r="I919" s="108"/>
      <c r="J919" s="152">
        <f t="shared" si="14"/>
        <v>0</v>
      </c>
      <c r="K919" s="60"/>
      <c r="L919" s="60"/>
      <c r="M919" s="234" t="s">
        <v>1887</v>
      </c>
      <c r="N919" s="248"/>
      <c r="O919" s="227"/>
      <c r="P919" s="228"/>
      <c r="Q919" s="232" t="s">
        <v>1745</v>
      </c>
      <c r="R919" s="32"/>
      <c r="S919" s="148"/>
      <c r="T919" s="149"/>
      <c r="U919" s="148"/>
      <c r="V919" s="150"/>
    </row>
    <row r="920" spans="1:22" s="151" customFormat="1" ht="25.05" customHeight="1">
      <c r="A920" s="26">
        <v>1</v>
      </c>
      <c r="B920" s="27" t="s">
        <v>260</v>
      </c>
      <c r="C920" s="293" t="s">
        <v>1889</v>
      </c>
      <c r="D920" s="30"/>
      <c r="E920" s="29">
        <v>4</v>
      </c>
      <c r="F920" s="30" t="s">
        <v>289</v>
      </c>
      <c r="G920" s="60"/>
      <c r="H920" s="60"/>
      <c r="I920" s="108"/>
      <c r="J920" s="152">
        <f t="shared" si="14"/>
        <v>0</v>
      </c>
      <c r="K920" s="60"/>
      <c r="L920" s="60"/>
      <c r="M920" s="234" t="s">
        <v>1791</v>
      </c>
      <c r="N920" s="248"/>
      <c r="O920" s="227"/>
      <c r="P920" s="228"/>
      <c r="Q920" s="232" t="s">
        <v>1890</v>
      </c>
      <c r="R920" s="32"/>
      <c r="S920" s="148"/>
      <c r="T920" s="149"/>
      <c r="U920" s="148"/>
      <c r="V920" s="150"/>
    </row>
    <row r="921" spans="1:22" s="151" customFormat="1" ht="25.05" customHeight="1">
      <c r="A921" s="26">
        <v>1</v>
      </c>
      <c r="B921" s="27" t="s">
        <v>260</v>
      </c>
      <c r="C921" s="293" t="s">
        <v>1891</v>
      </c>
      <c r="D921" s="30"/>
      <c r="E921" s="29">
        <v>4</v>
      </c>
      <c r="F921" s="30" t="s">
        <v>289</v>
      </c>
      <c r="G921" s="60"/>
      <c r="H921" s="60"/>
      <c r="I921" s="108"/>
      <c r="J921" s="152">
        <f t="shared" si="14"/>
        <v>0</v>
      </c>
      <c r="K921" s="60"/>
      <c r="L921" s="60"/>
      <c r="M921" s="234" t="s">
        <v>1791</v>
      </c>
      <c r="N921" s="248"/>
      <c r="O921" s="227"/>
      <c r="P921" s="228"/>
      <c r="Q921" s="232" t="s">
        <v>1890</v>
      </c>
      <c r="R921" s="32"/>
      <c r="S921" s="148"/>
      <c r="T921" s="149"/>
      <c r="U921" s="148"/>
      <c r="V921" s="150"/>
    </row>
    <row r="922" spans="1:22" s="151" customFormat="1" ht="25.05" customHeight="1">
      <c r="A922" s="26">
        <v>1</v>
      </c>
      <c r="B922" s="27" t="s">
        <v>260</v>
      </c>
      <c r="C922" s="293" t="s">
        <v>1892</v>
      </c>
      <c r="D922" s="30"/>
      <c r="E922" s="29">
        <v>8</v>
      </c>
      <c r="F922" s="30" t="s">
        <v>303</v>
      </c>
      <c r="G922" s="60"/>
      <c r="H922" s="60"/>
      <c r="I922" s="108"/>
      <c r="J922" s="152">
        <f t="shared" si="14"/>
        <v>0</v>
      </c>
      <c r="K922" s="60"/>
      <c r="L922" s="60"/>
      <c r="M922" s="234" t="s">
        <v>1887</v>
      </c>
      <c r="N922" s="248"/>
      <c r="O922" s="227"/>
      <c r="P922" s="228"/>
      <c r="Q922" s="232" t="s">
        <v>1745</v>
      </c>
      <c r="R922" s="32"/>
      <c r="S922" s="148"/>
      <c r="T922" s="149"/>
      <c r="U922" s="148"/>
      <c r="V922" s="150"/>
    </row>
    <row r="923" spans="1:22" s="151" customFormat="1" ht="25.05" customHeight="1">
      <c r="A923" s="26">
        <v>1</v>
      </c>
      <c r="B923" s="27" t="s">
        <v>260</v>
      </c>
      <c r="C923" s="293" t="s">
        <v>1893</v>
      </c>
      <c r="D923" s="30"/>
      <c r="E923" s="29">
        <v>8</v>
      </c>
      <c r="F923" s="30" t="s">
        <v>289</v>
      </c>
      <c r="G923" s="60"/>
      <c r="H923" s="60"/>
      <c r="I923" s="108"/>
      <c r="J923" s="152">
        <f t="shared" si="14"/>
        <v>0</v>
      </c>
      <c r="K923" s="60"/>
      <c r="L923" s="60"/>
      <c r="M923" s="234"/>
      <c r="N923" s="248"/>
      <c r="O923" s="227"/>
      <c r="P923" s="228"/>
      <c r="Q923" s="232" t="s">
        <v>1894</v>
      </c>
      <c r="R923" s="32"/>
      <c r="S923" s="148"/>
      <c r="T923" s="149"/>
      <c r="U923" s="148"/>
      <c r="V923" s="150"/>
    </row>
    <row r="924" spans="1:22" s="151" customFormat="1" ht="25.05" customHeight="1">
      <c r="A924" s="26">
        <v>1</v>
      </c>
      <c r="B924" s="27" t="s">
        <v>260</v>
      </c>
      <c r="C924" s="294" t="s">
        <v>1857</v>
      </c>
      <c r="D924" s="30"/>
      <c r="E924" s="29">
        <v>8</v>
      </c>
      <c r="F924" s="30" t="s">
        <v>289</v>
      </c>
      <c r="G924" s="60"/>
      <c r="H924" s="60"/>
      <c r="I924" s="108"/>
      <c r="J924" s="152">
        <f t="shared" si="14"/>
        <v>0</v>
      </c>
      <c r="K924" s="60"/>
      <c r="L924" s="60"/>
      <c r="M924" s="234" t="s">
        <v>1887</v>
      </c>
      <c r="N924" s="248"/>
      <c r="O924" s="227"/>
      <c r="P924" s="228"/>
      <c r="Q924" s="232" t="s">
        <v>1826</v>
      </c>
      <c r="R924" s="32"/>
      <c r="S924" s="148"/>
      <c r="T924" s="149"/>
      <c r="U924" s="148"/>
      <c r="V924" s="150"/>
    </row>
    <row r="925" spans="1:22" s="151" customFormat="1" ht="25.05" customHeight="1">
      <c r="A925" s="264"/>
      <c r="B925" s="265"/>
      <c r="C925" s="289"/>
      <c r="D925" s="270"/>
      <c r="E925" s="266"/>
      <c r="F925" s="202"/>
      <c r="G925" s="267">
        <v>330</v>
      </c>
      <c r="H925" s="267">
        <v>190</v>
      </c>
      <c r="I925" s="268">
        <v>205</v>
      </c>
      <c r="J925" s="269">
        <f>ROUND(I925*H925*G925/1000000,3)</f>
        <v>12.853999999999999</v>
      </c>
      <c r="K925" s="269">
        <v>2500</v>
      </c>
      <c r="L925" s="269">
        <v>3000</v>
      </c>
      <c r="M925" s="225"/>
      <c r="N925" s="225"/>
      <c r="O925" s="225"/>
      <c r="P925" s="225"/>
      <c r="Q925" s="233"/>
      <c r="R925" s="32"/>
      <c r="S925" s="148"/>
      <c r="T925" s="149"/>
      <c r="U925" s="148"/>
      <c r="V925" s="150"/>
    </row>
    <row r="926" spans="1:22" s="151" customFormat="1" ht="25.05" customHeight="1">
      <c r="A926" s="26">
        <v>1</v>
      </c>
      <c r="B926" s="27" t="s">
        <v>262</v>
      </c>
      <c r="C926" s="293" t="s">
        <v>263</v>
      </c>
      <c r="D926" s="30"/>
      <c r="E926" s="29">
        <v>2</v>
      </c>
      <c r="F926" s="30" t="s">
        <v>303</v>
      </c>
      <c r="G926" s="60"/>
      <c r="H926" s="60"/>
      <c r="I926" s="108"/>
      <c r="J926" s="152">
        <f t="shared" si="14"/>
        <v>0</v>
      </c>
      <c r="K926" s="60"/>
      <c r="L926" s="60"/>
      <c r="M926" s="234" t="s">
        <v>1895</v>
      </c>
      <c r="N926" s="248"/>
      <c r="O926" s="227"/>
      <c r="P926" s="228"/>
      <c r="Q926" s="232" t="s">
        <v>1745</v>
      </c>
      <c r="R926" s="32"/>
      <c r="S926" s="148"/>
      <c r="T926" s="149"/>
      <c r="U926" s="148"/>
      <c r="V926" s="150"/>
    </row>
    <row r="927" spans="1:22" s="151" customFormat="1" ht="25.05" customHeight="1">
      <c r="A927" s="26">
        <v>2</v>
      </c>
      <c r="B927" s="27" t="s">
        <v>262</v>
      </c>
      <c r="C927" s="293" t="s">
        <v>1896</v>
      </c>
      <c r="D927" s="30"/>
      <c r="E927" s="29">
        <v>8</v>
      </c>
      <c r="F927" s="30" t="s">
        <v>303</v>
      </c>
      <c r="G927" s="60"/>
      <c r="H927" s="60"/>
      <c r="I927" s="108"/>
      <c r="J927" s="152">
        <f t="shared" si="14"/>
        <v>0</v>
      </c>
      <c r="K927" s="60"/>
      <c r="L927" s="60"/>
      <c r="M927" s="234" t="s">
        <v>1895</v>
      </c>
      <c r="N927" s="248"/>
      <c r="O927" s="227"/>
      <c r="P927" s="228"/>
      <c r="Q927" s="232" t="s">
        <v>1745</v>
      </c>
      <c r="R927" s="32"/>
      <c r="S927" s="148"/>
      <c r="T927" s="149"/>
      <c r="U927" s="148"/>
      <c r="V927" s="150"/>
    </row>
    <row r="928" spans="1:22" s="151" customFormat="1" ht="25.05" customHeight="1">
      <c r="A928" s="26">
        <v>3</v>
      </c>
      <c r="B928" s="27" t="s">
        <v>262</v>
      </c>
      <c r="C928" s="293" t="s">
        <v>1897</v>
      </c>
      <c r="D928" s="30"/>
      <c r="E928" s="29">
        <v>8</v>
      </c>
      <c r="F928" s="30" t="s">
        <v>289</v>
      </c>
      <c r="G928" s="60"/>
      <c r="H928" s="60"/>
      <c r="I928" s="108"/>
      <c r="J928" s="152">
        <f t="shared" si="14"/>
        <v>0</v>
      </c>
      <c r="K928" s="60"/>
      <c r="L928" s="60"/>
      <c r="M928" s="234" t="s">
        <v>1895</v>
      </c>
      <c r="N928" s="248"/>
      <c r="O928" s="227"/>
      <c r="P928" s="228"/>
      <c r="Q928" s="232" t="s">
        <v>1824</v>
      </c>
      <c r="R928" s="32"/>
      <c r="S928" s="148"/>
      <c r="T928" s="149"/>
      <c r="U928" s="148"/>
      <c r="V928" s="150"/>
    </row>
    <row r="929" spans="1:22" s="151" customFormat="1" ht="25.05" customHeight="1">
      <c r="A929" s="26">
        <v>4</v>
      </c>
      <c r="B929" s="27" t="s">
        <v>262</v>
      </c>
      <c r="C929" s="293" t="s">
        <v>1898</v>
      </c>
      <c r="D929" s="30"/>
      <c r="E929" s="29">
        <v>4</v>
      </c>
      <c r="F929" s="30" t="s">
        <v>289</v>
      </c>
      <c r="G929" s="60"/>
      <c r="H929" s="60"/>
      <c r="I929" s="108"/>
      <c r="J929" s="152">
        <f t="shared" si="14"/>
        <v>0</v>
      </c>
      <c r="K929" s="60"/>
      <c r="L929" s="60"/>
      <c r="M929" s="234" t="s">
        <v>1895</v>
      </c>
      <c r="N929" s="248"/>
      <c r="O929" s="227"/>
      <c r="P929" s="228"/>
      <c r="Q929" s="232" t="s">
        <v>1876</v>
      </c>
      <c r="R929" s="32"/>
      <c r="S929" s="148"/>
      <c r="T929" s="149"/>
      <c r="U929" s="148"/>
      <c r="V929" s="150"/>
    </row>
    <row r="930" spans="1:22" s="151" customFormat="1" ht="25.05" customHeight="1">
      <c r="A930" s="26">
        <v>5</v>
      </c>
      <c r="B930" s="27" t="s">
        <v>262</v>
      </c>
      <c r="C930" s="293" t="s">
        <v>1899</v>
      </c>
      <c r="D930" s="30"/>
      <c r="E930" s="29">
        <v>4</v>
      </c>
      <c r="F930" s="30" t="s">
        <v>289</v>
      </c>
      <c r="G930" s="60"/>
      <c r="H930" s="60"/>
      <c r="I930" s="108"/>
      <c r="J930" s="152">
        <f t="shared" si="14"/>
        <v>0</v>
      </c>
      <c r="K930" s="60"/>
      <c r="L930" s="60"/>
      <c r="M930" s="234" t="s">
        <v>1895</v>
      </c>
      <c r="N930" s="248"/>
      <c r="O930" s="227"/>
      <c r="P930" s="228"/>
      <c r="Q930" s="232" t="s">
        <v>1876</v>
      </c>
      <c r="R930" s="32"/>
      <c r="S930" s="148"/>
      <c r="T930" s="149"/>
      <c r="U930" s="148"/>
      <c r="V930" s="150"/>
    </row>
    <row r="931" spans="1:22" s="151" customFormat="1" ht="25.05" customHeight="1">
      <c r="A931" s="26">
        <v>6</v>
      </c>
      <c r="B931" s="27" t="s">
        <v>262</v>
      </c>
      <c r="C931" s="294" t="s">
        <v>1900</v>
      </c>
      <c r="D931" s="30"/>
      <c r="E931" s="29">
        <v>8</v>
      </c>
      <c r="F931" s="30" t="s">
        <v>289</v>
      </c>
      <c r="G931" s="60"/>
      <c r="H931" s="60"/>
      <c r="I931" s="108"/>
      <c r="J931" s="152">
        <f t="shared" si="14"/>
        <v>0</v>
      </c>
      <c r="K931" s="60"/>
      <c r="L931" s="60"/>
      <c r="M931" s="234" t="s">
        <v>1895</v>
      </c>
      <c r="N931" s="248"/>
      <c r="O931" s="227"/>
      <c r="P931" s="228"/>
      <c r="Q931" s="232" t="s">
        <v>1876</v>
      </c>
      <c r="R931" s="32"/>
      <c r="S931" s="148"/>
      <c r="T931" s="149"/>
      <c r="U931" s="148"/>
      <c r="V931" s="150"/>
    </row>
    <row r="932" spans="1:22" s="151" customFormat="1" ht="25.05" customHeight="1">
      <c r="A932" s="264"/>
      <c r="B932" s="265"/>
      <c r="C932" s="289"/>
      <c r="D932" s="270"/>
      <c r="E932" s="266"/>
      <c r="F932" s="202"/>
      <c r="G932" s="267">
        <v>290</v>
      </c>
      <c r="H932" s="267">
        <v>190</v>
      </c>
      <c r="I932" s="268">
        <v>265</v>
      </c>
      <c r="J932" s="269">
        <f>ROUND(I932*H932*G932/1000000,3)</f>
        <v>14.602</v>
      </c>
      <c r="K932" s="269">
        <v>660</v>
      </c>
      <c r="L932" s="269">
        <v>1200</v>
      </c>
      <c r="M932" s="225"/>
      <c r="N932" s="225"/>
      <c r="O932" s="225"/>
      <c r="P932" s="225"/>
      <c r="Q932" s="233"/>
      <c r="R932" s="32"/>
      <c r="S932" s="148"/>
      <c r="T932" s="149"/>
      <c r="U932" s="148"/>
      <c r="V932" s="150"/>
    </row>
    <row r="933" spans="1:22" s="151" customFormat="1" ht="25.05" customHeight="1">
      <c r="A933" s="26">
        <v>1</v>
      </c>
      <c r="B933" s="27" t="s">
        <v>264</v>
      </c>
      <c r="C933" s="293" t="s">
        <v>1901</v>
      </c>
      <c r="D933" s="30"/>
      <c r="E933" s="29">
        <v>68</v>
      </c>
      <c r="F933" s="30" t="s">
        <v>289</v>
      </c>
      <c r="G933" s="60"/>
      <c r="H933" s="60"/>
      <c r="I933" s="108"/>
      <c r="J933" s="152">
        <f t="shared" si="14"/>
        <v>0</v>
      </c>
      <c r="K933" s="60"/>
      <c r="L933" s="60"/>
      <c r="M933" s="234" t="s">
        <v>1902</v>
      </c>
      <c r="N933" s="248"/>
      <c r="O933" s="227"/>
      <c r="P933" s="228"/>
      <c r="Q933" s="232" t="s">
        <v>1745</v>
      </c>
      <c r="R933" s="32"/>
      <c r="S933" s="148"/>
      <c r="T933" s="149"/>
      <c r="U933" s="148"/>
      <c r="V933" s="150"/>
    </row>
    <row r="934" spans="1:22" s="151" customFormat="1" ht="25.05" customHeight="1">
      <c r="A934" s="26">
        <v>2</v>
      </c>
      <c r="B934" s="27" t="s">
        <v>264</v>
      </c>
      <c r="C934" s="293" t="s">
        <v>1903</v>
      </c>
      <c r="D934" s="30"/>
      <c r="E934" s="29">
        <v>68</v>
      </c>
      <c r="F934" s="30" t="s">
        <v>289</v>
      </c>
      <c r="G934" s="60"/>
      <c r="H934" s="60"/>
      <c r="I934" s="108"/>
      <c r="J934" s="152">
        <f t="shared" si="14"/>
        <v>0</v>
      </c>
      <c r="K934" s="60"/>
      <c r="L934" s="60"/>
      <c r="M934" s="234" t="s">
        <v>1902</v>
      </c>
      <c r="N934" s="248"/>
      <c r="O934" s="227"/>
      <c r="P934" s="228"/>
      <c r="Q934" s="232" t="s">
        <v>1745</v>
      </c>
      <c r="R934" s="32"/>
      <c r="S934" s="148"/>
      <c r="T934" s="149"/>
      <c r="U934" s="148"/>
      <c r="V934" s="150"/>
    </row>
    <row r="935" spans="1:22" s="151" customFormat="1" ht="25.05" customHeight="1">
      <c r="A935" s="26">
        <v>3</v>
      </c>
      <c r="B935" s="27" t="s">
        <v>264</v>
      </c>
      <c r="C935" s="293" t="s">
        <v>1904</v>
      </c>
      <c r="D935" s="30"/>
      <c r="E935" s="29">
        <v>2</v>
      </c>
      <c r="F935" s="30" t="s">
        <v>289</v>
      </c>
      <c r="G935" s="60"/>
      <c r="H935" s="60"/>
      <c r="I935" s="108"/>
      <c r="J935" s="152">
        <f t="shared" si="14"/>
        <v>0</v>
      </c>
      <c r="K935" s="60"/>
      <c r="L935" s="60"/>
      <c r="M935" s="234" t="s">
        <v>1902</v>
      </c>
      <c r="N935" s="248"/>
      <c r="O935" s="227"/>
      <c r="P935" s="228"/>
      <c r="Q935" s="232" t="s">
        <v>1745</v>
      </c>
      <c r="R935" s="32"/>
      <c r="S935" s="148"/>
      <c r="T935" s="149"/>
      <c r="U935" s="148"/>
      <c r="V935" s="150"/>
    </row>
    <row r="936" spans="1:22" s="151" customFormat="1" ht="25.05" customHeight="1">
      <c r="A936" s="26">
        <v>4</v>
      </c>
      <c r="B936" s="27" t="s">
        <v>264</v>
      </c>
      <c r="C936" s="293" t="s">
        <v>1905</v>
      </c>
      <c r="D936" s="30"/>
      <c r="E936" s="29">
        <v>12</v>
      </c>
      <c r="F936" s="30" t="s">
        <v>289</v>
      </c>
      <c r="G936" s="60"/>
      <c r="H936" s="60"/>
      <c r="I936" s="108"/>
      <c r="J936" s="152">
        <f t="shared" si="14"/>
        <v>0</v>
      </c>
      <c r="K936" s="60"/>
      <c r="L936" s="60"/>
      <c r="M936" s="234" t="s">
        <v>1902</v>
      </c>
      <c r="N936" s="248"/>
      <c r="O936" s="227"/>
      <c r="P936" s="228"/>
      <c r="Q936" s="232" t="s">
        <v>1745</v>
      </c>
      <c r="R936" s="32"/>
      <c r="S936" s="148"/>
      <c r="T936" s="149"/>
      <c r="U936" s="148"/>
      <c r="V936" s="150"/>
    </row>
    <row r="937" spans="1:22" s="151" customFormat="1" ht="25.05" customHeight="1">
      <c r="A937" s="26">
        <v>5</v>
      </c>
      <c r="B937" s="27" t="s">
        <v>264</v>
      </c>
      <c r="C937" s="294" t="s">
        <v>1906</v>
      </c>
      <c r="D937" s="30"/>
      <c r="E937" s="29">
        <v>2</v>
      </c>
      <c r="F937" s="30" t="s">
        <v>289</v>
      </c>
      <c r="G937" s="60"/>
      <c r="H937" s="60"/>
      <c r="I937" s="108"/>
      <c r="J937" s="152">
        <f t="shared" si="14"/>
        <v>0</v>
      </c>
      <c r="K937" s="60"/>
      <c r="L937" s="60"/>
      <c r="M937" s="234" t="s">
        <v>1902</v>
      </c>
      <c r="N937" s="248"/>
      <c r="O937" s="227"/>
      <c r="P937" s="228"/>
      <c r="Q937" s="232" t="s">
        <v>1745</v>
      </c>
      <c r="R937" s="32"/>
      <c r="S937" s="148"/>
      <c r="T937" s="149"/>
      <c r="U937" s="148"/>
      <c r="V937" s="150"/>
    </row>
    <row r="938" spans="1:22" s="151" customFormat="1" ht="25.05" customHeight="1">
      <c r="A938" s="26">
        <v>6</v>
      </c>
      <c r="B938" s="27" t="s">
        <v>264</v>
      </c>
      <c r="C938" s="294" t="s">
        <v>1907</v>
      </c>
      <c r="D938" s="30"/>
      <c r="E938" s="29">
        <v>14</v>
      </c>
      <c r="F938" s="30" t="s">
        <v>289</v>
      </c>
      <c r="G938" s="60"/>
      <c r="H938" s="60"/>
      <c r="I938" s="108"/>
      <c r="J938" s="152">
        <f t="shared" si="14"/>
        <v>0</v>
      </c>
      <c r="K938" s="60"/>
      <c r="L938" s="60"/>
      <c r="M938" s="234" t="s">
        <v>1902</v>
      </c>
      <c r="N938" s="248"/>
      <c r="O938" s="227"/>
      <c r="P938" s="228"/>
      <c r="Q938" s="232" t="s">
        <v>1745</v>
      </c>
      <c r="R938" s="32"/>
      <c r="S938" s="148"/>
      <c r="T938" s="149"/>
      <c r="U938" s="148"/>
      <c r="V938" s="150"/>
    </row>
    <row r="939" spans="1:22" s="151" customFormat="1" ht="25.05" customHeight="1">
      <c r="A939" s="26">
        <v>7</v>
      </c>
      <c r="B939" s="27" t="s">
        <v>264</v>
      </c>
      <c r="C939" s="294" t="s">
        <v>1908</v>
      </c>
      <c r="D939" s="30"/>
      <c r="E939" s="29">
        <v>24</v>
      </c>
      <c r="F939" s="30" t="s">
        <v>289</v>
      </c>
      <c r="G939" s="60"/>
      <c r="H939" s="60"/>
      <c r="I939" s="108"/>
      <c r="J939" s="152">
        <f t="shared" si="14"/>
        <v>0</v>
      </c>
      <c r="K939" s="60"/>
      <c r="L939" s="60"/>
      <c r="M939" s="234" t="s">
        <v>1902</v>
      </c>
      <c r="N939" s="248"/>
      <c r="O939" s="227"/>
      <c r="P939" s="228"/>
      <c r="Q939" s="232" t="s">
        <v>1745</v>
      </c>
      <c r="R939" s="32"/>
      <c r="S939" s="148"/>
      <c r="T939" s="149"/>
      <c r="U939" s="148"/>
      <c r="V939" s="150"/>
    </row>
    <row r="940" spans="1:22" s="151" customFormat="1" ht="25.05" customHeight="1">
      <c r="A940" s="26">
        <v>8</v>
      </c>
      <c r="B940" s="27" t="s">
        <v>264</v>
      </c>
      <c r="C940" s="293" t="s">
        <v>1909</v>
      </c>
      <c r="D940" s="30"/>
      <c r="E940" s="29">
        <v>28</v>
      </c>
      <c r="F940" s="30" t="s">
        <v>289</v>
      </c>
      <c r="G940" s="60"/>
      <c r="H940" s="60"/>
      <c r="I940" s="108"/>
      <c r="J940" s="152">
        <f t="shared" si="14"/>
        <v>0</v>
      </c>
      <c r="K940" s="60"/>
      <c r="L940" s="60"/>
      <c r="M940" s="234" t="s">
        <v>1902</v>
      </c>
      <c r="N940" s="248"/>
      <c r="O940" s="227"/>
      <c r="P940" s="228"/>
      <c r="Q940" s="232" t="s">
        <v>1745</v>
      </c>
      <c r="R940" s="32"/>
      <c r="S940" s="148"/>
      <c r="T940" s="149"/>
      <c r="U940" s="148"/>
      <c r="V940" s="150"/>
    </row>
    <row r="941" spans="1:22" s="151" customFormat="1" ht="25.05" customHeight="1">
      <c r="A941" s="26">
        <v>9</v>
      </c>
      <c r="B941" s="27" t="s">
        <v>264</v>
      </c>
      <c r="C941" s="293" t="s">
        <v>1910</v>
      </c>
      <c r="D941" s="30"/>
      <c r="E941" s="29">
        <v>4</v>
      </c>
      <c r="F941" s="30" t="s">
        <v>289</v>
      </c>
      <c r="G941" s="60"/>
      <c r="H941" s="60"/>
      <c r="I941" s="108"/>
      <c r="J941" s="152">
        <f t="shared" si="14"/>
        <v>0</v>
      </c>
      <c r="K941" s="60"/>
      <c r="L941" s="60"/>
      <c r="M941" s="234" t="s">
        <v>1902</v>
      </c>
      <c r="N941" s="248"/>
      <c r="O941" s="227"/>
      <c r="P941" s="228"/>
      <c r="Q941" s="232" t="s">
        <v>1745</v>
      </c>
      <c r="R941" s="32"/>
      <c r="S941" s="148"/>
      <c r="T941" s="149"/>
      <c r="U941" s="148"/>
      <c r="V941" s="150"/>
    </row>
    <row r="942" spans="1:22" s="151" customFormat="1" ht="25.05" customHeight="1">
      <c r="A942" s="26">
        <v>10</v>
      </c>
      <c r="B942" s="27" t="s">
        <v>264</v>
      </c>
      <c r="C942" s="293" t="s">
        <v>1911</v>
      </c>
      <c r="D942" s="30"/>
      <c r="E942" s="29">
        <v>2</v>
      </c>
      <c r="F942" s="30" t="s">
        <v>303</v>
      </c>
      <c r="G942" s="60"/>
      <c r="H942" s="60"/>
      <c r="I942" s="108"/>
      <c r="J942" s="152">
        <f t="shared" si="14"/>
        <v>0</v>
      </c>
      <c r="K942" s="60"/>
      <c r="L942" s="60"/>
      <c r="M942" s="234" t="s">
        <v>1902</v>
      </c>
      <c r="N942" s="248"/>
      <c r="O942" s="227"/>
      <c r="P942" s="228"/>
      <c r="Q942" s="232" t="s">
        <v>1745</v>
      </c>
      <c r="R942" s="32"/>
      <c r="S942" s="148"/>
      <c r="T942" s="149"/>
      <c r="U942" s="148"/>
      <c r="V942" s="150"/>
    </row>
    <row r="943" spans="1:22" s="151" customFormat="1" ht="25.05" customHeight="1">
      <c r="A943" s="264"/>
      <c r="B943" s="265"/>
      <c r="C943" s="289"/>
      <c r="D943" s="270"/>
      <c r="E943" s="266"/>
      <c r="F943" s="202"/>
      <c r="G943" s="267">
        <v>380</v>
      </c>
      <c r="H943" s="267">
        <v>105</v>
      </c>
      <c r="I943" s="268">
        <v>100</v>
      </c>
      <c r="J943" s="269">
        <f>ROUND(I943*H943*G943/1000000,3)</f>
        <v>3.99</v>
      </c>
      <c r="K943" s="269">
        <v>600</v>
      </c>
      <c r="L943" s="269">
        <v>900</v>
      </c>
      <c r="M943" s="225"/>
      <c r="N943" s="225"/>
      <c r="O943" s="225"/>
      <c r="P943" s="225"/>
      <c r="Q943" s="233"/>
      <c r="R943" s="32"/>
      <c r="S943" s="148"/>
      <c r="T943" s="149"/>
      <c r="U943" s="148"/>
      <c r="V943" s="150"/>
    </row>
    <row r="944" spans="1:22" s="151" customFormat="1" ht="25.05" customHeight="1">
      <c r="A944" s="26">
        <v>1</v>
      </c>
      <c r="B944" s="27" t="s">
        <v>266</v>
      </c>
      <c r="C944" s="293" t="s">
        <v>1912</v>
      </c>
      <c r="D944" s="210"/>
      <c r="E944" s="211">
        <v>4</v>
      </c>
      <c r="F944" s="212" t="s">
        <v>289</v>
      </c>
      <c r="G944" s="213"/>
      <c r="H944" s="213"/>
      <c r="I944" s="214"/>
      <c r="J944" s="152">
        <f t="shared" si="14"/>
        <v>0</v>
      </c>
      <c r="K944" s="281"/>
      <c r="L944" s="281"/>
      <c r="M944" s="235" t="s">
        <v>1913</v>
      </c>
      <c r="N944" s="248"/>
      <c r="O944" s="228"/>
      <c r="P944" s="228"/>
      <c r="Q944" s="236" t="s">
        <v>1914</v>
      </c>
      <c r="R944" s="32"/>
      <c r="S944" s="148"/>
      <c r="T944" s="149"/>
      <c r="U944" s="148"/>
      <c r="V944" s="150"/>
    </row>
    <row r="945" spans="1:22" s="151" customFormat="1" ht="25.05" customHeight="1">
      <c r="A945" s="26">
        <v>2</v>
      </c>
      <c r="B945" s="27" t="s">
        <v>266</v>
      </c>
      <c r="C945" s="293" t="s">
        <v>1915</v>
      </c>
      <c r="D945" s="30"/>
      <c r="E945" s="29">
        <v>4</v>
      </c>
      <c r="F945" s="30" t="s">
        <v>289</v>
      </c>
      <c r="G945" s="60"/>
      <c r="H945" s="60"/>
      <c r="I945" s="108"/>
      <c r="J945" s="152">
        <f t="shared" si="14"/>
        <v>0</v>
      </c>
      <c r="K945" s="60"/>
      <c r="L945" s="60"/>
      <c r="M945" s="235" t="s">
        <v>1913</v>
      </c>
      <c r="N945" s="248"/>
      <c r="O945" s="227"/>
      <c r="P945" s="228"/>
      <c r="Q945" s="232" t="s">
        <v>1916</v>
      </c>
      <c r="R945" s="32"/>
      <c r="S945" s="148"/>
      <c r="T945" s="149"/>
      <c r="U945" s="148"/>
      <c r="V945" s="150"/>
    </row>
    <row r="946" spans="1:22" s="151" customFormat="1" ht="25.05" customHeight="1">
      <c r="A946" s="26">
        <v>3</v>
      </c>
      <c r="B946" s="27" t="s">
        <v>266</v>
      </c>
      <c r="C946" s="293" t="s">
        <v>1917</v>
      </c>
      <c r="D946" s="30"/>
      <c r="E946" s="29">
        <v>16</v>
      </c>
      <c r="F946" s="30" t="s">
        <v>289</v>
      </c>
      <c r="G946" s="60"/>
      <c r="H946" s="60"/>
      <c r="I946" s="108"/>
      <c r="J946" s="152">
        <f t="shared" si="14"/>
        <v>0</v>
      </c>
      <c r="K946" s="60"/>
      <c r="L946" s="60"/>
      <c r="M946" s="235" t="s">
        <v>1913</v>
      </c>
      <c r="N946" s="248"/>
      <c r="O946" s="227"/>
      <c r="P946" s="228"/>
      <c r="Q946" s="232" t="s">
        <v>1822</v>
      </c>
      <c r="R946" s="32"/>
      <c r="S946" s="148"/>
      <c r="T946" s="149"/>
      <c r="U946" s="148"/>
      <c r="V946" s="150"/>
    </row>
    <row r="947" spans="1:22" s="151" customFormat="1" ht="25.05" customHeight="1">
      <c r="A947" s="26">
        <v>4</v>
      </c>
      <c r="B947" s="27" t="s">
        <v>266</v>
      </c>
      <c r="C947" s="293" t="s">
        <v>1918</v>
      </c>
      <c r="D947" s="30"/>
      <c r="E947" s="29">
        <v>16</v>
      </c>
      <c r="F947" s="30" t="s">
        <v>289</v>
      </c>
      <c r="G947" s="60"/>
      <c r="H947" s="60"/>
      <c r="I947" s="108"/>
      <c r="J947" s="152">
        <f t="shared" si="14"/>
        <v>0</v>
      </c>
      <c r="K947" s="60"/>
      <c r="L947" s="60"/>
      <c r="M947" s="235" t="s">
        <v>1913</v>
      </c>
      <c r="N947" s="248"/>
      <c r="O947" s="227"/>
      <c r="P947" s="228"/>
      <c r="Q947" s="232" t="s">
        <v>1824</v>
      </c>
      <c r="R947" s="32"/>
      <c r="S947" s="148"/>
      <c r="T947" s="149"/>
      <c r="U947" s="148"/>
      <c r="V947" s="150"/>
    </row>
    <row r="948" spans="1:22" s="151" customFormat="1" ht="25.05" customHeight="1">
      <c r="A948" s="26">
        <v>5</v>
      </c>
      <c r="B948" s="27" t="s">
        <v>266</v>
      </c>
      <c r="C948" s="293" t="s">
        <v>1919</v>
      </c>
      <c r="D948" s="30"/>
      <c r="E948" s="29">
        <v>16</v>
      </c>
      <c r="F948" s="30" t="s">
        <v>303</v>
      </c>
      <c r="G948" s="60"/>
      <c r="H948" s="60"/>
      <c r="I948" s="108"/>
      <c r="J948" s="152">
        <f t="shared" si="14"/>
        <v>0</v>
      </c>
      <c r="K948" s="60"/>
      <c r="L948" s="60"/>
      <c r="M948" s="235" t="s">
        <v>1913</v>
      </c>
      <c r="N948" s="248"/>
      <c r="O948" s="227"/>
      <c r="P948" s="228"/>
      <c r="Q948" s="232" t="s">
        <v>1826</v>
      </c>
      <c r="R948" s="32"/>
      <c r="S948" s="148"/>
      <c r="T948" s="149"/>
      <c r="U948" s="148"/>
      <c r="V948" s="150"/>
    </row>
    <row r="949" spans="1:22" s="151" customFormat="1" ht="25.05" customHeight="1">
      <c r="A949" s="26">
        <v>6</v>
      </c>
      <c r="B949" s="27" t="s">
        <v>266</v>
      </c>
      <c r="C949" s="293" t="s">
        <v>1920</v>
      </c>
      <c r="D949" s="30"/>
      <c r="E949" s="29">
        <v>2</v>
      </c>
      <c r="F949" s="30" t="s">
        <v>303</v>
      </c>
      <c r="G949" s="60"/>
      <c r="H949" s="60"/>
      <c r="I949" s="108"/>
      <c r="J949" s="152">
        <f t="shared" si="14"/>
        <v>0</v>
      </c>
      <c r="K949" s="60"/>
      <c r="L949" s="60"/>
      <c r="M949" s="235" t="s">
        <v>1902</v>
      </c>
      <c r="N949" s="248"/>
      <c r="O949" s="227"/>
      <c r="P949" s="228"/>
      <c r="Q949" s="232" t="s">
        <v>1745</v>
      </c>
      <c r="R949" s="32"/>
      <c r="S949" s="148"/>
      <c r="T949" s="149"/>
      <c r="U949" s="148"/>
      <c r="V949" s="150"/>
    </row>
    <row r="950" spans="1:22" s="151" customFormat="1" ht="25.05" customHeight="1">
      <c r="A950" s="26">
        <v>7</v>
      </c>
      <c r="B950" s="27" t="s">
        <v>266</v>
      </c>
      <c r="C950" s="293" t="s">
        <v>1921</v>
      </c>
      <c r="D950" s="30"/>
      <c r="E950" s="29">
        <v>2</v>
      </c>
      <c r="F950" s="30" t="s">
        <v>289</v>
      </c>
      <c r="G950" s="60"/>
      <c r="H950" s="60"/>
      <c r="I950" s="108"/>
      <c r="J950" s="152">
        <f t="shared" ref="J950:J980" si="15">ROUND(I950*H950*G950/1000000,3)</f>
        <v>0</v>
      </c>
      <c r="K950" s="60"/>
      <c r="L950" s="60"/>
      <c r="M950" s="234" t="s">
        <v>1922</v>
      </c>
      <c r="N950" s="248"/>
      <c r="O950" s="227"/>
      <c r="P950" s="228"/>
      <c r="Q950" s="232" t="s">
        <v>1923</v>
      </c>
      <c r="R950" s="32"/>
      <c r="S950" s="148"/>
      <c r="T950" s="149"/>
      <c r="U950" s="148"/>
      <c r="V950" s="150"/>
    </row>
    <row r="951" spans="1:22" s="151" customFormat="1" ht="25.05" customHeight="1">
      <c r="A951" s="26">
        <v>8</v>
      </c>
      <c r="B951" s="27" t="s">
        <v>266</v>
      </c>
      <c r="C951" s="293" t="s">
        <v>1924</v>
      </c>
      <c r="D951" s="30"/>
      <c r="E951" s="29">
        <v>4</v>
      </c>
      <c r="F951" s="30" t="s">
        <v>289</v>
      </c>
      <c r="G951" s="60"/>
      <c r="H951" s="60"/>
      <c r="I951" s="108"/>
      <c r="J951" s="152">
        <f t="shared" si="15"/>
        <v>0</v>
      </c>
      <c r="K951" s="60"/>
      <c r="L951" s="60"/>
      <c r="M951" s="234" t="s">
        <v>1922</v>
      </c>
      <c r="N951" s="248"/>
      <c r="O951" s="227"/>
      <c r="P951" s="228"/>
      <c r="Q951" s="232" t="s">
        <v>1925</v>
      </c>
      <c r="R951" s="32"/>
      <c r="S951" s="148"/>
      <c r="T951" s="149"/>
      <c r="U951" s="148"/>
      <c r="V951" s="150"/>
    </row>
    <row r="952" spans="1:22" s="151" customFormat="1" ht="25.05" customHeight="1">
      <c r="A952" s="26">
        <v>9</v>
      </c>
      <c r="B952" s="27" t="s">
        <v>266</v>
      </c>
      <c r="C952" s="293" t="s">
        <v>1926</v>
      </c>
      <c r="D952" s="30"/>
      <c r="E952" s="29">
        <v>32</v>
      </c>
      <c r="F952" s="30" t="s">
        <v>303</v>
      </c>
      <c r="G952" s="60"/>
      <c r="H952" s="60"/>
      <c r="I952" s="108"/>
      <c r="J952" s="152">
        <f t="shared" si="15"/>
        <v>0</v>
      </c>
      <c r="K952" s="60"/>
      <c r="L952" s="60"/>
      <c r="M952" s="234" t="s">
        <v>1922</v>
      </c>
      <c r="N952" s="248"/>
      <c r="O952" s="227"/>
      <c r="P952" s="228"/>
      <c r="Q952" s="232" t="s">
        <v>1927</v>
      </c>
      <c r="R952" s="32"/>
      <c r="S952" s="148"/>
      <c r="T952" s="149"/>
      <c r="U952" s="148"/>
      <c r="V952" s="150"/>
    </row>
    <row r="953" spans="1:22" s="151" customFormat="1" ht="25.05" customHeight="1">
      <c r="A953" s="26">
        <v>10</v>
      </c>
      <c r="B953" s="27" t="s">
        <v>266</v>
      </c>
      <c r="C953" s="293" t="s">
        <v>1928</v>
      </c>
      <c r="D953" s="30"/>
      <c r="E953" s="29">
        <v>2</v>
      </c>
      <c r="F953" s="30" t="s">
        <v>303</v>
      </c>
      <c r="G953" s="60"/>
      <c r="H953" s="60"/>
      <c r="I953" s="108"/>
      <c r="J953" s="152">
        <f t="shared" si="15"/>
        <v>0</v>
      </c>
      <c r="K953" s="60"/>
      <c r="L953" s="60"/>
      <c r="M953" s="234" t="s">
        <v>1929</v>
      </c>
      <c r="N953" s="248"/>
      <c r="O953" s="227"/>
      <c r="P953" s="228"/>
      <c r="Q953" s="232" t="s">
        <v>1930</v>
      </c>
      <c r="R953" s="32"/>
      <c r="S953" s="148"/>
      <c r="T953" s="149"/>
      <c r="U953" s="148"/>
      <c r="V953" s="150"/>
    </row>
    <row r="954" spans="1:22" s="151" customFormat="1" ht="25.05" customHeight="1">
      <c r="A954" s="26">
        <v>11</v>
      </c>
      <c r="B954" s="27" t="s">
        <v>266</v>
      </c>
      <c r="C954" s="293" t="s">
        <v>1931</v>
      </c>
      <c r="D954" s="30"/>
      <c r="E954" s="29">
        <v>4</v>
      </c>
      <c r="F954" s="30" t="s">
        <v>289</v>
      </c>
      <c r="G954" s="60"/>
      <c r="H954" s="60"/>
      <c r="I954" s="108"/>
      <c r="J954" s="152">
        <f t="shared" si="15"/>
        <v>0</v>
      </c>
      <c r="K954" s="60"/>
      <c r="L954" s="60"/>
      <c r="M954" s="234" t="s">
        <v>1929</v>
      </c>
      <c r="N954" s="248"/>
      <c r="O954" s="227"/>
      <c r="P954" s="228"/>
      <c r="Q954" s="232" t="s">
        <v>1932</v>
      </c>
      <c r="R954" s="32"/>
      <c r="S954" s="148"/>
      <c r="T954" s="149"/>
      <c r="U954" s="148"/>
      <c r="V954" s="150"/>
    </row>
    <row r="955" spans="1:22" s="151" customFormat="1" ht="25.05" customHeight="1">
      <c r="A955" s="26">
        <v>12</v>
      </c>
      <c r="B955" s="27" t="s">
        <v>266</v>
      </c>
      <c r="C955" s="293" t="s">
        <v>1926</v>
      </c>
      <c r="D955" s="30"/>
      <c r="E955" s="29">
        <v>16</v>
      </c>
      <c r="F955" s="30" t="s">
        <v>303</v>
      </c>
      <c r="G955" s="60"/>
      <c r="H955" s="60"/>
      <c r="I955" s="108"/>
      <c r="J955" s="152">
        <f t="shared" si="15"/>
        <v>0</v>
      </c>
      <c r="K955" s="60"/>
      <c r="L955" s="60"/>
      <c r="M955" s="234" t="s">
        <v>1929</v>
      </c>
      <c r="N955" s="248"/>
      <c r="O955" s="227"/>
      <c r="P955" s="228"/>
      <c r="Q955" s="232" t="s">
        <v>1933</v>
      </c>
      <c r="R955" s="32"/>
      <c r="S955" s="148"/>
      <c r="T955" s="149"/>
      <c r="U955" s="148"/>
      <c r="V955" s="150"/>
    </row>
    <row r="956" spans="1:22" s="151" customFormat="1" ht="25.05" customHeight="1">
      <c r="A956" s="26">
        <v>13</v>
      </c>
      <c r="B956" s="27" t="s">
        <v>266</v>
      </c>
      <c r="C956" s="293" t="s">
        <v>1934</v>
      </c>
      <c r="D956" s="30"/>
      <c r="E956" s="29">
        <v>2</v>
      </c>
      <c r="F956" s="30" t="s">
        <v>303</v>
      </c>
      <c r="G956" s="60"/>
      <c r="H956" s="60"/>
      <c r="I956" s="108"/>
      <c r="J956" s="152">
        <f t="shared" si="15"/>
        <v>0</v>
      </c>
      <c r="K956" s="60"/>
      <c r="L956" s="60"/>
      <c r="M956" s="234" t="s">
        <v>1922</v>
      </c>
      <c r="N956" s="248"/>
      <c r="O956" s="227"/>
      <c r="P956" s="228"/>
      <c r="Q956" s="232" t="s">
        <v>1935</v>
      </c>
      <c r="R956" s="32"/>
      <c r="S956" s="148"/>
      <c r="T956" s="149"/>
      <c r="U956" s="148"/>
      <c r="V956" s="150"/>
    </row>
    <row r="957" spans="1:22" s="151" customFormat="1" ht="25.05" customHeight="1">
      <c r="A957" s="26">
        <v>14</v>
      </c>
      <c r="B957" s="27" t="s">
        <v>266</v>
      </c>
      <c r="C957" s="293" t="s">
        <v>1936</v>
      </c>
      <c r="D957" s="30"/>
      <c r="E957" s="29">
        <v>4</v>
      </c>
      <c r="F957" s="30" t="s">
        <v>289</v>
      </c>
      <c r="G957" s="60"/>
      <c r="H957" s="60"/>
      <c r="I957" s="108"/>
      <c r="J957" s="152">
        <f t="shared" si="15"/>
        <v>0</v>
      </c>
      <c r="K957" s="60"/>
      <c r="L957" s="60"/>
      <c r="M957" s="234" t="s">
        <v>1922</v>
      </c>
      <c r="N957" s="248"/>
      <c r="O957" s="227"/>
      <c r="P957" s="228"/>
      <c r="Q957" s="232" t="s">
        <v>1937</v>
      </c>
      <c r="R957" s="32"/>
      <c r="S957" s="148"/>
      <c r="T957" s="149"/>
      <c r="U957" s="148"/>
      <c r="V957" s="150"/>
    </row>
    <row r="958" spans="1:22" s="151" customFormat="1" ht="25.05" customHeight="1">
      <c r="A958" s="26">
        <v>15</v>
      </c>
      <c r="B958" s="27" t="s">
        <v>266</v>
      </c>
      <c r="C958" s="293" t="s">
        <v>1938</v>
      </c>
      <c r="D958" s="30"/>
      <c r="E958" s="29">
        <v>16</v>
      </c>
      <c r="F958" s="30" t="s">
        <v>303</v>
      </c>
      <c r="G958" s="60"/>
      <c r="H958" s="60"/>
      <c r="I958" s="108"/>
      <c r="J958" s="152">
        <f t="shared" si="15"/>
        <v>0</v>
      </c>
      <c r="K958" s="60"/>
      <c r="L958" s="60"/>
      <c r="M958" s="234" t="s">
        <v>1922</v>
      </c>
      <c r="N958" s="248"/>
      <c r="O958" s="227"/>
      <c r="P958" s="228"/>
      <c r="Q958" s="232" t="s">
        <v>1939</v>
      </c>
      <c r="R958" s="32"/>
      <c r="S958" s="148"/>
      <c r="T958" s="149"/>
      <c r="U958" s="148"/>
      <c r="V958" s="150"/>
    </row>
    <row r="959" spans="1:22" s="151" customFormat="1" ht="25.05" customHeight="1">
      <c r="A959" s="264"/>
      <c r="B959" s="265"/>
      <c r="C959" s="289"/>
      <c r="D959" s="270"/>
      <c r="E959" s="266"/>
      <c r="F959" s="202"/>
      <c r="G959" s="267">
        <v>288</v>
      </c>
      <c r="H959" s="267">
        <v>125</v>
      </c>
      <c r="I959" s="268">
        <v>110</v>
      </c>
      <c r="J959" s="269">
        <f>ROUND(I959*H959*G959/1000000,3)</f>
        <v>3.96</v>
      </c>
      <c r="K959" s="269">
        <v>300</v>
      </c>
      <c r="L959" s="269">
        <v>500</v>
      </c>
      <c r="M959" s="225"/>
      <c r="N959" s="225"/>
      <c r="O959" s="225"/>
      <c r="P959" s="225"/>
      <c r="Q959" s="233"/>
      <c r="R959" s="32"/>
      <c r="S959" s="148"/>
      <c r="T959" s="149"/>
      <c r="U959" s="148"/>
      <c r="V959" s="150"/>
    </row>
    <row r="960" spans="1:22" s="151" customFormat="1" ht="25.05" customHeight="1">
      <c r="A960" s="26">
        <v>1</v>
      </c>
      <c r="B960" s="27" t="s">
        <v>268</v>
      </c>
      <c r="C960" s="293" t="s">
        <v>1940</v>
      </c>
      <c r="D960" s="30"/>
      <c r="E960" s="29">
        <v>2</v>
      </c>
      <c r="F960" s="30" t="s">
        <v>303</v>
      </c>
      <c r="G960" s="60"/>
      <c r="H960" s="60"/>
      <c r="I960" s="108"/>
      <c r="J960" s="152">
        <f t="shared" si="15"/>
        <v>0</v>
      </c>
      <c r="K960" s="60"/>
      <c r="L960" s="60"/>
      <c r="M960" s="234" t="s">
        <v>1941</v>
      </c>
      <c r="N960" s="248"/>
      <c r="O960" s="227"/>
      <c r="P960" s="228"/>
      <c r="Q960" s="232" t="s">
        <v>1745</v>
      </c>
      <c r="R960" s="32"/>
      <c r="S960" s="148"/>
      <c r="T960" s="149"/>
      <c r="U960" s="148"/>
      <c r="V960" s="150"/>
    </row>
    <row r="961" spans="1:22" s="151" customFormat="1" ht="25.05" customHeight="1">
      <c r="A961" s="26">
        <v>2</v>
      </c>
      <c r="B961" s="27" t="s">
        <v>268</v>
      </c>
      <c r="C961" s="293" t="s">
        <v>1942</v>
      </c>
      <c r="D961" s="30"/>
      <c r="E961" s="29">
        <v>4</v>
      </c>
      <c r="F961" s="30" t="s">
        <v>289</v>
      </c>
      <c r="G961" s="60"/>
      <c r="H961" s="60"/>
      <c r="I961" s="108"/>
      <c r="J961" s="152">
        <f t="shared" si="15"/>
        <v>0</v>
      </c>
      <c r="K961" s="60"/>
      <c r="L961" s="60"/>
      <c r="M961" s="234" t="s">
        <v>1941</v>
      </c>
      <c r="N961" s="248"/>
      <c r="O961" s="227"/>
      <c r="P961" s="228"/>
      <c r="Q961" s="237" t="s">
        <v>1943</v>
      </c>
      <c r="R961" s="32"/>
      <c r="S961" s="148"/>
      <c r="T961" s="149"/>
      <c r="U961" s="148"/>
      <c r="V961" s="150"/>
    </row>
    <row r="962" spans="1:22" s="151" customFormat="1" ht="25.05" customHeight="1">
      <c r="A962" s="26">
        <v>3</v>
      </c>
      <c r="B962" s="27" t="s">
        <v>268</v>
      </c>
      <c r="C962" s="293" t="s">
        <v>1944</v>
      </c>
      <c r="D962" s="30"/>
      <c r="E962" s="29">
        <v>32</v>
      </c>
      <c r="F962" s="30" t="s">
        <v>303</v>
      </c>
      <c r="G962" s="60"/>
      <c r="H962" s="60"/>
      <c r="I962" s="108"/>
      <c r="J962" s="152">
        <f t="shared" si="15"/>
        <v>0</v>
      </c>
      <c r="K962" s="60"/>
      <c r="L962" s="60"/>
      <c r="M962" s="234" t="s">
        <v>1941</v>
      </c>
      <c r="N962" s="248"/>
      <c r="O962" s="227"/>
      <c r="P962" s="228"/>
      <c r="Q962" s="232" t="s">
        <v>1945</v>
      </c>
      <c r="R962" s="32"/>
      <c r="S962" s="148"/>
      <c r="T962" s="149"/>
      <c r="U962" s="148"/>
      <c r="V962" s="150"/>
    </row>
    <row r="963" spans="1:22" s="151" customFormat="1" ht="25.05" customHeight="1">
      <c r="A963" s="26">
        <v>4</v>
      </c>
      <c r="B963" s="27" t="s">
        <v>268</v>
      </c>
      <c r="C963" s="293" t="s">
        <v>1946</v>
      </c>
      <c r="D963" s="30"/>
      <c r="E963" s="29">
        <v>2</v>
      </c>
      <c r="F963" s="30" t="s">
        <v>289</v>
      </c>
      <c r="G963" s="60"/>
      <c r="H963" s="60"/>
      <c r="I963" s="108"/>
      <c r="J963" s="152">
        <f t="shared" si="15"/>
        <v>0</v>
      </c>
      <c r="K963" s="60"/>
      <c r="L963" s="60"/>
      <c r="M963" s="234" t="s">
        <v>1947</v>
      </c>
      <c r="N963" s="248"/>
      <c r="O963" s="227"/>
      <c r="P963" s="228"/>
      <c r="Q963" s="232" t="s">
        <v>1745</v>
      </c>
      <c r="R963" s="32"/>
      <c r="S963" s="148"/>
      <c r="T963" s="149"/>
      <c r="U963" s="148"/>
      <c r="V963" s="150"/>
    </row>
    <row r="964" spans="1:22" s="151" customFormat="1" ht="25.05" customHeight="1">
      <c r="A964" s="26">
        <v>5</v>
      </c>
      <c r="B964" s="27" t="s">
        <v>268</v>
      </c>
      <c r="C964" s="293" t="s">
        <v>1948</v>
      </c>
      <c r="D964" s="30"/>
      <c r="E964" s="29">
        <v>2</v>
      </c>
      <c r="F964" s="30" t="s">
        <v>289</v>
      </c>
      <c r="G964" s="60"/>
      <c r="H964" s="60"/>
      <c r="I964" s="108"/>
      <c r="J964" s="152">
        <f t="shared" si="15"/>
        <v>0</v>
      </c>
      <c r="K964" s="60"/>
      <c r="L964" s="60"/>
      <c r="M964" s="234" t="s">
        <v>1947</v>
      </c>
      <c r="N964" s="248"/>
      <c r="O964" s="227"/>
      <c r="P964" s="228"/>
      <c r="Q964" s="232" t="s">
        <v>1949</v>
      </c>
      <c r="R964" s="32"/>
      <c r="S964" s="148"/>
      <c r="T964" s="149"/>
      <c r="U964" s="148"/>
      <c r="V964" s="150"/>
    </row>
    <row r="965" spans="1:22" s="151" customFormat="1" ht="25.05" customHeight="1">
      <c r="A965" s="26">
        <v>6</v>
      </c>
      <c r="B965" s="27" t="s">
        <v>268</v>
      </c>
      <c r="C965" s="293" t="s">
        <v>1950</v>
      </c>
      <c r="D965" s="30"/>
      <c r="E965" s="29">
        <v>16</v>
      </c>
      <c r="F965" s="30" t="s">
        <v>303</v>
      </c>
      <c r="G965" s="60"/>
      <c r="H965" s="60"/>
      <c r="I965" s="108"/>
      <c r="J965" s="152">
        <f t="shared" si="15"/>
        <v>0</v>
      </c>
      <c r="K965" s="60"/>
      <c r="L965" s="60"/>
      <c r="M965" s="234" t="s">
        <v>1947</v>
      </c>
      <c r="N965" s="248"/>
      <c r="O965" s="227"/>
      <c r="P965" s="228"/>
      <c r="Q965" s="238" t="s">
        <v>1951</v>
      </c>
      <c r="R965" s="32"/>
      <c r="S965" s="148"/>
      <c r="T965" s="149"/>
      <c r="U965" s="148"/>
      <c r="V965" s="150"/>
    </row>
    <row r="966" spans="1:22" s="151" customFormat="1" ht="25.05" customHeight="1">
      <c r="A966" s="264"/>
      <c r="B966" s="265"/>
      <c r="C966" s="289"/>
      <c r="D966" s="270"/>
      <c r="E966" s="266"/>
      <c r="F966" s="202"/>
      <c r="G966" s="267">
        <v>350</v>
      </c>
      <c r="H966" s="267">
        <v>175</v>
      </c>
      <c r="I966" s="268">
        <v>170</v>
      </c>
      <c r="J966" s="269">
        <f>ROUND(I966*H966*G966/1000000,3)</f>
        <v>10.413</v>
      </c>
      <c r="K966" s="269">
        <v>300</v>
      </c>
      <c r="L966" s="269">
        <v>500</v>
      </c>
      <c r="M966" s="225"/>
      <c r="N966" s="225"/>
      <c r="O966" s="225"/>
      <c r="P966" s="225"/>
      <c r="Q966" s="233"/>
      <c r="R966" s="32"/>
      <c r="S966" s="148"/>
      <c r="T966" s="149"/>
      <c r="U966" s="148"/>
      <c r="V966" s="150"/>
    </row>
    <row r="967" spans="1:22" s="151" customFormat="1" ht="25.05" customHeight="1">
      <c r="A967" s="26">
        <v>1</v>
      </c>
      <c r="B967" s="27" t="s">
        <v>270</v>
      </c>
      <c r="C967" s="293" t="s">
        <v>1952</v>
      </c>
      <c r="D967" s="30"/>
      <c r="E967" s="29">
        <v>2</v>
      </c>
      <c r="F967" s="30" t="s">
        <v>289</v>
      </c>
      <c r="G967" s="60"/>
      <c r="H967" s="60"/>
      <c r="I967" s="108"/>
      <c r="J967" s="152">
        <f t="shared" si="15"/>
        <v>0</v>
      </c>
      <c r="K967" s="60"/>
      <c r="L967" s="60"/>
      <c r="M967" s="234" t="s">
        <v>1953</v>
      </c>
      <c r="N967" s="248"/>
      <c r="O967" s="227"/>
      <c r="P967" s="228"/>
      <c r="Q967" s="232" t="s">
        <v>1745</v>
      </c>
      <c r="R967" s="32"/>
      <c r="S967" s="148"/>
      <c r="T967" s="149"/>
      <c r="U967" s="148"/>
      <c r="V967" s="150"/>
    </row>
    <row r="968" spans="1:22" s="151" customFormat="1" ht="25.05" customHeight="1">
      <c r="A968" s="26">
        <v>2</v>
      </c>
      <c r="B968" s="27" t="s">
        <v>270</v>
      </c>
      <c r="C968" s="293" t="s">
        <v>1954</v>
      </c>
      <c r="D968" s="30"/>
      <c r="E968" s="29">
        <v>8</v>
      </c>
      <c r="F968" s="30" t="s">
        <v>303</v>
      </c>
      <c r="G968" s="60"/>
      <c r="H968" s="60"/>
      <c r="I968" s="108"/>
      <c r="J968" s="152">
        <f t="shared" si="15"/>
        <v>0</v>
      </c>
      <c r="K968" s="60"/>
      <c r="L968" s="60"/>
      <c r="M968" s="234" t="s">
        <v>1953</v>
      </c>
      <c r="N968" s="248"/>
      <c r="O968" s="227"/>
      <c r="P968" s="228"/>
      <c r="Q968" s="232" t="s">
        <v>1745</v>
      </c>
      <c r="R968" s="32"/>
      <c r="S968" s="148"/>
      <c r="T968" s="149"/>
      <c r="U968" s="148"/>
      <c r="V968" s="150"/>
    </row>
    <row r="969" spans="1:22" s="151" customFormat="1" ht="25.05" customHeight="1">
      <c r="A969" s="264"/>
      <c r="B969" s="265"/>
      <c r="C969" s="289"/>
      <c r="D969" s="270"/>
      <c r="E969" s="266"/>
      <c r="F969" s="202"/>
      <c r="G969" s="267">
        <v>100</v>
      </c>
      <c r="H969" s="267">
        <v>100</v>
      </c>
      <c r="I969" s="268">
        <v>60</v>
      </c>
      <c r="J969" s="269">
        <f>ROUND(I969*H969*G969/1000000,3)</f>
        <v>0.6</v>
      </c>
      <c r="K969" s="269">
        <v>10</v>
      </c>
      <c r="L969" s="269">
        <v>80</v>
      </c>
      <c r="M969" s="225"/>
      <c r="N969" s="225"/>
      <c r="O969" s="225"/>
      <c r="P969" s="225"/>
      <c r="Q969" s="233"/>
      <c r="R969" s="32"/>
      <c r="S969" s="148"/>
      <c r="T969" s="149"/>
      <c r="U969" s="148"/>
      <c r="V969" s="150"/>
    </row>
    <row r="970" spans="1:22" s="151" customFormat="1" ht="25.05" customHeight="1">
      <c r="A970" s="26">
        <v>1</v>
      </c>
      <c r="B970" s="27" t="s">
        <v>271</v>
      </c>
      <c r="C970" s="293" t="s">
        <v>1955</v>
      </c>
      <c r="D970" s="30"/>
      <c r="E970" s="29">
        <v>91</v>
      </c>
      <c r="F970" s="30" t="s">
        <v>289</v>
      </c>
      <c r="G970" s="60"/>
      <c r="H970" s="60"/>
      <c r="I970" s="108"/>
      <c r="J970" s="152">
        <f t="shared" si="15"/>
        <v>0</v>
      </c>
      <c r="K970" s="60"/>
      <c r="L970" s="60"/>
      <c r="M970" s="234"/>
      <c r="N970" s="250"/>
      <c r="O970" s="227"/>
      <c r="P970" s="228"/>
      <c r="Q970" s="232" t="s">
        <v>1745</v>
      </c>
      <c r="R970" s="32"/>
      <c r="S970" s="148"/>
      <c r="T970" s="149"/>
      <c r="U970" s="148"/>
      <c r="V970" s="150"/>
    </row>
    <row r="971" spans="1:22" s="151" customFormat="1" ht="25.05" customHeight="1">
      <c r="A971" s="264"/>
      <c r="B971" s="265"/>
      <c r="C971" s="289"/>
      <c r="D971" s="270"/>
      <c r="E971" s="266"/>
      <c r="F971" s="202"/>
      <c r="G971" s="267">
        <v>450</v>
      </c>
      <c r="H971" s="267">
        <v>225</v>
      </c>
      <c r="I971" s="268">
        <v>225</v>
      </c>
      <c r="J971" s="269">
        <f>ROUND(I971*H971*G971/1000000,3)</f>
        <v>22.780999999999999</v>
      </c>
      <c r="K971" s="269">
        <v>1600</v>
      </c>
      <c r="L971" s="269">
        <v>2200</v>
      </c>
      <c r="M971" s="225"/>
      <c r="N971" s="225"/>
      <c r="O971" s="225"/>
      <c r="P971" s="225"/>
      <c r="Q971" s="233"/>
      <c r="R971" s="32"/>
      <c r="S971" s="148"/>
      <c r="T971" s="149"/>
      <c r="U971" s="148"/>
      <c r="V971" s="150"/>
    </row>
    <row r="972" spans="1:22" s="151" customFormat="1" ht="25.05" customHeight="1">
      <c r="A972" s="26">
        <v>1</v>
      </c>
      <c r="B972" s="27" t="s">
        <v>272</v>
      </c>
      <c r="C972" s="293" t="s">
        <v>1956</v>
      </c>
      <c r="D972" s="30"/>
      <c r="E972" s="29">
        <v>18</v>
      </c>
      <c r="F972" s="30" t="s">
        <v>1651</v>
      </c>
      <c r="G972" s="60"/>
      <c r="H972" s="60"/>
      <c r="I972" s="108"/>
      <c r="J972" s="152">
        <f t="shared" si="15"/>
        <v>0</v>
      </c>
      <c r="K972" s="60"/>
      <c r="L972" s="60"/>
      <c r="M972" s="234"/>
      <c r="N972" s="248"/>
      <c r="O972" s="227"/>
      <c r="P972" s="228"/>
      <c r="Q972" s="232" t="s">
        <v>1745</v>
      </c>
      <c r="R972" s="32"/>
      <c r="S972" s="148"/>
      <c r="T972" s="149"/>
      <c r="U972" s="148"/>
      <c r="V972" s="150"/>
    </row>
    <row r="973" spans="1:22" s="151" customFormat="1" ht="25.05" customHeight="1">
      <c r="A973" s="26">
        <v>2</v>
      </c>
      <c r="B973" s="27" t="s">
        <v>272</v>
      </c>
      <c r="C973" s="293" t="s">
        <v>1957</v>
      </c>
      <c r="D973" s="30"/>
      <c r="E973" s="29">
        <v>36</v>
      </c>
      <c r="F973" s="30" t="s">
        <v>1651</v>
      </c>
      <c r="G973" s="60"/>
      <c r="H973" s="60"/>
      <c r="I973" s="108"/>
      <c r="J973" s="152">
        <f t="shared" si="15"/>
        <v>0</v>
      </c>
      <c r="K973" s="60"/>
      <c r="L973" s="60"/>
      <c r="M973" s="234"/>
      <c r="N973" s="248"/>
      <c r="O973" s="227"/>
      <c r="P973" s="228"/>
      <c r="Q973" s="232" t="s">
        <v>1745</v>
      </c>
      <c r="R973" s="32"/>
      <c r="S973" s="148"/>
      <c r="T973" s="149"/>
      <c r="U973" s="148"/>
      <c r="V973" s="150"/>
    </row>
    <row r="974" spans="1:22" s="151" customFormat="1" ht="25.05" customHeight="1">
      <c r="A974" s="26">
        <v>3</v>
      </c>
      <c r="B974" s="27" t="s">
        <v>272</v>
      </c>
      <c r="C974" s="293" t="s">
        <v>1958</v>
      </c>
      <c r="D974" s="30"/>
      <c r="E974" s="29">
        <v>2</v>
      </c>
      <c r="F974" s="30" t="s">
        <v>105</v>
      </c>
      <c r="G974" s="60"/>
      <c r="H974" s="60"/>
      <c r="I974" s="108"/>
      <c r="J974" s="152">
        <f t="shared" si="15"/>
        <v>0</v>
      </c>
      <c r="K974" s="60"/>
      <c r="L974" s="60"/>
      <c r="M974" s="234"/>
      <c r="N974" s="248"/>
      <c r="O974" s="227"/>
      <c r="P974" s="228"/>
      <c r="Q974" s="232" t="s">
        <v>1745</v>
      </c>
      <c r="R974" s="32"/>
      <c r="S974" s="148"/>
      <c r="T974" s="149"/>
      <c r="U974" s="148"/>
      <c r="V974" s="150"/>
    </row>
    <row r="975" spans="1:22" s="151" customFormat="1" ht="25.05" customHeight="1">
      <c r="A975" s="26">
        <v>4</v>
      </c>
      <c r="B975" s="27" t="s">
        <v>272</v>
      </c>
      <c r="C975" s="293" t="s">
        <v>1959</v>
      </c>
      <c r="D975" s="30"/>
      <c r="E975" s="29">
        <v>500</v>
      </c>
      <c r="F975" s="30" t="s">
        <v>289</v>
      </c>
      <c r="G975" s="60"/>
      <c r="H975" s="60"/>
      <c r="I975" s="108"/>
      <c r="J975" s="152">
        <f t="shared" si="15"/>
        <v>0</v>
      </c>
      <c r="K975" s="60"/>
      <c r="L975" s="60"/>
      <c r="M975" s="234"/>
      <c r="N975" s="248"/>
      <c r="O975" s="227"/>
      <c r="P975" s="228"/>
      <c r="Q975" s="232" t="s">
        <v>1745</v>
      </c>
      <c r="R975" s="32"/>
      <c r="S975" s="148"/>
      <c r="T975" s="149"/>
      <c r="U975" s="148"/>
      <c r="V975" s="150"/>
    </row>
    <row r="976" spans="1:22" s="151" customFormat="1" ht="25.05" customHeight="1">
      <c r="A976" s="26">
        <v>5</v>
      </c>
      <c r="B976" s="27" t="s">
        <v>272</v>
      </c>
      <c r="C976" s="293" t="s">
        <v>1960</v>
      </c>
      <c r="D976" s="30"/>
      <c r="E976" s="29">
        <v>800</v>
      </c>
      <c r="F976" s="30" t="s">
        <v>1372</v>
      </c>
      <c r="G976" s="60"/>
      <c r="H976" s="60"/>
      <c r="I976" s="108"/>
      <c r="J976" s="152">
        <f t="shared" si="15"/>
        <v>0</v>
      </c>
      <c r="K976" s="60"/>
      <c r="L976" s="60"/>
      <c r="M976" s="234"/>
      <c r="N976" s="248"/>
      <c r="O976" s="227"/>
      <c r="P976" s="228"/>
      <c r="Q976" s="232" t="s">
        <v>1745</v>
      </c>
      <c r="R976" s="32"/>
      <c r="S976" s="148"/>
      <c r="T976" s="149"/>
      <c r="U976" s="148"/>
      <c r="V976" s="150"/>
    </row>
    <row r="977" spans="1:22" s="151" customFormat="1" ht="25.05" customHeight="1">
      <c r="A977" s="26">
        <v>6</v>
      </c>
      <c r="B977" s="27" t="s">
        <v>272</v>
      </c>
      <c r="C977" s="293" t="s">
        <v>1961</v>
      </c>
      <c r="D977" s="30"/>
      <c r="E977" s="29">
        <v>1000</v>
      </c>
      <c r="F977" s="30" t="s">
        <v>289</v>
      </c>
      <c r="G977" s="60"/>
      <c r="H977" s="60"/>
      <c r="I977" s="108"/>
      <c r="J977" s="152">
        <f t="shared" si="15"/>
        <v>0</v>
      </c>
      <c r="K977" s="60"/>
      <c r="L977" s="60"/>
      <c r="M977" s="234"/>
      <c r="N977" s="248"/>
      <c r="O977" s="227"/>
      <c r="P977" s="228"/>
      <c r="Q977" s="232" t="s">
        <v>1745</v>
      </c>
      <c r="R977" s="32"/>
      <c r="S977" s="148"/>
      <c r="T977" s="149"/>
      <c r="U977" s="148"/>
      <c r="V977" s="150"/>
    </row>
    <row r="978" spans="1:22" s="151" customFormat="1" ht="25.05" customHeight="1">
      <c r="A978" s="264"/>
      <c r="B978" s="265"/>
      <c r="C978" s="289"/>
      <c r="D978" s="270"/>
      <c r="E978" s="266"/>
      <c r="F978" s="202"/>
      <c r="G978" s="267">
        <v>225</v>
      </c>
      <c r="H978" s="267">
        <v>225</v>
      </c>
      <c r="I978" s="268">
        <v>220</v>
      </c>
      <c r="J978" s="269">
        <f>ROUND(I978*H978*G978/1000000,3)</f>
        <v>11.138</v>
      </c>
      <c r="K978" s="269">
        <v>1200</v>
      </c>
      <c r="L978" s="269">
        <v>1900</v>
      </c>
      <c r="M978" s="225"/>
      <c r="N978" s="225"/>
      <c r="O978" s="225"/>
      <c r="P978" s="225"/>
      <c r="Q978" s="233"/>
      <c r="R978" s="32"/>
      <c r="S978" s="148"/>
      <c r="T978" s="149"/>
      <c r="U978" s="148"/>
      <c r="V978" s="150"/>
    </row>
    <row r="979" spans="1:22" s="151" customFormat="1" ht="25.05" customHeight="1">
      <c r="A979" s="26">
        <v>1</v>
      </c>
      <c r="B979" s="27" t="s">
        <v>273</v>
      </c>
      <c r="C979" s="293" t="s">
        <v>274</v>
      </c>
      <c r="D979" s="30"/>
      <c r="E979" s="29">
        <v>2</v>
      </c>
      <c r="F979" s="30" t="s">
        <v>303</v>
      </c>
      <c r="G979" s="60"/>
      <c r="H979" s="60"/>
      <c r="I979" s="108"/>
      <c r="J979" s="152">
        <f t="shared" si="15"/>
        <v>0</v>
      </c>
      <c r="K979" s="60"/>
      <c r="L979" s="60"/>
      <c r="M979" s="234"/>
      <c r="N979" s="248"/>
      <c r="O979" s="227"/>
      <c r="P979" s="228"/>
      <c r="Q979" s="232" t="s">
        <v>1745</v>
      </c>
      <c r="R979" s="32"/>
      <c r="S979" s="148"/>
      <c r="T979" s="149"/>
      <c r="U979" s="148"/>
      <c r="V979" s="150"/>
    </row>
    <row r="980" spans="1:22" s="151" customFormat="1" ht="25.05" customHeight="1">
      <c r="A980" s="26">
        <v>2</v>
      </c>
      <c r="B980" s="27" t="s">
        <v>273</v>
      </c>
      <c r="C980" s="293" t="s">
        <v>1962</v>
      </c>
      <c r="D980" s="30"/>
      <c r="E980" s="29">
        <v>2</v>
      </c>
      <c r="F980" s="30" t="s">
        <v>289</v>
      </c>
      <c r="G980" s="60"/>
      <c r="H980" s="60"/>
      <c r="I980" s="108"/>
      <c r="J980" s="152">
        <f t="shared" si="15"/>
        <v>0</v>
      </c>
      <c r="K980" s="60"/>
      <c r="L980" s="60"/>
      <c r="M980" s="234" t="s">
        <v>1877</v>
      </c>
      <c r="N980" s="248"/>
      <c r="O980" s="227"/>
      <c r="P980" s="228"/>
      <c r="Q980" s="232" t="s">
        <v>1745</v>
      </c>
      <c r="R980" s="32"/>
      <c r="S980" s="148"/>
      <c r="T980" s="149"/>
      <c r="U980" s="148"/>
      <c r="V980" s="150"/>
    </row>
    <row r="981" spans="1:22" s="151" customFormat="1" ht="25.05" customHeight="1">
      <c r="A981" s="264"/>
      <c r="B981" s="265"/>
      <c r="C981" s="289"/>
      <c r="D981" s="270"/>
      <c r="E981" s="266"/>
      <c r="F981" s="202"/>
      <c r="G981" s="267">
        <v>270</v>
      </c>
      <c r="H981" s="267">
        <v>190</v>
      </c>
      <c r="I981" s="268">
        <v>170</v>
      </c>
      <c r="J981" s="269">
        <f>ROUND(I981*H981*G981/1000000,3)</f>
        <v>8.7210000000000001</v>
      </c>
      <c r="K981" s="269">
        <v>1100</v>
      </c>
      <c r="L981" s="269">
        <v>1600</v>
      </c>
      <c r="M981" s="225"/>
      <c r="N981" s="225"/>
      <c r="O981" s="225"/>
      <c r="P981" s="225"/>
      <c r="Q981" s="233"/>
      <c r="R981" s="32"/>
      <c r="S981" s="148"/>
      <c r="T981" s="149"/>
      <c r="U981" s="148"/>
      <c r="V981" s="150"/>
    </row>
    <row r="982" spans="1:22" s="252" customFormat="1" ht="28.05" customHeight="1" thickBot="1">
      <c r="A982" s="450" t="s">
        <v>1963</v>
      </c>
      <c r="B982" s="451"/>
      <c r="C982" s="451"/>
      <c r="D982" s="452"/>
      <c r="E982" s="100"/>
      <c r="F982" s="101"/>
      <c r="G982" s="112"/>
      <c r="H982" s="112"/>
      <c r="I982" s="112"/>
      <c r="J982" s="283">
        <f>'Summary PL'!K144</f>
        <v>2823.0409999999988</v>
      </c>
      <c r="K982" s="282">
        <f>'Summary PL'!L144</f>
        <v>503160.47999999992</v>
      </c>
      <c r="L982" s="282">
        <f>'Summary PL'!M144</f>
        <v>524302.29999999993</v>
      </c>
      <c r="M982" s="239"/>
      <c r="N982" s="239"/>
      <c r="O982" s="240"/>
      <c r="P982" s="241"/>
      <c r="Q982" s="242"/>
      <c r="R982" s="149"/>
      <c r="S982" s="149"/>
      <c r="T982" s="149"/>
      <c r="U982" s="251"/>
      <c r="V982" s="251"/>
    </row>
    <row r="983" spans="1:22" s="9" customFormat="1" ht="22.5" customHeight="1">
      <c r="A983" s="5"/>
      <c r="B983" s="8"/>
      <c r="C983" s="10"/>
      <c r="D983" s="205"/>
      <c r="E983" s="39"/>
      <c r="F983" s="8"/>
      <c r="G983" s="61"/>
      <c r="H983" s="61"/>
      <c r="I983" s="63"/>
      <c r="J983" s="63"/>
      <c r="K983" s="61"/>
      <c r="L983" s="61"/>
      <c r="M983" s="61"/>
      <c r="N983" s="61"/>
      <c r="O983" s="40"/>
      <c r="P983" s="42"/>
      <c r="Q983" s="20"/>
      <c r="R983" s="43"/>
      <c r="S983" s="43"/>
      <c r="T983" s="43"/>
      <c r="U983" s="11"/>
      <c r="V983" s="11"/>
    </row>
    <row r="984" spans="1:22" s="9" customFormat="1" ht="12" customHeight="1">
      <c r="A984" s="5"/>
      <c r="B984" s="8"/>
      <c r="C984" s="10"/>
      <c r="D984" s="206"/>
      <c r="E984" s="39"/>
      <c r="F984" s="8"/>
      <c r="G984" s="61"/>
      <c r="H984" s="61"/>
      <c r="I984" s="63"/>
      <c r="J984" s="63"/>
      <c r="K984" s="61"/>
      <c r="L984" s="61"/>
      <c r="M984" s="61"/>
      <c r="N984" s="61"/>
      <c r="O984" s="40"/>
      <c r="P984" s="42"/>
      <c r="Q984" s="20"/>
      <c r="R984" s="6"/>
      <c r="S984" s="6"/>
      <c r="T984" s="6"/>
      <c r="U984" s="11"/>
      <c r="V984" s="11"/>
    </row>
    <row r="985" spans="1:22" s="9" customFormat="1" ht="22.5" customHeight="1">
      <c r="A985" s="5"/>
      <c r="B985" s="8"/>
      <c r="C985" s="10"/>
      <c r="D985" s="206"/>
      <c r="E985" s="39"/>
      <c r="F985" s="8"/>
      <c r="G985" s="61"/>
      <c r="H985" s="61"/>
      <c r="I985" s="63"/>
      <c r="J985" s="63"/>
      <c r="K985" s="61"/>
      <c r="L985" s="61"/>
      <c r="M985" s="61"/>
      <c r="N985" s="61"/>
      <c r="O985" s="40"/>
      <c r="P985" s="42"/>
      <c r="Q985" s="20"/>
      <c r="R985" s="6"/>
      <c r="S985" s="6"/>
      <c r="T985" s="6"/>
      <c r="U985" s="11"/>
      <c r="V985" s="11"/>
    </row>
    <row r="986" spans="1:22" s="9" customFormat="1" ht="12" customHeight="1">
      <c r="A986" s="5"/>
      <c r="B986" s="8"/>
      <c r="C986" s="10"/>
      <c r="D986" s="206"/>
      <c r="E986" s="39"/>
      <c r="F986" s="8"/>
      <c r="G986" s="61"/>
      <c r="H986" s="61"/>
      <c r="I986" s="63"/>
      <c r="J986" s="63"/>
      <c r="K986" s="61"/>
      <c r="L986" s="61"/>
      <c r="M986" s="61"/>
      <c r="N986" s="61"/>
      <c r="O986" s="40"/>
      <c r="P986" s="42"/>
      <c r="Q986" s="20"/>
      <c r="R986" s="6"/>
      <c r="S986" s="6"/>
      <c r="T986" s="6"/>
      <c r="U986" s="11"/>
      <c r="V986" s="11"/>
    </row>
    <row r="987" spans="1:22" s="9" customFormat="1" ht="12" customHeight="1">
      <c r="A987" s="5"/>
      <c r="B987" s="8"/>
      <c r="C987" s="10"/>
      <c r="D987" s="206"/>
      <c r="E987" s="44"/>
      <c r="F987" s="45"/>
      <c r="G987" s="61"/>
      <c r="H987" s="61"/>
      <c r="I987" s="63"/>
      <c r="J987" s="63"/>
      <c r="K987" s="61"/>
      <c r="L987" s="61"/>
      <c r="M987" s="61"/>
      <c r="N987" s="61"/>
      <c r="O987" s="40"/>
      <c r="P987" s="42"/>
      <c r="Q987" s="20"/>
      <c r="R987" s="6"/>
      <c r="S987" s="6"/>
      <c r="T987" s="6"/>
      <c r="U987" s="11"/>
      <c r="V987" s="11"/>
    </row>
    <row r="988" spans="1:22" s="9" customFormat="1" ht="12" customHeight="1">
      <c r="A988" s="5"/>
      <c r="B988" s="8"/>
      <c r="C988" s="10"/>
      <c r="D988" s="206"/>
      <c r="E988" s="44"/>
      <c r="F988" s="45"/>
      <c r="G988" s="61"/>
      <c r="H988" s="61"/>
      <c r="I988" s="63"/>
      <c r="J988" s="63"/>
      <c r="K988" s="61"/>
      <c r="L988" s="61"/>
      <c r="M988" s="61"/>
      <c r="N988" s="61"/>
      <c r="O988" s="40"/>
      <c r="P988" s="42"/>
      <c r="Q988" s="20"/>
      <c r="R988" s="6"/>
      <c r="S988" s="6"/>
      <c r="T988" s="6"/>
      <c r="U988" s="11"/>
      <c r="V988" s="11"/>
    </row>
    <row r="989" spans="1:22" s="9" customFormat="1" ht="12" customHeight="1">
      <c r="A989" s="5"/>
      <c r="B989" s="8"/>
      <c r="C989" s="10"/>
      <c r="D989" s="206"/>
      <c r="E989" s="44"/>
      <c r="F989" s="45"/>
      <c r="G989" s="61"/>
      <c r="H989" s="61"/>
      <c r="I989" s="63"/>
      <c r="J989" s="63"/>
      <c r="K989" s="61"/>
      <c r="L989" s="61"/>
      <c r="M989" s="61"/>
      <c r="N989" s="61"/>
      <c r="O989" s="40"/>
      <c r="P989" s="42"/>
      <c r="Q989" s="20"/>
      <c r="R989" s="6"/>
      <c r="S989" s="6"/>
      <c r="T989" s="6"/>
      <c r="U989" s="11"/>
      <c r="V989" s="11"/>
    </row>
    <row r="990" spans="1:22" s="49" customFormat="1" ht="29.25" customHeight="1">
      <c r="A990" s="10"/>
      <c r="B990" s="10"/>
      <c r="C990" s="10"/>
      <c r="D990" s="207"/>
      <c r="E990" s="46"/>
      <c r="F990" s="45"/>
      <c r="G990" s="62"/>
      <c r="H990" s="62"/>
      <c r="I990" s="113"/>
      <c r="J990" s="113"/>
      <c r="K990" s="62"/>
      <c r="L990" s="62"/>
      <c r="M990" s="62"/>
      <c r="N990" s="62"/>
      <c r="O990" s="47"/>
      <c r="P990" s="20"/>
      <c r="Q990" s="20"/>
      <c r="R990" s="6"/>
      <c r="S990" s="6"/>
      <c r="T990" s="6"/>
      <c r="U990" s="48"/>
      <c r="V990" s="48"/>
    </row>
    <row r="991" spans="1:22" s="49" customFormat="1" ht="29.25" customHeight="1">
      <c r="A991" s="10"/>
      <c r="B991" s="10"/>
      <c r="C991" s="10"/>
      <c r="D991" s="207"/>
      <c r="E991" s="46"/>
      <c r="F991" s="45"/>
      <c r="G991" s="62"/>
      <c r="H991" s="62"/>
      <c r="I991" s="113"/>
      <c r="J991" s="113"/>
      <c r="K991" s="62"/>
      <c r="L991" s="62"/>
      <c r="M991" s="62"/>
      <c r="N991" s="62"/>
      <c r="O991" s="47"/>
      <c r="P991" s="20"/>
      <c r="Q991" s="20"/>
      <c r="R991" s="6"/>
      <c r="S991" s="6"/>
      <c r="T991" s="6"/>
      <c r="U991" s="48"/>
      <c r="V991" s="48"/>
    </row>
    <row r="992" spans="1:22" s="9" customFormat="1" ht="12" customHeight="1">
      <c r="A992" s="5"/>
      <c r="B992" s="8"/>
      <c r="C992" s="10"/>
      <c r="D992" s="206"/>
      <c r="E992" s="44"/>
      <c r="F992" s="8"/>
      <c r="G992" s="61"/>
      <c r="H992" s="61"/>
      <c r="I992" s="63"/>
      <c r="J992" s="63"/>
      <c r="K992" s="61"/>
      <c r="L992" s="61"/>
      <c r="M992" s="61"/>
      <c r="N992" s="61"/>
      <c r="O992" s="40"/>
      <c r="P992" s="42"/>
      <c r="Q992" s="20"/>
      <c r="R992" s="6"/>
      <c r="S992" s="6"/>
      <c r="T992" s="6"/>
      <c r="U992" s="11"/>
      <c r="V992" s="11"/>
    </row>
    <row r="993" spans="1:22" s="9" customFormat="1" ht="18" customHeight="1">
      <c r="A993" s="5"/>
      <c r="B993" s="8"/>
      <c r="C993" s="10"/>
      <c r="D993" s="208"/>
      <c r="E993" s="44"/>
      <c r="F993" s="8"/>
      <c r="G993" s="61"/>
      <c r="H993" s="61"/>
      <c r="I993" s="63"/>
      <c r="J993" s="63"/>
      <c r="K993" s="61"/>
      <c r="L993" s="61"/>
      <c r="M993" s="61"/>
      <c r="N993" s="61"/>
      <c r="O993" s="40"/>
      <c r="P993" s="42"/>
      <c r="Q993" s="20"/>
      <c r="R993" s="6"/>
      <c r="S993" s="6"/>
      <c r="T993" s="6"/>
      <c r="U993" s="11"/>
      <c r="V993" s="11"/>
    </row>
    <row r="994" spans="1:22" s="9" customFormat="1" ht="12" customHeight="1">
      <c r="A994" s="5"/>
      <c r="B994" s="8"/>
      <c r="C994" s="10"/>
      <c r="D994" s="208"/>
      <c r="E994" s="44"/>
      <c r="F994" s="8"/>
      <c r="G994" s="61"/>
      <c r="H994" s="61"/>
      <c r="I994" s="63"/>
      <c r="J994" s="63"/>
      <c r="K994" s="61"/>
      <c r="L994" s="61"/>
      <c r="M994" s="61"/>
      <c r="N994" s="61"/>
      <c r="O994" s="40"/>
      <c r="P994" s="42"/>
      <c r="Q994" s="20"/>
      <c r="R994" s="6"/>
      <c r="S994" s="6"/>
      <c r="T994" s="6"/>
      <c r="U994" s="11"/>
      <c r="V994" s="11"/>
    </row>
    <row r="995" spans="1:22" s="9" customFormat="1" ht="12" customHeight="1">
      <c r="A995" s="5"/>
      <c r="B995" s="8"/>
      <c r="C995" s="10"/>
      <c r="D995" s="208"/>
      <c r="E995" s="44"/>
      <c r="F995" s="8"/>
      <c r="G995" s="61"/>
      <c r="H995" s="61"/>
      <c r="I995" s="63"/>
      <c r="J995" s="63"/>
      <c r="K995" s="61"/>
      <c r="L995" s="61"/>
      <c r="M995" s="61"/>
      <c r="N995" s="61"/>
      <c r="O995" s="40"/>
      <c r="P995" s="42"/>
      <c r="Q995" s="20"/>
      <c r="R995" s="6"/>
      <c r="S995" s="6"/>
      <c r="T995" s="6"/>
      <c r="U995" s="11"/>
      <c r="V995" s="11"/>
    </row>
    <row r="996" spans="1:22" s="9" customFormat="1" ht="12" customHeight="1">
      <c r="A996" s="5"/>
      <c r="B996" s="8"/>
      <c r="C996" s="10"/>
      <c r="D996" s="208"/>
      <c r="E996" s="44"/>
      <c r="F996" s="8"/>
      <c r="G996" s="61"/>
      <c r="H996" s="61"/>
      <c r="I996" s="63"/>
      <c r="J996" s="63"/>
      <c r="K996" s="61"/>
      <c r="L996" s="61"/>
      <c r="M996" s="61"/>
      <c r="N996" s="61"/>
      <c r="O996" s="40"/>
      <c r="P996" s="42"/>
      <c r="Q996" s="20"/>
      <c r="R996" s="6"/>
      <c r="S996" s="6"/>
      <c r="T996" s="6"/>
      <c r="U996" s="11"/>
      <c r="V996" s="11"/>
    </row>
    <row r="997" spans="1:22" s="9" customFormat="1" ht="12" customHeight="1">
      <c r="A997" s="5"/>
      <c r="B997" s="8"/>
      <c r="C997" s="10"/>
      <c r="D997" s="208"/>
      <c r="E997" s="44"/>
      <c r="F997" s="8"/>
      <c r="G997" s="61"/>
      <c r="H997" s="61"/>
      <c r="I997" s="63"/>
      <c r="J997" s="63"/>
      <c r="K997" s="61"/>
      <c r="L997" s="61"/>
      <c r="M997" s="61"/>
      <c r="N997" s="61"/>
      <c r="O997" s="40"/>
      <c r="P997" s="42"/>
      <c r="Q997" s="20"/>
      <c r="R997" s="6"/>
      <c r="S997" s="6"/>
      <c r="T997" s="6"/>
      <c r="U997" s="11"/>
      <c r="V997" s="11"/>
    </row>
    <row r="998" spans="1:22" s="9" customFormat="1" ht="12" customHeight="1">
      <c r="A998" s="5"/>
      <c r="B998" s="8"/>
      <c r="C998" s="10"/>
      <c r="D998" s="208"/>
      <c r="E998" s="44"/>
      <c r="F998" s="8"/>
      <c r="G998" s="61"/>
      <c r="H998" s="61"/>
      <c r="I998" s="63"/>
      <c r="J998" s="63"/>
      <c r="K998" s="61"/>
      <c r="L998" s="61"/>
      <c r="M998" s="61"/>
      <c r="N998" s="61"/>
      <c r="O998" s="40"/>
      <c r="P998" s="42"/>
      <c r="Q998" s="20"/>
      <c r="R998" s="6"/>
      <c r="S998" s="6"/>
      <c r="T998" s="6"/>
      <c r="U998" s="11"/>
      <c r="V998" s="11"/>
    </row>
    <row r="999" spans="1:22" s="9" customFormat="1" ht="13.5" customHeight="1">
      <c r="A999" s="5"/>
      <c r="B999" s="8"/>
      <c r="C999" s="10"/>
      <c r="D999" s="208"/>
      <c r="E999" s="44"/>
      <c r="F999" s="8"/>
      <c r="G999" s="61"/>
      <c r="H999" s="61"/>
      <c r="I999" s="63"/>
      <c r="J999" s="63"/>
      <c r="K999" s="61"/>
      <c r="L999" s="61"/>
      <c r="M999" s="61"/>
      <c r="N999" s="61"/>
      <c r="O999" s="40"/>
      <c r="P999" s="42"/>
      <c r="Q999" s="20"/>
      <c r="R999" s="6"/>
      <c r="S999" s="6"/>
      <c r="T999" s="6"/>
      <c r="U999" s="11"/>
      <c r="V999" s="11"/>
    </row>
    <row r="1000" spans="1:22" s="9" customFormat="1" ht="13.5" customHeight="1">
      <c r="A1000" s="5"/>
      <c r="B1000" s="8"/>
      <c r="C1000" s="10"/>
      <c r="D1000" s="208"/>
      <c r="E1000" s="44"/>
      <c r="F1000" s="8"/>
      <c r="G1000" s="61"/>
      <c r="H1000" s="61"/>
      <c r="I1000" s="63"/>
      <c r="J1000" s="63"/>
      <c r="K1000" s="61"/>
      <c r="L1000" s="61"/>
      <c r="M1000" s="61"/>
      <c r="N1000" s="61"/>
      <c r="O1000" s="40"/>
      <c r="P1000" s="42"/>
      <c r="Q1000" s="20"/>
      <c r="R1000" s="6"/>
      <c r="S1000" s="6"/>
      <c r="T1000" s="6"/>
      <c r="U1000" s="11"/>
      <c r="V1000" s="11"/>
    </row>
    <row r="1001" spans="1:22" s="9" customFormat="1" ht="13.5" customHeight="1">
      <c r="A1001" s="5"/>
      <c r="B1001" s="8"/>
      <c r="C1001" s="10"/>
      <c r="D1001" s="208"/>
      <c r="E1001" s="44"/>
      <c r="F1001" s="8"/>
      <c r="G1001" s="61"/>
      <c r="H1001" s="61"/>
      <c r="I1001" s="63"/>
      <c r="J1001" s="63"/>
      <c r="K1001" s="61"/>
      <c r="L1001" s="61"/>
      <c r="M1001" s="61"/>
      <c r="N1001" s="61"/>
      <c r="O1001" s="40"/>
      <c r="P1001" s="42"/>
      <c r="Q1001" s="20"/>
      <c r="R1001" s="6"/>
      <c r="S1001" s="6"/>
      <c r="T1001" s="6"/>
      <c r="U1001" s="11"/>
      <c r="V1001" s="11"/>
    </row>
    <row r="1002" spans="1:22" s="9" customFormat="1" ht="29.25" customHeight="1">
      <c r="A1002" s="5"/>
      <c r="B1002" s="8"/>
      <c r="C1002" s="10"/>
      <c r="D1002" s="208"/>
      <c r="E1002" s="44"/>
      <c r="F1002" s="8"/>
      <c r="G1002" s="61"/>
      <c r="H1002" s="61"/>
      <c r="I1002" s="63"/>
      <c r="J1002" s="63"/>
      <c r="K1002" s="61"/>
      <c r="L1002" s="61"/>
      <c r="M1002" s="61"/>
      <c r="N1002" s="61"/>
      <c r="O1002" s="40"/>
      <c r="P1002" s="42"/>
      <c r="Q1002" s="20"/>
      <c r="R1002" s="6"/>
      <c r="S1002" s="6"/>
      <c r="T1002" s="6"/>
      <c r="U1002" s="11"/>
      <c r="V1002" s="11"/>
    </row>
    <row r="1003" spans="1:22" s="9" customFormat="1" ht="13.5" customHeight="1">
      <c r="A1003" s="5"/>
      <c r="B1003" s="8"/>
      <c r="C1003" s="10"/>
      <c r="D1003" s="208"/>
      <c r="E1003" s="44"/>
      <c r="F1003" s="8"/>
      <c r="G1003" s="61"/>
      <c r="H1003" s="61"/>
      <c r="I1003" s="63"/>
      <c r="J1003" s="63"/>
      <c r="K1003" s="61"/>
      <c r="L1003" s="61"/>
      <c r="M1003" s="61"/>
      <c r="N1003" s="61"/>
      <c r="O1003" s="40"/>
      <c r="P1003" s="42"/>
      <c r="Q1003" s="20"/>
      <c r="R1003" s="6"/>
      <c r="S1003" s="6"/>
      <c r="T1003" s="6"/>
      <c r="U1003" s="11"/>
      <c r="V1003" s="11"/>
    </row>
    <row r="1004" spans="1:22" s="9" customFormat="1" ht="13.5" customHeight="1">
      <c r="A1004" s="5"/>
      <c r="B1004" s="8"/>
      <c r="C1004" s="10"/>
      <c r="D1004" s="208"/>
      <c r="E1004" s="44"/>
      <c r="F1004" s="8"/>
      <c r="G1004" s="61"/>
      <c r="H1004" s="61"/>
      <c r="I1004" s="63"/>
      <c r="J1004" s="63"/>
      <c r="K1004" s="61"/>
      <c r="L1004" s="61"/>
      <c r="M1004" s="61"/>
      <c r="N1004" s="61"/>
      <c r="O1004" s="40"/>
      <c r="P1004" s="42"/>
      <c r="Q1004" s="20"/>
      <c r="R1004" s="6"/>
      <c r="S1004" s="6"/>
      <c r="T1004" s="6"/>
      <c r="U1004" s="11"/>
      <c r="V1004" s="11"/>
    </row>
    <row r="1005" spans="1:22" s="9" customFormat="1" ht="13.5" customHeight="1">
      <c r="A1005" s="5"/>
      <c r="B1005" s="8"/>
      <c r="C1005" s="10"/>
      <c r="D1005" s="208"/>
      <c r="E1005" s="44"/>
      <c r="F1005" s="8"/>
      <c r="G1005" s="61"/>
      <c r="H1005" s="61"/>
      <c r="I1005" s="63"/>
      <c r="J1005" s="63"/>
      <c r="K1005" s="61"/>
      <c r="L1005" s="61"/>
      <c r="M1005" s="61"/>
      <c r="N1005" s="61"/>
      <c r="O1005" s="40"/>
      <c r="P1005" s="42"/>
      <c r="Q1005" s="20"/>
      <c r="R1005" s="6"/>
      <c r="S1005" s="6"/>
      <c r="T1005" s="6"/>
      <c r="U1005" s="11"/>
      <c r="V1005" s="11"/>
    </row>
    <row r="1006" spans="1:22" s="9" customFormat="1" ht="13.5" customHeight="1">
      <c r="A1006" s="5"/>
      <c r="B1006" s="8"/>
      <c r="C1006" s="10"/>
      <c r="D1006" s="208"/>
      <c r="E1006" s="44"/>
      <c r="F1006" s="8"/>
      <c r="G1006" s="61"/>
      <c r="H1006" s="61"/>
      <c r="I1006" s="63"/>
      <c r="J1006" s="63"/>
      <c r="K1006" s="61"/>
      <c r="L1006" s="61"/>
      <c r="M1006" s="61"/>
      <c r="N1006" s="61"/>
      <c r="O1006" s="40"/>
      <c r="P1006" s="42"/>
      <c r="Q1006" s="20"/>
      <c r="R1006" s="6"/>
      <c r="S1006" s="6"/>
      <c r="T1006" s="6"/>
      <c r="U1006" s="11"/>
      <c r="V1006" s="11"/>
    </row>
    <row r="1007" spans="1:22" s="9" customFormat="1" ht="13.5" customHeight="1">
      <c r="A1007" s="5"/>
      <c r="B1007" s="8"/>
      <c r="C1007" s="10"/>
      <c r="D1007" s="208"/>
      <c r="E1007" s="44"/>
      <c r="F1007" s="8"/>
      <c r="G1007" s="61"/>
      <c r="H1007" s="61"/>
      <c r="I1007" s="63"/>
      <c r="J1007" s="63"/>
      <c r="K1007" s="61"/>
      <c r="L1007" s="61"/>
      <c r="M1007" s="61"/>
      <c r="N1007" s="61"/>
      <c r="O1007" s="40"/>
      <c r="P1007" s="42"/>
      <c r="Q1007" s="20"/>
      <c r="R1007" s="6"/>
      <c r="S1007" s="6"/>
      <c r="T1007" s="6"/>
      <c r="U1007" s="11"/>
      <c r="V1007" s="11"/>
    </row>
    <row r="1008" spans="1:22" s="9" customFormat="1" ht="13.5" customHeight="1">
      <c r="A1008" s="5"/>
      <c r="B1008" s="8"/>
      <c r="C1008" s="10"/>
      <c r="D1008" s="208"/>
      <c r="E1008" s="44"/>
      <c r="F1008" s="8"/>
      <c r="G1008" s="61"/>
      <c r="H1008" s="61"/>
      <c r="I1008" s="63"/>
      <c r="J1008" s="63"/>
      <c r="K1008" s="61"/>
      <c r="L1008" s="61"/>
      <c r="M1008" s="61"/>
      <c r="N1008" s="61"/>
      <c r="O1008" s="40"/>
      <c r="P1008" s="42"/>
      <c r="Q1008" s="20"/>
      <c r="R1008" s="6"/>
      <c r="S1008" s="6"/>
      <c r="T1008" s="6"/>
      <c r="U1008" s="11"/>
      <c r="V1008" s="11"/>
    </row>
    <row r="1009" spans="1:22" s="9" customFormat="1" ht="13.5" customHeight="1">
      <c r="A1009" s="5"/>
      <c r="B1009" s="8"/>
      <c r="C1009" s="10"/>
      <c r="D1009" s="208"/>
      <c r="E1009" s="44"/>
      <c r="F1009" s="8"/>
      <c r="G1009" s="61"/>
      <c r="H1009" s="61"/>
      <c r="I1009" s="63"/>
      <c r="J1009" s="63"/>
      <c r="K1009" s="61"/>
      <c r="L1009" s="61"/>
      <c r="M1009" s="61"/>
      <c r="N1009" s="61"/>
      <c r="O1009" s="40"/>
      <c r="P1009" s="42"/>
      <c r="Q1009" s="20"/>
      <c r="R1009" s="6"/>
      <c r="S1009" s="6"/>
      <c r="T1009" s="6"/>
      <c r="U1009" s="11"/>
      <c r="V1009" s="11"/>
    </row>
    <row r="1010" spans="1:22" s="9" customFormat="1" ht="13.5" customHeight="1">
      <c r="A1010" s="5"/>
      <c r="B1010" s="8"/>
      <c r="C1010" s="10"/>
      <c r="D1010" s="208"/>
      <c r="E1010" s="44"/>
      <c r="F1010" s="8"/>
      <c r="G1010" s="61"/>
      <c r="H1010" s="61"/>
      <c r="I1010" s="63"/>
      <c r="J1010" s="63"/>
      <c r="K1010" s="61"/>
      <c r="L1010" s="61"/>
      <c r="M1010" s="61"/>
      <c r="N1010" s="61"/>
      <c r="O1010" s="40"/>
      <c r="P1010" s="42"/>
      <c r="Q1010" s="20"/>
      <c r="R1010" s="6"/>
      <c r="S1010" s="6"/>
      <c r="T1010" s="6"/>
      <c r="U1010" s="11"/>
      <c r="V1010" s="11"/>
    </row>
    <row r="1011" spans="1:22" s="9" customFormat="1" ht="13.5" customHeight="1">
      <c r="A1011" s="5"/>
      <c r="B1011" s="8"/>
      <c r="C1011" s="10"/>
      <c r="D1011" s="208"/>
      <c r="E1011" s="44"/>
      <c r="F1011" s="8"/>
      <c r="G1011" s="61"/>
      <c r="H1011" s="61"/>
      <c r="I1011" s="63"/>
      <c r="J1011" s="63"/>
      <c r="K1011" s="61"/>
      <c r="L1011" s="61"/>
      <c r="M1011" s="61"/>
      <c r="N1011" s="61"/>
      <c r="O1011" s="40"/>
      <c r="P1011" s="42"/>
      <c r="Q1011" s="20"/>
      <c r="R1011" s="6"/>
      <c r="S1011" s="6"/>
      <c r="T1011" s="6"/>
      <c r="U1011" s="11"/>
      <c r="V1011" s="11"/>
    </row>
    <row r="1012" spans="1:22" s="9" customFormat="1" ht="13.5" customHeight="1">
      <c r="A1012" s="5"/>
      <c r="B1012" s="8"/>
      <c r="C1012" s="10"/>
      <c r="D1012" s="208"/>
      <c r="E1012" s="44"/>
      <c r="F1012" s="8"/>
      <c r="G1012" s="61"/>
      <c r="H1012" s="61"/>
      <c r="I1012" s="63"/>
      <c r="J1012" s="63"/>
      <c r="K1012" s="61"/>
      <c r="L1012" s="61"/>
      <c r="M1012" s="61"/>
      <c r="N1012" s="61"/>
      <c r="O1012" s="40"/>
      <c r="P1012" s="42"/>
      <c r="Q1012" s="20"/>
      <c r="R1012" s="6"/>
      <c r="S1012" s="6"/>
      <c r="T1012" s="6"/>
      <c r="U1012" s="11"/>
      <c r="V1012" s="11"/>
    </row>
    <row r="1013" spans="1:22" s="9" customFormat="1" ht="13.5" customHeight="1">
      <c r="A1013" s="5"/>
      <c r="B1013" s="8"/>
      <c r="C1013" s="10"/>
      <c r="D1013" s="208"/>
      <c r="E1013" s="44"/>
      <c r="F1013" s="8"/>
      <c r="G1013" s="61"/>
      <c r="H1013" s="61"/>
      <c r="I1013" s="63"/>
      <c r="J1013" s="63"/>
      <c r="K1013" s="61"/>
      <c r="L1013" s="61"/>
      <c r="M1013" s="61"/>
      <c r="N1013" s="61"/>
      <c r="O1013" s="40"/>
      <c r="P1013" s="42"/>
      <c r="Q1013" s="20"/>
      <c r="R1013" s="6"/>
      <c r="S1013" s="6"/>
      <c r="T1013" s="6"/>
      <c r="U1013" s="11"/>
      <c r="V1013" s="11"/>
    </row>
    <row r="1014" spans="1:22" s="9" customFormat="1" ht="13.5" customHeight="1">
      <c r="A1014" s="5"/>
      <c r="B1014" s="8"/>
      <c r="C1014" s="10"/>
      <c r="D1014" s="208"/>
      <c r="E1014" s="44"/>
      <c r="F1014" s="8"/>
      <c r="G1014" s="61"/>
      <c r="H1014" s="61"/>
      <c r="I1014" s="63"/>
      <c r="J1014" s="63"/>
      <c r="K1014" s="61"/>
      <c r="L1014" s="61"/>
      <c r="M1014" s="61"/>
      <c r="N1014" s="61"/>
      <c r="O1014" s="40"/>
      <c r="P1014" s="42"/>
      <c r="Q1014" s="20"/>
      <c r="R1014" s="6"/>
      <c r="S1014" s="6"/>
      <c r="T1014" s="6"/>
      <c r="U1014" s="11"/>
      <c r="V1014" s="11"/>
    </row>
    <row r="1015" spans="1:22" s="9" customFormat="1" ht="13.5" customHeight="1">
      <c r="A1015" s="5"/>
      <c r="B1015" s="8"/>
      <c r="C1015" s="10"/>
      <c r="D1015" s="208"/>
      <c r="E1015" s="44"/>
      <c r="F1015" s="8"/>
      <c r="G1015" s="61"/>
      <c r="H1015" s="61"/>
      <c r="I1015" s="63"/>
      <c r="J1015" s="63"/>
      <c r="K1015" s="61"/>
      <c r="L1015" s="61"/>
      <c r="M1015" s="61"/>
      <c r="N1015" s="61"/>
      <c r="O1015" s="40"/>
      <c r="P1015" s="42"/>
      <c r="Q1015" s="20"/>
      <c r="R1015" s="6"/>
      <c r="S1015" s="6"/>
      <c r="T1015" s="6"/>
      <c r="U1015" s="11"/>
      <c r="V1015" s="11"/>
    </row>
    <row r="1016" spans="1:22" s="9" customFormat="1" ht="13.5" customHeight="1">
      <c r="A1016" s="5"/>
      <c r="B1016" s="8"/>
      <c r="C1016" s="10"/>
      <c r="D1016" s="208"/>
      <c r="E1016" s="44"/>
      <c r="F1016" s="8"/>
      <c r="G1016" s="61"/>
      <c r="H1016" s="61"/>
      <c r="I1016" s="63"/>
      <c r="J1016" s="63"/>
      <c r="K1016" s="61"/>
      <c r="L1016" s="61"/>
      <c r="M1016" s="61"/>
      <c r="N1016" s="61"/>
      <c r="O1016" s="40"/>
      <c r="P1016" s="42"/>
      <c r="Q1016" s="20"/>
      <c r="R1016" s="6"/>
      <c r="S1016" s="6"/>
      <c r="T1016" s="6"/>
      <c r="U1016" s="11"/>
      <c r="V1016" s="11"/>
    </row>
    <row r="1017" spans="1:22" s="9" customFormat="1" ht="13.5" customHeight="1">
      <c r="A1017" s="5"/>
      <c r="B1017" s="8"/>
      <c r="C1017" s="10"/>
      <c r="D1017" s="208"/>
      <c r="E1017" s="44"/>
      <c r="F1017" s="8"/>
      <c r="G1017" s="61"/>
      <c r="H1017" s="61"/>
      <c r="I1017" s="63"/>
      <c r="J1017" s="63"/>
      <c r="K1017" s="61"/>
      <c r="L1017" s="61"/>
      <c r="M1017" s="61"/>
      <c r="N1017" s="61"/>
      <c r="O1017" s="40"/>
      <c r="P1017" s="42"/>
      <c r="Q1017" s="20"/>
      <c r="R1017" s="12"/>
      <c r="S1017" s="12"/>
      <c r="T1017" s="12"/>
      <c r="U1017" s="11"/>
      <c r="V1017" s="11"/>
    </row>
    <row r="1018" spans="1:22" s="9" customFormat="1" ht="13.5" customHeight="1">
      <c r="A1018" s="5"/>
      <c r="B1018" s="8"/>
      <c r="C1018" s="10"/>
      <c r="D1018" s="208"/>
      <c r="E1018" s="44"/>
      <c r="F1018" s="8"/>
      <c r="G1018" s="61"/>
      <c r="H1018" s="61"/>
      <c r="I1018" s="63"/>
      <c r="J1018" s="63"/>
      <c r="K1018" s="61"/>
      <c r="L1018" s="61"/>
      <c r="M1018" s="61"/>
      <c r="N1018" s="61"/>
      <c r="O1018" s="40"/>
      <c r="P1018" s="42"/>
      <c r="Q1018" s="20"/>
      <c r="R1018" s="12"/>
      <c r="S1018" s="12"/>
      <c r="T1018" s="12"/>
      <c r="U1018" s="11"/>
      <c r="V1018" s="11"/>
    </row>
    <row r="1019" spans="1:22" s="9" customFormat="1" ht="13.5" customHeight="1">
      <c r="A1019" s="5"/>
      <c r="B1019" s="8"/>
      <c r="C1019" s="10"/>
      <c r="D1019" s="208"/>
      <c r="E1019" s="44"/>
      <c r="F1019" s="8"/>
      <c r="G1019" s="61"/>
      <c r="H1019" s="61"/>
      <c r="I1019" s="63"/>
      <c r="J1019" s="63"/>
      <c r="K1019" s="61"/>
      <c r="L1019" s="61"/>
      <c r="M1019" s="61"/>
      <c r="N1019" s="61"/>
      <c r="O1019" s="40"/>
      <c r="P1019" s="42"/>
      <c r="Q1019" s="20"/>
      <c r="R1019" s="12"/>
      <c r="S1019" s="12"/>
      <c r="T1019" s="12"/>
      <c r="U1019" s="11"/>
      <c r="V1019" s="11"/>
    </row>
    <row r="1020" spans="1:22" s="9" customFormat="1" ht="13.5" customHeight="1">
      <c r="A1020" s="5"/>
      <c r="B1020" s="8"/>
      <c r="C1020" s="10"/>
      <c r="D1020" s="208"/>
      <c r="E1020" s="44"/>
      <c r="F1020" s="8"/>
      <c r="G1020" s="61"/>
      <c r="H1020" s="61"/>
      <c r="I1020" s="63"/>
      <c r="J1020" s="63"/>
      <c r="K1020" s="61"/>
      <c r="L1020" s="61"/>
      <c r="M1020" s="61"/>
      <c r="N1020" s="61"/>
      <c r="O1020" s="40"/>
      <c r="P1020" s="42"/>
      <c r="Q1020" s="20"/>
      <c r="R1020" s="12"/>
      <c r="S1020" s="12"/>
      <c r="T1020" s="12"/>
      <c r="U1020" s="11"/>
      <c r="V1020" s="11"/>
    </row>
    <row r="1021" spans="1:22" s="9" customFormat="1" ht="13.5" customHeight="1">
      <c r="A1021" s="5"/>
      <c r="B1021" s="8"/>
      <c r="C1021" s="10"/>
      <c r="D1021" s="208"/>
      <c r="E1021" s="44"/>
      <c r="F1021" s="8"/>
      <c r="G1021" s="61"/>
      <c r="H1021" s="61"/>
      <c r="I1021" s="63"/>
      <c r="J1021" s="63"/>
      <c r="K1021" s="61"/>
      <c r="L1021" s="61"/>
      <c r="M1021" s="61"/>
      <c r="N1021" s="61"/>
      <c r="O1021" s="40"/>
      <c r="P1021" s="42"/>
      <c r="Q1021" s="20"/>
      <c r="R1021" s="12"/>
      <c r="S1021" s="12"/>
      <c r="T1021" s="12"/>
      <c r="U1021" s="11"/>
      <c r="V1021" s="11"/>
    </row>
    <row r="1022" spans="1:22" s="9" customFormat="1" ht="13.5" customHeight="1">
      <c r="A1022" s="5"/>
      <c r="B1022" s="8"/>
      <c r="C1022" s="10"/>
      <c r="D1022" s="208"/>
      <c r="E1022" s="44"/>
      <c r="F1022" s="8"/>
      <c r="G1022" s="61"/>
      <c r="H1022" s="61"/>
      <c r="I1022" s="63"/>
      <c r="J1022" s="63"/>
      <c r="K1022" s="61"/>
      <c r="L1022" s="61"/>
      <c r="M1022" s="61"/>
      <c r="N1022" s="61"/>
      <c r="O1022" s="40"/>
      <c r="P1022" s="42"/>
      <c r="Q1022" s="20"/>
      <c r="R1022" s="12"/>
      <c r="S1022" s="12"/>
      <c r="T1022" s="12"/>
      <c r="U1022" s="11"/>
      <c r="V1022" s="11"/>
    </row>
    <row r="1023" spans="1:22" s="9" customFormat="1" ht="13.5" customHeight="1">
      <c r="A1023" s="5"/>
      <c r="B1023" s="8"/>
      <c r="C1023" s="10"/>
      <c r="D1023" s="208"/>
      <c r="E1023" s="39"/>
      <c r="F1023" s="8"/>
      <c r="G1023" s="61"/>
      <c r="H1023" s="61"/>
      <c r="I1023" s="63"/>
      <c r="J1023" s="63"/>
      <c r="K1023" s="61"/>
      <c r="L1023" s="61"/>
      <c r="M1023" s="61"/>
      <c r="N1023" s="61"/>
      <c r="O1023" s="40"/>
      <c r="P1023" s="42"/>
      <c r="Q1023" s="20"/>
      <c r="R1023" s="12"/>
      <c r="S1023" s="12"/>
      <c r="T1023" s="12"/>
      <c r="U1023" s="11"/>
      <c r="V1023" s="11"/>
    </row>
    <row r="1024" spans="1:22" s="9" customFormat="1" ht="22.5" customHeight="1">
      <c r="A1024" s="5"/>
      <c r="B1024" s="435"/>
      <c r="C1024" s="435"/>
      <c r="D1024" s="435"/>
      <c r="E1024" s="39"/>
      <c r="F1024" s="8"/>
      <c r="G1024" s="63"/>
      <c r="H1024" s="63"/>
      <c r="I1024" s="63"/>
      <c r="J1024" s="114"/>
      <c r="K1024" s="63"/>
      <c r="L1024" s="63"/>
      <c r="M1024" s="63"/>
      <c r="N1024" s="63"/>
      <c r="O1024" s="41"/>
      <c r="P1024" s="50"/>
      <c r="Q1024" s="104"/>
      <c r="R1024" s="12"/>
      <c r="S1024" s="12"/>
      <c r="T1024" s="12"/>
      <c r="U1024" s="11"/>
      <c r="V1024" s="11"/>
    </row>
    <row r="1025" spans="1:22">
      <c r="E1025" s="52"/>
      <c r="G1025" s="64"/>
      <c r="H1025" s="64"/>
      <c r="K1025" s="64"/>
      <c r="L1025" s="64"/>
      <c r="M1025" s="64"/>
      <c r="N1025" s="64"/>
      <c r="O1025" s="54"/>
    </row>
    <row r="1026" spans="1:22">
      <c r="E1026" s="52"/>
      <c r="G1026" s="64"/>
      <c r="H1026" s="64"/>
      <c r="K1026" s="64"/>
      <c r="L1026" s="64"/>
      <c r="M1026" s="64"/>
      <c r="N1026" s="64"/>
      <c r="O1026" s="54"/>
    </row>
    <row r="1027" spans="1:22">
      <c r="E1027" s="52"/>
      <c r="G1027" s="64"/>
      <c r="H1027" s="64"/>
      <c r="K1027" s="64"/>
      <c r="L1027" s="64"/>
      <c r="M1027" s="64"/>
      <c r="N1027" s="64"/>
      <c r="O1027" s="54"/>
    </row>
    <row r="1028" spans="1:22">
      <c r="E1028" s="52"/>
      <c r="G1028" s="64"/>
      <c r="H1028" s="64"/>
      <c r="K1028" s="64"/>
      <c r="L1028" s="64"/>
      <c r="M1028" s="64"/>
      <c r="N1028" s="64"/>
      <c r="O1028" s="54"/>
    </row>
    <row r="1029" spans="1:22">
      <c r="E1029" s="52"/>
      <c r="G1029" s="64"/>
      <c r="H1029" s="64"/>
      <c r="K1029" s="64"/>
      <c r="L1029" s="64"/>
      <c r="M1029" s="64"/>
      <c r="N1029" s="64"/>
      <c r="O1029" s="54"/>
    </row>
    <row r="1030" spans="1:22" s="12" customFormat="1">
      <c r="A1030" s="51"/>
      <c r="B1030" s="51"/>
      <c r="C1030" s="295"/>
      <c r="D1030" s="209"/>
      <c r="E1030" s="52"/>
      <c r="F1030" s="53"/>
      <c r="G1030" s="64"/>
      <c r="H1030" s="64"/>
      <c r="I1030" s="65"/>
      <c r="J1030" s="65"/>
      <c r="K1030" s="64"/>
      <c r="L1030" s="64"/>
      <c r="M1030" s="64"/>
      <c r="N1030" s="64"/>
      <c r="O1030" s="54"/>
      <c r="P1030" s="55"/>
      <c r="Q1030" s="105"/>
      <c r="U1030" s="13"/>
      <c r="V1030" s="13"/>
    </row>
  </sheetData>
  <protectedRanges>
    <protectedRange sqref="E491:F492" name="범위1_1_2"/>
    <protectedRange sqref="C496:F497" name="범위1_1_3"/>
    <protectedRange sqref="C488:F489" name="범위1_1_4"/>
    <protectedRange sqref="C493:F494" name="범위1_1_5"/>
    <protectedRange sqref="C498:F499" name="범위1_1_6"/>
    <protectedRange sqref="J15:J981" name="범위1_1_1"/>
    <protectedRange sqref="Q960 O773:Q775 C773:H775 O777:Q781 C777:H781 O783:Q787 C783:H787 O789:Q793 C789:H793 O795:Q803 C795:H803 O805:Q813 C805:H813 O815:Q822 C815:H822 O824:Q831 C824:H831 O833:Q842 C833:H842 O844:Q856 C844:H856 O858:Q870 C858:H870 O872:Q877 C872:H877 O879:Q885 C879:H885 O887:Q893 C887:H893 O895:Q904 C895:H904 O906:Q916 C906:H916 O918:Q924 C918:H924 O926:Q931 C926:H931 O933:Q942 C933:H942 O944:Q958 C944:H958 O960:P961 O962:Q965 C960:H965 O967:Q968 C967:H968 O972:Q977 C972:H977 O979:Q980 C979:H980 C770:D770 C772:D772 C776:D776 C782:D782 C788:D788 C794:D794 C804:D804 C814:D814 C823:D823 C832:D832 C843:D843 C857:D857 C871:D871 C878:D878 C886:D886 C894:D894 C905:D905 C917:D917 C925:D925 C932:D932 C943:D943 C959:D959 C966:D966 C969:D969 C971:D971 C978:D978 C981:D981 G981:H981 C769:H769 G770:H770 C771:H771 K769:Q772 G772:H772 K773:M775 K776:Q776 G776:H776 K777:M781 K782:Q782 G782:H782 K783:M787 K788:Q788 G788:H788 K789:M793 K794:Q794 G794:H794 K795:M803 K804:Q804 G804:H804 K805:M813 K814:Q814 G814:H814 K815:M822 K823:Q823 G823:H823 K824:M831 K832:Q832 G832:H832 K833:M842 K843:Q843 G843:H843 K844:M856 K857:Q857 G857:H857 K858:M870 K871:Q871 G871:H871 K872:M877 K878:Q878 G878:H878 K879:M885 K886:Q886 G886:H886 K887:M893 K894:Q894 G894:H894 K895:M904 K905:Q905 G905:H905 K906:M916 K917:Q917 G917:H917 K918:M924 K925:Q925 G925:H925 K926:M931 K932:Q932 G932:H932 K933:M942 K943:Q943 G943:H943 K944:M958 K959:Q959 G959:H959 K960:M965 K966:Q966 G966:H966 K967:M968 K981:Q981 G969:H969 C970:H970 K969:Q971 G971:H971 K972:M977 K978:Q978 G978:H978 K979:M980" name="범위1_1_7"/>
    <protectedRange sqref="G519:H519 K519:L519" name="범위1_1_11"/>
    <protectedRange sqref="D518" name="범위1_1_12"/>
    <protectedRange sqref="K520:L536 O520:Q536 C520:H536" name="범위1_1_13"/>
    <protectedRange sqref="G540:H540 K540:L540 K537:L537 G537:H537" name="범위1_1_14"/>
  </protectedRanges>
  <autoFilter ref="A14:V982" xr:uid="{DB9A026F-A11C-4495-874D-1DE93800E339}"/>
  <mergeCells count="16">
    <mergeCell ref="A982:D982"/>
    <mergeCell ref="B1024:D1024"/>
    <mergeCell ref="O13:O14"/>
    <mergeCell ref="A6:Q6"/>
    <mergeCell ref="A13:A14"/>
    <mergeCell ref="B13:B14"/>
    <mergeCell ref="C13:C14"/>
    <mergeCell ref="D13:D14"/>
    <mergeCell ref="E13:F13"/>
    <mergeCell ref="G13:J13"/>
    <mergeCell ref="K13:K14"/>
    <mergeCell ref="L13:L14"/>
    <mergeCell ref="P13:P14"/>
    <mergeCell ref="M13:M14"/>
    <mergeCell ref="N13:N14"/>
    <mergeCell ref="Q13:Q14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8" scale="44" fitToHeight="0" orientation="landscape" horizontalDpi="300" verticalDpi="300" r:id="rId1"/>
  <headerFooter alignWithMargins="0">
    <oddFooter>&amp;C&amp;"Calibri,보통"&amp;12Doosan Enerbility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B526-F86F-4314-8755-7C7D07C1F773}">
  <sheetPr>
    <tabColor rgb="FF00B0F0"/>
  </sheetPr>
  <dimension ref="A1:AC96"/>
  <sheetViews>
    <sheetView showGridLines="0" view="pageBreakPreview" zoomScale="70" zoomScaleNormal="100" zoomScaleSheetLayoutView="70" workbookViewId="0">
      <selection activeCell="V8" sqref="V8:Z8"/>
    </sheetView>
  </sheetViews>
  <sheetFormatPr defaultColWidth="9" defaultRowHeight="21"/>
  <cols>
    <col min="1" max="1" width="12.69921875" style="119" customWidth="1"/>
    <col min="2" max="3" width="9" style="119"/>
    <col min="4" max="4" width="1.796875" style="119" customWidth="1"/>
    <col min="5" max="5" width="9" style="119"/>
    <col min="6" max="6" width="2.296875" style="120" customWidth="1"/>
    <col min="7" max="7" width="16.796875" style="120" customWidth="1"/>
    <col min="8" max="8" width="9" style="120" customWidth="1"/>
    <col min="9" max="9" width="12.09765625" style="120" bestFit="1" customWidth="1"/>
    <col min="10" max="10" width="9" style="120" customWidth="1"/>
    <col min="11" max="11" width="14.5" style="120" bestFit="1" customWidth="1"/>
    <col min="12" max="13" width="9" style="120"/>
    <col min="14" max="14" width="5.796875" style="120" customWidth="1"/>
    <col min="15" max="15" width="3.59765625" style="2" customWidth="1"/>
    <col min="16" max="16" width="12.69921875" style="119" customWidth="1"/>
    <col min="17" max="18" width="9" style="119"/>
    <col min="19" max="19" width="1.796875" style="119" customWidth="1"/>
    <col min="20" max="20" width="9" style="119"/>
    <col min="21" max="21" width="2.296875" style="120" customWidth="1"/>
    <col min="22" max="22" width="16.796875" style="120" customWidth="1"/>
    <col min="23" max="23" width="9" style="120"/>
    <col min="24" max="24" width="12.09765625" style="120" bestFit="1" customWidth="1"/>
    <col min="25" max="25" width="9" style="120"/>
    <col min="26" max="26" width="14.5" style="120" bestFit="1" customWidth="1"/>
    <col min="27" max="28" width="9" style="120"/>
    <col min="29" max="29" width="3.296875" style="120" customWidth="1"/>
    <col min="30" max="30" width="3.59765625" style="2" customWidth="1"/>
    <col min="31" max="16384" width="9" style="2"/>
  </cols>
  <sheetData>
    <row r="1" spans="1:29" ht="95.1" customHeight="1" thickBot="1">
      <c r="A1" s="456" t="s">
        <v>1964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  <c r="M1" s="457"/>
      <c r="N1" s="458"/>
      <c r="O1" s="189"/>
      <c r="P1" s="456" t="s">
        <v>1964</v>
      </c>
      <c r="Q1" s="457"/>
      <c r="R1" s="457"/>
      <c r="S1" s="457"/>
      <c r="T1" s="457"/>
      <c r="U1" s="457"/>
      <c r="V1" s="457"/>
      <c r="W1" s="457"/>
      <c r="X1" s="457"/>
      <c r="Y1" s="457"/>
      <c r="Z1" s="457"/>
      <c r="AA1" s="457"/>
      <c r="AB1" s="457"/>
      <c r="AC1" s="458"/>
    </row>
    <row r="2" spans="1:29" s="3" customFormat="1" ht="37.5" customHeight="1">
      <c r="A2" s="130" t="s">
        <v>1965</v>
      </c>
      <c r="B2" s="179"/>
      <c r="C2" s="179"/>
      <c r="D2" s="119"/>
      <c r="E2" s="119"/>
      <c r="F2" s="180" t="s">
        <v>1966</v>
      </c>
      <c r="G2" s="180" t="s">
        <v>1967</v>
      </c>
      <c r="H2" s="180"/>
      <c r="I2" s="180"/>
      <c r="J2" s="180"/>
      <c r="K2" s="180"/>
      <c r="L2" s="180"/>
      <c r="M2" s="180"/>
      <c r="N2" s="147"/>
      <c r="O2" s="190"/>
      <c r="P2" s="130" t="s">
        <v>1965</v>
      </c>
      <c r="Q2" s="179"/>
      <c r="R2" s="179"/>
      <c r="S2" s="119"/>
      <c r="T2" s="119"/>
      <c r="U2" s="180" t="s">
        <v>1966</v>
      </c>
      <c r="V2" s="180" t="s">
        <v>1967</v>
      </c>
      <c r="W2" s="180"/>
      <c r="X2" s="180"/>
      <c r="Y2" s="180"/>
      <c r="Z2" s="180"/>
      <c r="AA2" s="180"/>
      <c r="AB2" s="180"/>
      <c r="AC2" s="147"/>
    </row>
    <row r="3" spans="1:29" s="4" customFormat="1" ht="25.2">
      <c r="A3" s="121" t="s">
        <v>1968</v>
      </c>
      <c r="B3" s="119"/>
      <c r="C3" s="119"/>
      <c r="D3" s="119"/>
      <c r="E3" s="119"/>
      <c r="F3" s="180"/>
      <c r="G3" s="180" t="s">
        <v>1969</v>
      </c>
      <c r="H3" s="180"/>
      <c r="I3" s="180"/>
      <c r="J3" s="180"/>
      <c r="K3" s="180"/>
      <c r="L3" s="180"/>
      <c r="M3" s="180"/>
      <c r="N3" s="147"/>
      <c r="P3" s="121" t="s">
        <v>1968</v>
      </c>
      <c r="Q3" s="119"/>
      <c r="R3" s="119"/>
      <c r="S3" s="119"/>
      <c r="T3" s="119"/>
      <c r="U3" s="180"/>
      <c r="V3" s="180" t="s">
        <v>1969</v>
      </c>
      <c r="W3" s="180"/>
      <c r="X3" s="180"/>
      <c r="Y3" s="180"/>
      <c r="Z3" s="180"/>
      <c r="AA3" s="180"/>
      <c r="AB3" s="180"/>
      <c r="AC3" s="147"/>
    </row>
    <row r="4" spans="1:29" s="3" customFormat="1" ht="10.050000000000001" customHeight="1">
      <c r="A4" s="121"/>
      <c r="B4" s="119"/>
      <c r="C4" s="119"/>
      <c r="D4" s="119"/>
      <c r="E4" s="119"/>
      <c r="F4" s="180"/>
      <c r="G4" s="119"/>
      <c r="H4" s="119"/>
      <c r="I4" s="119"/>
      <c r="J4" s="119"/>
      <c r="K4" s="119"/>
      <c r="L4" s="119"/>
      <c r="M4" s="119"/>
      <c r="N4" s="122"/>
      <c r="P4" s="121"/>
      <c r="Q4" s="119"/>
      <c r="R4" s="119"/>
      <c r="S4" s="119"/>
      <c r="T4" s="119"/>
      <c r="U4" s="180"/>
      <c r="V4" s="119"/>
      <c r="W4" s="119"/>
      <c r="X4" s="119"/>
      <c r="Y4" s="119"/>
      <c r="Z4" s="119"/>
      <c r="AA4" s="119"/>
      <c r="AB4" s="119"/>
      <c r="AC4" s="122"/>
    </row>
    <row r="5" spans="1:29" s="3" customFormat="1" ht="42.75" customHeight="1">
      <c r="A5" s="121" t="s">
        <v>1970</v>
      </c>
      <c r="B5" s="119"/>
      <c r="C5" s="119"/>
      <c r="D5" s="119"/>
      <c r="E5" s="119"/>
      <c r="F5" s="180" t="s">
        <v>1966</v>
      </c>
      <c r="G5" s="180" t="s">
        <v>1971</v>
      </c>
      <c r="H5" s="119"/>
      <c r="I5" s="119"/>
      <c r="J5" s="119"/>
      <c r="K5" s="119"/>
      <c r="L5" s="119"/>
      <c r="M5" s="119"/>
      <c r="N5" s="122"/>
      <c r="P5" s="121" t="s">
        <v>1970</v>
      </c>
      <c r="Q5" s="119"/>
      <c r="R5" s="119"/>
      <c r="S5" s="119"/>
      <c r="T5" s="119"/>
      <c r="U5" s="180" t="s">
        <v>1966</v>
      </c>
      <c r="V5" s="180" t="s">
        <v>1971</v>
      </c>
      <c r="W5" s="119"/>
      <c r="X5" s="119"/>
      <c r="Y5" s="119"/>
      <c r="Z5" s="119"/>
      <c r="AA5" s="119"/>
      <c r="AB5" s="119"/>
      <c r="AC5" s="122"/>
    </row>
    <row r="6" spans="1:29" s="4" customFormat="1" ht="25.2">
      <c r="A6" s="121" t="s">
        <v>1972</v>
      </c>
      <c r="B6" s="119"/>
      <c r="C6" s="119"/>
      <c r="D6" s="119"/>
      <c r="E6" s="119"/>
      <c r="F6" s="181"/>
      <c r="G6" s="180"/>
      <c r="H6" s="119"/>
      <c r="I6" s="119"/>
      <c r="J6" s="119"/>
      <c r="K6" s="119"/>
      <c r="L6" s="119"/>
      <c r="M6" s="119"/>
      <c r="N6" s="122"/>
      <c r="P6" s="121" t="s">
        <v>1972</v>
      </c>
      <c r="Q6" s="119"/>
      <c r="R6" s="119"/>
      <c r="S6" s="119"/>
      <c r="T6" s="119"/>
      <c r="U6" s="181"/>
      <c r="V6" s="180"/>
      <c r="W6" s="119"/>
      <c r="X6" s="119"/>
      <c r="Y6" s="119"/>
      <c r="Z6" s="119"/>
      <c r="AA6" s="119"/>
      <c r="AB6" s="119"/>
      <c r="AC6" s="122"/>
    </row>
    <row r="7" spans="1:29" s="3" customFormat="1" ht="10.050000000000001" customHeight="1">
      <c r="A7" s="121"/>
      <c r="B7" s="119"/>
      <c r="C7" s="119"/>
      <c r="D7" s="119"/>
      <c r="E7" s="119"/>
      <c r="F7" s="182"/>
      <c r="G7" s="182"/>
      <c r="H7" s="119"/>
      <c r="I7" s="119"/>
      <c r="J7" s="119"/>
      <c r="K7" s="119"/>
      <c r="L7" s="119"/>
      <c r="M7" s="119"/>
      <c r="N7" s="122"/>
      <c r="P7" s="121"/>
      <c r="Q7" s="119"/>
      <c r="R7" s="119"/>
      <c r="S7" s="119"/>
      <c r="T7" s="119"/>
      <c r="U7" s="182"/>
      <c r="V7" s="182"/>
      <c r="W7" s="119"/>
      <c r="X7" s="119"/>
      <c r="Y7" s="119"/>
      <c r="Z7" s="119"/>
      <c r="AA7" s="119"/>
      <c r="AB7" s="119"/>
      <c r="AC7" s="122"/>
    </row>
    <row r="8" spans="1:29" s="3" customFormat="1" ht="25.2">
      <c r="A8" s="121" t="s">
        <v>1973</v>
      </c>
      <c r="B8" s="119"/>
      <c r="C8" s="119"/>
      <c r="D8" s="119"/>
      <c r="E8" s="119"/>
      <c r="F8" s="180" t="s">
        <v>1974</v>
      </c>
      <c r="G8" s="119"/>
      <c r="H8" s="119"/>
      <c r="I8" s="119"/>
      <c r="J8" s="119"/>
      <c r="K8" s="119"/>
      <c r="L8" s="119"/>
      <c r="M8" s="119"/>
      <c r="N8" s="122"/>
      <c r="P8" s="121" t="s">
        <v>1973</v>
      </c>
      <c r="Q8" s="119"/>
      <c r="R8" s="119"/>
      <c r="S8" s="119"/>
      <c r="T8" s="119"/>
      <c r="U8" s="180" t="s">
        <v>1974</v>
      </c>
      <c r="V8" s="119"/>
      <c r="W8" s="119"/>
      <c r="X8" s="119"/>
      <c r="Y8" s="119"/>
      <c r="Z8" s="119"/>
      <c r="AA8" s="119"/>
      <c r="AB8" s="119"/>
      <c r="AC8" s="122"/>
    </row>
    <row r="9" spans="1:29" s="4" customFormat="1" ht="25.2">
      <c r="A9" s="121" t="s">
        <v>1975</v>
      </c>
      <c r="B9" s="119"/>
      <c r="C9" s="119"/>
      <c r="D9" s="119"/>
      <c r="E9" s="119"/>
      <c r="F9" s="180" t="s">
        <v>1976</v>
      </c>
      <c r="G9" s="119"/>
      <c r="H9" s="119"/>
      <c r="I9" s="119"/>
      <c r="J9" s="119"/>
      <c r="K9" s="119"/>
      <c r="L9" s="119"/>
      <c r="M9" s="119"/>
      <c r="N9" s="122"/>
      <c r="P9" s="121" t="s">
        <v>1975</v>
      </c>
      <c r="Q9" s="119"/>
      <c r="R9" s="119"/>
      <c r="S9" s="119"/>
      <c r="T9" s="119"/>
      <c r="U9" s="180" t="s">
        <v>1976</v>
      </c>
      <c r="V9" s="119"/>
      <c r="W9" s="119"/>
      <c r="X9" s="119"/>
      <c r="Y9" s="119"/>
      <c r="Z9" s="119"/>
      <c r="AA9" s="119"/>
      <c r="AB9" s="119"/>
      <c r="AC9" s="122"/>
    </row>
    <row r="10" spans="1:29" s="3" customFormat="1" ht="10.050000000000001" customHeight="1">
      <c r="A10" s="121"/>
      <c r="B10" s="119"/>
      <c r="C10" s="119"/>
      <c r="D10" s="119"/>
      <c r="E10" s="119"/>
      <c r="F10" s="180"/>
      <c r="G10" s="119"/>
      <c r="H10" s="119"/>
      <c r="I10" s="119"/>
      <c r="J10" s="119"/>
      <c r="K10" s="119"/>
      <c r="L10" s="119"/>
      <c r="M10" s="119"/>
      <c r="N10" s="122"/>
      <c r="P10" s="121"/>
      <c r="Q10" s="119"/>
      <c r="R10" s="119"/>
      <c r="S10" s="119"/>
      <c r="T10" s="119"/>
      <c r="U10" s="180"/>
      <c r="V10" s="119"/>
      <c r="W10" s="119"/>
      <c r="X10" s="119"/>
      <c r="Y10" s="119"/>
      <c r="Z10" s="119"/>
      <c r="AA10" s="119"/>
      <c r="AB10" s="119"/>
      <c r="AC10" s="122"/>
    </row>
    <row r="11" spans="1:29" s="3" customFormat="1" ht="25.2">
      <c r="A11" s="121" t="s">
        <v>1977</v>
      </c>
      <c r="B11" s="119"/>
      <c r="C11" s="119"/>
      <c r="D11" s="119"/>
      <c r="E11" s="119"/>
      <c r="F11" s="180" t="s">
        <v>1978</v>
      </c>
      <c r="G11" s="180" t="s">
        <v>278</v>
      </c>
      <c r="H11" s="119"/>
      <c r="I11" s="119"/>
      <c r="J11" s="119"/>
      <c r="K11" s="119"/>
      <c r="L11" s="119"/>
      <c r="M11" s="119"/>
      <c r="N11" s="122"/>
      <c r="P11" s="121" t="s">
        <v>1977</v>
      </c>
      <c r="Q11" s="119"/>
      <c r="R11" s="119"/>
      <c r="S11" s="119"/>
      <c r="T11" s="119"/>
      <c r="U11" s="180" t="s">
        <v>1978</v>
      </c>
      <c r="V11" s="180" t="s">
        <v>278</v>
      </c>
      <c r="W11" s="119"/>
      <c r="X11" s="119"/>
      <c r="Y11" s="119"/>
      <c r="Z11" s="119"/>
      <c r="AA11" s="119"/>
      <c r="AB11" s="119"/>
      <c r="AC11" s="122"/>
    </row>
    <row r="12" spans="1:29" s="3" customFormat="1" ht="25.2">
      <c r="A12" s="121" t="s">
        <v>1979</v>
      </c>
      <c r="B12" s="119"/>
      <c r="C12" s="119"/>
      <c r="D12" s="119"/>
      <c r="E12" s="119"/>
      <c r="F12" s="180"/>
      <c r="G12" s="119"/>
      <c r="H12" s="119"/>
      <c r="I12" s="119"/>
      <c r="J12" s="119"/>
      <c r="K12" s="119"/>
      <c r="L12" s="119"/>
      <c r="M12" s="119"/>
      <c r="N12" s="122"/>
      <c r="P12" s="121" t="s">
        <v>1979</v>
      </c>
      <c r="Q12" s="119"/>
      <c r="R12" s="119"/>
      <c r="S12" s="119"/>
      <c r="T12" s="119"/>
      <c r="U12" s="180"/>
      <c r="V12" s="119"/>
      <c r="W12" s="119"/>
      <c r="X12" s="119"/>
      <c r="Y12" s="119"/>
      <c r="Z12" s="119"/>
      <c r="AA12" s="119"/>
      <c r="AB12" s="119"/>
      <c r="AC12" s="122"/>
    </row>
    <row r="13" spans="1:29" s="3" customFormat="1" ht="10.050000000000001" customHeight="1">
      <c r="A13" s="121"/>
      <c r="B13" s="119"/>
      <c r="C13" s="119"/>
      <c r="D13" s="119"/>
      <c r="E13" s="119"/>
      <c r="F13" s="180"/>
      <c r="G13" s="119"/>
      <c r="H13" s="119"/>
      <c r="I13" s="119"/>
      <c r="J13" s="119"/>
      <c r="K13" s="119"/>
      <c r="L13" s="119"/>
      <c r="M13" s="119"/>
      <c r="N13" s="122"/>
      <c r="P13" s="121"/>
      <c r="Q13" s="119"/>
      <c r="R13" s="119"/>
      <c r="S13" s="119"/>
      <c r="T13" s="119"/>
      <c r="U13" s="180"/>
      <c r="V13" s="119"/>
      <c r="W13" s="119"/>
      <c r="X13" s="119"/>
      <c r="Y13" s="119"/>
      <c r="Z13" s="119"/>
      <c r="AA13" s="119"/>
      <c r="AB13" s="119"/>
      <c r="AC13" s="122"/>
    </row>
    <row r="14" spans="1:29" s="3" customFormat="1" ht="25.2">
      <c r="A14" s="123" t="s">
        <v>1980</v>
      </c>
      <c r="B14" s="183"/>
      <c r="C14" s="183"/>
      <c r="D14" s="183"/>
      <c r="E14" s="183"/>
      <c r="F14" s="184" t="s">
        <v>1966</v>
      </c>
      <c r="G14" s="185">
        <f>'Detail PL '!C66</f>
        <v>0</v>
      </c>
      <c r="H14" s="183"/>
      <c r="I14" s="183"/>
      <c r="J14" s="183"/>
      <c r="K14" s="183"/>
      <c r="L14" s="183"/>
      <c r="M14" s="183"/>
      <c r="N14" s="124"/>
      <c r="P14" s="123" t="s">
        <v>1980</v>
      </c>
      <c r="Q14" s="183"/>
      <c r="R14" s="183"/>
      <c r="S14" s="183"/>
      <c r="T14" s="183"/>
      <c r="U14" s="184" t="s">
        <v>1966</v>
      </c>
      <c r="V14" s="185">
        <f>'Detail PL '!C68</f>
        <v>0</v>
      </c>
      <c r="W14" s="183"/>
      <c r="X14" s="183"/>
      <c r="Y14" s="183"/>
      <c r="Z14" s="183"/>
      <c r="AA14" s="183"/>
      <c r="AB14" s="183"/>
      <c r="AC14" s="124"/>
    </row>
    <row r="15" spans="1:29" s="3" customFormat="1" ht="25.2">
      <c r="A15" s="123" t="s">
        <v>1981</v>
      </c>
      <c r="B15" s="183"/>
      <c r="C15" s="183"/>
      <c r="D15" s="183"/>
      <c r="E15" s="183"/>
      <c r="F15" s="184"/>
      <c r="G15" s="183"/>
      <c r="H15" s="183"/>
      <c r="I15" s="183"/>
      <c r="J15" s="183"/>
      <c r="K15" s="183"/>
      <c r="L15" s="183"/>
      <c r="M15" s="183"/>
      <c r="N15" s="124"/>
      <c r="P15" s="123" t="s">
        <v>1981</v>
      </c>
      <c r="Q15" s="183"/>
      <c r="R15" s="183"/>
      <c r="S15" s="183"/>
      <c r="T15" s="183"/>
      <c r="U15" s="184"/>
      <c r="V15" s="183"/>
      <c r="W15" s="183"/>
      <c r="X15" s="183"/>
      <c r="Y15" s="183"/>
      <c r="Z15" s="183"/>
      <c r="AA15" s="183"/>
      <c r="AB15" s="183"/>
      <c r="AC15" s="124"/>
    </row>
    <row r="16" spans="1:29" s="3" customFormat="1" ht="10.050000000000001" customHeight="1">
      <c r="A16" s="121"/>
      <c r="B16" s="119"/>
      <c r="C16" s="119"/>
      <c r="D16" s="119"/>
      <c r="E16" s="119"/>
      <c r="F16" s="180"/>
      <c r="G16" s="119"/>
      <c r="H16" s="119"/>
      <c r="I16" s="119"/>
      <c r="J16" s="119"/>
      <c r="K16" s="119"/>
      <c r="L16" s="119"/>
      <c r="M16" s="119"/>
      <c r="N16" s="122"/>
      <c r="P16" s="121"/>
      <c r="Q16" s="119"/>
      <c r="R16" s="119"/>
      <c r="S16" s="119"/>
      <c r="T16" s="119"/>
      <c r="U16" s="180"/>
      <c r="V16" s="119"/>
      <c r="W16" s="119"/>
      <c r="X16" s="119"/>
      <c r="Y16" s="119"/>
      <c r="Z16" s="119"/>
      <c r="AA16" s="119"/>
      <c r="AB16" s="119"/>
      <c r="AC16" s="122"/>
    </row>
    <row r="17" spans="1:29" s="3" customFormat="1" ht="25.2">
      <c r="A17" s="121" t="s">
        <v>1982</v>
      </c>
      <c r="B17" s="119"/>
      <c r="C17" s="119"/>
      <c r="D17" s="119"/>
      <c r="E17" s="119"/>
      <c r="F17" s="184" t="s">
        <v>1983</v>
      </c>
      <c r="G17" s="180">
        <f>'Detail PL '!B66</f>
        <v>0</v>
      </c>
      <c r="H17" s="119"/>
      <c r="I17" s="119"/>
      <c r="J17" s="119"/>
      <c r="K17" s="119"/>
      <c r="L17" s="119"/>
      <c r="M17" s="119"/>
      <c r="N17" s="122"/>
      <c r="P17" s="121" t="s">
        <v>1982</v>
      </c>
      <c r="Q17" s="119"/>
      <c r="R17" s="119"/>
      <c r="S17" s="119"/>
      <c r="T17" s="119"/>
      <c r="U17" s="184" t="s">
        <v>1983</v>
      </c>
      <c r="V17" s="180">
        <f>'Detail PL '!B68</f>
        <v>0</v>
      </c>
      <c r="W17" s="119"/>
      <c r="X17" s="119"/>
      <c r="Y17" s="119"/>
      <c r="Z17" s="119"/>
      <c r="AA17" s="119"/>
      <c r="AB17" s="119"/>
      <c r="AC17" s="122"/>
    </row>
    <row r="18" spans="1:29" s="4" customFormat="1" ht="25.2">
      <c r="A18" s="121" t="s">
        <v>1984</v>
      </c>
      <c r="B18" s="119"/>
      <c r="C18" s="119"/>
      <c r="D18" s="119"/>
      <c r="E18" s="119"/>
      <c r="F18" s="180"/>
      <c r="G18" s="180"/>
      <c r="H18" s="119"/>
      <c r="I18" s="119"/>
      <c r="J18" s="119"/>
      <c r="K18" s="119"/>
      <c r="L18" s="119"/>
      <c r="M18" s="119"/>
      <c r="N18" s="122"/>
      <c r="P18" s="121" t="s">
        <v>1984</v>
      </c>
      <c r="Q18" s="119"/>
      <c r="R18" s="119"/>
      <c r="S18" s="119"/>
      <c r="T18" s="119"/>
      <c r="U18" s="180"/>
      <c r="V18" s="180"/>
      <c r="W18" s="119"/>
      <c r="X18" s="119"/>
      <c r="Y18" s="119"/>
      <c r="Z18" s="119"/>
      <c r="AA18" s="119"/>
      <c r="AB18" s="119"/>
      <c r="AC18" s="122"/>
    </row>
    <row r="19" spans="1:29" s="3" customFormat="1" ht="10.050000000000001" customHeight="1">
      <c r="A19" s="121"/>
      <c r="B19" s="119"/>
      <c r="C19" s="119"/>
      <c r="D19" s="119"/>
      <c r="E19" s="119"/>
      <c r="F19" s="180"/>
      <c r="G19" s="180"/>
      <c r="H19" s="119"/>
      <c r="I19" s="119"/>
      <c r="J19" s="119"/>
      <c r="K19" s="119"/>
      <c r="L19" s="119"/>
      <c r="M19" s="119"/>
      <c r="N19" s="122"/>
      <c r="P19" s="121"/>
      <c r="Q19" s="119"/>
      <c r="R19" s="119"/>
      <c r="S19" s="119"/>
      <c r="T19" s="119"/>
      <c r="U19" s="180"/>
      <c r="V19" s="180"/>
      <c r="W19" s="119"/>
      <c r="X19" s="119"/>
      <c r="Y19" s="119"/>
      <c r="Z19" s="119"/>
      <c r="AA19" s="119"/>
      <c r="AB19" s="119"/>
      <c r="AC19" s="122"/>
    </row>
    <row r="20" spans="1:29" s="3" customFormat="1" ht="25.2">
      <c r="A20" s="121" t="s">
        <v>1985</v>
      </c>
      <c r="B20" s="119"/>
      <c r="C20" s="119"/>
      <c r="D20" s="119"/>
      <c r="E20" s="119"/>
      <c r="F20" s="180" t="s">
        <v>1978</v>
      </c>
      <c r="G20" s="186">
        <f>'Detail PL '!K66</f>
        <v>1005</v>
      </c>
      <c r="H20" s="180" t="s">
        <v>1986</v>
      </c>
      <c r="I20" s="119"/>
      <c r="J20" s="119"/>
      <c r="K20" s="119"/>
      <c r="L20" s="119"/>
      <c r="M20" s="119"/>
      <c r="N20" s="122"/>
      <c r="P20" s="121" t="s">
        <v>1985</v>
      </c>
      <c r="Q20" s="119"/>
      <c r="R20" s="119"/>
      <c r="S20" s="119"/>
      <c r="T20" s="119"/>
      <c r="U20" s="180" t="s">
        <v>1978</v>
      </c>
      <c r="V20" s="186">
        <f>'Detail PL '!K68</f>
        <v>1005</v>
      </c>
      <c r="W20" s="180" t="s">
        <v>1986</v>
      </c>
      <c r="X20" s="119"/>
      <c r="Y20" s="119"/>
      <c r="Z20" s="119"/>
      <c r="AA20" s="119"/>
      <c r="AB20" s="119"/>
      <c r="AC20" s="122"/>
    </row>
    <row r="21" spans="1:29" s="4" customFormat="1" ht="25.2">
      <c r="A21" s="121" t="s">
        <v>1987</v>
      </c>
      <c r="B21" s="119"/>
      <c r="C21" s="119"/>
      <c r="D21" s="119"/>
      <c r="E21" s="119"/>
      <c r="F21" s="180"/>
      <c r="G21" s="180"/>
      <c r="H21" s="180"/>
      <c r="I21" s="119"/>
      <c r="J21" s="119"/>
      <c r="K21" s="119"/>
      <c r="L21" s="119"/>
      <c r="M21" s="119"/>
      <c r="N21" s="122"/>
      <c r="P21" s="121" t="s">
        <v>1987</v>
      </c>
      <c r="Q21" s="119"/>
      <c r="R21" s="119"/>
      <c r="S21" s="119"/>
      <c r="T21" s="119"/>
      <c r="U21" s="180"/>
      <c r="V21" s="180"/>
      <c r="W21" s="180"/>
      <c r="X21" s="119"/>
      <c r="Y21" s="119"/>
      <c r="Z21" s="119"/>
      <c r="AA21" s="119"/>
      <c r="AB21" s="119"/>
      <c r="AC21" s="122"/>
    </row>
    <row r="22" spans="1:29" s="3" customFormat="1" ht="10.050000000000001" customHeight="1">
      <c r="A22" s="121"/>
      <c r="B22" s="119"/>
      <c r="C22" s="119"/>
      <c r="D22" s="119"/>
      <c r="E22" s="119"/>
      <c r="F22" s="180"/>
      <c r="G22" s="180"/>
      <c r="H22" s="180"/>
      <c r="I22" s="119"/>
      <c r="J22" s="119"/>
      <c r="K22" s="119"/>
      <c r="L22" s="119"/>
      <c r="M22" s="119"/>
      <c r="N22" s="122"/>
      <c r="P22" s="121"/>
      <c r="Q22" s="119"/>
      <c r="R22" s="119"/>
      <c r="S22" s="119"/>
      <c r="T22" s="119"/>
      <c r="U22" s="180"/>
      <c r="V22" s="180"/>
      <c r="W22" s="180"/>
      <c r="X22" s="119"/>
      <c r="Y22" s="119"/>
      <c r="Z22" s="119"/>
      <c r="AA22" s="119"/>
      <c r="AB22" s="119"/>
      <c r="AC22" s="122"/>
    </row>
    <row r="23" spans="1:29" s="3" customFormat="1" ht="25.2">
      <c r="A23" s="121" t="s">
        <v>1988</v>
      </c>
      <c r="B23" s="119"/>
      <c r="C23" s="119"/>
      <c r="D23" s="119"/>
      <c r="E23" s="119"/>
      <c r="F23" s="180" t="s">
        <v>1978</v>
      </c>
      <c r="G23" s="186">
        <f>'Detail PL '!L66</f>
        <v>1105</v>
      </c>
      <c r="H23" s="180" t="s">
        <v>1986</v>
      </c>
      <c r="I23" s="119"/>
      <c r="J23" s="119"/>
      <c r="K23" s="119"/>
      <c r="L23" s="119"/>
      <c r="M23" s="119"/>
      <c r="N23" s="122"/>
      <c r="P23" s="121" t="s">
        <v>1988</v>
      </c>
      <c r="Q23" s="119"/>
      <c r="R23" s="119"/>
      <c r="S23" s="119"/>
      <c r="T23" s="119"/>
      <c r="U23" s="180" t="s">
        <v>1978</v>
      </c>
      <c r="V23" s="186">
        <f>'Detail PL '!L68</f>
        <v>1105</v>
      </c>
      <c r="W23" s="180" t="s">
        <v>1986</v>
      </c>
      <c r="X23" s="119"/>
      <c r="Y23" s="119"/>
      <c r="Z23" s="119"/>
      <c r="AA23" s="119"/>
      <c r="AB23" s="119"/>
      <c r="AC23" s="122"/>
    </row>
    <row r="24" spans="1:29" s="4" customFormat="1" ht="25.2">
      <c r="A24" s="121" t="s">
        <v>1989</v>
      </c>
      <c r="B24" s="119"/>
      <c r="C24" s="119"/>
      <c r="D24" s="119"/>
      <c r="E24" s="119"/>
      <c r="F24" s="180"/>
      <c r="G24" s="180"/>
      <c r="H24" s="119"/>
      <c r="I24" s="119"/>
      <c r="J24" s="119"/>
      <c r="K24" s="119"/>
      <c r="L24" s="119"/>
      <c r="M24" s="119"/>
      <c r="N24" s="122"/>
      <c r="P24" s="121" t="s">
        <v>1989</v>
      </c>
      <c r="Q24" s="119"/>
      <c r="R24" s="119"/>
      <c r="S24" s="119"/>
      <c r="T24" s="119"/>
      <c r="U24" s="180"/>
      <c r="V24" s="180"/>
      <c r="W24" s="119"/>
      <c r="X24" s="119"/>
      <c r="Y24" s="119"/>
      <c r="Z24" s="119"/>
      <c r="AA24" s="119"/>
      <c r="AB24" s="119"/>
      <c r="AC24" s="122"/>
    </row>
    <row r="25" spans="1:29" s="3" customFormat="1" ht="10.050000000000001" customHeight="1">
      <c r="A25" s="121"/>
      <c r="B25" s="119"/>
      <c r="C25" s="119"/>
      <c r="D25" s="119"/>
      <c r="E25" s="119"/>
      <c r="F25" s="180"/>
      <c r="G25" s="180"/>
      <c r="H25" s="119"/>
      <c r="I25" s="119"/>
      <c r="J25" s="119"/>
      <c r="K25" s="119"/>
      <c r="L25" s="119"/>
      <c r="M25" s="119"/>
      <c r="N25" s="122"/>
      <c r="P25" s="121"/>
      <c r="Q25" s="119"/>
      <c r="R25" s="119"/>
      <c r="S25" s="119"/>
      <c r="T25" s="119"/>
      <c r="U25" s="180"/>
      <c r="V25" s="180"/>
      <c r="W25" s="119"/>
      <c r="X25" s="119"/>
      <c r="Y25" s="119"/>
      <c r="Z25" s="119"/>
      <c r="AA25" s="119"/>
      <c r="AB25" s="119"/>
      <c r="AC25" s="122"/>
    </row>
    <row r="26" spans="1:29" s="3" customFormat="1" ht="25.2">
      <c r="A26" s="125" t="s">
        <v>1990</v>
      </c>
      <c r="B26" s="119"/>
      <c r="C26" s="119"/>
      <c r="D26" s="119"/>
      <c r="E26" s="119"/>
      <c r="F26" s="180" t="s">
        <v>1978</v>
      </c>
      <c r="G26" s="187">
        <f>'Detail PL '!J66</f>
        <v>8.6890000000000001</v>
      </c>
      <c r="H26" s="188" t="s">
        <v>1991</v>
      </c>
      <c r="I26" s="188"/>
      <c r="J26" s="188"/>
      <c r="K26" s="188"/>
      <c r="L26" s="119"/>
      <c r="M26" s="119"/>
      <c r="N26" s="122"/>
      <c r="P26" s="125" t="s">
        <v>1990</v>
      </c>
      <c r="Q26" s="119"/>
      <c r="R26" s="119"/>
      <c r="S26" s="119"/>
      <c r="T26" s="119"/>
      <c r="U26" s="180" t="s">
        <v>1978</v>
      </c>
      <c r="V26" s="187">
        <f>'Detail PL '!J68</f>
        <v>8.6890000000000001</v>
      </c>
      <c r="W26" s="188" t="s">
        <v>1991</v>
      </c>
      <c r="X26" s="188"/>
      <c r="Y26" s="188"/>
      <c r="Z26" s="188"/>
      <c r="AA26" s="119"/>
      <c r="AB26" s="119"/>
      <c r="AC26" s="122"/>
    </row>
    <row r="27" spans="1:29" s="4" customFormat="1" ht="25.2">
      <c r="A27" s="121" t="s">
        <v>1992</v>
      </c>
      <c r="B27" s="119"/>
      <c r="C27" s="119"/>
      <c r="D27" s="119"/>
      <c r="E27" s="119"/>
      <c r="F27" s="180"/>
      <c r="G27" s="180"/>
      <c r="H27" s="119"/>
      <c r="I27" s="119"/>
      <c r="J27" s="119"/>
      <c r="K27" s="119"/>
      <c r="L27" s="119"/>
      <c r="M27" s="119"/>
      <c r="N27" s="122"/>
      <c r="P27" s="121" t="s">
        <v>1992</v>
      </c>
      <c r="Q27" s="119"/>
      <c r="R27" s="119"/>
      <c r="S27" s="119"/>
      <c r="T27" s="119"/>
      <c r="U27" s="180"/>
      <c r="V27" s="180"/>
      <c r="W27" s="119"/>
      <c r="X27" s="119"/>
      <c r="Y27" s="119"/>
      <c r="Z27" s="119"/>
      <c r="AA27" s="119"/>
      <c r="AB27" s="119"/>
      <c r="AC27" s="122"/>
    </row>
    <row r="28" spans="1:29" s="3" customFormat="1" ht="10.050000000000001" customHeight="1">
      <c r="A28" s="121"/>
      <c r="B28" s="119"/>
      <c r="C28" s="119"/>
      <c r="D28" s="119"/>
      <c r="E28" s="119"/>
      <c r="F28" s="180"/>
      <c r="G28" s="180"/>
      <c r="H28" s="119"/>
      <c r="I28" s="119"/>
      <c r="J28" s="119"/>
      <c r="K28" s="119"/>
      <c r="L28" s="119"/>
      <c r="M28" s="119"/>
      <c r="N28" s="122"/>
      <c r="P28" s="121"/>
      <c r="Q28" s="119"/>
      <c r="R28" s="119"/>
      <c r="S28" s="119"/>
      <c r="T28" s="119"/>
      <c r="U28" s="180"/>
      <c r="V28" s="180"/>
      <c r="W28" s="119"/>
      <c r="X28" s="119"/>
      <c r="Y28" s="119"/>
      <c r="Z28" s="119"/>
      <c r="AA28" s="119"/>
      <c r="AB28" s="119"/>
      <c r="AC28" s="122"/>
    </row>
    <row r="29" spans="1:29" s="3" customFormat="1" ht="42">
      <c r="A29" s="121" t="s">
        <v>1993</v>
      </c>
      <c r="B29" s="119"/>
      <c r="C29" s="119"/>
      <c r="D29" s="119"/>
      <c r="E29" s="119"/>
      <c r="F29" s="179" t="s">
        <v>1994</v>
      </c>
      <c r="G29" s="462" t="s">
        <v>1995</v>
      </c>
      <c r="H29" s="462"/>
      <c r="I29" s="462"/>
      <c r="J29" s="462"/>
      <c r="K29" s="462"/>
      <c r="L29" s="462"/>
      <c r="M29" s="462"/>
      <c r="N29" s="122"/>
      <c r="P29" s="121" t="s">
        <v>1993</v>
      </c>
      <c r="Q29" s="119"/>
      <c r="R29" s="119"/>
      <c r="S29" s="119"/>
      <c r="T29" s="119"/>
      <c r="U29" s="179" t="s">
        <v>1994</v>
      </c>
      <c r="V29" s="462" t="s">
        <v>1995</v>
      </c>
      <c r="W29" s="462"/>
      <c r="X29" s="462"/>
      <c r="Y29" s="462"/>
      <c r="Z29" s="462"/>
      <c r="AA29" s="462"/>
      <c r="AB29" s="462"/>
      <c r="AC29" s="122"/>
    </row>
    <row r="30" spans="1:29" s="4" customFormat="1" ht="25.8" thickBot="1">
      <c r="A30" s="121" t="s">
        <v>1996</v>
      </c>
      <c r="B30" s="119"/>
      <c r="C30" s="119"/>
      <c r="D30" s="119"/>
      <c r="E30" s="119"/>
      <c r="F30" s="180"/>
      <c r="G30" s="463"/>
      <c r="H30" s="463"/>
      <c r="I30" s="463"/>
      <c r="J30" s="463"/>
      <c r="K30" s="463"/>
      <c r="L30" s="463"/>
      <c r="M30" s="463"/>
      <c r="N30" s="122"/>
      <c r="P30" s="121" t="s">
        <v>1996</v>
      </c>
      <c r="Q30" s="119"/>
      <c r="R30" s="119"/>
      <c r="S30" s="119"/>
      <c r="T30" s="119"/>
      <c r="U30" s="180"/>
      <c r="V30" s="463"/>
      <c r="W30" s="463"/>
      <c r="X30" s="463"/>
      <c r="Y30" s="463"/>
      <c r="Z30" s="463"/>
      <c r="AA30" s="463"/>
      <c r="AB30" s="463"/>
      <c r="AC30" s="122"/>
    </row>
    <row r="31" spans="1:29">
      <c r="A31" s="115"/>
      <c r="B31" s="116"/>
      <c r="C31" s="116"/>
      <c r="D31" s="116"/>
      <c r="E31" s="459" t="s">
        <v>1997</v>
      </c>
      <c r="F31" s="460"/>
      <c r="G31" s="460"/>
      <c r="H31" s="460"/>
      <c r="I31" s="460"/>
      <c r="J31" s="460"/>
      <c r="K31" s="460"/>
      <c r="L31" s="117"/>
      <c r="M31" s="117"/>
      <c r="N31" s="118"/>
      <c r="P31" s="115"/>
      <c r="Q31" s="116"/>
      <c r="R31" s="116"/>
      <c r="S31" s="116"/>
      <c r="T31" s="459" t="s">
        <v>1997</v>
      </c>
      <c r="U31" s="460"/>
      <c r="V31" s="460"/>
      <c r="W31" s="460"/>
      <c r="X31" s="460"/>
      <c r="Y31" s="460"/>
      <c r="Z31" s="460"/>
      <c r="AA31" s="117"/>
      <c r="AB31" s="117"/>
      <c r="AC31" s="118"/>
    </row>
    <row r="32" spans="1:29" ht="25.5" customHeight="1" thickBot="1">
      <c r="A32" s="126"/>
      <c r="B32" s="127"/>
      <c r="C32" s="127"/>
      <c r="D32" s="127"/>
      <c r="E32" s="461"/>
      <c r="F32" s="461"/>
      <c r="G32" s="461"/>
      <c r="H32" s="461"/>
      <c r="I32" s="461"/>
      <c r="J32" s="461"/>
      <c r="K32" s="461"/>
      <c r="L32" s="128"/>
      <c r="M32" s="128"/>
      <c r="N32" s="129"/>
      <c r="P32" s="126"/>
      <c r="Q32" s="127"/>
      <c r="R32" s="127"/>
      <c r="S32" s="127"/>
      <c r="T32" s="461"/>
      <c r="U32" s="461"/>
      <c r="V32" s="461"/>
      <c r="W32" s="461"/>
      <c r="X32" s="461"/>
      <c r="Y32" s="461"/>
      <c r="Z32" s="461"/>
      <c r="AA32" s="128"/>
      <c r="AB32" s="128"/>
      <c r="AC32" s="129"/>
    </row>
    <row r="33" spans="1:29" ht="95.1" customHeight="1" thickBot="1">
      <c r="A33" s="456" t="s">
        <v>1964</v>
      </c>
      <c r="B33" s="457"/>
      <c r="C33" s="457"/>
      <c r="D33" s="457"/>
      <c r="E33" s="457"/>
      <c r="F33" s="457"/>
      <c r="G33" s="457"/>
      <c r="H33" s="457"/>
      <c r="I33" s="457"/>
      <c r="J33" s="457"/>
      <c r="K33" s="457"/>
      <c r="L33" s="457"/>
      <c r="M33" s="457"/>
      <c r="N33" s="458"/>
      <c r="O33" s="189"/>
      <c r="P33" s="456" t="s">
        <v>1964</v>
      </c>
      <c r="Q33" s="457"/>
      <c r="R33" s="457"/>
      <c r="S33" s="457"/>
      <c r="T33" s="457"/>
      <c r="U33" s="457"/>
      <c r="V33" s="457"/>
      <c r="W33" s="457"/>
      <c r="X33" s="457"/>
      <c r="Y33" s="457"/>
      <c r="Z33" s="457"/>
      <c r="AA33" s="457"/>
      <c r="AB33" s="457"/>
      <c r="AC33" s="458"/>
    </row>
    <row r="34" spans="1:29" s="3" customFormat="1" ht="37.5" customHeight="1">
      <c r="A34" s="130" t="s">
        <v>1965</v>
      </c>
      <c r="B34" s="179"/>
      <c r="C34" s="179"/>
      <c r="D34" s="119"/>
      <c r="E34" s="119"/>
      <c r="F34" s="180" t="s">
        <v>1966</v>
      </c>
      <c r="G34" s="180" t="s">
        <v>1967</v>
      </c>
      <c r="H34" s="180"/>
      <c r="I34" s="180"/>
      <c r="J34" s="180"/>
      <c r="K34" s="180"/>
      <c r="L34" s="180"/>
      <c r="M34" s="180"/>
      <c r="N34" s="147"/>
      <c r="O34" s="190"/>
      <c r="P34" s="130" t="s">
        <v>1965</v>
      </c>
      <c r="Q34" s="179"/>
      <c r="R34" s="179"/>
      <c r="S34" s="119"/>
      <c r="T34" s="119"/>
      <c r="U34" s="180" t="s">
        <v>1966</v>
      </c>
      <c r="V34" s="180" t="s">
        <v>1967</v>
      </c>
      <c r="W34" s="180"/>
      <c r="X34" s="180"/>
      <c r="Y34" s="180"/>
      <c r="Z34" s="180"/>
      <c r="AA34" s="180"/>
      <c r="AB34" s="180"/>
      <c r="AC34" s="147"/>
    </row>
    <row r="35" spans="1:29" s="4" customFormat="1" ht="25.2">
      <c r="A35" s="121" t="s">
        <v>1968</v>
      </c>
      <c r="B35" s="119"/>
      <c r="C35" s="119"/>
      <c r="D35" s="119"/>
      <c r="E35" s="119"/>
      <c r="F35" s="180"/>
      <c r="G35" s="180" t="s">
        <v>1969</v>
      </c>
      <c r="H35" s="180"/>
      <c r="I35" s="180"/>
      <c r="J35" s="180"/>
      <c r="K35" s="180"/>
      <c r="L35" s="180"/>
      <c r="M35" s="180"/>
      <c r="N35" s="147"/>
      <c r="P35" s="121" t="s">
        <v>1968</v>
      </c>
      <c r="Q35" s="119"/>
      <c r="R35" s="119"/>
      <c r="S35" s="119"/>
      <c r="T35" s="119"/>
      <c r="U35" s="180"/>
      <c r="V35" s="180" t="s">
        <v>1969</v>
      </c>
      <c r="W35" s="180"/>
      <c r="X35" s="180"/>
      <c r="Y35" s="180"/>
      <c r="Z35" s="180"/>
      <c r="AA35" s="180"/>
      <c r="AB35" s="180"/>
      <c r="AC35" s="147"/>
    </row>
    <row r="36" spans="1:29" s="3" customFormat="1" ht="10.050000000000001" customHeight="1">
      <c r="A36" s="121"/>
      <c r="B36" s="119"/>
      <c r="C36" s="119"/>
      <c r="D36" s="119"/>
      <c r="E36" s="119"/>
      <c r="F36" s="180"/>
      <c r="G36" s="119"/>
      <c r="H36" s="119"/>
      <c r="I36" s="119"/>
      <c r="J36" s="119"/>
      <c r="K36" s="119"/>
      <c r="L36" s="119"/>
      <c r="M36" s="119"/>
      <c r="N36" s="122"/>
      <c r="P36" s="121"/>
      <c r="Q36" s="119"/>
      <c r="R36" s="119"/>
      <c r="S36" s="119"/>
      <c r="T36" s="119"/>
      <c r="U36" s="180"/>
      <c r="V36" s="119"/>
      <c r="W36" s="119"/>
      <c r="X36" s="119"/>
      <c r="Y36" s="119"/>
      <c r="Z36" s="119"/>
      <c r="AA36" s="119"/>
      <c r="AB36" s="119"/>
      <c r="AC36" s="122"/>
    </row>
    <row r="37" spans="1:29" s="3" customFormat="1" ht="42.75" customHeight="1">
      <c r="A37" s="121" t="s">
        <v>1970</v>
      </c>
      <c r="B37" s="119"/>
      <c r="C37" s="119"/>
      <c r="D37" s="119"/>
      <c r="E37" s="119"/>
      <c r="F37" s="180" t="s">
        <v>1966</v>
      </c>
      <c r="G37" s="180" t="s">
        <v>1971</v>
      </c>
      <c r="H37" s="119"/>
      <c r="I37" s="119"/>
      <c r="J37" s="119"/>
      <c r="K37" s="119"/>
      <c r="L37" s="119"/>
      <c r="M37" s="119"/>
      <c r="N37" s="122"/>
      <c r="P37" s="121" t="s">
        <v>1970</v>
      </c>
      <c r="Q37" s="119"/>
      <c r="R37" s="119"/>
      <c r="S37" s="119"/>
      <c r="T37" s="119"/>
      <c r="U37" s="180" t="s">
        <v>1966</v>
      </c>
      <c r="V37" s="180" t="s">
        <v>1971</v>
      </c>
      <c r="W37" s="119"/>
      <c r="X37" s="119"/>
      <c r="Y37" s="119"/>
      <c r="Z37" s="119"/>
      <c r="AA37" s="119"/>
      <c r="AB37" s="119"/>
      <c r="AC37" s="122"/>
    </row>
    <row r="38" spans="1:29" s="4" customFormat="1" ht="25.2">
      <c r="A38" s="121" t="s">
        <v>1972</v>
      </c>
      <c r="B38" s="119"/>
      <c r="C38" s="119"/>
      <c r="D38" s="119"/>
      <c r="E38" s="119"/>
      <c r="F38" s="181"/>
      <c r="G38" s="180"/>
      <c r="H38" s="119"/>
      <c r="I38" s="119"/>
      <c r="J38" s="119"/>
      <c r="K38" s="119"/>
      <c r="L38" s="119"/>
      <c r="M38" s="119"/>
      <c r="N38" s="122"/>
      <c r="P38" s="121" t="s">
        <v>1972</v>
      </c>
      <c r="Q38" s="119"/>
      <c r="R38" s="119"/>
      <c r="S38" s="119"/>
      <c r="T38" s="119"/>
      <c r="U38" s="181"/>
      <c r="V38" s="180"/>
      <c r="W38" s="119"/>
      <c r="X38" s="119"/>
      <c r="Y38" s="119"/>
      <c r="Z38" s="119"/>
      <c r="AA38" s="119"/>
      <c r="AB38" s="119"/>
      <c r="AC38" s="122"/>
    </row>
    <row r="39" spans="1:29" s="3" customFormat="1" ht="10.050000000000001" customHeight="1">
      <c r="A39" s="121"/>
      <c r="B39" s="119"/>
      <c r="C39" s="119"/>
      <c r="D39" s="119"/>
      <c r="E39" s="119"/>
      <c r="F39" s="182"/>
      <c r="G39" s="182"/>
      <c r="H39" s="119"/>
      <c r="I39" s="119"/>
      <c r="J39" s="119"/>
      <c r="K39" s="119"/>
      <c r="L39" s="119"/>
      <c r="M39" s="119"/>
      <c r="N39" s="122"/>
      <c r="P39" s="121"/>
      <c r="Q39" s="119"/>
      <c r="R39" s="119"/>
      <c r="S39" s="119"/>
      <c r="T39" s="119"/>
      <c r="U39" s="182"/>
      <c r="V39" s="182"/>
      <c r="W39" s="119"/>
      <c r="X39" s="119"/>
      <c r="Y39" s="119"/>
      <c r="Z39" s="119"/>
      <c r="AA39" s="119"/>
      <c r="AB39" s="119"/>
      <c r="AC39" s="122"/>
    </row>
    <row r="40" spans="1:29" s="3" customFormat="1" ht="25.2">
      <c r="A40" s="121" t="s">
        <v>1973</v>
      </c>
      <c r="B40" s="119"/>
      <c r="C40" s="119"/>
      <c r="D40" s="119"/>
      <c r="E40" s="119"/>
      <c r="F40" s="180" t="s">
        <v>1974</v>
      </c>
      <c r="G40" s="119"/>
      <c r="H40" s="119"/>
      <c r="I40" s="119"/>
      <c r="J40" s="119"/>
      <c r="K40" s="119"/>
      <c r="L40" s="119"/>
      <c r="M40" s="119"/>
      <c r="N40" s="122"/>
      <c r="P40" s="121" t="s">
        <v>1973</v>
      </c>
      <c r="Q40" s="119"/>
      <c r="R40" s="119"/>
      <c r="S40" s="119"/>
      <c r="T40" s="119"/>
      <c r="U40" s="180" t="s">
        <v>1974</v>
      </c>
      <c r="V40" s="119"/>
      <c r="W40" s="119"/>
      <c r="X40" s="119"/>
      <c r="Y40" s="119"/>
      <c r="Z40" s="119"/>
      <c r="AA40" s="119"/>
      <c r="AB40" s="119"/>
      <c r="AC40" s="122"/>
    </row>
    <row r="41" spans="1:29" s="4" customFormat="1" ht="25.2">
      <c r="A41" s="121" t="s">
        <v>1975</v>
      </c>
      <c r="B41" s="119"/>
      <c r="C41" s="119"/>
      <c r="D41" s="119"/>
      <c r="E41" s="119"/>
      <c r="F41" s="180" t="s">
        <v>1976</v>
      </c>
      <c r="G41" s="119"/>
      <c r="H41" s="119"/>
      <c r="I41" s="119"/>
      <c r="J41" s="119"/>
      <c r="K41" s="119"/>
      <c r="L41" s="119"/>
      <c r="M41" s="119"/>
      <c r="N41" s="122"/>
      <c r="P41" s="121" t="s">
        <v>1975</v>
      </c>
      <c r="Q41" s="119"/>
      <c r="R41" s="119"/>
      <c r="S41" s="119"/>
      <c r="T41" s="119"/>
      <c r="U41" s="180" t="s">
        <v>1976</v>
      </c>
      <c r="V41" s="119"/>
      <c r="W41" s="119"/>
      <c r="X41" s="119"/>
      <c r="Y41" s="119"/>
      <c r="Z41" s="119"/>
      <c r="AA41" s="119"/>
      <c r="AB41" s="119"/>
      <c r="AC41" s="122"/>
    </row>
    <row r="42" spans="1:29" s="3" customFormat="1" ht="10.050000000000001" customHeight="1">
      <c r="A42" s="121"/>
      <c r="B42" s="119"/>
      <c r="C42" s="119"/>
      <c r="D42" s="119"/>
      <c r="E42" s="119"/>
      <c r="F42" s="180"/>
      <c r="G42" s="119"/>
      <c r="H42" s="119"/>
      <c r="I42" s="119"/>
      <c r="J42" s="119"/>
      <c r="K42" s="119"/>
      <c r="L42" s="119"/>
      <c r="M42" s="119"/>
      <c r="N42" s="122"/>
      <c r="P42" s="121"/>
      <c r="Q42" s="119"/>
      <c r="R42" s="119"/>
      <c r="S42" s="119"/>
      <c r="T42" s="119"/>
      <c r="U42" s="180"/>
      <c r="V42" s="119"/>
      <c r="W42" s="119"/>
      <c r="X42" s="119"/>
      <c r="Y42" s="119"/>
      <c r="Z42" s="119"/>
      <c r="AA42" s="119"/>
      <c r="AB42" s="119"/>
      <c r="AC42" s="122"/>
    </row>
    <row r="43" spans="1:29" s="3" customFormat="1" ht="25.2">
      <c r="A43" s="121" t="s">
        <v>1977</v>
      </c>
      <c r="B43" s="119"/>
      <c r="C43" s="119"/>
      <c r="D43" s="119"/>
      <c r="E43" s="119"/>
      <c r="F43" s="180" t="s">
        <v>1978</v>
      </c>
      <c r="G43" s="180" t="s">
        <v>278</v>
      </c>
      <c r="H43" s="119"/>
      <c r="I43" s="119"/>
      <c r="J43" s="119"/>
      <c r="K43" s="119"/>
      <c r="L43" s="119"/>
      <c r="M43" s="119"/>
      <c r="N43" s="122"/>
      <c r="P43" s="121" t="s">
        <v>1977</v>
      </c>
      <c r="Q43" s="119"/>
      <c r="R43" s="119"/>
      <c r="S43" s="119"/>
      <c r="T43" s="119"/>
      <c r="U43" s="180" t="s">
        <v>1978</v>
      </c>
      <c r="V43" s="180" t="s">
        <v>278</v>
      </c>
      <c r="W43" s="119"/>
      <c r="X43" s="119"/>
      <c r="Y43" s="119"/>
      <c r="Z43" s="119"/>
      <c r="AA43" s="119"/>
      <c r="AB43" s="119"/>
      <c r="AC43" s="122"/>
    </row>
    <row r="44" spans="1:29" s="3" customFormat="1" ht="25.2">
      <c r="A44" s="121" t="s">
        <v>1979</v>
      </c>
      <c r="B44" s="119"/>
      <c r="C44" s="119"/>
      <c r="D44" s="119"/>
      <c r="E44" s="119"/>
      <c r="F44" s="180"/>
      <c r="G44" s="119"/>
      <c r="H44" s="119"/>
      <c r="I44" s="119"/>
      <c r="J44" s="119"/>
      <c r="K44" s="119"/>
      <c r="L44" s="119"/>
      <c r="M44" s="119"/>
      <c r="N44" s="122"/>
      <c r="P44" s="121" t="s">
        <v>1979</v>
      </c>
      <c r="Q44" s="119"/>
      <c r="R44" s="119"/>
      <c r="S44" s="119"/>
      <c r="T44" s="119"/>
      <c r="U44" s="180"/>
      <c r="V44" s="119"/>
      <c r="W44" s="119"/>
      <c r="X44" s="119"/>
      <c r="Y44" s="119"/>
      <c r="Z44" s="119"/>
      <c r="AA44" s="119"/>
      <c r="AB44" s="119"/>
      <c r="AC44" s="122"/>
    </row>
    <row r="45" spans="1:29" s="3" customFormat="1" ht="10.050000000000001" customHeight="1">
      <c r="A45" s="121"/>
      <c r="B45" s="119"/>
      <c r="C45" s="119"/>
      <c r="D45" s="119"/>
      <c r="E45" s="119"/>
      <c r="F45" s="180"/>
      <c r="G45" s="119"/>
      <c r="H45" s="119"/>
      <c r="I45" s="119"/>
      <c r="J45" s="119"/>
      <c r="K45" s="119"/>
      <c r="L45" s="119"/>
      <c r="M45" s="119"/>
      <c r="N45" s="122"/>
      <c r="P45" s="121"/>
      <c r="Q45" s="119"/>
      <c r="R45" s="119"/>
      <c r="S45" s="119"/>
      <c r="T45" s="119"/>
      <c r="U45" s="180"/>
      <c r="V45" s="119"/>
      <c r="W45" s="119"/>
      <c r="X45" s="119"/>
      <c r="Y45" s="119"/>
      <c r="Z45" s="119"/>
      <c r="AA45" s="119"/>
      <c r="AB45" s="119"/>
      <c r="AC45" s="122"/>
    </row>
    <row r="46" spans="1:29" s="3" customFormat="1" ht="25.2">
      <c r="A46" s="123" t="s">
        <v>1980</v>
      </c>
      <c r="B46" s="183"/>
      <c r="C46" s="183"/>
      <c r="D46" s="183"/>
      <c r="E46" s="183"/>
      <c r="F46" s="184" t="s">
        <v>1966</v>
      </c>
      <c r="G46" s="185">
        <f>'Detail PL '!C70</f>
        <v>0</v>
      </c>
      <c r="H46" s="183"/>
      <c r="I46" s="183"/>
      <c r="J46" s="183"/>
      <c r="K46" s="183"/>
      <c r="L46" s="183"/>
      <c r="M46" s="183"/>
      <c r="N46" s="124"/>
      <c r="P46" s="123" t="s">
        <v>1980</v>
      </c>
      <c r="Q46" s="183"/>
      <c r="R46" s="183"/>
      <c r="S46" s="183"/>
      <c r="T46" s="183"/>
      <c r="U46" s="184" t="s">
        <v>1966</v>
      </c>
      <c r="V46" s="185">
        <f>'Detail PL '!C72</f>
        <v>0</v>
      </c>
      <c r="W46" s="183"/>
      <c r="X46" s="183"/>
      <c r="Y46" s="183"/>
      <c r="Z46" s="183"/>
      <c r="AA46" s="183"/>
      <c r="AB46" s="183"/>
      <c r="AC46" s="124"/>
    </row>
    <row r="47" spans="1:29" s="3" customFormat="1" ht="25.2">
      <c r="A47" s="123" t="s">
        <v>1981</v>
      </c>
      <c r="B47" s="183"/>
      <c r="C47" s="183"/>
      <c r="D47" s="183"/>
      <c r="E47" s="183"/>
      <c r="F47" s="184"/>
      <c r="G47" s="183"/>
      <c r="H47" s="183"/>
      <c r="I47" s="183"/>
      <c r="J47" s="183"/>
      <c r="K47" s="183"/>
      <c r="L47" s="183"/>
      <c r="M47" s="183"/>
      <c r="N47" s="124"/>
      <c r="P47" s="123" t="s">
        <v>1981</v>
      </c>
      <c r="Q47" s="183"/>
      <c r="R47" s="183"/>
      <c r="S47" s="183"/>
      <c r="T47" s="183"/>
      <c r="U47" s="184"/>
      <c r="V47" s="183"/>
      <c r="W47" s="183"/>
      <c r="X47" s="183"/>
      <c r="Y47" s="183"/>
      <c r="Z47" s="183"/>
      <c r="AA47" s="183"/>
      <c r="AB47" s="183"/>
      <c r="AC47" s="124"/>
    </row>
    <row r="48" spans="1:29" s="3" customFormat="1" ht="10.050000000000001" customHeight="1">
      <c r="A48" s="121"/>
      <c r="B48" s="119"/>
      <c r="C48" s="119"/>
      <c r="D48" s="119"/>
      <c r="E48" s="119"/>
      <c r="F48" s="180"/>
      <c r="G48" s="119"/>
      <c r="H48" s="119"/>
      <c r="I48" s="119"/>
      <c r="J48" s="119"/>
      <c r="K48" s="119"/>
      <c r="L48" s="119"/>
      <c r="M48" s="119"/>
      <c r="N48" s="122"/>
      <c r="P48" s="121"/>
      <c r="Q48" s="119"/>
      <c r="R48" s="119"/>
      <c r="S48" s="119"/>
      <c r="T48" s="119"/>
      <c r="U48" s="180"/>
      <c r="V48" s="119"/>
      <c r="W48" s="119"/>
      <c r="X48" s="119"/>
      <c r="Y48" s="119"/>
      <c r="Z48" s="119"/>
      <c r="AA48" s="119"/>
      <c r="AB48" s="119"/>
      <c r="AC48" s="122"/>
    </row>
    <row r="49" spans="1:29" s="3" customFormat="1" ht="25.2">
      <c r="A49" s="121" t="s">
        <v>1982</v>
      </c>
      <c r="B49" s="119"/>
      <c r="C49" s="119"/>
      <c r="D49" s="119"/>
      <c r="E49" s="119"/>
      <c r="F49" s="184" t="s">
        <v>1983</v>
      </c>
      <c r="G49" s="180">
        <f>'Detail PL '!B70</f>
        <v>0</v>
      </c>
      <c r="H49" s="119"/>
      <c r="I49" s="119"/>
      <c r="J49" s="119"/>
      <c r="K49" s="119"/>
      <c r="L49" s="119"/>
      <c r="M49" s="119"/>
      <c r="N49" s="122"/>
      <c r="P49" s="121" t="s">
        <v>1982</v>
      </c>
      <c r="Q49" s="119"/>
      <c r="R49" s="119"/>
      <c r="S49" s="119"/>
      <c r="T49" s="119"/>
      <c r="U49" s="184" t="s">
        <v>1983</v>
      </c>
      <c r="V49" s="180">
        <f>'Detail PL '!B72</f>
        <v>0</v>
      </c>
      <c r="W49" s="119"/>
      <c r="X49" s="119"/>
      <c r="Y49" s="119"/>
      <c r="Z49" s="119"/>
      <c r="AA49" s="119"/>
      <c r="AB49" s="119"/>
      <c r="AC49" s="122"/>
    </row>
    <row r="50" spans="1:29" s="4" customFormat="1" ht="25.2">
      <c r="A50" s="121" t="s">
        <v>1984</v>
      </c>
      <c r="B50" s="119"/>
      <c r="C50" s="119"/>
      <c r="D50" s="119"/>
      <c r="E50" s="119"/>
      <c r="F50" s="180"/>
      <c r="G50" s="180"/>
      <c r="H50" s="119"/>
      <c r="I50" s="119"/>
      <c r="J50" s="119"/>
      <c r="K50" s="119"/>
      <c r="L50" s="119"/>
      <c r="M50" s="119"/>
      <c r="N50" s="122"/>
      <c r="P50" s="121" t="s">
        <v>1984</v>
      </c>
      <c r="Q50" s="119"/>
      <c r="R50" s="119"/>
      <c r="S50" s="119"/>
      <c r="T50" s="119"/>
      <c r="U50" s="180"/>
      <c r="V50" s="180"/>
      <c r="W50" s="119"/>
      <c r="X50" s="119"/>
      <c r="Y50" s="119"/>
      <c r="Z50" s="119"/>
      <c r="AA50" s="119"/>
      <c r="AB50" s="119"/>
      <c r="AC50" s="122"/>
    </row>
    <row r="51" spans="1:29" s="3" customFormat="1" ht="10.050000000000001" customHeight="1">
      <c r="A51" s="121"/>
      <c r="B51" s="119"/>
      <c r="C51" s="119"/>
      <c r="D51" s="119"/>
      <c r="E51" s="119"/>
      <c r="F51" s="180"/>
      <c r="G51" s="180"/>
      <c r="H51" s="119"/>
      <c r="I51" s="119"/>
      <c r="J51" s="119"/>
      <c r="K51" s="119"/>
      <c r="L51" s="119"/>
      <c r="M51" s="119"/>
      <c r="N51" s="122"/>
      <c r="P51" s="121"/>
      <c r="Q51" s="119"/>
      <c r="R51" s="119"/>
      <c r="S51" s="119"/>
      <c r="T51" s="119"/>
      <c r="U51" s="180"/>
      <c r="V51" s="180"/>
      <c r="W51" s="119"/>
      <c r="X51" s="119"/>
      <c r="Y51" s="119"/>
      <c r="Z51" s="119"/>
      <c r="AA51" s="119"/>
      <c r="AB51" s="119"/>
      <c r="AC51" s="122"/>
    </row>
    <row r="52" spans="1:29" s="3" customFormat="1" ht="25.2">
      <c r="A52" s="121" t="s">
        <v>1985</v>
      </c>
      <c r="B52" s="119"/>
      <c r="C52" s="119"/>
      <c r="D52" s="119"/>
      <c r="E52" s="119"/>
      <c r="F52" s="180" t="s">
        <v>1978</v>
      </c>
      <c r="G52" s="186">
        <f>'Detail PL '!K70</f>
        <v>1005</v>
      </c>
      <c r="H52" s="180" t="s">
        <v>1986</v>
      </c>
      <c r="I52" s="119"/>
      <c r="J52" s="119"/>
      <c r="K52" s="119"/>
      <c r="L52" s="119"/>
      <c r="M52" s="119"/>
      <c r="N52" s="122"/>
      <c r="P52" s="121" t="s">
        <v>1985</v>
      </c>
      <c r="Q52" s="119"/>
      <c r="R52" s="119"/>
      <c r="S52" s="119"/>
      <c r="T52" s="119"/>
      <c r="U52" s="180" t="s">
        <v>1978</v>
      </c>
      <c r="V52" s="186">
        <f>'Detail PL '!K72</f>
        <v>1005</v>
      </c>
      <c r="W52" s="180" t="s">
        <v>1986</v>
      </c>
      <c r="X52" s="119"/>
      <c r="Y52" s="119"/>
      <c r="Z52" s="119"/>
      <c r="AA52" s="119"/>
      <c r="AB52" s="119"/>
      <c r="AC52" s="122"/>
    </row>
    <row r="53" spans="1:29" s="4" customFormat="1" ht="25.2">
      <c r="A53" s="121" t="s">
        <v>1987</v>
      </c>
      <c r="B53" s="119"/>
      <c r="C53" s="119"/>
      <c r="D53" s="119"/>
      <c r="E53" s="119"/>
      <c r="F53" s="180"/>
      <c r="G53" s="180"/>
      <c r="H53" s="180"/>
      <c r="I53" s="119"/>
      <c r="J53" s="119"/>
      <c r="K53" s="119"/>
      <c r="L53" s="119"/>
      <c r="M53" s="119"/>
      <c r="N53" s="122"/>
      <c r="P53" s="121" t="s">
        <v>1987</v>
      </c>
      <c r="Q53" s="119"/>
      <c r="R53" s="119"/>
      <c r="S53" s="119"/>
      <c r="T53" s="119"/>
      <c r="U53" s="180"/>
      <c r="V53" s="180"/>
      <c r="W53" s="180"/>
      <c r="X53" s="119"/>
      <c r="Y53" s="119"/>
      <c r="Z53" s="119"/>
      <c r="AA53" s="119"/>
      <c r="AB53" s="119"/>
      <c r="AC53" s="122"/>
    </row>
    <row r="54" spans="1:29" s="3" customFormat="1" ht="10.050000000000001" customHeight="1">
      <c r="A54" s="121"/>
      <c r="B54" s="119"/>
      <c r="C54" s="119"/>
      <c r="D54" s="119"/>
      <c r="E54" s="119"/>
      <c r="F54" s="180"/>
      <c r="G54" s="180"/>
      <c r="H54" s="180"/>
      <c r="I54" s="119"/>
      <c r="J54" s="119"/>
      <c r="K54" s="119"/>
      <c r="L54" s="119"/>
      <c r="M54" s="119"/>
      <c r="N54" s="122"/>
      <c r="P54" s="121"/>
      <c r="Q54" s="119"/>
      <c r="R54" s="119"/>
      <c r="S54" s="119"/>
      <c r="T54" s="119"/>
      <c r="U54" s="180"/>
      <c r="V54" s="180"/>
      <c r="W54" s="180"/>
      <c r="X54" s="119"/>
      <c r="Y54" s="119"/>
      <c r="Z54" s="119"/>
      <c r="AA54" s="119"/>
      <c r="AB54" s="119"/>
      <c r="AC54" s="122"/>
    </row>
    <row r="55" spans="1:29" s="3" customFormat="1" ht="25.2">
      <c r="A55" s="121" t="s">
        <v>1988</v>
      </c>
      <c r="B55" s="119"/>
      <c r="C55" s="119"/>
      <c r="D55" s="119"/>
      <c r="E55" s="119"/>
      <c r="F55" s="180" t="s">
        <v>1978</v>
      </c>
      <c r="G55" s="186">
        <f>'Detail PL '!L70</f>
        <v>1105</v>
      </c>
      <c r="H55" s="180" t="s">
        <v>1986</v>
      </c>
      <c r="I55" s="119"/>
      <c r="J55" s="119"/>
      <c r="K55" s="119"/>
      <c r="L55" s="119"/>
      <c r="M55" s="119"/>
      <c r="N55" s="122"/>
      <c r="P55" s="121" t="s">
        <v>1988</v>
      </c>
      <c r="Q55" s="119"/>
      <c r="R55" s="119"/>
      <c r="S55" s="119"/>
      <c r="T55" s="119"/>
      <c r="U55" s="180" t="s">
        <v>1978</v>
      </c>
      <c r="V55" s="186">
        <f>'Detail PL '!L72</f>
        <v>1105</v>
      </c>
      <c r="W55" s="180" t="s">
        <v>1986</v>
      </c>
      <c r="X55" s="119"/>
      <c r="Y55" s="119"/>
      <c r="Z55" s="119"/>
      <c r="AA55" s="119"/>
      <c r="AB55" s="119"/>
      <c r="AC55" s="122"/>
    </row>
    <row r="56" spans="1:29" s="4" customFormat="1" ht="25.2">
      <c r="A56" s="121" t="s">
        <v>1989</v>
      </c>
      <c r="B56" s="119"/>
      <c r="C56" s="119"/>
      <c r="D56" s="119"/>
      <c r="E56" s="119"/>
      <c r="F56" s="180"/>
      <c r="G56" s="180"/>
      <c r="H56" s="119"/>
      <c r="I56" s="119"/>
      <c r="J56" s="119"/>
      <c r="K56" s="119"/>
      <c r="L56" s="119"/>
      <c r="M56" s="119"/>
      <c r="N56" s="122"/>
      <c r="P56" s="121" t="s">
        <v>1989</v>
      </c>
      <c r="Q56" s="119"/>
      <c r="R56" s="119"/>
      <c r="S56" s="119"/>
      <c r="T56" s="119"/>
      <c r="U56" s="180"/>
      <c r="V56" s="180"/>
      <c r="W56" s="119"/>
      <c r="X56" s="119"/>
      <c r="Y56" s="119"/>
      <c r="Z56" s="119"/>
      <c r="AA56" s="119"/>
      <c r="AB56" s="119"/>
      <c r="AC56" s="122"/>
    </row>
    <row r="57" spans="1:29" s="3" customFormat="1" ht="10.050000000000001" customHeight="1">
      <c r="A57" s="121"/>
      <c r="B57" s="119"/>
      <c r="C57" s="119"/>
      <c r="D57" s="119"/>
      <c r="E57" s="119"/>
      <c r="F57" s="180"/>
      <c r="G57" s="180"/>
      <c r="H57" s="119"/>
      <c r="I57" s="119"/>
      <c r="J57" s="119"/>
      <c r="K57" s="119"/>
      <c r="L57" s="119"/>
      <c r="M57" s="119"/>
      <c r="N57" s="122"/>
      <c r="P57" s="121"/>
      <c r="Q57" s="119"/>
      <c r="R57" s="119"/>
      <c r="S57" s="119"/>
      <c r="T57" s="119"/>
      <c r="U57" s="180"/>
      <c r="V57" s="180"/>
      <c r="W57" s="119"/>
      <c r="X57" s="119"/>
      <c r="Y57" s="119"/>
      <c r="Z57" s="119"/>
      <c r="AA57" s="119"/>
      <c r="AB57" s="119"/>
      <c r="AC57" s="122"/>
    </row>
    <row r="58" spans="1:29" s="3" customFormat="1" ht="25.2">
      <c r="A58" s="125" t="s">
        <v>1990</v>
      </c>
      <c r="B58" s="119"/>
      <c r="C58" s="119"/>
      <c r="D58" s="119"/>
      <c r="E58" s="119"/>
      <c r="F58" s="180" t="s">
        <v>1978</v>
      </c>
      <c r="G58" s="187">
        <f>'Detail PL '!J70</f>
        <v>8.6890000000000001</v>
      </c>
      <c r="H58" s="188" t="s">
        <v>1991</v>
      </c>
      <c r="I58" s="188"/>
      <c r="J58" s="188"/>
      <c r="K58" s="188"/>
      <c r="L58" s="119"/>
      <c r="M58" s="119"/>
      <c r="N58" s="122"/>
      <c r="P58" s="125" t="s">
        <v>1990</v>
      </c>
      <c r="Q58" s="119"/>
      <c r="R58" s="119"/>
      <c r="S58" s="119"/>
      <c r="T58" s="119"/>
      <c r="U58" s="180" t="s">
        <v>1978</v>
      </c>
      <c r="V58" s="187">
        <f>'Detail PL '!J72</f>
        <v>8.6890000000000001</v>
      </c>
      <c r="W58" s="188" t="s">
        <v>1991</v>
      </c>
      <c r="X58" s="188"/>
      <c r="Y58" s="188"/>
      <c r="Z58" s="188"/>
      <c r="AA58" s="119"/>
      <c r="AB58" s="119"/>
      <c r="AC58" s="122"/>
    </row>
    <row r="59" spans="1:29" s="4" customFormat="1" ht="25.2">
      <c r="A59" s="121" t="s">
        <v>1992</v>
      </c>
      <c r="B59" s="119"/>
      <c r="C59" s="119"/>
      <c r="D59" s="119"/>
      <c r="E59" s="119"/>
      <c r="F59" s="180"/>
      <c r="G59" s="180"/>
      <c r="H59" s="119"/>
      <c r="I59" s="119"/>
      <c r="J59" s="119"/>
      <c r="K59" s="119"/>
      <c r="L59" s="119"/>
      <c r="M59" s="119"/>
      <c r="N59" s="122"/>
      <c r="P59" s="121" t="s">
        <v>1992</v>
      </c>
      <c r="Q59" s="119"/>
      <c r="R59" s="119"/>
      <c r="S59" s="119"/>
      <c r="T59" s="119"/>
      <c r="U59" s="180"/>
      <c r="V59" s="180"/>
      <c r="W59" s="119"/>
      <c r="X59" s="119"/>
      <c r="Y59" s="119"/>
      <c r="Z59" s="119"/>
      <c r="AA59" s="119"/>
      <c r="AB59" s="119"/>
      <c r="AC59" s="122"/>
    </row>
    <row r="60" spans="1:29" s="3" customFormat="1" ht="10.050000000000001" customHeight="1">
      <c r="A60" s="121"/>
      <c r="B60" s="119"/>
      <c r="C60" s="119"/>
      <c r="D60" s="119"/>
      <c r="E60" s="119"/>
      <c r="F60" s="180"/>
      <c r="G60" s="180"/>
      <c r="H60" s="119"/>
      <c r="I60" s="119"/>
      <c r="J60" s="119"/>
      <c r="K60" s="119"/>
      <c r="L60" s="119"/>
      <c r="M60" s="119"/>
      <c r="N60" s="122"/>
      <c r="P60" s="121"/>
      <c r="Q60" s="119"/>
      <c r="R60" s="119"/>
      <c r="S60" s="119"/>
      <c r="T60" s="119"/>
      <c r="U60" s="180"/>
      <c r="V60" s="180"/>
      <c r="W60" s="119"/>
      <c r="X60" s="119"/>
      <c r="Y60" s="119"/>
      <c r="Z60" s="119"/>
      <c r="AA60" s="119"/>
      <c r="AB60" s="119"/>
      <c r="AC60" s="122"/>
    </row>
    <row r="61" spans="1:29" s="3" customFormat="1" ht="42">
      <c r="A61" s="121" t="s">
        <v>1993</v>
      </c>
      <c r="B61" s="119"/>
      <c r="C61" s="119"/>
      <c r="D61" s="119"/>
      <c r="E61" s="119"/>
      <c r="F61" s="179" t="s">
        <v>1994</v>
      </c>
      <c r="G61" s="462" t="s">
        <v>1995</v>
      </c>
      <c r="H61" s="462"/>
      <c r="I61" s="462"/>
      <c r="J61" s="462"/>
      <c r="K61" s="462"/>
      <c r="L61" s="462"/>
      <c r="M61" s="462"/>
      <c r="N61" s="122"/>
      <c r="P61" s="121" t="s">
        <v>1993</v>
      </c>
      <c r="Q61" s="119"/>
      <c r="R61" s="119"/>
      <c r="S61" s="119"/>
      <c r="T61" s="119"/>
      <c r="U61" s="179" t="s">
        <v>1994</v>
      </c>
      <c r="V61" s="462" t="s">
        <v>1995</v>
      </c>
      <c r="W61" s="462"/>
      <c r="X61" s="462"/>
      <c r="Y61" s="462"/>
      <c r="Z61" s="462"/>
      <c r="AA61" s="462"/>
      <c r="AB61" s="462"/>
      <c r="AC61" s="122"/>
    </row>
    <row r="62" spans="1:29" s="4" customFormat="1" ht="25.8" thickBot="1">
      <c r="A62" s="121" t="s">
        <v>1996</v>
      </c>
      <c r="B62" s="119"/>
      <c r="C62" s="119"/>
      <c r="D62" s="119"/>
      <c r="E62" s="119"/>
      <c r="F62" s="180"/>
      <c r="G62" s="463"/>
      <c r="H62" s="463"/>
      <c r="I62" s="463"/>
      <c r="J62" s="463"/>
      <c r="K62" s="463"/>
      <c r="L62" s="463"/>
      <c r="M62" s="463"/>
      <c r="N62" s="122"/>
      <c r="P62" s="121" t="s">
        <v>1996</v>
      </c>
      <c r="Q62" s="119"/>
      <c r="R62" s="119"/>
      <c r="S62" s="119"/>
      <c r="T62" s="119"/>
      <c r="U62" s="180"/>
      <c r="V62" s="463"/>
      <c r="W62" s="463"/>
      <c r="X62" s="463"/>
      <c r="Y62" s="463"/>
      <c r="Z62" s="463"/>
      <c r="AA62" s="463"/>
      <c r="AB62" s="463"/>
      <c r="AC62" s="122"/>
    </row>
    <row r="63" spans="1:29">
      <c r="A63" s="115"/>
      <c r="B63" s="116"/>
      <c r="C63" s="116"/>
      <c r="D63" s="116"/>
      <c r="E63" s="459" t="s">
        <v>1997</v>
      </c>
      <c r="F63" s="460"/>
      <c r="G63" s="460"/>
      <c r="H63" s="460"/>
      <c r="I63" s="460"/>
      <c r="J63" s="460"/>
      <c r="K63" s="460"/>
      <c r="L63" s="117"/>
      <c r="M63" s="117"/>
      <c r="N63" s="118"/>
      <c r="P63" s="115"/>
      <c r="Q63" s="116"/>
      <c r="R63" s="116"/>
      <c r="S63" s="116"/>
      <c r="T63" s="459" t="s">
        <v>1997</v>
      </c>
      <c r="U63" s="460"/>
      <c r="V63" s="460"/>
      <c r="W63" s="460"/>
      <c r="X63" s="460"/>
      <c r="Y63" s="460"/>
      <c r="Z63" s="460"/>
      <c r="AA63" s="117"/>
      <c r="AB63" s="117"/>
      <c r="AC63" s="118"/>
    </row>
    <row r="64" spans="1:29" ht="25.5" customHeight="1" thickBot="1">
      <c r="A64" s="126"/>
      <c r="B64" s="127"/>
      <c r="C64" s="127"/>
      <c r="D64" s="127"/>
      <c r="E64" s="461"/>
      <c r="F64" s="461"/>
      <c r="G64" s="461"/>
      <c r="H64" s="461"/>
      <c r="I64" s="461"/>
      <c r="J64" s="461"/>
      <c r="K64" s="461"/>
      <c r="L64" s="128"/>
      <c r="M64" s="128"/>
      <c r="N64" s="129"/>
      <c r="P64" s="126"/>
      <c r="Q64" s="127"/>
      <c r="R64" s="127"/>
      <c r="S64" s="127"/>
      <c r="T64" s="461"/>
      <c r="U64" s="461"/>
      <c r="V64" s="461"/>
      <c r="W64" s="461"/>
      <c r="X64" s="461"/>
      <c r="Y64" s="461"/>
      <c r="Z64" s="461"/>
      <c r="AA64" s="128"/>
      <c r="AB64" s="128"/>
      <c r="AC64" s="129"/>
    </row>
    <row r="65" spans="1:29" ht="95.1" customHeight="1" thickBot="1">
      <c r="A65" s="456" t="s">
        <v>1964</v>
      </c>
      <c r="B65" s="457"/>
      <c r="C65" s="457"/>
      <c r="D65" s="457"/>
      <c r="E65" s="457"/>
      <c r="F65" s="457"/>
      <c r="G65" s="457"/>
      <c r="H65" s="457"/>
      <c r="I65" s="457"/>
      <c r="J65" s="457"/>
      <c r="K65" s="457"/>
      <c r="L65" s="457"/>
      <c r="M65" s="457"/>
      <c r="N65" s="458"/>
      <c r="O65" s="189"/>
      <c r="P65" s="456" t="s">
        <v>1964</v>
      </c>
      <c r="Q65" s="457"/>
      <c r="R65" s="457"/>
      <c r="S65" s="457"/>
      <c r="T65" s="457"/>
      <c r="U65" s="457"/>
      <c r="V65" s="457"/>
      <c r="W65" s="457"/>
      <c r="X65" s="457"/>
      <c r="Y65" s="457"/>
      <c r="Z65" s="457"/>
      <c r="AA65" s="457"/>
      <c r="AB65" s="457"/>
      <c r="AC65" s="458"/>
    </row>
    <row r="66" spans="1:29" s="3" customFormat="1" ht="37.5" customHeight="1">
      <c r="A66" s="130" t="s">
        <v>1965</v>
      </c>
      <c r="B66" s="179"/>
      <c r="C66" s="179"/>
      <c r="D66" s="119"/>
      <c r="E66" s="119"/>
      <c r="F66" s="180" t="s">
        <v>1966</v>
      </c>
      <c r="G66" s="180" t="s">
        <v>1967</v>
      </c>
      <c r="H66" s="180"/>
      <c r="I66" s="180"/>
      <c r="J66" s="180"/>
      <c r="K66" s="180"/>
      <c r="L66" s="180"/>
      <c r="M66" s="180"/>
      <c r="N66" s="147"/>
      <c r="O66" s="190"/>
      <c r="P66" s="130" t="s">
        <v>1965</v>
      </c>
      <c r="Q66" s="179"/>
      <c r="R66" s="179"/>
      <c r="S66" s="119"/>
      <c r="T66" s="119"/>
      <c r="U66" s="180" t="s">
        <v>1966</v>
      </c>
      <c r="V66" s="180" t="s">
        <v>1967</v>
      </c>
      <c r="W66" s="180"/>
      <c r="X66" s="180"/>
      <c r="Y66" s="180"/>
      <c r="Z66" s="180"/>
      <c r="AA66" s="180"/>
      <c r="AB66" s="180"/>
      <c r="AC66" s="147"/>
    </row>
    <row r="67" spans="1:29" s="4" customFormat="1" ht="25.2">
      <c r="A67" s="121" t="s">
        <v>1968</v>
      </c>
      <c r="B67" s="119"/>
      <c r="C67" s="119"/>
      <c r="D67" s="119"/>
      <c r="E67" s="119"/>
      <c r="F67" s="180"/>
      <c r="G67" s="180" t="s">
        <v>1969</v>
      </c>
      <c r="H67" s="180"/>
      <c r="I67" s="180"/>
      <c r="J67" s="180"/>
      <c r="K67" s="180"/>
      <c r="L67" s="180"/>
      <c r="M67" s="180"/>
      <c r="N67" s="147"/>
      <c r="P67" s="121" t="s">
        <v>1968</v>
      </c>
      <c r="Q67" s="119"/>
      <c r="R67" s="119"/>
      <c r="S67" s="119"/>
      <c r="T67" s="119"/>
      <c r="U67" s="180"/>
      <c r="V67" s="180" t="s">
        <v>1969</v>
      </c>
      <c r="W67" s="180"/>
      <c r="X67" s="180"/>
      <c r="Y67" s="180"/>
      <c r="Z67" s="180"/>
      <c r="AA67" s="180"/>
      <c r="AB67" s="180"/>
      <c r="AC67" s="147"/>
    </row>
    <row r="68" spans="1:29" s="3" customFormat="1" ht="10.050000000000001" customHeight="1">
      <c r="A68" s="121"/>
      <c r="B68" s="119"/>
      <c r="C68" s="119"/>
      <c r="D68" s="119"/>
      <c r="E68" s="119"/>
      <c r="F68" s="180"/>
      <c r="G68" s="119"/>
      <c r="H68" s="119"/>
      <c r="I68" s="119"/>
      <c r="J68" s="119"/>
      <c r="K68" s="119"/>
      <c r="L68" s="119"/>
      <c r="M68" s="119"/>
      <c r="N68" s="122"/>
      <c r="P68" s="121"/>
      <c r="Q68" s="119"/>
      <c r="R68" s="119"/>
      <c r="S68" s="119"/>
      <c r="T68" s="119"/>
      <c r="U68" s="180"/>
      <c r="V68" s="119"/>
      <c r="W68" s="119"/>
      <c r="X68" s="119"/>
      <c r="Y68" s="119"/>
      <c r="Z68" s="119"/>
      <c r="AA68" s="119"/>
      <c r="AB68" s="119"/>
      <c r="AC68" s="122"/>
    </row>
    <row r="69" spans="1:29" s="3" customFormat="1" ht="42.75" customHeight="1">
      <c r="A69" s="121" t="s">
        <v>1970</v>
      </c>
      <c r="B69" s="119"/>
      <c r="C69" s="119"/>
      <c r="D69" s="119"/>
      <c r="E69" s="119"/>
      <c r="F69" s="180" t="s">
        <v>1966</v>
      </c>
      <c r="G69" s="180" t="s">
        <v>1971</v>
      </c>
      <c r="H69" s="119"/>
      <c r="I69" s="119"/>
      <c r="J69" s="119"/>
      <c r="K69" s="119"/>
      <c r="L69" s="119"/>
      <c r="M69" s="119"/>
      <c r="N69" s="122"/>
      <c r="P69" s="121" t="s">
        <v>1970</v>
      </c>
      <c r="Q69" s="119"/>
      <c r="R69" s="119"/>
      <c r="S69" s="119"/>
      <c r="T69" s="119"/>
      <c r="U69" s="180" t="s">
        <v>1966</v>
      </c>
      <c r="V69" s="180" t="s">
        <v>1971</v>
      </c>
      <c r="W69" s="119"/>
      <c r="X69" s="119"/>
      <c r="Y69" s="119"/>
      <c r="Z69" s="119"/>
      <c r="AA69" s="119"/>
      <c r="AB69" s="119"/>
      <c r="AC69" s="122"/>
    </row>
    <row r="70" spans="1:29" s="4" customFormat="1" ht="25.2">
      <c r="A70" s="121" t="s">
        <v>1972</v>
      </c>
      <c r="B70" s="119"/>
      <c r="C70" s="119"/>
      <c r="D70" s="119"/>
      <c r="E70" s="119"/>
      <c r="F70" s="181"/>
      <c r="G70" s="180"/>
      <c r="H70" s="119"/>
      <c r="I70" s="119"/>
      <c r="J70" s="119"/>
      <c r="K70" s="119"/>
      <c r="L70" s="119"/>
      <c r="M70" s="119"/>
      <c r="N70" s="122"/>
      <c r="P70" s="121" t="s">
        <v>1972</v>
      </c>
      <c r="Q70" s="119"/>
      <c r="R70" s="119"/>
      <c r="S70" s="119"/>
      <c r="T70" s="119"/>
      <c r="U70" s="181"/>
      <c r="V70" s="180"/>
      <c r="W70" s="119"/>
      <c r="X70" s="119"/>
      <c r="Y70" s="119"/>
      <c r="Z70" s="119"/>
      <c r="AA70" s="119"/>
      <c r="AB70" s="119"/>
      <c r="AC70" s="122"/>
    </row>
    <row r="71" spans="1:29" s="3" customFormat="1" ht="10.050000000000001" customHeight="1">
      <c r="A71" s="121"/>
      <c r="B71" s="119"/>
      <c r="C71" s="119"/>
      <c r="D71" s="119"/>
      <c r="E71" s="119"/>
      <c r="F71" s="182"/>
      <c r="G71" s="182"/>
      <c r="H71" s="119"/>
      <c r="I71" s="119"/>
      <c r="J71" s="119"/>
      <c r="K71" s="119"/>
      <c r="L71" s="119"/>
      <c r="M71" s="119"/>
      <c r="N71" s="122"/>
      <c r="P71" s="121"/>
      <c r="Q71" s="119"/>
      <c r="R71" s="119"/>
      <c r="S71" s="119"/>
      <c r="T71" s="119"/>
      <c r="U71" s="182"/>
      <c r="V71" s="182"/>
      <c r="W71" s="119"/>
      <c r="X71" s="119"/>
      <c r="Y71" s="119"/>
      <c r="Z71" s="119"/>
      <c r="AA71" s="119"/>
      <c r="AB71" s="119"/>
      <c r="AC71" s="122"/>
    </row>
    <row r="72" spans="1:29" s="3" customFormat="1" ht="25.2">
      <c r="A72" s="121" t="s">
        <v>1973</v>
      </c>
      <c r="B72" s="119"/>
      <c r="C72" s="119"/>
      <c r="D72" s="119"/>
      <c r="E72" s="119"/>
      <c r="F72" s="180" t="s">
        <v>1974</v>
      </c>
      <c r="G72" s="119"/>
      <c r="H72" s="119"/>
      <c r="I72" s="119"/>
      <c r="J72" s="119"/>
      <c r="K72" s="119"/>
      <c r="L72" s="119"/>
      <c r="M72" s="119"/>
      <c r="N72" s="122"/>
      <c r="P72" s="121" t="s">
        <v>1973</v>
      </c>
      <c r="Q72" s="119"/>
      <c r="R72" s="119"/>
      <c r="S72" s="119"/>
      <c r="T72" s="119"/>
      <c r="U72" s="180" t="s">
        <v>1974</v>
      </c>
      <c r="V72" s="119"/>
      <c r="W72" s="119"/>
      <c r="X72" s="119"/>
      <c r="Y72" s="119"/>
      <c r="Z72" s="119"/>
      <c r="AA72" s="119"/>
      <c r="AB72" s="119"/>
      <c r="AC72" s="122"/>
    </row>
    <row r="73" spans="1:29" s="4" customFormat="1" ht="25.2">
      <c r="A73" s="121" t="s">
        <v>1975</v>
      </c>
      <c r="B73" s="119"/>
      <c r="C73" s="119"/>
      <c r="D73" s="119"/>
      <c r="E73" s="119"/>
      <c r="F73" s="180" t="s">
        <v>1976</v>
      </c>
      <c r="G73" s="119"/>
      <c r="H73" s="119"/>
      <c r="I73" s="119"/>
      <c r="J73" s="119"/>
      <c r="K73" s="119"/>
      <c r="L73" s="119"/>
      <c r="M73" s="119"/>
      <c r="N73" s="122"/>
      <c r="P73" s="121" t="s">
        <v>1975</v>
      </c>
      <c r="Q73" s="119"/>
      <c r="R73" s="119"/>
      <c r="S73" s="119"/>
      <c r="T73" s="119"/>
      <c r="U73" s="180" t="s">
        <v>1976</v>
      </c>
      <c r="V73" s="119"/>
      <c r="W73" s="119"/>
      <c r="X73" s="119"/>
      <c r="Y73" s="119"/>
      <c r="Z73" s="119"/>
      <c r="AA73" s="119"/>
      <c r="AB73" s="119"/>
      <c r="AC73" s="122"/>
    </row>
    <row r="74" spans="1:29" s="3" customFormat="1" ht="10.050000000000001" customHeight="1">
      <c r="A74" s="121"/>
      <c r="B74" s="119"/>
      <c r="C74" s="119"/>
      <c r="D74" s="119"/>
      <c r="E74" s="119"/>
      <c r="F74" s="180"/>
      <c r="G74" s="119"/>
      <c r="H74" s="119"/>
      <c r="I74" s="119"/>
      <c r="J74" s="119"/>
      <c r="K74" s="119"/>
      <c r="L74" s="119"/>
      <c r="M74" s="119"/>
      <c r="N74" s="122"/>
      <c r="P74" s="121"/>
      <c r="Q74" s="119"/>
      <c r="R74" s="119"/>
      <c r="S74" s="119"/>
      <c r="T74" s="119"/>
      <c r="U74" s="180"/>
      <c r="V74" s="119"/>
      <c r="W74" s="119"/>
      <c r="X74" s="119"/>
      <c r="Y74" s="119"/>
      <c r="Z74" s="119"/>
      <c r="AA74" s="119"/>
      <c r="AB74" s="119"/>
      <c r="AC74" s="122"/>
    </row>
    <row r="75" spans="1:29" s="3" customFormat="1" ht="25.2">
      <c r="A75" s="121" t="s">
        <v>1977</v>
      </c>
      <c r="B75" s="119"/>
      <c r="C75" s="119"/>
      <c r="D75" s="119"/>
      <c r="E75" s="119"/>
      <c r="F75" s="180" t="s">
        <v>1978</v>
      </c>
      <c r="G75" s="180" t="s">
        <v>278</v>
      </c>
      <c r="H75" s="119"/>
      <c r="I75" s="119"/>
      <c r="J75" s="119"/>
      <c r="K75" s="119"/>
      <c r="L75" s="119"/>
      <c r="M75" s="119"/>
      <c r="N75" s="122"/>
      <c r="P75" s="121" t="s">
        <v>1977</v>
      </c>
      <c r="Q75" s="119"/>
      <c r="R75" s="119"/>
      <c r="S75" s="119"/>
      <c r="T75" s="119"/>
      <c r="U75" s="180" t="s">
        <v>1978</v>
      </c>
      <c r="V75" s="180" t="s">
        <v>278</v>
      </c>
      <c r="W75" s="119"/>
      <c r="X75" s="119"/>
      <c r="Y75" s="119"/>
      <c r="Z75" s="119"/>
      <c r="AA75" s="119"/>
      <c r="AB75" s="119"/>
      <c r="AC75" s="122"/>
    </row>
    <row r="76" spans="1:29" s="3" customFormat="1" ht="25.2">
      <c r="A76" s="121" t="s">
        <v>1979</v>
      </c>
      <c r="B76" s="119"/>
      <c r="C76" s="119"/>
      <c r="D76" s="119"/>
      <c r="E76" s="119"/>
      <c r="F76" s="180"/>
      <c r="G76" s="119"/>
      <c r="H76" s="119"/>
      <c r="I76" s="119"/>
      <c r="J76" s="119"/>
      <c r="K76" s="119"/>
      <c r="L76" s="119"/>
      <c r="M76" s="119"/>
      <c r="N76" s="122"/>
      <c r="P76" s="121" t="s">
        <v>1979</v>
      </c>
      <c r="Q76" s="119"/>
      <c r="R76" s="119"/>
      <c r="S76" s="119"/>
      <c r="T76" s="119"/>
      <c r="U76" s="180"/>
      <c r="V76" s="119"/>
      <c r="W76" s="119"/>
      <c r="X76" s="119"/>
      <c r="Y76" s="119"/>
      <c r="Z76" s="119"/>
      <c r="AA76" s="119"/>
      <c r="AB76" s="119"/>
      <c r="AC76" s="122"/>
    </row>
    <row r="77" spans="1:29" s="3" customFormat="1" ht="10.050000000000001" customHeight="1">
      <c r="A77" s="121"/>
      <c r="B77" s="119"/>
      <c r="C77" s="119"/>
      <c r="D77" s="119"/>
      <c r="E77" s="119"/>
      <c r="F77" s="180"/>
      <c r="G77" s="119"/>
      <c r="H77" s="119"/>
      <c r="I77" s="119"/>
      <c r="J77" s="119"/>
      <c r="K77" s="119"/>
      <c r="L77" s="119"/>
      <c r="M77" s="119"/>
      <c r="N77" s="122"/>
      <c r="P77" s="121"/>
      <c r="Q77" s="119"/>
      <c r="R77" s="119"/>
      <c r="S77" s="119"/>
      <c r="T77" s="119"/>
      <c r="U77" s="180"/>
      <c r="V77" s="119"/>
      <c r="W77" s="119"/>
      <c r="X77" s="119"/>
      <c r="Y77" s="119"/>
      <c r="Z77" s="119"/>
      <c r="AA77" s="119"/>
      <c r="AB77" s="119"/>
      <c r="AC77" s="122"/>
    </row>
    <row r="78" spans="1:29" s="3" customFormat="1" ht="25.2">
      <c r="A78" s="123" t="s">
        <v>1980</v>
      </c>
      <c r="B78" s="183"/>
      <c r="C78" s="183"/>
      <c r="D78" s="183"/>
      <c r="E78" s="183"/>
      <c r="F78" s="184" t="s">
        <v>1966</v>
      </c>
      <c r="G78" s="185">
        <f>'Detail PL '!C425</f>
        <v>0</v>
      </c>
      <c r="H78" s="183"/>
      <c r="I78" s="183"/>
      <c r="J78" s="183"/>
      <c r="K78" s="183"/>
      <c r="L78" s="183"/>
      <c r="M78" s="183"/>
      <c r="N78" s="124"/>
      <c r="P78" s="123" t="s">
        <v>1980</v>
      </c>
      <c r="Q78" s="183"/>
      <c r="R78" s="183"/>
      <c r="S78" s="183"/>
      <c r="T78" s="183"/>
      <c r="U78" s="184" t="s">
        <v>1966</v>
      </c>
      <c r="V78" s="185">
        <f>'Detail PL '!C440</f>
        <v>0</v>
      </c>
      <c r="W78" s="183"/>
      <c r="X78" s="183"/>
      <c r="Y78" s="183"/>
      <c r="Z78" s="183"/>
      <c r="AA78" s="183"/>
      <c r="AB78" s="183"/>
      <c r="AC78" s="124"/>
    </row>
    <row r="79" spans="1:29" s="3" customFormat="1" ht="25.2">
      <c r="A79" s="123" t="s">
        <v>1981</v>
      </c>
      <c r="B79" s="183"/>
      <c r="C79" s="183"/>
      <c r="D79" s="183"/>
      <c r="E79" s="183"/>
      <c r="F79" s="184"/>
      <c r="G79" s="183"/>
      <c r="H79" s="183"/>
      <c r="I79" s="183"/>
      <c r="J79" s="183"/>
      <c r="K79" s="183"/>
      <c r="L79" s="183"/>
      <c r="M79" s="183"/>
      <c r="N79" s="124"/>
      <c r="P79" s="123" t="s">
        <v>1981</v>
      </c>
      <c r="Q79" s="183"/>
      <c r="R79" s="183"/>
      <c r="S79" s="183"/>
      <c r="T79" s="183"/>
      <c r="U79" s="184"/>
      <c r="V79" s="183"/>
      <c r="W79" s="183"/>
      <c r="X79" s="183"/>
      <c r="Y79" s="183"/>
      <c r="Z79" s="183"/>
      <c r="AA79" s="183"/>
      <c r="AB79" s="183"/>
      <c r="AC79" s="124"/>
    </row>
    <row r="80" spans="1:29" s="3" customFormat="1" ht="10.050000000000001" customHeight="1">
      <c r="A80" s="121"/>
      <c r="B80" s="119"/>
      <c r="C80" s="119"/>
      <c r="D80" s="119"/>
      <c r="E80" s="119"/>
      <c r="F80" s="180"/>
      <c r="G80" s="119"/>
      <c r="H80" s="119"/>
      <c r="I80" s="119"/>
      <c r="J80" s="119"/>
      <c r="K80" s="119"/>
      <c r="L80" s="119"/>
      <c r="M80" s="119"/>
      <c r="N80" s="122"/>
      <c r="P80" s="121"/>
      <c r="Q80" s="119"/>
      <c r="R80" s="119"/>
      <c r="S80" s="119"/>
      <c r="T80" s="119"/>
      <c r="U80" s="180"/>
      <c r="V80" s="119"/>
      <c r="W80" s="119"/>
      <c r="X80" s="119"/>
      <c r="Y80" s="119"/>
      <c r="Z80" s="119"/>
      <c r="AA80" s="119"/>
      <c r="AB80" s="119"/>
      <c r="AC80" s="122"/>
    </row>
    <row r="81" spans="1:29" s="3" customFormat="1" ht="25.2">
      <c r="A81" s="121" t="s">
        <v>1982</v>
      </c>
      <c r="B81" s="119"/>
      <c r="C81" s="119"/>
      <c r="D81" s="119"/>
      <c r="E81" s="119"/>
      <c r="F81" s="184" t="s">
        <v>1983</v>
      </c>
      <c r="G81" s="180">
        <f>'Detail PL '!B425</f>
        <v>0</v>
      </c>
      <c r="H81" s="119"/>
      <c r="I81" s="119"/>
      <c r="J81" s="119"/>
      <c r="K81" s="119"/>
      <c r="L81" s="119"/>
      <c r="M81" s="119"/>
      <c r="N81" s="122"/>
      <c r="P81" s="121" t="s">
        <v>1982</v>
      </c>
      <c r="Q81" s="119"/>
      <c r="R81" s="119"/>
      <c r="S81" s="119"/>
      <c r="T81" s="119"/>
      <c r="U81" s="184" t="s">
        <v>1983</v>
      </c>
      <c r="V81" s="180">
        <f>'Detail PL '!B440</f>
        <v>0</v>
      </c>
      <c r="W81" s="119"/>
      <c r="X81" s="119"/>
      <c r="Y81" s="119"/>
      <c r="Z81" s="119"/>
      <c r="AA81" s="119"/>
      <c r="AB81" s="119"/>
      <c r="AC81" s="122"/>
    </row>
    <row r="82" spans="1:29" s="4" customFormat="1" ht="25.2">
      <c r="A82" s="121" t="s">
        <v>1984</v>
      </c>
      <c r="B82" s="119"/>
      <c r="C82" s="119"/>
      <c r="D82" s="119"/>
      <c r="E82" s="119"/>
      <c r="F82" s="180"/>
      <c r="G82" s="180"/>
      <c r="H82" s="119"/>
      <c r="I82" s="119"/>
      <c r="J82" s="119"/>
      <c r="K82" s="119"/>
      <c r="L82" s="119"/>
      <c r="M82" s="119"/>
      <c r="N82" s="122"/>
      <c r="P82" s="121" t="s">
        <v>1984</v>
      </c>
      <c r="Q82" s="119"/>
      <c r="R82" s="119"/>
      <c r="S82" s="119"/>
      <c r="T82" s="119"/>
      <c r="U82" s="180"/>
      <c r="V82" s="180"/>
      <c r="W82" s="119"/>
      <c r="X82" s="119"/>
      <c r="Y82" s="119"/>
      <c r="Z82" s="119"/>
      <c r="AA82" s="119"/>
      <c r="AB82" s="119"/>
      <c r="AC82" s="122"/>
    </row>
    <row r="83" spans="1:29" s="3" customFormat="1" ht="10.050000000000001" customHeight="1">
      <c r="A83" s="121"/>
      <c r="B83" s="119"/>
      <c r="C83" s="119"/>
      <c r="D83" s="119"/>
      <c r="E83" s="119"/>
      <c r="F83" s="180"/>
      <c r="G83" s="180"/>
      <c r="H83" s="119"/>
      <c r="I83" s="119"/>
      <c r="J83" s="119"/>
      <c r="K83" s="119"/>
      <c r="L83" s="119"/>
      <c r="M83" s="119"/>
      <c r="N83" s="122"/>
      <c r="P83" s="121"/>
      <c r="Q83" s="119"/>
      <c r="R83" s="119"/>
      <c r="S83" s="119"/>
      <c r="T83" s="119"/>
      <c r="U83" s="180"/>
      <c r="V83" s="180"/>
      <c r="W83" s="119"/>
      <c r="X83" s="119"/>
      <c r="Y83" s="119"/>
      <c r="Z83" s="119"/>
      <c r="AA83" s="119"/>
      <c r="AB83" s="119"/>
      <c r="AC83" s="122"/>
    </row>
    <row r="84" spans="1:29" s="3" customFormat="1" ht="25.2">
      <c r="A84" s="121" t="s">
        <v>1985</v>
      </c>
      <c r="B84" s="119"/>
      <c r="C84" s="119"/>
      <c r="D84" s="119"/>
      <c r="E84" s="119"/>
      <c r="F84" s="180" t="s">
        <v>1978</v>
      </c>
      <c r="G84" s="186">
        <f>'Detail PL '!K425</f>
        <v>1870.5</v>
      </c>
      <c r="H84" s="180" t="s">
        <v>1986</v>
      </c>
      <c r="I84" s="119"/>
      <c r="J84" s="119"/>
      <c r="K84" s="119"/>
      <c r="L84" s="119"/>
      <c r="M84" s="119"/>
      <c r="N84" s="122"/>
      <c r="P84" s="121" t="s">
        <v>1985</v>
      </c>
      <c r="Q84" s="119"/>
      <c r="R84" s="119"/>
      <c r="S84" s="119"/>
      <c r="T84" s="119"/>
      <c r="U84" s="180" t="s">
        <v>1978</v>
      </c>
      <c r="V84" s="186">
        <f>'Detail PL '!K440</f>
        <v>539</v>
      </c>
      <c r="W84" s="180" t="s">
        <v>1986</v>
      </c>
      <c r="X84" s="119"/>
      <c r="Y84" s="119"/>
      <c r="Z84" s="119"/>
      <c r="AA84" s="119"/>
      <c r="AB84" s="119"/>
      <c r="AC84" s="122"/>
    </row>
    <row r="85" spans="1:29" s="4" customFormat="1" ht="25.2">
      <c r="A85" s="121" t="s">
        <v>1987</v>
      </c>
      <c r="B85" s="119"/>
      <c r="C85" s="119"/>
      <c r="D85" s="119"/>
      <c r="E85" s="119"/>
      <c r="F85" s="180"/>
      <c r="G85" s="180"/>
      <c r="H85" s="180"/>
      <c r="I85" s="119"/>
      <c r="J85" s="119"/>
      <c r="K85" s="119"/>
      <c r="L85" s="119"/>
      <c r="M85" s="119"/>
      <c r="N85" s="122"/>
      <c r="P85" s="121" t="s">
        <v>1987</v>
      </c>
      <c r="Q85" s="119"/>
      <c r="R85" s="119"/>
      <c r="S85" s="119"/>
      <c r="T85" s="119"/>
      <c r="U85" s="180"/>
      <c r="V85" s="180"/>
      <c r="W85" s="180"/>
      <c r="X85" s="119"/>
      <c r="Y85" s="119"/>
      <c r="Z85" s="119"/>
      <c r="AA85" s="119"/>
      <c r="AB85" s="119"/>
      <c r="AC85" s="122"/>
    </row>
    <row r="86" spans="1:29" s="3" customFormat="1" ht="10.050000000000001" customHeight="1">
      <c r="A86" s="121"/>
      <c r="B86" s="119"/>
      <c r="C86" s="119"/>
      <c r="D86" s="119"/>
      <c r="E86" s="119"/>
      <c r="F86" s="180"/>
      <c r="G86" s="180"/>
      <c r="H86" s="180"/>
      <c r="I86" s="119"/>
      <c r="J86" s="119"/>
      <c r="K86" s="119"/>
      <c r="L86" s="119"/>
      <c r="M86" s="119"/>
      <c r="N86" s="122"/>
      <c r="P86" s="121"/>
      <c r="Q86" s="119"/>
      <c r="R86" s="119"/>
      <c r="S86" s="119"/>
      <c r="T86" s="119"/>
      <c r="U86" s="180"/>
      <c r="V86" s="180"/>
      <c r="W86" s="180"/>
      <c r="X86" s="119"/>
      <c r="Y86" s="119"/>
      <c r="Z86" s="119"/>
      <c r="AA86" s="119"/>
      <c r="AB86" s="119"/>
      <c r="AC86" s="122"/>
    </row>
    <row r="87" spans="1:29" s="3" customFormat="1" ht="25.2">
      <c r="A87" s="121" t="s">
        <v>1988</v>
      </c>
      <c r="B87" s="119"/>
      <c r="C87" s="119"/>
      <c r="D87" s="119"/>
      <c r="E87" s="119"/>
      <c r="F87" s="180" t="s">
        <v>1978</v>
      </c>
      <c r="G87" s="186">
        <f>'Detail PL '!L425</f>
        <v>1970.5</v>
      </c>
      <c r="H87" s="180" t="s">
        <v>1986</v>
      </c>
      <c r="I87" s="119"/>
      <c r="J87" s="119"/>
      <c r="K87" s="119"/>
      <c r="L87" s="119"/>
      <c r="M87" s="119"/>
      <c r="N87" s="122"/>
      <c r="P87" s="121" t="s">
        <v>1988</v>
      </c>
      <c r="Q87" s="119"/>
      <c r="R87" s="119"/>
      <c r="S87" s="119"/>
      <c r="T87" s="119"/>
      <c r="U87" s="180" t="s">
        <v>1978</v>
      </c>
      <c r="V87" s="186">
        <f>'Detail PL '!L440</f>
        <v>600</v>
      </c>
      <c r="W87" s="180" t="s">
        <v>1986</v>
      </c>
      <c r="X87" s="119"/>
      <c r="Y87" s="119"/>
      <c r="Z87" s="119"/>
      <c r="AA87" s="119"/>
      <c r="AB87" s="119"/>
      <c r="AC87" s="122"/>
    </row>
    <row r="88" spans="1:29" s="4" customFormat="1" ht="25.2">
      <c r="A88" s="121" t="s">
        <v>1989</v>
      </c>
      <c r="B88" s="119"/>
      <c r="C88" s="119"/>
      <c r="D88" s="119"/>
      <c r="E88" s="119"/>
      <c r="F88" s="180"/>
      <c r="G88" s="180"/>
      <c r="H88" s="119"/>
      <c r="I88" s="119"/>
      <c r="J88" s="119"/>
      <c r="K88" s="119"/>
      <c r="L88" s="119"/>
      <c r="M88" s="119"/>
      <c r="N88" s="122"/>
      <c r="P88" s="121" t="s">
        <v>1989</v>
      </c>
      <c r="Q88" s="119"/>
      <c r="R88" s="119"/>
      <c r="S88" s="119"/>
      <c r="T88" s="119"/>
      <c r="U88" s="180"/>
      <c r="V88" s="180"/>
      <c r="W88" s="119"/>
      <c r="X88" s="119"/>
      <c r="Y88" s="119"/>
      <c r="Z88" s="119"/>
      <c r="AA88" s="119"/>
      <c r="AB88" s="119"/>
      <c r="AC88" s="122"/>
    </row>
    <row r="89" spans="1:29" s="3" customFormat="1" ht="10.050000000000001" customHeight="1">
      <c r="A89" s="121"/>
      <c r="B89" s="119"/>
      <c r="C89" s="119"/>
      <c r="D89" s="119"/>
      <c r="E89" s="119"/>
      <c r="F89" s="180"/>
      <c r="G89" s="180"/>
      <c r="H89" s="119"/>
      <c r="I89" s="119"/>
      <c r="J89" s="119"/>
      <c r="K89" s="119"/>
      <c r="L89" s="119"/>
      <c r="M89" s="119"/>
      <c r="N89" s="122"/>
      <c r="P89" s="121"/>
      <c r="Q89" s="119"/>
      <c r="R89" s="119"/>
      <c r="S89" s="119"/>
      <c r="T89" s="119"/>
      <c r="U89" s="180"/>
      <c r="V89" s="180"/>
      <c r="W89" s="119"/>
      <c r="X89" s="119"/>
      <c r="Y89" s="119"/>
      <c r="Z89" s="119"/>
      <c r="AA89" s="119"/>
      <c r="AB89" s="119"/>
      <c r="AC89" s="122"/>
    </row>
    <row r="90" spans="1:29" s="3" customFormat="1" ht="25.2">
      <c r="A90" s="125" t="s">
        <v>1990</v>
      </c>
      <c r="B90" s="119"/>
      <c r="C90" s="119"/>
      <c r="D90" s="119"/>
      <c r="E90" s="119"/>
      <c r="F90" s="180" t="s">
        <v>1978</v>
      </c>
      <c r="G90" s="187">
        <f>'Detail PL '!J425</f>
        <v>2.9729999999999999</v>
      </c>
      <c r="H90" s="188" t="s">
        <v>1991</v>
      </c>
      <c r="I90" s="188"/>
      <c r="J90" s="188"/>
      <c r="K90" s="188"/>
      <c r="L90" s="119"/>
      <c r="M90" s="119"/>
      <c r="N90" s="122"/>
      <c r="P90" s="125" t="s">
        <v>1990</v>
      </c>
      <c r="Q90" s="119"/>
      <c r="R90" s="119"/>
      <c r="S90" s="119"/>
      <c r="T90" s="119"/>
      <c r="U90" s="180" t="s">
        <v>1978</v>
      </c>
      <c r="V90" s="187">
        <f>'Detail PL '!J440</f>
        <v>1.575</v>
      </c>
      <c r="W90" s="188" t="s">
        <v>1991</v>
      </c>
      <c r="X90" s="188"/>
      <c r="Y90" s="188"/>
      <c r="Z90" s="188"/>
      <c r="AA90" s="119"/>
      <c r="AB90" s="119"/>
      <c r="AC90" s="122"/>
    </row>
    <row r="91" spans="1:29" s="4" customFormat="1" ht="25.2">
      <c r="A91" s="121" t="s">
        <v>1992</v>
      </c>
      <c r="B91" s="119"/>
      <c r="C91" s="119"/>
      <c r="D91" s="119"/>
      <c r="E91" s="119"/>
      <c r="F91" s="180"/>
      <c r="G91" s="180"/>
      <c r="H91" s="119"/>
      <c r="I91" s="119"/>
      <c r="J91" s="119"/>
      <c r="K91" s="119"/>
      <c r="L91" s="119"/>
      <c r="M91" s="119"/>
      <c r="N91" s="122"/>
      <c r="P91" s="121" t="s">
        <v>1992</v>
      </c>
      <c r="Q91" s="119"/>
      <c r="R91" s="119"/>
      <c r="S91" s="119"/>
      <c r="T91" s="119"/>
      <c r="U91" s="180"/>
      <c r="V91" s="180"/>
      <c r="W91" s="119"/>
      <c r="X91" s="119"/>
      <c r="Y91" s="119"/>
      <c r="Z91" s="119"/>
      <c r="AA91" s="119"/>
      <c r="AB91" s="119"/>
      <c r="AC91" s="122"/>
    </row>
    <row r="92" spans="1:29" s="3" customFormat="1" ht="10.050000000000001" customHeight="1">
      <c r="A92" s="121"/>
      <c r="B92" s="119"/>
      <c r="C92" s="119"/>
      <c r="D92" s="119"/>
      <c r="E92" s="119"/>
      <c r="F92" s="180"/>
      <c r="G92" s="180"/>
      <c r="H92" s="119"/>
      <c r="I92" s="119"/>
      <c r="J92" s="119"/>
      <c r="K92" s="119"/>
      <c r="L92" s="119"/>
      <c r="M92" s="119"/>
      <c r="N92" s="122"/>
      <c r="P92" s="121"/>
      <c r="Q92" s="119"/>
      <c r="R92" s="119"/>
      <c r="S92" s="119"/>
      <c r="T92" s="119"/>
      <c r="U92" s="180"/>
      <c r="V92" s="180"/>
      <c r="W92" s="119"/>
      <c r="X92" s="119"/>
      <c r="Y92" s="119"/>
      <c r="Z92" s="119"/>
      <c r="AA92" s="119"/>
      <c r="AB92" s="119"/>
      <c r="AC92" s="122"/>
    </row>
    <row r="93" spans="1:29" s="3" customFormat="1" ht="42">
      <c r="A93" s="121" t="s">
        <v>1993</v>
      </c>
      <c r="B93" s="119"/>
      <c r="C93" s="119"/>
      <c r="D93" s="119"/>
      <c r="E93" s="119"/>
      <c r="F93" s="179" t="s">
        <v>1994</v>
      </c>
      <c r="G93" s="462" t="s">
        <v>1995</v>
      </c>
      <c r="H93" s="462"/>
      <c r="I93" s="462"/>
      <c r="J93" s="462"/>
      <c r="K93" s="462"/>
      <c r="L93" s="462"/>
      <c r="M93" s="462"/>
      <c r="N93" s="122"/>
      <c r="P93" s="121" t="s">
        <v>1993</v>
      </c>
      <c r="Q93" s="119"/>
      <c r="R93" s="119"/>
      <c r="S93" s="119"/>
      <c r="T93" s="119"/>
      <c r="U93" s="179" t="s">
        <v>1994</v>
      </c>
      <c r="V93" s="462" t="s">
        <v>1995</v>
      </c>
      <c r="W93" s="462"/>
      <c r="X93" s="462"/>
      <c r="Y93" s="462"/>
      <c r="Z93" s="462"/>
      <c r="AA93" s="462"/>
      <c r="AB93" s="462"/>
      <c r="AC93" s="122"/>
    </row>
    <row r="94" spans="1:29" s="4" customFormat="1" ht="25.8" thickBot="1">
      <c r="A94" s="121" t="s">
        <v>1996</v>
      </c>
      <c r="B94" s="119"/>
      <c r="C94" s="119"/>
      <c r="D94" s="119"/>
      <c r="E94" s="119"/>
      <c r="F94" s="180"/>
      <c r="G94" s="463"/>
      <c r="H94" s="463"/>
      <c r="I94" s="463"/>
      <c r="J94" s="463"/>
      <c r="K94" s="463"/>
      <c r="L94" s="463"/>
      <c r="M94" s="463"/>
      <c r="N94" s="122"/>
      <c r="P94" s="121" t="s">
        <v>1996</v>
      </c>
      <c r="Q94" s="119"/>
      <c r="R94" s="119"/>
      <c r="S94" s="119"/>
      <c r="T94" s="119"/>
      <c r="U94" s="180"/>
      <c r="V94" s="463"/>
      <c r="W94" s="463"/>
      <c r="X94" s="463"/>
      <c r="Y94" s="463"/>
      <c r="Z94" s="463"/>
      <c r="AA94" s="463"/>
      <c r="AB94" s="463"/>
      <c r="AC94" s="122"/>
    </row>
    <row r="95" spans="1:29">
      <c r="A95" s="115"/>
      <c r="B95" s="116"/>
      <c r="C95" s="116"/>
      <c r="D95" s="116"/>
      <c r="E95" s="459" t="s">
        <v>1997</v>
      </c>
      <c r="F95" s="460"/>
      <c r="G95" s="460"/>
      <c r="H95" s="460"/>
      <c r="I95" s="460"/>
      <c r="J95" s="460"/>
      <c r="K95" s="460"/>
      <c r="L95" s="117"/>
      <c r="M95" s="117"/>
      <c r="N95" s="118"/>
      <c r="P95" s="115"/>
      <c r="Q95" s="116"/>
      <c r="R95" s="116"/>
      <c r="S95" s="116"/>
      <c r="T95" s="459" t="s">
        <v>1997</v>
      </c>
      <c r="U95" s="460"/>
      <c r="V95" s="460"/>
      <c r="W95" s="460"/>
      <c r="X95" s="460"/>
      <c r="Y95" s="460"/>
      <c r="Z95" s="460"/>
      <c r="AA95" s="117"/>
      <c r="AB95" s="117"/>
      <c r="AC95" s="118"/>
    </row>
    <row r="96" spans="1:29" ht="25.5" customHeight="1" thickBot="1">
      <c r="A96" s="126"/>
      <c r="B96" s="127"/>
      <c r="C96" s="127"/>
      <c r="D96" s="127"/>
      <c r="E96" s="461"/>
      <c r="F96" s="461"/>
      <c r="G96" s="461"/>
      <c r="H96" s="461"/>
      <c r="I96" s="461"/>
      <c r="J96" s="461"/>
      <c r="K96" s="461"/>
      <c r="L96" s="128"/>
      <c r="M96" s="128"/>
      <c r="N96" s="129"/>
      <c r="P96" s="126"/>
      <c r="Q96" s="127"/>
      <c r="R96" s="127"/>
      <c r="S96" s="127"/>
      <c r="T96" s="461"/>
      <c r="U96" s="461"/>
      <c r="V96" s="461"/>
      <c r="W96" s="461"/>
      <c r="X96" s="461"/>
      <c r="Y96" s="461"/>
      <c r="Z96" s="461"/>
      <c r="AA96" s="128"/>
      <c r="AB96" s="128"/>
      <c r="AC96" s="129"/>
    </row>
  </sheetData>
  <mergeCells count="18">
    <mergeCell ref="A65:N65"/>
    <mergeCell ref="P65:AC65"/>
    <mergeCell ref="G93:M94"/>
    <mergeCell ref="V93:AB94"/>
    <mergeCell ref="E95:K96"/>
    <mergeCell ref="T95:Z96"/>
    <mergeCell ref="A33:N33"/>
    <mergeCell ref="P33:AC33"/>
    <mergeCell ref="G61:M62"/>
    <mergeCell ref="V61:AB62"/>
    <mergeCell ref="E63:K64"/>
    <mergeCell ref="T63:Z64"/>
    <mergeCell ref="A1:N1"/>
    <mergeCell ref="E31:K32"/>
    <mergeCell ref="P1:AC1"/>
    <mergeCell ref="T31:Z32"/>
    <mergeCell ref="G29:M30"/>
    <mergeCell ref="V29:AB30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5" orientation="portrait" r:id="rId1"/>
  <rowBreaks count="2" manualBreakCount="2">
    <brk id="32" max="29" man="1"/>
    <brk id="64" max="29" man="1"/>
  </rowBreaks>
  <colBreaks count="1" manualBreakCount="1">
    <brk id="14" max="97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D28EF1209DEC48A970DDDB93544B7D" ma:contentTypeVersion="17" ma:contentTypeDescription="새 문서를 만듭니다." ma:contentTypeScope="" ma:versionID="74046605fe204a0752e4bfa5bc1570bb">
  <xsd:schema xmlns:xsd="http://www.w3.org/2001/XMLSchema" xmlns:xs="http://www.w3.org/2001/XMLSchema" xmlns:p="http://schemas.microsoft.com/office/2006/metadata/properties" xmlns:ns2="fafe03ea-8b69-4947-9101-36aab1225da6" xmlns:ns3="0fd7f0fd-4562-4143-a7f1-276269a5d384" targetNamespace="http://schemas.microsoft.com/office/2006/metadata/properties" ma:root="true" ma:fieldsID="af3551d98b6fc785585459350e49d0b4" ns2:_="" ns3:_="">
    <xsd:import namespace="fafe03ea-8b69-4947-9101-36aab1225da6"/>
    <xsd:import namespace="0fd7f0fd-4562-4143-a7f1-276269a5d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User" minOccurs="0"/>
                <xsd:element ref="ns2: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e03ea-8b69-4947-9101-36aab1225d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User" ma:index="23" nillable="true" ma:displayName="User" ma:format="Dropdown" ma:list="UserInfo" ma:SharePointGroup="0" ma:internalName="Us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scription" ma:index="24" nillable="true" ma:displayName="Description" ma:format="Dropdown" ma:internalName="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7f0fd-4562-4143-a7f1-276269a5d38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98e606e-d84f-4495-a3cd-5e3f37618732}" ma:internalName="TaxCatchAll" ma:showField="CatchAllData" ma:web="0fd7f0fd-4562-4143-a7f1-276269a5d3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fe03ea-8b69-4947-9101-36aab1225da6">
      <Terms xmlns="http://schemas.microsoft.com/office/infopath/2007/PartnerControls"/>
    </lcf76f155ced4ddcb4097134ff3c332f>
    <TaxCatchAll xmlns="0fd7f0fd-4562-4143-a7f1-276269a5d384" xsi:nil="true"/>
    <User xmlns="fafe03ea-8b69-4947-9101-36aab1225da6">
      <UserInfo>
        <DisplayName/>
        <AccountId xsi:nil="true"/>
        <AccountType/>
      </UserInfo>
    </User>
    <Description xmlns="fafe03ea-8b69-4947-9101-36aab1225da6" xsi:nil="true"/>
  </documentManagement>
</p:properties>
</file>

<file path=customXml/itemProps1.xml><?xml version="1.0" encoding="utf-8"?>
<ds:datastoreItem xmlns:ds="http://schemas.openxmlformats.org/officeDocument/2006/customXml" ds:itemID="{588DDE62-1D31-4991-A875-24866BC01B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fe03ea-8b69-4947-9101-36aab1225da6"/>
    <ds:schemaRef ds:uri="0fd7f0fd-4562-4143-a7f1-276269a5d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22461D-902A-416E-9DA2-3663A258DF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B4D1C2-B3EB-4841-99C1-DE89D6CFBB09}">
  <ds:schemaRefs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fafe03ea-8b69-4947-9101-36aab1225da6"/>
    <ds:schemaRef ds:uri="http://purl.org/dc/elements/1.1/"/>
    <ds:schemaRef ds:uri="http://purl.org/dc/terms/"/>
    <ds:schemaRef ds:uri="http://schemas.microsoft.com/office/infopath/2007/PartnerControls"/>
    <ds:schemaRef ds:uri="0fd7f0fd-4562-4143-a7f1-276269a5d384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8</vt:i4>
      </vt:variant>
    </vt:vector>
  </HeadingPairs>
  <TitlesOfParts>
    <vt:vector size="14" baseType="lpstr">
      <vt:lpstr>CI</vt:lpstr>
      <vt:lpstr>CI_BD</vt:lpstr>
      <vt:lpstr>PL</vt:lpstr>
      <vt:lpstr>Summary PL</vt:lpstr>
      <vt:lpstr>Detail PL </vt:lpstr>
      <vt:lpstr>Marking</vt:lpstr>
      <vt:lpstr>CI!Print_Area</vt:lpstr>
      <vt:lpstr>CI_BD!Print_Area</vt:lpstr>
      <vt:lpstr>'Detail PL '!Print_Area</vt:lpstr>
      <vt:lpstr>Marking!Print_Area</vt:lpstr>
      <vt:lpstr>PL!Print_Area</vt:lpstr>
      <vt:lpstr>'Summary PL'!Print_Area</vt:lpstr>
      <vt:lpstr>'Detail PL '!Print_Titles</vt:lpstr>
      <vt:lpstr>'Summary PL'!Print_Titles</vt:lpstr>
    </vt:vector>
  </TitlesOfParts>
  <Manager/>
  <Company>DHI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PL008564</dc:creator>
  <cp:keywords/>
  <dc:description/>
  <cp:lastModifiedBy>우재상(Jaesang Woo) 수석 두산에너빌리티</cp:lastModifiedBy>
  <cp:revision/>
  <cp:lastPrinted>2025-08-12T07:10:51Z</cp:lastPrinted>
  <dcterms:created xsi:type="dcterms:W3CDTF">2016-03-15T11:01:58Z</dcterms:created>
  <dcterms:modified xsi:type="dcterms:W3CDTF">2026-06-26T06:12:55Z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0x010100CDD28EF1209DEC48A970DDDB93544B7D</vt:lpwstr>
  </property>
  <property fmtid="{D5CDD505-2E9C-101B-9397-08002B2CF9AE}" pid="3" name="MediaServiceImageTags">
    <vt:lpwstr/>
  </property>
</Properties>
</file>