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913B4423-28B6-435A-BEF1-9180AA40F085}" xr6:coauthVersionLast="47" xr6:coauthVersionMax="47" xr10:uidLastSave="{00000000-0000-0000-0000-000000000000}"/>
  <bookViews>
    <workbookView xWindow="28680" yWindow="-120" windowWidth="29040" windowHeight="15840" firstSheet="4" activeTab="4" xr2:uid="{00000000-000D-0000-FFFF-FFFF00000000}"/>
  </bookViews>
  <sheets>
    <sheet name="CI" sheetId="24" r:id="rId1"/>
    <sheet name="CI_BD" sheetId="66" r:id="rId2"/>
    <sheet name="PL" sheetId="20" r:id="rId3"/>
    <sheet name="Summary PL" sheetId="28" r:id="rId4"/>
    <sheet name="Detail PL" sheetId="29" r:id="rId5"/>
    <sheet name="PGU-DE-0220-DCS-CBN-001" sheetId="21" r:id="rId6"/>
    <sheet name="PGU-DE-0220-DCS-CBN-002" sheetId="31" r:id="rId7"/>
    <sheet name="PGU-DE-0220-DCS-CBN-003" sheetId="32" r:id="rId8"/>
    <sheet name="PGU-DE-0220-DCS-CBN-004" sheetId="33" r:id="rId9"/>
    <sheet name="PGU-DE-0220-DCS-CBN-005" sheetId="34" r:id="rId10"/>
    <sheet name="PGU-DE-0220-DCS-CBN-006" sheetId="35" r:id="rId11"/>
    <sheet name="PGU-DE-0220-DCS-CBN-007" sheetId="36" r:id="rId12"/>
    <sheet name="PGU-DE-0220-DCS-CBN-008" sheetId="37" r:id="rId13"/>
    <sheet name="PGU-DE-0220-DCS-CBN-009" sheetId="38" r:id="rId14"/>
    <sheet name="PGU-DE-0220-DCS-CBN-010" sheetId="39" r:id="rId15"/>
    <sheet name="PGU-DE-0220-DCS-CBN-011" sheetId="40" r:id="rId16"/>
    <sheet name="PGU-DE-0220-DCS-CBN-012" sheetId="41" r:id="rId17"/>
    <sheet name="PGU-DE-0220-DCS-CBN-013" sheetId="42" r:id="rId18"/>
    <sheet name="PGU-DE-0220-DCS-CBN-014" sheetId="43" r:id="rId19"/>
    <sheet name="PGU-DE-0220-DCS-CBN-015" sheetId="44" r:id="rId20"/>
    <sheet name="PGU-DE-0220-DCS-CBN-016" sheetId="45" r:id="rId21"/>
    <sheet name="PGU-DE-0220-DCS-CBN-017" sheetId="46" r:id="rId22"/>
    <sheet name="PGU-DE-0220-DCS-CBN-018" sheetId="47" r:id="rId23"/>
    <sheet name="PGU-DE-0220-DCS-CBN-019" sheetId="48" r:id="rId24"/>
    <sheet name="PGU-DE-0220-DCS-CBN-020" sheetId="49" r:id="rId25"/>
    <sheet name="PGU-DE-0220-DCS-CBN-021" sheetId="50" r:id="rId26"/>
    <sheet name="PGU-DE-0220-DCS-CBN-022" sheetId="51" r:id="rId27"/>
    <sheet name="PGU-DE-0220-DCS-CBN-023" sheetId="52" r:id="rId28"/>
    <sheet name="PGU-DE-0220-DCS-CBN-024" sheetId="53" r:id="rId29"/>
    <sheet name="PGU-DE-0220-DCS-CBN-025" sheetId="54" r:id="rId30"/>
    <sheet name="PGU-DE-0220-DCS-CBN-026" sheetId="55" r:id="rId31"/>
    <sheet name="PGU-DE-0220-DCS-CBN-027" sheetId="56" r:id="rId32"/>
    <sheet name="PGU-DE-0220-DCS-CBN-028" sheetId="57" r:id="rId33"/>
    <sheet name="PGU-DE-0220-DCS-CBN-029" sheetId="58" r:id="rId34"/>
    <sheet name="PGU-DE-0220-DCS-CBN-030" sheetId="59" r:id="rId35"/>
    <sheet name="PGU-DE-0220-DCS-CBN-031" sheetId="60" r:id="rId36"/>
    <sheet name="PGU-DE-0220-DCS-CBN-032" sheetId="61" r:id="rId37"/>
    <sheet name="PGU-DE-0220-DCS-CBN-033" sheetId="62" r:id="rId38"/>
    <sheet name="PGU-DE-0220-DCS-CBN-034" sheetId="63" r:id="rId39"/>
    <sheet name="PGU-DE-0220-DCS-CBN-035" sheetId="64" r:id="rId40"/>
    <sheet name="PGU-DE-0220-DCS-CBN-036" sheetId="65" r:id="rId41"/>
  </sheets>
  <definedNames>
    <definedName name="_xlnm._FilterDatabase" localSheetId="1" hidden="1">CI_BD!$B$8:$J$45</definedName>
    <definedName name="_xlnm._FilterDatabase" localSheetId="4" hidden="1">'Detail PL'!$A$12:$Q$162</definedName>
    <definedName name="_xlnm._FilterDatabase" localSheetId="3" hidden="1">'Summary PL'!$A$12:$P$13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CI_BD!$A$1:$J$45</definedName>
    <definedName name="_xlnm.Print_Area" localSheetId="4">'Detail PL'!$A$1:$Q$163</definedName>
    <definedName name="_xlnm.Print_Area" localSheetId="5">'PGU-DE-0220-DCS-CBN-001'!$A$1:$AD$33</definedName>
    <definedName name="_xlnm.Print_Area" localSheetId="6">'PGU-DE-0220-DCS-CBN-002'!$A$1:$AD$33</definedName>
    <definedName name="_xlnm.Print_Area" localSheetId="7">'PGU-DE-0220-DCS-CBN-003'!$A$1:$AD$33</definedName>
    <definedName name="_xlnm.Print_Area" localSheetId="8">'PGU-DE-0220-DCS-CBN-004'!$A$1:$AD$33</definedName>
    <definedName name="_xlnm.Print_Area" localSheetId="9">'PGU-DE-0220-DCS-CBN-005'!$A$1:$AD$33</definedName>
    <definedName name="_xlnm.Print_Area" localSheetId="10">'PGU-DE-0220-DCS-CBN-006'!$A$1:$AD$33</definedName>
    <definedName name="_xlnm.Print_Area" localSheetId="11">'PGU-DE-0220-DCS-CBN-007'!$A$1:$AD$33</definedName>
    <definedName name="_xlnm.Print_Area" localSheetId="12">'PGU-DE-0220-DCS-CBN-008'!$A$1:$AD$33</definedName>
    <definedName name="_xlnm.Print_Area" localSheetId="13">'PGU-DE-0220-DCS-CBN-009'!$A$1:$AD$33</definedName>
    <definedName name="_xlnm.Print_Area" localSheetId="14">'PGU-DE-0220-DCS-CBN-010'!$A$1:$AD$33</definedName>
    <definedName name="_xlnm.Print_Area" localSheetId="15">'PGU-DE-0220-DCS-CBN-011'!$A$1:$AD$33</definedName>
    <definedName name="_xlnm.Print_Area" localSheetId="16">'PGU-DE-0220-DCS-CBN-012'!$A$1:$AD$33</definedName>
    <definedName name="_xlnm.Print_Area" localSheetId="17">'PGU-DE-0220-DCS-CBN-013'!$A$1:$AD$33</definedName>
    <definedName name="_xlnm.Print_Area" localSheetId="18">'PGU-DE-0220-DCS-CBN-014'!$A$1:$AD$33</definedName>
    <definedName name="_xlnm.Print_Area" localSheetId="19">'PGU-DE-0220-DCS-CBN-015'!$A$1:$AD$33</definedName>
    <definedName name="_xlnm.Print_Area" localSheetId="20">'PGU-DE-0220-DCS-CBN-016'!$A$1:$AD$33</definedName>
    <definedName name="_xlnm.Print_Area" localSheetId="21">'PGU-DE-0220-DCS-CBN-017'!$A$1:$AD$33</definedName>
    <definedName name="_xlnm.Print_Area" localSheetId="22">'PGU-DE-0220-DCS-CBN-018'!$A$1:$AD$33</definedName>
    <definedName name="_xlnm.Print_Area" localSheetId="23">'PGU-DE-0220-DCS-CBN-019'!$A$1:$AD$33</definedName>
    <definedName name="_xlnm.Print_Area" localSheetId="24">'PGU-DE-0220-DCS-CBN-020'!$A$1:$AD$33</definedName>
    <definedName name="_xlnm.Print_Area" localSheetId="25">'PGU-DE-0220-DCS-CBN-021'!$A$1:$AD$33</definedName>
    <definedName name="_xlnm.Print_Area" localSheetId="26">'PGU-DE-0220-DCS-CBN-022'!$A$1:$AD$33</definedName>
    <definedName name="_xlnm.Print_Area" localSheetId="27">'PGU-DE-0220-DCS-CBN-023'!$A$1:$AD$33</definedName>
    <definedName name="_xlnm.Print_Area" localSheetId="28">'PGU-DE-0220-DCS-CBN-024'!$A$1:$AD$33</definedName>
    <definedName name="_xlnm.Print_Area" localSheetId="29">'PGU-DE-0220-DCS-CBN-025'!$A$1:$AD$33</definedName>
    <definedName name="_xlnm.Print_Area" localSheetId="30">'PGU-DE-0220-DCS-CBN-026'!$A$1:$AD$33</definedName>
    <definedName name="_xlnm.Print_Area" localSheetId="31">'PGU-DE-0220-DCS-CBN-027'!$A$1:$AD$33</definedName>
    <definedName name="_xlnm.Print_Area" localSheetId="32">'PGU-DE-0220-DCS-CBN-028'!$A$1:$AD$33</definedName>
    <definedName name="_xlnm.Print_Area" localSheetId="33">'PGU-DE-0220-DCS-CBN-029'!$A$1:$AD$33</definedName>
    <definedName name="_xlnm.Print_Area" localSheetId="34">'PGU-DE-0220-DCS-CBN-030'!$A$1:$AD$33</definedName>
    <definedName name="_xlnm.Print_Area" localSheetId="35">'PGU-DE-0220-DCS-CBN-031'!$A$1:$AD$33</definedName>
    <definedName name="_xlnm.Print_Area" localSheetId="36">'PGU-DE-0220-DCS-CBN-032'!$A$1:$AD$33</definedName>
    <definedName name="_xlnm.Print_Area" localSheetId="37">'PGU-DE-0220-DCS-CBN-033'!$A$1:$AD$33</definedName>
    <definedName name="_xlnm.Print_Area" localSheetId="38">'PGU-DE-0220-DCS-CBN-034'!$A$1:$AD$33</definedName>
    <definedName name="_xlnm.Print_Area" localSheetId="39">'PGU-DE-0220-DCS-CBN-035'!$A$1:$AD$33</definedName>
    <definedName name="_xlnm.Print_Area" localSheetId="40">'PGU-DE-0220-DCS-CBN-036'!$A$1:$AD$33</definedName>
    <definedName name="_xlnm.Print_Area" localSheetId="2">PL!$A$1:$AC$61</definedName>
    <definedName name="_xlnm.Print_Area" localSheetId="3">'Summary PL'!$A$1:$P$50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66" l="1"/>
  <c r="B7" i="66"/>
  <c r="AC42" i="24" l="1"/>
  <c r="AA45" i="24" s="1"/>
  <c r="B44" i="20" l="1"/>
  <c r="J36" i="20"/>
  <c r="Y33" i="20"/>
  <c r="L129" i="29"/>
  <c r="L107" i="29"/>
  <c r="L69" i="29"/>
  <c r="L67" i="29"/>
  <c r="L65" i="29"/>
  <c r="L47" i="29"/>
  <c r="L45" i="29"/>
  <c r="L35" i="29"/>
  <c r="L33" i="29"/>
  <c r="L21" i="29"/>
  <c r="G14" i="65"/>
  <c r="V14" i="65" s="1"/>
  <c r="G14" i="64"/>
  <c r="V14" i="64" s="1"/>
  <c r="G14" i="63"/>
  <c r="V14" i="63" s="1"/>
  <c r="G14" i="62"/>
  <c r="V14" i="62" s="1"/>
  <c r="G14" i="61"/>
  <c r="V14" i="61" s="1"/>
  <c r="G14" i="60"/>
  <c r="V14" i="60" s="1"/>
  <c r="G14" i="59"/>
  <c r="V14" i="59" s="1"/>
  <c r="G14" i="58"/>
  <c r="V14" i="58" s="1"/>
  <c r="G14" i="57"/>
  <c r="V14" i="57" s="1"/>
  <c r="G14" i="56"/>
  <c r="V14" i="56" s="1"/>
  <c r="G14" i="55"/>
  <c r="V14" i="55" s="1"/>
  <c r="G14" i="54"/>
  <c r="V14" i="54" s="1"/>
  <c r="G14" i="53"/>
  <c r="V14" i="53" s="1"/>
  <c r="G14" i="52"/>
  <c r="V14" i="52" s="1"/>
  <c r="G14" i="51"/>
  <c r="V14" i="51" s="1"/>
  <c r="G14" i="50"/>
  <c r="V14" i="50" s="1"/>
  <c r="G14" i="49"/>
  <c r="V14" i="49" s="1"/>
  <c r="G14" i="48"/>
  <c r="V14" i="48" s="1"/>
  <c r="G14" i="47"/>
  <c r="V14" i="47" s="1"/>
  <c r="G14" i="46"/>
  <c r="V14" i="46" s="1"/>
  <c r="G14" i="45"/>
  <c r="V14" i="45" s="1"/>
  <c r="G14" i="44"/>
  <c r="V14" i="44" s="1"/>
  <c r="G14" i="43"/>
  <c r="V14" i="43" s="1"/>
  <c r="G14" i="42"/>
  <c r="V14" i="42" s="1"/>
  <c r="G14" i="41"/>
  <c r="V14" i="41" s="1"/>
  <c r="G14" i="40"/>
  <c r="V14" i="40" s="1"/>
  <c r="G14" i="39"/>
  <c r="V14" i="39" s="1"/>
  <c r="G14" i="38"/>
  <c r="V14" i="38" s="1"/>
  <c r="G14" i="37"/>
  <c r="V14" i="37" s="1"/>
  <c r="G14" i="36"/>
  <c r="V14" i="36" s="1"/>
  <c r="G14" i="35"/>
  <c r="V14" i="35" s="1"/>
  <c r="G14" i="34"/>
  <c r="V14" i="34" s="1"/>
  <c r="G14" i="33"/>
  <c r="V14" i="33" s="1"/>
  <c r="G14" i="32"/>
  <c r="V14" i="32" s="1"/>
  <c r="G14" i="31"/>
  <c r="V14" i="31" s="1"/>
  <c r="G14" i="21"/>
  <c r="V14" i="21" s="1"/>
  <c r="G17" i="65"/>
  <c r="V17" i="65" s="1"/>
  <c r="V29" i="65"/>
  <c r="V11" i="65"/>
  <c r="G11" i="65"/>
  <c r="G5" i="65"/>
  <c r="V5" i="65" s="1"/>
  <c r="G20" i="64"/>
  <c r="V20" i="64" s="1"/>
  <c r="G17" i="64"/>
  <c r="V17" i="64" s="1"/>
  <c r="V29" i="64"/>
  <c r="V11" i="64"/>
  <c r="G11" i="64"/>
  <c r="G5" i="64"/>
  <c r="V5" i="64" s="1"/>
  <c r="G20" i="63"/>
  <c r="V20" i="63" s="1"/>
  <c r="G17" i="63"/>
  <c r="V17" i="63" s="1"/>
  <c r="V29" i="63"/>
  <c r="V11" i="63"/>
  <c r="G11" i="63"/>
  <c r="G5" i="63"/>
  <c r="V5" i="63" s="1"/>
  <c r="G20" i="62"/>
  <c r="V20" i="62" s="1"/>
  <c r="G17" i="62"/>
  <c r="V17" i="62" s="1"/>
  <c r="V29" i="62"/>
  <c r="V11" i="62"/>
  <c r="G11" i="62"/>
  <c r="G5" i="62"/>
  <c r="V5" i="62" s="1"/>
  <c r="G20" i="61"/>
  <c r="V20" i="61" s="1"/>
  <c r="G17" i="61"/>
  <c r="V17" i="61" s="1"/>
  <c r="V29" i="61"/>
  <c r="V11" i="61"/>
  <c r="G11" i="61"/>
  <c r="G5" i="61"/>
  <c r="V5" i="61" s="1"/>
  <c r="G17" i="60"/>
  <c r="V17" i="60" s="1"/>
  <c r="V29" i="60"/>
  <c r="V11" i="60"/>
  <c r="G11" i="60"/>
  <c r="G5" i="60"/>
  <c r="V5" i="60" s="1"/>
  <c r="G20" i="59"/>
  <c r="V20" i="59" s="1"/>
  <c r="G17" i="59"/>
  <c r="V17" i="59" s="1"/>
  <c r="V29" i="59"/>
  <c r="V11" i="59"/>
  <c r="G11" i="59"/>
  <c r="G5" i="59"/>
  <c r="V5" i="59" s="1"/>
  <c r="G20" i="58"/>
  <c r="V20" i="58" s="1"/>
  <c r="G17" i="58"/>
  <c r="V17" i="58" s="1"/>
  <c r="V29" i="58"/>
  <c r="V11" i="58"/>
  <c r="G11" i="58"/>
  <c r="G5" i="58"/>
  <c r="V5" i="58" s="1"/>
  <c r="G23" i="57"/>
  <c r="V23" i="57" s="1"/>
  <c r="G20" i="57"/>
  <c r="V20" i="57" s="1"/>
  <c r="G17" i="57"/>
  <c r="V17" i="57" s="1"/>
  <c r="V29" i="57"/>
  <c r="V11" i="57"/>
  <c r="G11" i="57"/>
  <c r="G5" i="57"/>
  <c r="V5" i="57" s="1"/>
  <c r="G20" i="56"/>
  <c r="V20" i="56" s="1"/>
  <c r="G17" i="56"/>
  <c r="V17" i="56" s="1"/>
  <c r="V29" i="56"/>
  <c r="V11" i="56"/>
  <c r="G11" i="56"/>
  <c r="G5" i="56"/>
  <c r="V5" i="56" s="1"/>
  <c r="G20" i="55"/>
  <c r="V20" i="55" s="1"/>
  <c r="G17" i="55"/>
  <c r="V17" i="55" s="1"/>
  <c r="V29" i="55"/>
  <c r="V11" i="55"/>
  <c r="G11" i="55"/>
  <c r="G5" i="55"/>
  <c r="V5" i="55" s="1"/>
  <c r="G20" i="54"/>
  <c r="V20" i="54" s="1"/>
  <c r="G17" i="54"/>
  <c r="V29" i="54"/>
  <c r="V17" i="54"/>
  <c r="V11" i="54"/>
  <c r="G11" i="54"/>
  <c r="G5" i="54"/>
  <c r="V5" i="54" s="1"/>
  <c r="G20" i="53"/>
  <c r="V20" i="53" s="1"/>
  <c r="G17" i="53"/>
  <c r="V17" i="53" s="1"/>
  <c r="V29" i="53"/>
  <c r="V11" i="53"/>
  <c r="G11" i="53"/>
  <c r="G5" i="53"/>
  <c r="V5" i="53" s="1"/>
  <c r="G20" i="52"/>
  <c r="V20" i="52" s="1"/>
  <c r="G17" i="52"/>
  <c r="V29" i="52"/>
  <c r="V17" i="52"/>
  <c r="V11" i="52"/>
  <c r="G11" i="52"/>
  <c r="G5" i="52"/>
  <c r="V5" i="52" s="1"/>
  <c r="G17" i="51"/>
  <c r="V17" i="51" s="1"/>
  <c r="G20" i="51"/>
  <c r="V20" i="51" s="1"/>
  <c r="V29" i="51"/>
  <c r="V11" i="51"/>
  <c r="G11" i="51"/>
  <c r="G5" i="51"/>
  <c r="V5" i="51" s="1"/>
  <c r="G20" i="50"/>
  <c r="V20" i="50" s="1"/>
  <c r="G17" i="50"/>
  <c r="V17" i="50" s="1"/>
  <c r="V29" i="50"/>
  <c r="V11" i="50"/>
  <c r="G11" i="50"/>
  <c r="G5" i="50"/>
  <c r="V5" i="50" s="1"/>
  <c r="G20" i="49"/>
  <c r="V20" i="49" s="1"/>
  <c r="G17" i="49"/>
  <c r="V17" i="49" s="1"/>
  <c r="V29" i="49"/>
  <c r="V11" i="49"/>
  <c r="G11" i="49"/>
  <c r="G5" i="49"/>
  <c r="V5" i="49" s="1"/>
  <c r="G20" i="48"/>
  <c r="V20" i="48" s="1"/>
  <c r="G17" i="48"/>
  <c r="V17" i="48" s="1"/>
  <c r="V29" i="48"/>
  <c r="V11" i="48"/>
  <c r="G11" i="48"/>
  <c r="G5" i="48"/>
  <c r="V5" i="48" s="1"/>
  <c r="G20" i="47"/>
  <c r="V20" i="47" s="1"/>
  <c r="G17" i="47"/>
  <c r="V17" i="47" s="1"/>
  <c r="V29" i="47"/>
  <c r="V11" i="47"/>
  <c r="G11" i="47"/>
  <c r="G5" i="47"/>
  <c r="V5" i="47" s="1"/>
  <c r="G20" i="46"/>
  <c r="V20" i="46" s="1"/>
  <c r="G17" i="46"/>
  <c r="V29" i="46"/>
  <c r="V17" i="46"/>
  <c r="V11" i="46"/>
  <c r="G11" i="46"/>
  <c r="G5" i="46"/>
  <c r="V5" i="46" s="1"/>
  <c r="G20" i="45"/>
  <c r="V20" i="45" s="1"/>
  <c r="G17" i="45"/>
  <c r="V17" i="45" s="1"/>
  <c r="V29" i="45"/>
  <c r="V11" i="45"/>
  <c r="G11" i="45"/>
  <c r="G5" i="45"/>
  <c r="V5" i="45" s="1"/>
  <c r="G20" i="44"/>
  <c r="V20" i="44" s="1"/>
  <c r="G17" i="44"/>
  <c r="V17" i="44" s="1"/>
  <c r="V29" i="44"/>
  <c r="V11" i="44"/>
  <c r="G11" i="44"/>
  <c r="G5" i="44"/>
  <c r="V5" i="44" s="1"/>
  <c r="G20" i="43"/>
  <c r="V20" i="43" s="1"/>
  <c r="G17" i="43"/>
  <c r="V17" i="43" s="1"/>
  <c r="V29" i="43"/>
  <c r="V11" i="43"/>
  <c r="G11" i="43"/>
  <c r="G5" i="43"/>
  <c r="V5" i="43" s="1"/>
  <c r="G20" i="42"/>
  <c r="V20" i="42" s="1"/>
  <c r="G17" i="42"/>
  <c r="V17" i="42" s="1"/>
  <c r="V29" i="42"/>
  <c r="V11" i="42"/>
  <c r="G11" i="42"/>
  <c r="G5" i="42"/>
  <c r="V5" i="42" s="1"/>
  <c r="G20" i="41"/>
  <c r="G17" i="41"/>
  <c r="V17" i="41" s="1"/>
  <c r="G20" i="40"/>
  <c r="V20" i="40" s="1"/>
  <c r="G17" i="40"/>
  <c r="V17" i="40" s="1"/>
  <c r="G20" i="39"/>
  <c r="G17" i="39"/>
  <c r="V17" i="39" s="1"/>
  <c r="V29" i="41"/>
  <c r="V20" i="41"/>
  <c r="V11" i="41"/>
  <c r="G11" i="41"/>
  <c r="G5" i="41"/>
  <c r="V5" i="41" s="1"/>
  <c r="V29" i="40"/>
  <c r="V11" i="40"/>
  <c r="G11" i="40"/>
  <c r="G5" i="40"/>
  <c r="V5" i="40" s="1"/>
  <c r="V29" i="39"/>
  <c r="V20" i="39"/>
  <c r="V11" i="39"/>
  <c r="G11" i="39"/>
  <c r="G5" i="39"/>
  <c r="V5" i="39" s="1"/>
  <c r="G20" i="38"/>
  <c r="G17" i="38"/>
  <c r="V29" i="38"/>
  <c r="V20" i="38"/>
  <c r="V17" i="38"/>
  <c r="V11" i="38"/>
  <c r="G11" i="38"/>
  <c r="G5" i="38"/>
  <c r="V5" i="38" s="1"/>
  <c r="G20" i="36"/>
  <c r="V20" i="36" s="1"/>
  <c r="G20" i="37"/>
  <c r="V20" i="37" s="1"/>
  <c r="G20" i="35"/>
  <c r="G20" i="34"/>
  <c r="V20" i="34" s="1"/>
  <c r="G23" i="33"/>
  <c r="V23" i="33" s="1"/>
  <c r="G20" i="33"/>
  <c r="V20" i="33" s="1"/>
  <c r="G23" i="32"/>
  <c r="V23" i="32" s="1"/>
  <c r="G20" i="32"/>
  <c r="G20" i="31"/>
  <c r="G17" i="37"/>
  <c r="G17" i="36"/>
  <c r="V17" i="36" s="1"/>
  <c r="G17" i="35"/>
  <c r="V17" i="35" s="1"/>
  <c r="G17" i="34"/>
  <c r="G17" i="33"/>
  <c r="V17" i="33" s="1"/>
  <c r="V29" i="37"/>
  <c r="V17" i="37"/>
  <c r="V11" i="37"/>
  <c r="G11" i="37"/>
  <c r="G5" i="37"/>
  <c r="V5" i="37" s="1"/>
  <c r="V29" i="36"/>
  <c r="V11" i="36"/>
  <c r="G11" i="36"/>
  <c r="G5" i="36"/>
  <c r="V5" i="36" s="1"/>
  <c r="V29" i="35"/>
  <c r="V20" i="35"/>
  <c r="V11" i="35"/>
  <c r="G11" i="35"/>
  <c r="G5" i="35"/>
  <c r="V5" i="35" s="1"/>
  <c r="V29" i="34"/>
  <c r="V17" i="34"/>
  <c r="V11" i="34"/>
  <c r="G11" i="34"/>
  <c r="G5" i="34"/>
  <c r="V5" i="34" s="1"/>
  <c r="V29" i="33"/>
  <c r="V11" i="33"/>
  <c r="G11" i="33"/>
  <c r="G5" i="33"/>
  <c r="V5" i="33" s="1"/>
  <c r="G17" i="32"/>
  <c r="V17" i="32" s="1"/>
  <c r="V29" i="32"/>
  <c r="V20" i="32"/>
  <c r="V11" i="32"/>
  <c r="G11" i="32"/>
  <c r="G5" i="32"/>
  <c r="V5" i="32" s="1"/>
  <c r="G17" i="31"/>
  <c r="V17" i="31" s="1"/>
  <c r="V29" i="31"/>
  <c r="V20" i="31"/>
  <c r="V11" i="31"/>
  <c r="G11" i="31"/>
  <c r="G5" i="31"/>
  <c r="V5" i="31" s="1"/>
  <c r="G23" i="21"/>
  <c r="V23" i="21" s="1"/>
  <c r="G20" i="21"/>
  <c r="V20" i="21" s="1"/>
  <c r="G5" i="21"/>
  <c r="V5" i="21" s="1"/>
  <c r="M45" i="28"/>
  <c r="G23" i="61" s="1"/>
  <c r="V23" i="61" s="1"/>
  <c r="G23" i="62"/>
  <c r="V23" i="62" s="1"/>
  <c r="M47" i="28"/>
  <c r="G23" i="63" s="1"/>
  <c r="V23" i="63" s="1"/>
  <c r="M48" i="28"/>
  <c r="G23" i="64" s="1"/>
  <c r="V23" i="64" s="1"/>
  <c r="M43" i="28"/>
  <c r="G23" i="59" s="1"/>
  <c r="V23" i="59" s="1"/>
  <c r="M34" i="28"/>
  <c r="G23" i="50" s="1"/>
  <c r="V23" i="50" s="1"/>
  <c r="M35" i="28"/>
  <c r="G23" i="51" s="1"/>
  <c r="V23" i="51" s="1"/>
  <c r="M36" i="28"/>
  <c r="G23" i="52" s="1"/>
  <c r="V23" i="52" s="1"/>
  <c r="M37" i="28"/>
  <c r="G23" i="53" s="1"/>
  <c r="V23" i="53" s="1"/>
  <c r="M38" i="28"/>
  <c r="L63" i="29" s="1"/>
  <c r="M39" i="28"/>
  <c r="G23" i="55" s="1"/>
  <c r="V23" i="55" s="1"/>
  <c r="M40" i="28"/>
  <c r="G23" i="56" s="1"/>
  <c r="V23" i="56" s="1"/>
  <c r="M41" i="28"/>
  <c r="M42" i="28"/>
  <c r="G23" i="58" s="1"/>
  <c r="V23" i="58" s="1"/>
  <c r="M33" i="28"/>
  <c r="G23" i="49" s="1"/>
  <c r="V23" i="49" s="1"/>
  <c r="M27" i="28"/>
  <c r="G23" i="43" s="1"/>
  <c r="V23" i="43" s="1"/>
  <c r="M28" i="28"/>
  <c r="G23" i="44" s="1"/>
  <c r="V23" i="44" s="1"/>
  <c r="M29" i="28"/>
  <c r="G23" i="45" s="1"/>
  <c r="V23" i="45" s="1"/>
  <c r="M30" i="28"/>
  <c r="G23" i="46" s="1"/>
  <c r="V23" i="46" s="1"/>
  <c r="M31" i="28"/>
  <c r="G23" i="47" s="1"/>
  <c r="V23" i="47" s="1"/>
  <c r="M32" i="28"/>
  <c r="G23" i="48" s="1"/>
  <c r="V23" i="48" s="1"/>
  <c r="M26" i="28"/>
  <c r="G23" i="42" s="1"/>
  <c r="V23" i="42" s="1"/>
  <c r="M23" i="28"/>
  <c r="G23" i="39" s="1"/>
  <c r="V23" i="39" s="1"/>
  <c r="M24" i="28"/>
  <c r="G23" i="40" s="1"/>
  <c r="V23" i="40" s="1"/>
  <c r="M25" i="28"/>
  <c r="G23" i="41" s="1"/>
  <c r="V23" i="41" s="1"/>
  <c r="M22" i="28"/>
  <c r="G23" i="38" s="1"/>
  <c r="V23" i="38" s="1"/>
  <c r="M15" i="28"/>
  <c r="G23" i="31" s="1"/>
  <c r="V23" i="31" s="1"/>
  <c r="M16" i="28"/>
  <c r="L19" i="29" s="1"/>
  <c r="M17" i="28"/>
  <c r="M18" i="28"/>
  <c r="G23" i="34" s="1"/>
  <c r="V23" i="34" s="1"/>
  <c r="M19" i="28"/>
  <c r="G23" i="35" s="1"/>
  <c r="V23" i="35" s="1"/>
  <c r="M20" i="28"/>
  <c r="G23" i="36" s="1"/>
  <c r="V23" i="36" s="1"/>
  <c r="M21" i="28"/>
  <c r="G23" i="37" s="1"/>
  <c r="V23" i="37" s="1"/>
  <c r="M14" i="28"/>
  <c r="L15" i="29" s="1"/>
  <c r="L23" i="29" l="1"/>
  <c r="L55" i="29"/>
  <c r="L25" i="29"/>
  <c r="L57" i="29"/>
  <c r="L53" i="29"/>
  <c r="G23" i="54"/>
  <c r="V23" i="54" s="1"/>
  <c r="L27" i="29"/>
  <c r="L59" i="29"/>
  <c r="L29" i="29"/>
  <c r="L61" i="29"/>
  <c r="L31" i="29"/>
  <c r="L37" i="29"/>
  <c r="L39" i="29"/>
  <c r="L71" i="29"/>
  <c r="L41" i="29"/>
  <c r="L73" i="29"/>
  <c r="L43" i="29"/>
  <c r="L17" i="29"/>
  <c r="L49" i="29"/>
  <c r="L143" i="29"/>
  <c r="L51" i="29"/>
  <c r="L159" i="29"/>
  <c r="K44" i="28"/>
  <c r="G26" i="60" s="1"/>
  <c r="V26" i="60" s="1"/>
  <c r="L44" i="28"/>
  <c r="I49" i="28"/>
  <c r="J49" i="28"/>
  <c r="L49" i="28"/>
  <c r="H49" i="28"/>
  <c r="K162" i="29"/>
  <c r="G20" i="65" l="1"/>
  <c r="V20" i="65" s="1"/>
  <c r="M49" i="28"/>
  <c r="G20" i="60"/>
  <c r="V20" i="60" s="1"/>
  <c r="M44" i="28"/>
  <c r="B9" i="29"/>
  <c r="F50" i="28"/>
  <c r="L50" i="28"/>
  <c r="M50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G26" i="42" s="1"/>
  <c r="V26" i="42" s="1"/>
  <c r="K27" i="28"/>
  <c r="G26" i="43" s="1"/>
  <c r="V26" i="43" s="1"/>
  <c r="K28" i="28"/>
  <c r="G26" i="44" s="1"/>
  <c r="V26" i="44" s="1"/>
  <c r="K29" i="28"/>
  <c r="G26" i="45" s="1"/>
  <c r="V26" i="45" s="1"/>
  <c r="K30" i="28"/>
  <c r="G26" i="46" s="1"/>
  <c r="V26" i="46" s="1"/>
  <c r="K31" i="28"/>
  <c r="G26" i="47" s="1"/>
  <c r="V26" i="47" s="1"/>
  <c r="K32" i="28"/>
  <c r="G26" i="48" s="1"/>
  <c r="V26" i="48" s="1"/>
  <c r="K33" i="28"/>
  <c r="G26" i="49" s="1"/>
  <c r="V26" i="49" s="1"/>
  <c r="K34" i="28"/>
  <c r="G26" i="50" s="1"/>
  <c r="V26" i="50" s="1"/>
  <c r="K35" i="28"/>
  <c r="G26" i="51" s="1"/>
  <c r="V26" i="51" s="1"/>
  <c r="K36" i="28"/>
  <c r="G26" i="52" s="1"/>
  <c r="V26" i="52" s="1"/>
  <c r="K37" i="28"/>
  <c r="G26" i="53" s="1"/>
  <c r="V26" i="53" s="1"/>
  <c r="K38" i="28"/>
  <c r="G26" i="54" s="1"/>
  <c r="V26" i="54" s="1"/>
  <c r="K39" i="28"/>
  <c r="G26" i="55" s="1"/>
  <c r="V26" i="55" s="1"/>
  <c r="K40" i="28"/>
  <c r="G26" i="56" s="1"/>
  <c r="V26" i="56" s="1"/>
  <c r="K41" i="28"/>
  <c r="G26" i="57" s="1"/>
  <c r="V26" i="57" s="1"/>
  <c r="K42" i="28"/>
  <c r="G26" i="58" s="1"/>
  <c r="V26" i="58" s="1"/>
  <c r="K43" i="28"/>
  <c r="G26" i="59" s="1"/>
  <c r="V26" i="59" s="1"/>
  <c r="K45" i="28"/>
  <c r="G26" i="61" s="1"/>
  <c r="V26" i="61" s="1"/>
  <c r="K46" i="28"/>
  <c r="G26" i="62" s="1"/>
  <c r="V26" i="62" s="1"/>
  <c r="K47" i="28"/>
  <c r="G26" i="63" s="1"/>
  <c r="V26" i="63" s="1"/>
  <c r="K48" i="28"/>
  <c r="G26" i="64" s="1"/>
  <c r="V26" i="64" s="1"/>
  <c r="K14" i="28"/>
  <c r="J161" i="29"/>
  <c r="K49" i="28" s="1"/>
  <c r="G26" i="65" s="1"/>
  <c r="V26" i="65" s="1"/>
  <c r="J159" i="29"/>
  <c r="J143" i="29"/>
  <c r="J129" i="29"/>
  <c r="J107" i="29"/>
  <c r="J75" i="29"/>
  <c r="J73" i="29"/>
  <c r="J71" i="29"/>
  <c r="J69" i="29"/>
  <c r="J67" i="29"/>
  <c r="J65" i="29"/>
  <c r="J63" i="29"/>
  <c r="J61" i="29"/>
  <c r="J59" i="29"/>
  <c r="J57" i="29"/>
  <c r="J55" i="29"/>
  <c r="J53" i="29"/>
  <c r="J51" i="29"/>
  <c r="J49" i="29"/>
  <c r="J47" i="29"/>
  <c r="J45" i="29"/>
  <c r="J43" i="29"/>
  <c r="J41" i="29"/>
  <c r="J39" i="29"/>
  <c r="J37" i="29"/>
  <c r="J35" i="29"/>
  <c r="J33" i="29"/>
  <c r="J31" i="29"/>
  <c r="J29" i="29"/>
  <c r="J27" i="29"/>
  <c r="J25" i="29"/>
  <c r="J23" i="29"/>
  <c r="J21" i="29"/>
  <c r="J19" i="29"/>
  <c r="J17" i="29"/>
  <c r="J15" i="29"/>
  <c r="U43" i="20" l="1"/>
  <c r="Y33" i="24"/>
  <c r="Y34" i="20"/>
  <c r="Y43" i="20"/>
  <c r="Y35" i="20"/>
  <c r="Y34" i="24"/>
  <c r="G23" i="60"/>
  <c r="V23" i="60" s="1"/>
  <c r="L75" i="29"/>
  <c r="G23" i="65"/>
  <c r="V23" i="65" s="1"/>
  <c r="L161" i="29"/>
  <c r="G26" i="40"/>
  <c r="V26" i="40" s="1"/>
  <c r="G26" i="38"/>
  <c r="V26" i="38" s="1"/>
  <c r="G26" i="41"/>
  <c r="V26" i="41" s="1"/>
  <c r="G26" i="39"/>
  <c r="V26" i="39" s="1"/>
  <c r="G26" i="31"/>
  <c r="V26" i="31" s="1"/>
  <c r="G26" i="32"/>
  <c r="V26" i="32" s="1"/>
  <c r="G26" i="21"/>
  <c r="V26" i="21" s="1"/>
  <c r="G26" i="33"/>
  <c r="V26" i="33" s="1"/>
  <c r="G26" i="36"/>
  <c r="V26" i="36" s="1"/>
  <c r="G26" i="34"/>
  <c r="V26" i="34" s="1"/>
  <c r="G26" i="37"/>
  <c r="V26" i="37" s="1"/>
  <c r="G26" i="35"/>
  <c r="V26" i="35" s="1"/>
  <c r="J162" i="29"/>
  <c r="K50" i="28"/>
  <c r="Y47" i="20"/>
  <c r="S22" i="20"/>
  <c r="S20" i="20"/>
  <c r="S18" i="20"/>
  <c r="S24" i="20"/>
  <c r="G17" i="21"/>
  <c r="V17" i="21" s="1"/>
  <c r="V11" i="21"/>
  <c r="V10" i="20"/>
  <c r="V8" i="20"/>
  <c r="B21" i="20"/>
  <c r="B22" i="20"/>
  <c r="B23" i="20"/>
  <c r="B20" i="20"/>
  <c r="AC43" i="20" l="1"/>
  <c r="Y36" i="20"/>
  <c r="Y35" i="24"/>
  <c r="L162" i="29"/>
  <c r="U47" i="20"/>
  <c r="V29" i="21"/>
  <c r="B9" i="28"/>
  <c r="AC47" i="20" l="1"/>
  <c r="G11" i="21"/>
</calcChain>
</file>

<file path=xl/sharedStrings.xml><?xml version="1.0" encoding="utf-8"?>
<sst xmlns="http://schemas.openxmlformats.org/spreadsheetml/2006/main" count="3832" uniqueCount="360">
  <si>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</si>
  <si>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</si>
  <si>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</si>
  <si>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</si>
  <si>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</si>
  <si>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PROFORMA INVOICE
ПРОФОРМА ИНВОЙС</t>
    <phoneticPr fontId="9" type="noConversion"/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</si>
  <si>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</si>
  <si>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</si>
  <si>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PGU-DE-0220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</si>
  <si>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</si>
  <si>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</si>
  <si>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Gyeongsangnam-do, 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</si>
  <si>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</si>
  <si>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</si>
  <si>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</si>
  <si>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</si>
  <si>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</si>
  <si>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</si>
  <si>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</si>
  <si>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</si>
  <si>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</si>
  <si>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</si>
  <si>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</si>
  <si>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</si>
  <si>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Siemens-energy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</si>
  <si>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</si>
  <si>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</si>
  <si>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</si>
  <si>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</si>
  <si>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</si>
  <si>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</si>
  <si>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KOREA</t>
    <phoneticPr fontId="9" type="noConversion"/>
  </si>
  <si>
    <t>(T): +7 701 512 19 69</t>
  </si>
  <si>
    <t>*INCOTERMS / УСЛОВИЯ ПОСТАВКИ СОГЛАСНО ИНКОТЕРМС</t>
    <phoneticPr fontId="9" type="noConversion"/>
  </si>
  <si>
    <t>DDP Turkistan</t>
    <phoneticPr fontId="9" type="noConversion"/>
  </si>
  <si>
    <t>* CONTRACT NO. / НОМЕР КОНТРАКТ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</si>
  <si>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</si>
  <si>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</si>
  <si>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0123-ПГУТ-8Д date 14.03.2023</t>
    <phoneticPr fontId="9" type="noConversion"/>
  </si>
  <si>
    <t>Busan, Korea</t>
    <phoneticPr fontId="3" type="noConversion"/>
  </si>
  <si>
    <t>Later</t>
    <phoneticPr fontId="3" type="noConversion"/>
  </si>
  <si>
    <t>6. Port of Unloading / Порт разгрузки</t>
    <phoneticPr fontId="9" type="noConversion"/>
  </si>
  <si>
    <t>7. Final Destination / Конечный пункт 
назначения</t>
    <phoneticPr fontId="9" type="noConversion"/>
  </si>
  <si>
    <t>14. Mark and Numbers of PKGS / Маркировка и количество упаковок</t>
    <phoneticPr fontId="9" type="noConversion"/>
  </si>
  <si>
    <t>Lianyungang, China</t>
  </si>
  <si>
    <t>Turkistan Region, Sairam District</t>
    <phoneticPr fontId="3" type="noConversion"/>
  </si>
  <si>
    <t>PKG No.</t>
    <phoneticPr fontId="9" type="noConversion"/>
  </si>
  <si>
    <t>:</t>
    <phoneticPr fontId="9" type="noConversion"/>
  </si>
  <si>
    <t>PGU-DE-0220-DCS-CBN-001~036</t>
    <phoneticPr fontId="9" type="noConversion"/>
  </si>
  <si>
    <t>Q-ty of Package</t>
    <phoneticPr fontId="9" type="noConversion"/>
  </si>
  <si>
    <t>PKGS</t>
    <phoneticPr fontId="9" type="noConversion"/>
  </si>
  <si>
    <t>8. Voyage No / Рейс №</t>
    <phoneticPr fontId="9" type="noConversion"/>
  </si>
  <si>
    <t>9. Sailing on or about / Дата или
ожидаемая дата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</si>
  <si>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</si>
  <si>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</si>
  <si>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</si>
  <si>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HUI DE 2556W</t>
    <phoneticPr fontId="3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</si>
  <si>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</si>
  <si>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</si>
  <si>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</si>
  <si>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</si>
  <si>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</si>
  <si>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</si>
  <si>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</si>
  <si>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</si>
  <si>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</si>
  <si>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</si>
  <si>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Distributed Control System (DCS) /</t>
    <phoneticPr fontId="9" type="noConversion"/>
  </si>
  <si>
    <t>8537.10-5090</t>
    <phoneticPr fontId="9" type="noConversion"/>
  </si>
  <si>
    <t xml:space="preserve">CD #2 (Electrical System) </t>
    <phoneticPr fontId="9" type="noConversion"/>
  </si>
  <si>
    <t>Распределенная система управления</t>
    <phoneticPr fontId="9" type="noConversion"/>
  </si>
  <si>
    <t>Item 9.1 BOM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</si>
  <si>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</si>
  <si>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</si>
  <si>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</si>
  <si>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</si>
  <si>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</si>
  <si>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7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</si>
  <si>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</si>
  <si>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</si>
  <si>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</si>
  <si>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</si>
  <si>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</si>
  <si>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</si>
  <si>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</si>
  <si>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</si>
  <si>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</si>
  <si>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</si>
  <si>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</si>
  <si>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</si>
  <si>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</si>
  <si>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</si>
  <si>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PGU-DE-0220-DCS-CBN-001</t>
    <phoneticPr fontId="3" type="noConversion"/>
  </si>
  <si>
    <t>DCS Cabinet</t>
  </si>
  <si>
    <t>EA / ШТ.</t>
  </si>
  <si>
    <t>Korea</t>
    <phoneticPr fontId="3" type="noConversion"/>
  </si>
  <si>
    <t>PGU-DE-0220-DCS-CBN-002</t>
  </si>
  <si>
    <t>PGU-DE-0220-DCS-CBN-003</t>
  </si>
  <si>
    <t>PGU-DE-0220-DCS-CBN-004</t>
  </si>
  <si>
    <t>PGU-DE-0220-DCS-CBN-005</t>
  </si>
  <si>
    <t>PGU-DE-0220-DCS-CBN-006</t>
  </si>
  <si>
    <t>PGU-DE-0220-DCS-CBN-007</t>
  </si>
  <si>
    <t>PGU-DE-0220-DCS-CBN-008</t>
  </si>
  <si>
    <t>PGU-DE-0220-DCS-CBN-009</t>
  </si>
  <si>
    <t>PGU-DE-0220-DCS-CBN-010</t>
  </si>
  <si>
    <t>PGU-DE-0220-DCS-CBN-011</t>
  </si>
  <si>
    <t>PGU-DE-0220-DCS-CBN-012</t>
  </si>
  <si>
    <t>PGU-DE-0220-DCS-CBN-013</t>
  </si>
  <si>
    <t>Power Distribution Cabinet</t>
  </si>
  <si>
    <t>PGU-DE-0220-DCS-CBN-014</t>
  </si>
  <si>
    <t>PGU-DE-0220-DCS-CBN-015</t>
  </si>
  <si>
    <t>PGU-DE-0220-DCS-CBN-016</t>
  </si>
  <si>
    <t>PGU-DE-0220-DCS-CBN-017</t>
  </si>
  <si>
    <t>PGU-DE-0220-DCS-CBN-018</t>
  </si>
  <si>
    <t>PGU-DE-0220-DCS-CBN-019</t>
  </si>
  <si>
    <t>PGU-DE-0220-DCS-CBN-020</t>
  </si>
  <si>
    <t>PGU-DE-0220-DCS-CBN-021</t>
  </si>
  <si>
    <t>PGU-DE-0220-DCS-CBN-022</t>
  </si>
  <si>
    <t>PGU-DE-0220-DCS-CBN-023</t>
  </si>
  <si>
    <t>PGU-DE-0220-DCS-CBN-024</t>
  </si>
  <si>
    <t>PGU-DE-0220-DCS-CBN-025</t>
  </si>
  <si>
    <t>PGU-DE-0220-DCS-CBN-026</t>
  </si>
  <si>
    <t>PGU-DE-0220-DCS-CBN-027</t>
  </si>
  <si>
    <t>PGU-DE-0220-DCS-CBN-028</t>
  </si>
  <si>
    <t>PGU-DE-0220-DCS-CBN-029</t>
  </si>
  <si>
    <t>PGU-DE-0220-DCS-CBN-030</t>
  </si>
  <si>
    <t>Ground Boxes</t>
  </si>
  <si>
    <t>PGU-DE-0220-DCS-CBN-031</t>
  </si>
  <si>
    <t>Workstation</t>
  </si>
  <si>
    <t>PGU-DE-0220-DCS-CBN-032</t>
  </si>
  <si>
    <t>Spare Part</t>
  </si>
  <si>
    <t>PGU-DE-0220-DCS-CBN-033</t>
  </si>
  <si>
    <t>Control Equipment</t>
  </si>
  <si>
    <t>PGU-DE-0220-DCS-CBN-034</t>
  </si>
  <si>
    <t>PGU-DE-0220-DCS-CBN-035</t>
  </si>
  <si>
    <t>PGU-DE-0220-DCS-CBN-036</t>
  </si>
  <si>
    <t>UPS</t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</si>
  <si>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</si>
  <si>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</si>
  <si>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</si>
  <si>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 xml:space="preserve">Construction of a 1000 MW CCGT Power Plant in the Sairam District of </t>
    <phoneticPr fontId="9" type="noConversion"/>
  </si>
  <si>
    <t>Lianyungang, China</t>
    <phoneticPr fontId="3" type="noConversion"/>
  </si>
  <si>
    <t>Turkistan Region, Sairam District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</si>
  <si>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</si>
  <si>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HUI DE 2556W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</si>
  <si>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</si>
  <si>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</si>
  <si>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</si>
  <si>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</si>
  <si>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</si>
  <si>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</si>
  <si>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</si>
  <si>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 xml:space="preserve">Distributed Control System / </t>
    <phoneticPr fontId="9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</si>
  <si>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</si>
  <si>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</si>
  <si>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</si>
  <si>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</si>
  <si>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</si>
  <si>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</si>
  <si>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</si>
  <si>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</si>
  <si>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</si>
  <si>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</si>
  <si>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</si>
  <si>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</si>
  <si>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</si>
  <si>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</si>
  <si>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</si>
  <si>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</si>
  <si>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>Branch of JSC "Doosan Enerbility" in the Turkestan region</t>
  </si>
  <si>
    <t xml:space="preserve">Consignee address: </t>
    <phoneticPr fontId="3" type="noConversion"/>
  </si>
  <si>
    <t xml:space="preserve">Republic of Kazakhstan, Turkistan Region, Sairam District, Karamurt Rural District, Quarter 171    </t>
    <phoneticPr fontId="3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</si>
  <si>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</si>
  <si>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</si>
  <si>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</si>
  <si>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</si>
  <si>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</si>
  <si>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</si>
  <si>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</si>
  <si>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</si>
  <si>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</si>
  <si>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</si>
  <si>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</si>
  <si>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</si>
  <si>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</si>
  <si>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</si>
  <si>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</si>
  <si>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</si>
  <si>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</si>
  <si>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</si>
  <si>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wooden</t>
  </si>
  <si>
    <t>EA / ШТ.</t>
    <phoneticPr fontId="3" type="noConversion"/>
  </si>
  <si>
    <t>N/A</t>
    <phoneticPr fontId="3" type="noConversion"/>
  </si>
  <si>
    <t>A</t>
  </si>
  <si>
    <t>N</t>
  </si>
  <si>
    <t>y</t>
  </si>
  <si>
    <t>PGU-DE-0220-DCS-CBN-031</t>
    <phoneticPr fontId="3" type="noConversion"/>
  </si>
  <si>
    <t>PGU-DE-0220-DCS-CBN-036</t>
    <phoneticPr fontId="3" type="noConversion"/>
  </si>
  <si>
    <t>Wooden</t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</si>
  <si>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</si>
  <si>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</si>
  <si>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</si>
  <si>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</si>
  <si>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</si>
  <si>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</si>
  <si>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</si>
  <si>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</si>
  <si>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</si>
  <si>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Remark / 
Примечания</t>
    <phoneticPr fontId="9" type="noConversion"/>
  </si>
  <si>
    <t>Q'ty / 
Количество</t>
  </si>
  <si>
    <t>Unit / 
Ед.изм.</t>
  </si>
  <si>
    <t>L (cm) /
Д (см)</t>
  </si>
  <si>
    <t>W (cm) / 
Ш (см)</t>
  </si>
  <si>
    <t>H (cm) / 
В (см)</t>
  </si>
  <si>
    <t>CBM (m3) /
Объем (м3)</t>
  </si>
  <si>
    <t>PGU-DE-0220-DCS-CBN-001</t>
  </si>
  <si>
    <t>B1-D-0010 + B1-MD-0010 + B1-MD-0011
B#1 System + Marshalling Cabinet for GT/HRSG#11</t>
  </si>
  <si>
    <t>B1-D-0020 + B1-MD-0020 + B1-MD-0021  
B#1 System + Marshalling Cabinet for GT/HRSG#12</t>
  </si>
  <si>
    <t>B1-D-0040 + B1-MD-0040 + B1-MD-0041  
B#1 System + Marshalling Cabinet for Block BOP#1</t>
  </si>
  <si>
    <t>B2-D-0010 + B2-MD-0010 + B2-MD-0011  
B#2 System + Marshalling Cabinet for GT/HRSG#21</t>
  </si>
  <si>
    <t>B2-D-0020 + B2-MD-0020 + B2-MD-0021  
B#2 System + Marshalling Cabinet for GT/HRSG#22</t>
    <phoneticPr fontId="3" type="noConversion"/>
  </si>
  <si>
    <t>B2-D-0040 + B2-MD-0040 + B2-MD-0041  
B#2 System + Marshalling Cabinet for Block BOP#2</t>
  </si>
  <si>
    <t>B0-D-0020 + B0-MD-0020 + B0-MD-0021  
COM System + Marshalling Cabinet for Plant Common Electrical</t>
  </si>
  <si>
    <t>B0-D-0011 + B0-MD-0011 + B0-MD-0012  
COM Remote I/O + Marshalling Cabinet for WT/WWT LER</t>
  </si>
  <si>
    <t>B1-D-0041 + B1-MD-0042  
B#1 Remote I/O + Marshalling Cabinet for Block BOP</t>
  </si>
  <si>
    <t>B2-D-0041 + B2-MD-0042  
B#2 Remote I/O + Marshalling Cabinet for Block BOP</t>
    <phoneticPr fontId="3" type="noConversion"/>
  </si>
  <si>
    <t>B0-D-0010 + B0-MD-0010  
COM System + Marshalling Cabinet for Plant Common</t>
    <phoneticPr fontId="3" type="noConversion"/>
  </si>
  <si>
    <t>B0-D-0021 + B0-MD-0022  
COM I/O Extension + Marshalling Cabinet for Plant Block#2 Electrical</t>
    <phoneticPr fontId="3" type="noConversion"/>
  </si>
  <si>
    <t>B1-PDP-0001  
B#1 Power Distribution Cabinet#1</t>
    <phoneticPr fontId="3" type="noConversion"/>
  </si>
  <si>
    <t>B1-PDP-0011  
B#1 Power Distribution Cabinet#2</t>
    <phoneticPr fontId="3" type="noConversion"/>
  </si>
  <si>
    <t>B2-PDP-0001  
B#2 Power Distribution Cabinet#1</t>
    <phoneticPr fontId="3" type="noConversion"/>
  </si>
  <si>
    <t>B2-PDP-0011  
B#2 Power Distribution Cabinet#2</t>
  </si>
  <si>
    <t>B0-PDP-0001  
COM Power Distribution Cabinet#1</t>
  </si>
  <si>
    <t>B0-C-0003  
COM Third Party Communication Cabinet</t>
  </si>
  <si>
    <t>B0-PDP-0011
COM Power Distribution Cabinet#2</t>
  </si>
  <si>
    <t>B1-C-0001  
B#1 Server and Network Cabinet</t>
  </si>
  <si>
    <t>B2-C-0001  
B#2 Server and Network Cabinet</t>
  </si>
  <si>
    <t>B0-C-0001  
COM Server and Network Cabinet</t>
  </si>
  <si>
    <t>B0-C-0002  
COM Network Cabinet</t>
  </si>
  <si>
    <t>B0-C-0011  
MDA Cabinet</t>
  </si>
  <si>
    <t>B0-C-0021  
Plant Information System Cabinet</t>
  </si>
  <si>
    <t>B1-D-0030  
B#1 System + Marshalling Cabinet for Block BOP#1</t>
  </si>
  <si>
    <t>B1-D-0050  
B#1 System + Marshalling Cabinet for B#1 SRS</t>
  </si>
  <si>
    <t>B2-D-0030  
B#2 System + Marshalling Cabinet for Block BOP#1</t>
  </si>
  <si>
    <t>B2-D-0050  
B#2 System + Marshalling Cabinet for B#2 SRS</t>
  </si>
  <si>
    <t>Ground Boxes - 10 nos.</t>
  </si>
  <si>
    <t>Thin Client P340 - 15 nos. NIDS P340 - 1 no.</t>
  </si>
  <si>
    <t>ET200SP HA IM155-6 Redundancy Bundle, (6DL1155-6AA00-0ER0 )</t>
  </si>
  <si>
    <t>Commissioning Spare Part</t>
  </si>
  <si>
    <t>ET 200SP HA, CONF. AI-DI16/DQ16X24VDC HART (6DL1133-6EW00-0EH1)</t>
  </si>
  <si>
    <t>ET 200SP HA, AQ 8XI HART HA (6DL1135-6TF00-0EH1)</t>
  </si>
  <si>
    <t>ET 200SP HA, DI 16X24VDC HA (6DL1131-6BH00-0EH1)</t>
  </si>
  <si>
    <t>ET 200SP HA, DQ 16X24VDC/0,5A HA (6DL1132-6BH00-0EH1)</t>
  </si>
  <si>
    <t>ET 200SP HA, Fast multi IO and counter (6DL1138-6EA00-0EH1)</t>
  </si>
  <si>
    <t>Power Supply Unit 24VDC, 40 Amp (6EP3337-8SB00-0AY0)</t>
  </si>
  <si>
    <t>Communication processor CP 443-1 RNA, for communication with AS-S7 Automation Servers (6GK7443-1RX00-0XE0)</t>
  </si>
  <si>
    <t>Fuse (1 Set=100), 2Amp - 200 pcs, 32mA - 100 pcs</t>
  </si>
  <si>
    <t xml:space="preserve">	SIMATIC S7-400H, Synchronization module V6 for patch cable to 10 m, (6ES7960-1AA06-0XA0)</t>
  </si>
  <si>
    <t xml:space="preserve">SIMATIC S7-400, Backup battery 3.6 V/2.3 AH for PS405 </t>
  </si>
  <si>
    <t>6GK5991-1AD50-8AA0</t>
  </si>
  <si>
    <t>Mandatory Spare Part</t>
    <phoneticPr fontId="3" type="noConversion"/>
  </si>
  <si>
    <t>Communication processor CP 443-1 RNA, (6GK7443-1RX00-0XE0)</t>
  </si>
  <si>
    <t>16 Channel Analogue Input Module (Track FIM with PTC)  (9DL1133-2AA21-2AA1)</t>
  </si>
  <si>
    <t>16 Channel Digital Input Module  (One Tier Field TB's) (9DL1131-1AA25-2AC1)</t>
  </si>
  <si>
    <t>16 Channel Digital Output Module  -(One Tier Field TB's) (9DL1132-1AC26-2AC1)</t>
  </si>
  <si>
    <t>8 Channel, 4 Amps rated Power Distribution Board - Spring Cage TB's (9DL1130-1AC12-2AA1)</t>
  </si>
  <si>
    <t>Prefab Cable Assembly with 40 - (White), Length 2.5 meters (9DL1137-5AD70-4AE1)</t>
  </si>
  <si>
    <t>Prefab Cable Assembly with 40 - (White), Length 4.5 meters (9DL1137-5AD70-4AG1)</t>
  </si>
  <si>
    <t>Prefab Cable Assembly with 40 - (White), Length 6.0 meters (9DL1137-5AD70-4AH1)</t>
  </si>
  <si>
    <t>Prefab Cable Assembly with 40 -  (Grey), Length 2.5 meters (9DL1137-5AD70-5AE1)</t>
  </si>
  <si>
    <t>Prefab Cable Assembly with 40 - (Grey), Length 3.5 meters (9DL1137-5AD70-5AF1)</t>
  </si>
  <si>
    <t>Prefab Cable Assembly with 40 -  (Grey), Length 4.5 meters (9DL1137-5AD70-5AG1)</t>
  </si>
  <si>
    <t>Prefab Cable Assembly with 40 - (Grey), Length 6.0 meters (9DL1137-5AD70-5AH1)</t>
  </si>
  <si>
    <t>Security Server SeS3000 SR250 R9.2(SP0)  (6DU7054-0LH00-0FA0) with Keyboard and mouse</t>
  </si>
  <si>
    <t>Main Equipments 1</t>
    <phoneticPr fontId="3" type="noConversion"/>
  </si>
  <si>
    <t>Security Server SeS3000 SR250 R9.2(SP0) (Deployment only) (6DU7054-0LH00-0AA0) with Keyboard and mouse</t>
  </si>
  <si>
    <t>Terminal Server ApS3000 Term Serv. DL360 g10 R9.2(SP0) (6DU7050-0LG03-0AA0)</t>
  </si>
  <si>
    <t>CAG Router, Cisco C921 Gigabit Ethernet (6DQ1322-2CK00-0AA0)</t>
  </si>
  <si>
    <t>Network Accessible Storage Synology NAS RS822RP+ (6DU7081-0XD00-0AA0) + 4 TB enterprise drives</t>
  </si>
  <si>
    <t>LCD KVM Switch, 8-Port PS/2-USB VGA Single Rail (CL1308)</t>
  </si>
  <si>
    <t>5M USB KVM Cable with 3 in 1 SPHD (2L-5205U)</t>
  </si>
  <si>
    <t>1.8M USB KVM Cable with 3 in 1 SPHD  (2L-5202U)</t>
  </si>
  <si>
    <t>Device License : Basic Thin Client, Lenovo P340, R9.2 (SP0) (6DU7400-0LM00-0AA0)</t>
  </si>
  <si>
    <t>Device License : Terminal Server, DL360gen10, R9.2 (SP0) (6DU7450-0LG00-0AA0)</t>
  </si>
  <si>
    <t>Device License : Application Server Red. drcApS3000, IPC627E, R9.2 (SP0) (6DU7454-0LB00-0AA0)</t>
  </si>
  <si>
    <t>Device License : Security Server SeS3000 SR250 R9.2(SP0) (Deployment &amp; Whitelisting) (6DU7454-0LH00-0FA0)</t>
  </si>
  <si>
    <t>Device License : Security Server SeS3000 SR250 R9.2(SP0) (Deployment) (6DU7454-0LH00-0AA0)</t>
  </si>
  <si>
    <t>Device License : NIDS, Lenovo P340, R9.2 (SP0) (6DU7451-0LM00-0AA0)</t>
  </si>
  <si>
    <t>SIMATIC S7, Step7 V5.7, floating license for 1 user  (6ES7810-4CC12-0YA5)</t>
  </si>
  <si>
    <t>SIMATIC CFC V9.0, FOR CPU 410-5H (6ES7658-1EX58-0YA5)</t>
  </si>
  <si>
    <t>AS-S7 (CPU 410-5H) SPPA-T3000 license (S79220-B6273-F888)</t>
  </si>
  <si>
    <t>S7 F-Program-SW V6.4 And FB-Lib. V1.3, SIMATIC S7, F-PROG-SW U.FB-Library (6ES7833-1CC46-0YA5)</t>
  </si>
  <si>
    <t>SIMATIC S7, S7 F System RT license ( 1 License per redundant controller) (6ES7833-1CC00-6YX0)</t>
  </si>
  <si>
    <t>S7 F SW Media Package V6.4  (6ES7833-4CC46-0YT8)</t>
  </si>
  <si>
    <t>DVI-D to VGA Converter (Standard)</t>
  </si>
  <si>
    <t>GPS RECEIVER 4500 V2, with 100 meter cable (B600 4500 0100)</t>
  </si>
  <si>
    <t>Equipment-2</t>
    <phoneticPr fontId="3" type="noConversion"/>
  </si>
  <si>
    <t>LIGHTNING PROTECTION BOX SP 4500 FOR DTS (B600 SP45 0000)</t>
  </si>
  <si>
    <t>Slave Clock (DC.100x.6.R.N.N.PoE.BLACK.VDC)</t>
  </si>
  <si>
    <t>Static Transfer Switch, 63 A (NPS-I R32, 63A)</t>
  </si>
  <si>
    <t>Power Cord, 2.5 meters, Europen 3 pin plug Schuko to IEC 60320-C13, Heavy Duty 18 AWG (Reputed)</t>
  </si>
  <si>
    <t>Ethernet Cable, CAT6, Length in Meters (Standard) - 600m</t>
  </si>
  <si>
    <t>Ground Cable, 25 sq. mm, Yellow-Green, Length in Meters (Standard)</t>
  </si>
  <si>
    <t>Ground Cable, 25 sq. mm, Green, Length in Meters (Standard)</t>
  </si>
  <si>
    <t>Fiber Optic Patch Cord Multi Mode 50/125 OM2 (LSZH) Duplex: SC / LC – 30 Meter, PC Adapter</t>
  </si>
  <si>
    <t>Fiber Optic Patch Cord Multi Mode 50/125 OM2 (LSZH) Duplex: LC / LC – 30 Meter, PC Adapter</t>
  </si>
  <si>
    <t>Fiber Optic Patch Cord Multi Mode 50/125 OM2 (LSZH) Duplex: ST / ST – 30 Meter, PC Adapter</t>
  </si>
  <si>
    <t>Fiber Optic Patch Cord Multi Mode 50/125 OM2 (LSZH) Duplex: ST / ST – 20 Meter, PC Adapter</t>
  </si>
  <si>
    <t>Fiber Optic Patch Cord Multi Mode 50/125 OM2 (LSZH) Duplex: SC / ST – 30 Meter, PC Adapter</t>
  </si>
  <si>
    <t>RX5000 Multi-Unit Router for 11 units. (6GK6050-0AM23-3DM0-Z</t>
  </si>
  <si>
    <t>Main Equipments 3</t>
    <phoneticPr fontId="3" type="noConversion"/>
  </si>
  <si>
    <t>TP Cord RJ45/RJ45 1 m (6XV1870-3QH10)</t>
  </si>
  <si>
    <t>TP Cord RJ45/RJ45 3 m (6XV1870-3QH30)</t>
  </si>
  <si>
    <t>TP Cord RJ45/RJ45 6 m (6XV1870-3QH60)</t>
  </si>
  <si>
    <t>TP Cord RJ45/RJ45 10 m (6XV1870-3QN10)</t>
  </si>
  <si>
    <t>Cat6A UTP Patch Cords, LSZH – 3 Meter (AFCP2U14I2G003M)</t>
  </si>
  <si>
    <t>Cat6A UTP Patch Cords, LSZH – 10 Meter (AFCP2U14I2G010M)</t>
  </si>
  <si>
    <t>Cat6A UTP Patch Cords, LSZH – 25 Meter (AFCP2U14I2G025M)</t>
  </si>
  <si>
    <t>Fiber Optic Patch Cord Multi Mode 50/125 OM2 (LSZH) Duplex: SC / ST – 3 Meter, PC Adapter</t>
  </si>
  <si>
    <t>Fiber Optic Patch Cord Multi Mode 50/125 OM2 (LSZH) Duplex: LC / ST – 3 Meter, PC Adapter</t>
  </si>
  <si>
    <t>Fiber Optic Patch Cord Multi Mode 50/125 OM2 (LSZH) Duplex: ST / ST – 3 Meter, PC Adapter</t>
  </si>
  <si>
    <t>Fiber Optic Patch Cord Multi Mode 50/125 OM2 (LSZH) Duplex: SC / LC – 3 Meter, PC Adapter</t>
  </si>
  <si>
    <t>Fiber Optic Patch Cord Multi Mode 50/125 OM2 (LSZH) Duplex: LC / LC – 3 Meter, PC Adapter</t>
  </si>
  <si>
    <t>Fiber Optic Patch Cord Multi Mode 50/125 OM2 (LSZH) Duplex: ST / LC – 3 Meter, PC Adapter</t>
    <phoneticPr fontId="3" type="noConversion"/>
  </si>
  <si>
    <t>Fiber Optic Patch Cord Multi Mode 50/125 OM2 (LSZH) Duplex: LC / LC – 1 Meter, PC Adapter</t>
    <phoneticPr fontId="3" type="noConversion"/>
  </si>
  <si>
    <t>UPS_APC SMX1500RMI2U  (6DU7082-0XB02-0AA0)</t>
    <phoneticPr fontId="3" type="noConversion"/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</si>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</sst>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_-* #,##0.000_-;\-* #,##0.000_-;_-* &quot;-&quot;_-;_-@_-"/>
    <numFmt numFmtId="184" formatCode="#,##0\ &quot;SET&quot;"/>
    <numFmt numFmtId="185" formatCode="#,##0.000;[Red]\-#,##0.000"/>
  </numFmts>
  <fonts count="7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4"/>
      <name val="Calibri"/>
      <family val="2"/>
    </font>
    <font>
      <sz val="14"/>
      <name val="Arial"/>
      <family val="2"/>
    </font>
    <font>
      <sz val="13"/>
      <name val="Arial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9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9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</cellStyleXfs>
  <cellXfs count="474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41" fontId="14" fillId="0" borderId="0" xfId="13" applyFont="1">
      <alignment vertical="center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0" fillId="0" borderId="0" xfId="12" applyFont="1" applyAlignment="1">
      <alignment vertical="center" wrapText="1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8" fillId="0" borderId="0" xfId="12" applyFont="1" applyAlignment="1">
      <alignment vertical="center" wrapText="1"/>
    </xf>
    <xf numFmtId="0" fontId="18" fillId="0" borderId="0" xfId="12" applyFont="1">
      <alignment vertical="center"/>
    </xf>
    <xf numFmtId="0" fontId="20" fillId="0" borderId="0" xfId="12" applyFont="1">
      <alignment vertical="center"/>
    </xf>
    <xf numFmtId="0" fontId="19" fillId="0" borderId="0" xfId="12" applyFont="1" applyAlignment="1">
      <alignment vertical="center" wrapText="1"/>
    </xf>
    <xf numFmtId="0" fontId="19" fillId="0" borderId="0" xfId="12" applyFont="1">
      <alignment vertical="center"/>
    </xf>
    <xf numFmtId="40" fontId="21" fillId="0" borderId="1" xfId="13" applyNumberFormat="1" applyFont="1" applyFill="1" applyBorder="1" applyAlignment="1">
      <alignment horizontal="center" vertical="center"/>
    </xf>
    <xf numFmtId="41" fontId="21" fillId="2" borderId="1" xfId="13" applyFont="1" applyFill="1" applyBorder="1" applyAlignment="1">
      <alignment horizontal="center" vertical="center"/>
    </xf>
    <xf numFmtId="176" fontId="21" fillId="2" borderId="1" xfId="13" applyNumberFormat="1" applyFont="1" applyFill="1" applyBorder="1" applyAlignment="1">
      <alignment horizontal="center" vertical="center"/>
    </xf>
    <xf numFmtId="0" fontId="24" fillId="0" borderId="0" xfId="12" applyFont="1">
      <alignment vertical="center"/>
    </xf>
    <xf numFmtId="0" fontId="21" fillId="0" borderId="0" xfId="12" applyFont="1" applyAlignment="1">
      <alignment vertical="center" wrapText="1"/>
    </xf>
    <xf numFmtId="0" fontId="21" fillId="0" borderId="0" xfId="12" applyFont="1" applyAlignment="1">
      <alignment horizontal="left" vertical="center" wrapText="1"/>
    </xf>
    <xf numFmtId="0" fontId="25" fillId="0" borderId="0" xfId="12" applyFont="1" applyAlignment="1">
      <alignment horizontal="left" vertical="center" wrapText="1"/>
    </xf>
    <xf numFmtId="0" fontId="26" fillId="0" borderId="0" xfId="12" applyFont="1" applyAlignment="1">
      <alignment vertical="center" wrapText="1"/>
    </xf>
    <xf numFmtId="0" fontId="26" fillId="0" borderId="0" xfId="12" applyFont="1">
      <alignment vertical="center"/>
    </xf>
    <xf numFmtId="0" fontId="27" fillId="0" borderId="0" xfId="12" applyFont="1" applyAlignment="1">
      <alignment horizontal="left" vertical="center" wrapText="1"/>
    </xf>
    <xf numFmtId="41" fontId="14" fillId="0" borderId="0" xfId="13" applyFont="1" applyBorder="1" applyAlignment="1">
      <alignment horizontal="center" vertical="center"/>
    </xf>
    <xf numFmtId="38" fontId="14" fillId="0" borderId="0" xfId="13" applyNumberFormat="1" applyFont="1" applyBorder="1" applyAlignment="1">
      <alignment horizontal="center" vertical="center"/>
    </xf>
    <xf numFmtId="180" fontId="14" fillId="0" borderId="0" xfId="12" applyNumberFormat="1" applyFont="1" applyAlignment="1">
      <alignment horizontal="center" vertical="center"/>
    </xf>
    <xf numFmtId="178" fontId="14" fillId="0" borderId="0" xfId="12" applyNumberFormat="1" applyFont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41" fontId="14" fillId="0" borderId="0" xfId="13" applyFont="1" applyFill="1" applyBorder="1" applyAlignment="1">
      <alignment horizontal="center" vertical="center"/>
    </xf>
    <xf numFmtId="181" fontId="14" fillId="0" borderId="0" xfId="15" applyNumberFormat="1" applyFont="1" applyAlignment="1">
      <alignment horizontal="center" vertical="center"/>
      <protection locked="0"/>
    </xf>
    <xf numFmtId="41" fontId="14" fillId="0" borderId="0" xfId="13" applyFont="1" applyFill="1" applyBorder="1" applyAlignment="1">
      <alignment horizontal="left" vertical="center"/>
    </xf>
    <xf numFmtId="38" fontId="14" fillId="0" borderId="0" xfId="13" applyNumberFormat="1" applyFont="1" applyBorder="1" applyAlignment="1">
      <alignment horizontal="left" vertical="center"/>
    </xf>
    <xf numFmtId="0" fontId="16" fillId="0" borderId="0" xfId="12" applyFont="1" applyAlignment="1">
      <alignment horizontal="left" vertical="center" wrapText="1"/>
    </xf>
    <xf numFmtId="0" fontId="16" fillId="0" borderId="0" xfId="12" applyFont="1" applyAlignment="1">
      <alignment horizontal="left" vertical="center"/>
    </xf>
    <xf numFmtId="178" fontId="29" fillId="0" borderId="0" xfId="12" applyNumberFormat="1" applyFont="1" applyAlignment="1">
      <alignment horizontal="center" vertical="center"/>
    </xf>
    <xf numFmtId="0" fontId="17" fillId="0" borderId="0" xfId="12" applyFont="1">
      <alignment vertical="center"/>
    </xf>
    <xf numFmtId="41" fontId="17" fillId="0" borderId="0" xfId="13" applyFont="1" applyBorder="1">
      <alignment vertical="center"/>
    </xf>
    <xf numFmtId="0" fontId="17" fillId="0" borderId="0" xfId="12" applyFont="1" applyAlignment="1">
      <alignment horizontal="center" vertical="center"/>
    </xf>
    <xf numFmtId="176" fontId="17" fillId="0" borderId="0" xfId="13" applyNumberFormat="1" applyFont="1" applyBorder="1">
      <alignment vertical="center"/>
    </xf>
    <xf numFmtId="178" fontId="17" fillId="0" borderId="0" xfId="12" applyNumberFormat="1" applyFont="1">
      <alignment vertical="center"/>
    </xf>
    <xf numFmtId="41" fontId="17" fillId="0" borderId="0" xfId="13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5" fillId="0" borderId="0" xfId="12" applyFont="1">
      <alignment vertical="center"/>
    </xf>
    <xf numFmtId="0" fontId="36" fillId="0" borderId="0" xfId="12" applyFont="1">
      <alignment vertical="center"/>
    </xf>
    <xf numFmtId="176" fontId="31" fillId="0" borderId="0" xfId="13" applyNumberFormat="1" applyFont="1" applyFill="1" applyBorder="1" applyAlignment="1">
      <alignment vertical="center"/>
    </xf>
    <xf numFmtId="179" fontId="10" fillId="0" borderId="26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9" xfId="13" applyNumberFormat="1" applyFont="1" applyFill="1" applyBorder="1" applyAlignment="1">
      <alignment vertical="center"/>
    </xf>
    <xf numFmtId="176" fontId="10" fillId="0" borderId="26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9" xfId="13" applyNumberFormat="1" applyFont="1" applyFill="1" applyBorder="1" applyAlignment="1">
      <alignment vertical="center"/>
    </xf>
    <xf numFmtId="179" fontId="10" fillId="0" borderId="25" xfId="13" applyNumberFormat="1" applyFont="1" applyFill="1" applyBorder="1" applyAlignment="1">
      <alignment vertical="center"/>
    </xf>
    <xf numFmtId="176" fontId="18" fillId="0" borderId="0" xfId="1" applyNumberFormat="1" applyFont="1">
      <alignment vertical="center"/>
    </xf>
    <xf numFmtId="43" fontId="18" fillId="0" borderId="0" xfId="12" applyNumberFormat="1" applyFont="1">
      <alignment vertical="center"/>
    </xf>
    <xf numFmtId="178" fontId="29" fillId="0" borderId="0" xfId="12" applyNumberFormat="1" applyFont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3" fillId="0" borderId="0" xfId="12" applyFont="1" applyAlignment="1">
      <alignment vertical="center" wrapText="1"/>
    </xf>
    <xf numFmtId="0" fontId="23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29" fillId="0" borderId="0" xfId="1" applyNumberFormat="1" applyFont="1" applyAlignment="1">
      <alignment horizontal="center" vertical="center"/>
    </xf>
    <xf numFmtId="0" fontId="42" fillId="2" borderId="6" xfId="0" applyFont="1" applyFill="1" applyBorder="1">
      <alignment vertical="center"/>
    </xf>
    <xf numFmtId="0" fontId="42" fillId="2" borderId="5" xfId="0" applyFont="1" applyFill="1" applyBorder="1">
      <alignment vertical="center"/>
    </xf>
    <xf numFmtId="0" fontId="41" fillId="2" borderId="5" xfId="0" applyFont="1" applyFill="1" applyBorder="1">
      <alignment vertical="center"/>
    </xf>
    <xf numFmtId="0" fontId="41" fillId="2" borderId="7" xfId="0" applyFont="1" applyFill="1" applyBorder="1">
      <alignment vertical="center"/>
    </xf>
    <xf numFmtId="0" fontId="42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2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2" fillId="0" borderId="9" xfId="0" applyFont="1" applyBorder="1">
      <alignment vertical="center"/>
    </xf>
    <xf numFmtId="0" fontId="47" fillId="2" borderId="8" xfId="0" applyFont="1" applyFill="1" applyBorder="1">
      <alignment vertical="center"/>
    </xf>
    <xf numFmtId="0" fontId="42" fillId="2" borderId="12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1" fillId="2" borderId="4" xfId="0" applyFont="1" applyFill="1" applyBorder="1">
      <alignment vertical="center"/>
    </xf>
    <xf numFmtId="0" fontId="41" fillId="2" borderId="18" xfId="0" applyFont="1" applyFill="1" applyBorder="1">
      <alignment vertical="center"/>
    </xf>
    <xf numFmtId="177" fontId="31" fillId="0" borderId="25" xfId="12" applyNumberFormat="1" applyFont="1" applyBorder="1">
      <alignment vertical="center"/>
    </xf>
    <xf numFmtId="0" fontId="47" fillId="2" borderId="8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2" applyFont="1" applyAlignment="1">
      <alignment horizontal="right" vertical="center" wrapText="1"/>
    </xf>
    <xf numFmtId="0" fontId="50" fillId="0" borderId="0" xfId="0" applyFont="1" applyAlignment="1">
      <alignment horizontal="left" vertical="center"/>
    </xf>
    <xf numFmtId="0" fontId="13" fillId="0" borderId="0" xfId="12" applyFont="1" applyAlignment="1">
      <alignment horizontal="center" vertical="center"/>
    </xf>
    <xf numFmtId="176" fontId="31" fillId="0" borderId="0" xfId="1" applyNumberFormat="1" applyFont="1" applyFill="1" applyBorder="1" applyAlignment="1">
      <alignment vertical="center"/>
    </xf>
    <xf numFmtId="0" fontId="13" fillId="2" borderId="9" xfId="0" applyFont="1" applyFill="1" applyBorder="1">
      <alignment vertical="center"/>
    </xf>
    <xf numFmtId="0" fontId="38" fillId="4" borderId="15" xfId="12" applyFont="1" applyFill="1" applyBorder="1" applyAlignment="1">
      <alignment horizontal="center" vertical="center"/>
    </xf>
    <xf numFmtId="0" fontId="38" fillId="4" borderId="1" xfId="14" applyFont="1" applyFill="1" applyBorder="1" applyAlignment="1">
      <alignment horizontal="center" vertical="center"/>
    </xf>
    <xf numFmtId="40" fontId="38" fillId="4" borderId="1" xfId="13" applyNumberFormat="1" applyFont="1" applyFill="1" applyBorder="1" applyAlignment="1">
      <alignment horizontal="center" vertical="center"/>
    </xf>
    <xf numFmtId="41" fontId="38" fillId="4" borderId="1" xfId="13" applyFont="1" applyFill="1" applyBorder="1" applyAlignment="1">
      <alignment horizontal="center" vertical="center"/>
    </xf>
    <xf numFmtId="0" fontId="38" fillId="4" borderId="1" xfId="12" applyFont="1" applyFill="1" applyBorder="1" applyAlignment="1">
      <alignment horizontal="center" vertical="center"/>
    </xf>
    <xf numFmtId="176" fontId="38" fillId="4" borderId="1" xfId="13" applyNumberFormat="1" applyFont="1" applyFill="1" applyBorder="1" applyAlignment="1">
      <alignment horizontal="center" vertical="center"/>
    </xf>
    <xf numFmtId="176" fontId="38" fillId="4" borderId="16" xfId="13" applyNumberFormat="1" applyFont="1" applyFill="1" applyBorder="1" applyAlignment="1">
      <alignment horizontal="left" vertical="center"/>
    </xf>
    <xf numFmtId="0" fontId="38" fillId="0" borderId="0" xfId="12" applyFont="1" applyAlignment="1">
      <alignment vertical="center" wrapText="1"/>
    </xf>
    <xf numFmtId="0" fontId="38" fillId="0" borderId="0" xfId="12" applyFont="1" applyAlignment="1">
      <alignment horizontal="left" vertical="center" wrapText="1"/>
    </xf>
    <xf numFmtId="0" fontId="53" fillId="0" borderId="0" xfId="12" applyFont="1" applyAlignment="1">
      <alignment vertical="center" wrapText="1"/>
    </xf>
    <xf numFmtId="0" fontId="53" fillId="0" borderId="0" xfId="12" applyFont="1">
      <alignment vertical="center"/>
    </xf>
    <xf numFmtId="176" fontId="38" fillId="4" borderId="29" xfId="1" applyNumberFormat="1" applyFont="1" applyFill="1" applyBorder="1" applyAlignment="1">
      <alignment horizontal="right" vertical="center"/>
    </xf>
    <xf numFmtId="0" fontId="55" fillId="0" borderId="0" xfId="12" applyFont="1">
      <alignment vertical="center"/>
    </xf>
    <xf numFmtId="0" fontId="57" fillId="0" borderId="0" xfId="12" applyFont="1" applyAlignment="1">
      <alignment vertical="center" wrapText="1"/>
    </xf>
    <xf numFmtId="0" fontId="57" fillId="0" borderId="0" xfId="12" applyFont="1">
      <alignment vertical="center"/>
    </xf>
    <xf numFmtId="0" fontId="38" fillId="2" borderId="1" xfId="14" applyFont="1" applyFill="1" applyBorder="1" applyAlignment="1">
      <alignment horizontal="center" vertical="center"/>
    </xf>
    <xf numFmtId="0" fontId="38" fillId="0" borderId="0" xfId="12" applyFont="1">
      <alignment vertical="center"/>
    </xf>
    <xf numFmtId="0" fontId="38" fillId="0" borderId="0" xfId="12" applyFont="1" applyAlignment="1">
      <alignment horizontal="center" vertical="center"/>
    </xf>
    <xf numFmtId="0" fontId="58" fillId="0" borderId="0" xfId="12" applyFont="1">
      <alignment vertical="center"/>
    </xf>
    <xf numFmtId="41" fontId="21" fillId="0" borderId="0" xfId="13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6" fillId="2" borderId="0" xfId="0" applyFont="1" applyFill="1">
      <alignment vertical="center"/>
    </xf>
    <xf numFmtId="0" fontId="42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83" fontId="13" fillId="2" borderId="0" xfId="1" applyNumberFormat="1" applyFont="1" applyFill="1" applyBorder="1" applyAlignment="1">
      <alignment horizontal="right" vertical="center"/>
    </xf>
    <xf numFmtId="176" fontId="13" fillId="2" borderId="0" xfId="1" applyNumberFormat="1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11" fillId="2" borderId="35" xfId="0" applyFont="1" applyFill="1" applyBorder="1">
      <alignment vertical="center"/>
    </xf>
    <xf numFmtId="0" fontId="10" fillId="0" borderId="8" xfId="12" applyFont="1" applyBorder="1" applyAlignment="1">
      <alignment vertical="top"/>
    </xf>
    <xf numFmtId="0" fontId="18" fillId="0" borderId="0" xfId="12" applyFont="1" applyAlignment="1">
      <alignment vertical="top"/>
    </xf>
    <xf numFmtId="0" fontId="31" fillId="0" borderId="8" xfId="12" applyFont="1" applyBorder="1" applyAlignment="1">
      <alignment vertical="top"/>
    </xf>
    <xf numFmtId="0" fontId="10" fillId="0" borderId="25" xfId="12" applyFont="1" applyBorder="1" applyAlignment="1">
      <alignment vertical="top"/>
    </xf>
    <xf numFmtId="0" fontId="10" fillId="0" borderId="25" xfId="12" applyFont="1" applyBorder="1">
      <alignment vertical="center"/>
    </xf>
    <xf numFmtId="0" fontId="10" fillId="0" borderId="10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2" xfId="12" applyFont="1" applyBorder="1">
      <alignment vertical="center"/>
    </xf>
    <xf numFmtId="0" fontId="31" fillId="0" borderId="3" xfId="12" applyFont="1" applyBorder="1" applyAlignment="1">
      <alignment vertical="top" wrapText="1"/>
    </xf>
    <xf numFmtId="0" fontId="31" fillId="0" borderId="0" xfId="12" applyFont="1" applyAlignment="1">
      <alignment horizontal="left" vertical="center"/>
    </xf>
    <xf numFmtId="0" fontId="18" fillId="0" borderId="9" xfId="12" applyFont="1" applyBorder="1" applyAlignment="1">
      <alignment vertical="top"/>
    </xf>
    <xf numFmtId="0" fontId="21" fillId="2" borderId="15" xfId="12" applyFont="1" applyFill="1" applyBorder="1" applyAlignment="1">
      <alignment horizontal="center" vertical="center"/>
    </xf>
    <xf numFmtId="0" fontId="21" fillId="2" borderId="1" xfId="14" applyFont="1" applyFill="1" applyBorder="1" applyAlignment="1">
      <alignment horizontal="center" vertical="center"/>
    </xf>
    <xf numFmtId="0" fontId="21" fillId="2" borderId="1" xfId="12" applyFont="1" applyFill="1" applyBorder="1" applyAlignment="1">
      <alignment horizontal="center" vertical="center"/>
    </xf>
    <xf numFmtId="0" fontId="14" fillId="0" borderId="6" xfId="12" applyFont="1" applyBorder="1">
      <alignment vertical="center"/>
    </xf>
    <xf numFmtId="0" fontId="14" fillId="0" borderId="5" xfId="12" applyFont="1" applyBorder="1">
      <alignment vertical="center"/>
    </xf>
    <xf numFmtId="0" fontId="14" fillId="0" borderId="7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30" fillId="0" borderId="12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18" xfId="12" applyFont="1" applyBorder="1">
      <alignment vertical="center"/>
    </xf>
    <xf numFmtId="0" fontId="31" fillId="0" borderId="6" xfId="12" applyFont="1" applyBorder="1">
      <alignment vertical="center"/>
    </xf>
    <xf numFmtId="0" fontId="10" fillId="0" borderId="5" xfId="12" applyFont="1" applyBorder="1">
      <alignment vertical="center"/>
    </xf>
    <xf numFmtId="0" fontId="10" fillId="0" borderId="30" xfId="12" applyFont="1" applyBorder="1">
      <alignment vertical="center"/>
    </xf>
    <xf numFmtId="0" fontId="31" fillId="0" borderId="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9" xfId="12" applyFont="1" applyBorder="1">
      <alignment vertical="center"/>
    </xf>
    <xf numFmtId="0" fontId="31" fillId="0" borderId="8" xfId="12" applyFont="1" applyBorder="1">
      <alignment vertical="center"/>
    </xf>
    <xf numFmtId="0" fontId="32" fillId="0" borderId="26" xfId="12" applyFont="1" applyBorder="1" applyAlignment="1"/>
    <xf numFmtId="0" fontId="32" fillId="0" borderId="26" xfId="12" applyFont="1" applyBorder="1">
      <alignment vertical="center"/>
    </xf>
    <xf numFmtId="0" fontId="31" fillId="0" borderId="19" xfId="12" applyFont="1" applyBorder="1">
      <alignment vertical="center"/>
    </xf>
    <xf numFmtId="0" fontId="10" fillId="0" borderId="20" xfId="12" applyFont="1" applyBorder="1">
      <alignment vertical="center"/>
    </xf>
    <xf numFmtId="0" fontId="10" fillId="0" borderId="23" xfId="12" applyFont="1" applyBorder="1">
      <alignment vertical="center"/>
    </xf>
    <xf numFmtId="0" fontId="31" fillId="0" borderId="3" xfId="12" applyFont="1" applyBorder="1">
      <alignment vertical="center"/>
    </xf>
    <xf numFmtId="0" fontId="31" fillId="0" borderId="2" xfId="12" applyFont="1" applyBorder="1">
      <alignment vertical="center"/>
    </xf>
    <xf numFmtId="0" fontId="31" fillId="0" borderId="25" xfId="12" applyFont="1" applyBorder="1">
      <alignment vertical="center"/>
    </xf>
    <xf numFmtId="0" fontId="10" fillId="0" borderId="17" xfId="12" applyFont="1" applyBorder="1">
      <alignment vertical="center"/>
    </xf>
    <xf numFmtId="0" fontId="10" fillId="0" borderId="13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2" xfId="12" applyFont="1" applyBorder="1">
      <alignment vertical="center"/>
    </xf>
    <xf numFmtId="0" fontId="31" fillId="0" borderId="12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18" xfId="12" applyFont="1" applyBorder="1" applyAlignment="1">
      <alignment horizontal="centerContinuous" vertical="center"/>
    </xf>
    <xf numFmtId="0" fontId="31" fillId="0" borderId="22" xfId="12" applyFont="1" applyBorder="1">
      <alignment vertical="center"/>
    </xf>
    <xf numFmtId="0" fontId="31" fillId="0" borderId="13" xfId="12" applyFont="1" applyBorder="1">
      <alignment vertical="center"/>
    </xf>
    <xf numFmtId="0" fontId="10" fillId="0" borderId="7" xfId="12" applyFont="1" applyBorder="1">
      <alignment vertical="center"/>
    </xf>
    <xf numFmtId="0" fontId="10" fillId="0" borderId="11" xfId="12" applyFont="1" applyBorder="1">
      <alignment vertical="center"/>
    </xf>
    <xf numFmtId="0" fontId="31" fillId="0" borderId="20" xfId="12" applyFont="1" applyBorder="1">
      <alignment vertical="center"/>
    </xf>
    <xf numFmtId="0" fontId="31" fillId="0" borderId="4" xfId="12" applyFont="1" applyBorder="1">
      <alignment vertical="center"/>
    </xf>
    <xf numFmtId="0" fontId="31" fillId="0" borderId="26" xfId="12" applyFont="1" applyBorder="1" applyAlignment="1">
      <alignment vertical="top"/>
    </xf>
    <xf numFmtId="0" fontId="31" fillId="0" borderId="9" xfId="12" applyFont="1" applyBorder="1" applyAlignment="1">
      <alignment vertical="top"/>
    </xf>
    <xf numFmtId="40" fontId="10" fillId="0" borderId="8" xfId="12" applyNumberFormat="1" applyFont="1" applyBorder="1">
      <alignment vertical="center"/>
    </xf>
    <xf numFmtId="0" fontId="18" fillId="0" borderId="8" xfId="12" applyFont="1" applyBorder="1">
      <alignment vertical="center"/>
    </xf>
    <xf numFmtId="0" fontId="31" fillId="0" borderId="11" xfId="12" applyFont="1" applyBorder="1" applyAlignment="1">
      <alignment vertical="top" wrapText="1"/>
    </xf>
    <xf numFmtId="0" fontId="31" fillId="0" borderId="9" xfId="12" applyFont="1" applyBorder="1" applyAlignment="1">
      <alignment vertical="center" wrapText="1"/>
    </xf>
    <xf numFmtId="0" fontId="10" fillId="0" borderId="0" xfId="20" applyFont="1" applyBorder="1">
      <alignment vertical="center"/>
    </xf>
    <xf numFmtId="0" fontId="60" fillId="0" borderId="0" xfId="20" applyFont="1" applyBorder="1">
      <alignment vertical="center"/>
    </xf>
    <xf numFmtId="0" fontId="38" fillId="0" borderId="6" xfId="12" applyFont="1" applyBorder="1">
      <alignment vertical="center"/>
    </xf>
    <xf numFmtId="0" fontId="38" fillId="0" borderId="5" xfId="12" applyFont="1" applyBorder="1">
      <alignment vertical="center"/>
    </xf>
    <xf numFmtId="40" fontId="38" fillId="0" borderId="29" xfId="13" applyNumberFormat="1" applyFont="1" applyFill="1" applyBorder="1" applyAlignment="1">
      <alignment horizontal="right" vertical="center"/>
    </xf>
    <xf numFmtId="178" fontId="38" fillId="0" borderId="29" xfId="13" applyNumberFormat="1" applyFont="1" applyBorder="1" applyAlignment="1">
      <alignment horizontal="right" vertical="center"/>
    </xf>
    <xf numFmtId="0" fontId="64" fillId="0" borderId="0" xfId="12" applyFont="1" applyAlignment="1">
      <alignment horizontal="right" vertical="center" wrapText="1"/>
    </xf>
    <xf numFmtId="0" fontId="64" fillId="0" borderId="0" xfId="0" applyFont="1" applyAlignment="1">
      <alignment horizontal="left" vertical="center"/>
    </xf>
    <xf numFmtId="0" fontId="65" fillId="0" borderId="0" xfId="12" applyFont="1" applyAlignment="1">
      <alignment vertical="center" wrapText="1"/>
    </xf>
    <xf numFmtId="0" fontId="65" fillId="0" borderId="0" xfId="12" applyFont="1">
      <alignment vertical="center"/>
    </xf>
    <xf numFmtId="0" fontId="64" fillId="0" borderId="0" xfId="12" applyFont="1" applyAlignment="1">
      <alignment vertical="center" wrapText="1"/>
    </xf>
    <xf numFmtId="178" fontId="38" fillId="0" borderId="29" xfId="13" applyNumberFormat="1" applyFont="1" applyBorder="1" applyAlignment="1">
      <alignment horizontal="left" vertical="center"/>
    </xf>
    <xf numFmtId="0" fontId="58" fillId="0" borderId="7" xfId="12" applyFont="1" applyBorder="1">
      <alignment vertical="center"/>
    </xf>
    <xf numFmtId="0" fontId="21" fillId="0" borderId="8" xfId="12" applyFont="1" applyBorder="1" applyAlignment="1">
      <alignment vertical="center" wrapText="1"/>
    </xf>
    <xf numFmtId="0" fontId="63" fillId="0" borderId="12" xfId="12" applyFont="1" applyBorder="1" applyAlignment="1">
      <alignment vertical="center" wrapText="1"/>
    </xf>
    <xf numFmtId="0" fontId="13" fillId="5" borderId="8" xfId="0" applyFont="1" applyFill="1" applyBorder="1">
      <alignment vertical="center"/>
    </xf>
    <xf numFmtId="0" fontId="42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42" fillId="5" borderId="9" xfId="0" applyFont="1" applyFill="1" applyBorder="1">
      <alignment vertical="center"/>
    </xf>
    <xf numFmtId="0" fontId="11" fillId="5" borderId="0" xfId="0" applyFont="1" applyFill="1">
      <alignment vertical="center"/>
    </xf>
    <xf numFmtId="0" fontId="45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3" fillId="5" borderId="0" xfId="0" applyFont="1" applyFill="1" applyAlignment="1">
      <alignment vertical="center" wrapText="1"/>
    </xf>
    <xf numFmtId="0" fontId="21" fillId="0" borderId="1" xfId="12" applyFont="1" applyBorder="1" applyAlignment="1">
      <alignment horizontal="center" vertical="center" wrapText="1"/>
    </xf>
    <xf numFmtId="0" fontId="38" fillId="4" borderId="29" xfId="12" applyFont="1" applyFill="1" applyBorder="1" applyAlignment="1">
      <alignment horizontal="center" vertical="center"/>
    </xf>
    <xf numFmtId="40" fontId="21" fillId="0" borderId="1" xfId="13" applyNumberFormat="1" applyFont="1" applyFill="1" applyBorder="1" applyAlignment="1">
      <alignment horizontal="left" vertical="center"/>
    </xf>
    <xf numFmtId="0" fontId="38" fillId="0" borderId="12" xfId="12" applyFont="1" applyBorder="1">
      <alignment vertical="center"/>
    </xf>
    <xf numFmtId="0" fontId="61" fillId="0" borderId="4" xfId="12" applyFont="1" applyBorder="1">
      <alignment vertical="center"/>
    </xf>
    <xf numFmtId="0" fontId="62" fillId="0" borderId="18" xfId="12" applyFont="1" applyBorder="1">
      <alignment vertical="center"/>
    </xf>
    <xf numFmtId="41" fontId="21" fillId="0" borderId="44" xfId="13" applyFont="1" applyFill="1" applyBorder="1" applyAlignment="1">
      <alignment horizontal="center" vertical="center" wrapText="1"/>
    </xf>
    <xf numFmtId="0" fontId="21" fillId="0" borderId="44" xfId="12" applyFont="1" applyBorder="1" applyAlignment="1">
      <alignment horizontal="center" vertical="center" wrapText="1"/>
    </xf>
    <xf numFmtId="176" fontId="21" fillId="0" borderId="1" xfId="1" applyNumberFormat="1" applyFont="1" applyBorder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176" fontId="10" fillId="2" borderId="16" xfId="1" applyNumberFormat="1" applyFont="1" applyFill="1" applyBorder="1" applyAlignment="1">
      <alignment horizontal="left" vertical="center"/>
    </xf>
    <xf numFmtId="176" fontId="38" fillId="4" borderId="1" xfId="1" applyNumberFormat="1" applyFont="1" applyFill="1" applyBorder="1" applyAlignment="1">
      <alignment horizontal="center" vertical="center"/>
    </xf>
    <xf numFmtId="41" fontId="38" fillId="0" borderId="50" xfId="13" applyFont="1" applyBorder="1" applyAlignment="1">
      <alignment horizontal="center" vertical="center"/>
    </xf>
    <xf numFmtId="0" fontId="38" fillId="0" borderId="50" xfId="12" applyFont="1" applyBorder="1" applyAlignment="1">
      <alignment horizontal="center" vertical="center"/>
    </xf>
    <xf numFmtId="176" fontId="38" fillId="0" borderId="50" xfId="1" applyNumberFormat="1" applyFont="1" applyBorder="1" applyAlignment="1">
      <alignment horizontal="right" vertical="center"/>
    </xf>
    <xf numFmtId="176" fontId="38" fillId="0" borderId="50" xfId="13" applyNumberFormat="1" applyFont="1" applyBorder="1" applyAlignment="1">
      <alignment horizontal="center" vertical="center"/>
    </xf>
    <xf numFmtId="40" fontId="38" fillId="0" borderId="50" xfId="13" applyNumberFormat="1" applyFont="1" applyFill="1" applyBorder="1" applyAlignment="1">
      <alignment horizontal="right" vertical="center"/>
    </xf>
    <xf numFmtId="178" fontId="38" fillId="0" borderId="50" xfId="13" applyNumberFormat="1" applyFont="1" applyBorder="1" applyAlignment="1">
      <alignment horizontal="right" vertical="center"/>
    </xf>
    <xf numFmtId="178" fontId="38" fillId="0" borderId="51" xfId="13" applyNumberFormat="1" applyFont="1" applyBorder="1" applyAlignment="1">
      <alignment horizontal="left" vertical="center"/>
    </xf>
    <xf numFmtId="176" fontId="14" fillId="0" borderId="0" xfId="1" applyNumberFormat="1" applyFont="1" applyFill="1">
      <alignment vertical="center"/>
    </xf>
    <xf numFmtId="176" fontId="10" fillId="0" borderId="0" xfId="1" applyNumberFormat="1" applyFont="1" applyFill="1">
      <alignment vertical="center"/>
    </xf>
    <xf numFmtId="176" fontId="21" fillId="0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Fill="1" applyBorder="1" applyAlignment="1">
      <alignment horizontal="center" vertical="center"/>
    </xf>
    <xf numFmtId="176" fontId="14" fillId="0" borderId="0" xfId="1" applyNumberFormat="1" applyFont="1" applyFill="1" applyBorder="1" applyAlignment="1">
      <alignment horizontal="left" vertical="center"/>
    </xf>
    <xf numFmtId="176" fontId="14" fillId="0" borderId="0" xfId="1" applyNumberFormat="1" applyFont="1" applyFill="1" applyAlignment="1">
      <alignment horizontal="center" vertical="center"/>
    </xf>
    <xf numFmtId="176" fontId="17" fillId="0" borderId="0" xfId="1" applyNumberFormat="1" applyFont="1" applyFill="1" applyBorder="1">
      <alignment vertical="center"/>
    </xf>
    <xf numFmtId="176" fontId="17" fillId="0" borderId="0" xfId="1" applyNumberFormat="1" applyFont="1" applyFill="1">
      <alignment vertical="center"/>
    </xf>
    <xf numFmtId="177" fontId="13" fillId="0" borderId="0" xfId="12" applyNumberFormat="1" applyFont="1" applyAlignment="1">
      <alignment horizontal="center" vertical="center"/>
    </xf>
    <xf numFmtId="177" fontId="21" fillId="0" borderId="1" xfId="13" applyNumberFormat="1" applyFont="1" applyFill="1" applyBorder="1" applyAlignment="1">
      <alignment horizontal="center" vertical="center" wrapText="1"/>
    </xf>
    <xf numFmtId="177" fontId="21" fillId="2" borderId="1" xfId="13" applyNumberFormat="1" applyFont="1" applyFill="1" applyBorder="1" applyAlignment="1">
      <alignment horizontal="center" vertical="center"/>
    </xf>
    <xf numFmtId="177" fontId="14" fillId="0" borderId="0" xfId="13" applyNumberFormat="1" applyFont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center" vertical="center"/>
    </xf>
    <xf numFmtId="177" fontId="14" fillId="0" borderId="0" xfId="13" applyNumberFormat="1" applyFont="1" applyAlignment="1">
      <alignment horizontal="center" vertical="center"/>
    </xf>
    <xf numFmtId="177" fontId="10" fillId="0" borderId="0" xfId="13" applyNumberFormat="1" applyFont="1" applyAlignment="1">
      <alignment horizontal="center" vertical="center"/>
    </xf>
    <xf numFmtId="177" fontId="38" fillId="4" borderId="29" xfId="1" applyNumberFormat="1" applyFont="1" applyFill="1" applyBorder="1" applyAlignment="1">
      <alignment horizontal="center" vertical="center"/>
    </xf>
    <xf numFmtId="177" fontId="17" fillId="0" borderId="0" xfId="13" applyNumberFormat="1" applyFont="1" applyBorder="1" applyAlignment="1">
      <alignment horizontal="center" vertical="center"/>
    </xf>
    <xf numFmtId="177" fontId="17" fillId="0" borderId="0" xfId="13" applyNumberFormat="1" applyFont="1" applyAlignment="1">
      <alignment horizontal="center" vertical="center"/>
    </xf>
    <xf numFmtId="0" fontId="66" fillId="0" borderId="0" xfId="12" quotePrefix="1" applyFont="1">
      <alignment vertical="center"/>
    </xf>
    <xf numFmtId="0" fontId="66" fillId="0" borderId="0" xfId="12" applyFont="1">
      <alignment vertical="center"/>
    </xf>
    <xf numFmtId="1" fontId="17" fillId="2" borderId="1" xfId="1" applyNumberFormat="1" applyFont="1" applyFill="1" applyBorder="1" applyAlignment="1">
      <alignment horizontal="center" vertical="center"/>
    </xf>
    <xf numFmtId="1" fontId="21" fillId="2" borderId="1" xfId="1" applyNumberFormat="1" applyFont="1" applyFill="1" applyBorder="1" applyAlignment="1">
      <alignment horizontal="center" vertical="center"/>
    </xf>
    <xf numFmtId="1" fontId="21" fillId="0" borderId="1" xfId="1" applyNumberFormat="1" applyFont="1" applyBorder="1" applyAlignment="1">
      <alignment horizontal="center" vertical="center"/>
    </xf>
    <xf numFmtId="176" fontId="17" fillId="2" borderId="16" xfId="1" applyNumberFormat="1" applyFont="1" applyFill="1" applyBorder="1" applyAlignment="1">
      <alignment horizontal="left" vertical="center"/>
    </xf>
    <xf numFmtId="176" fontId="16" fillId="0" borderId="0" xfId="1" applyNumberFormat="1" applyFont="1">
      <alignment vertical="center"/>
    </xf>
    <xf numFmtId="176" fontId="13" fillId="0" borderId="0" xfId="1" applyNumberFormat="1" applyFont="1" applyAlignment="1">
      <alignment horizontal="center" vertical="center"/>
    </xf>
    <xf numFmtId="176" fontId="21" fillId="0" borderId="1" xfId="1" applyNumberFormat="1" applyFont="1" applyFill="1" applyBorder="1" applyAlignment="1">
      <alignment horizontal="center" vertical="center"/>
    </xf>
    <xf numFmtId="176" fontId="40" fillId="0" borderId="1" xfId="1" applyNumberFormat="1" applyFont="1" applyFill="1" applyBorder="1" applyAlignment="1">
      <alignment horizontal="center" vertical="center"/>
    </xf>
    <xf numFmtId="176" fontId="38" fillId="0" borderId="29" xfId="1" applyNumberFormat="1" applyFont="1" applyFill="1" applyBorder="1" applyAlignment="1">
      <alignment horizontal="right" vertical="center"/>
    </xf>
    <xf numFmtId="43" fontId="24" fillId="0" borderId="0" xfId="12" applyNumberFormat="1" applyFont="1">
      <alignment vertical="center"/>
    </xf>
    <xf numFmtId="43" fontId="21" fillId="0" borderId="0" xfId="12" applyNumberFormat="1" applyFont="1" applyAlignment="1">
      <alignment vertical="center" wrapText="1"/>
    </xf>
    <xf numFmtId="176" fontId="13" fillId="0" borderId="0" xfId="1" applyNumberFormat="1" applyFont="1" applyFill="1" applyAlignment="1">
      <alignment horizontal="center" vertical="center"/>
    </xf>
    <xf numFmtId="176" fontId="21" fillId="0" borderId="46" xfId="1" applyNumberFormat="1" applyFont="1" applyFill="1" applyBorder="1" applyAlignment="1">
      <alignment vertical="center"/>
    </xf>
    <xf numFmtId="0" fontId="31" fillId="0" borderId="0" xfId="12" applyFont="1" applyAlignment="1">
      <alignment horizontal="center" vertical="center"/>
    </xf>
    <xf numFmtId="176" fontId="21" fillId="0" borderId="1" xfId="13" applyNumberFormat="1" applyFont="1" applyFill="1" applyBorder="1" applyAlignment="1">
      <alignment horizontal="center" vertical="center"/>
    </xf>
    <xf numFmtId="0" fontId="31" fillId="0" borderId="0" xfId="12" applyFont="1">
      <alignment vertical="center"/>
    </xf>
    <xf numFmtId="0" fontId="10" fillId="0" borderId="0" xfId="12" applyFont="1" applyAlignment="1">
      <alignment vertical="top"/>
    </xf>
    <xf numFmtId="0" fontId="31" fillId="0" borderId="0" xfId="12" applyFont="1" applyAlignment="1">
      <alignment vertical="top"/>
    </xf>
    <xf numFmtId="0" fontId="49" fillId="0" borderId="0" xfId="0" applyFont="1">
      <alignment vertical="center"/>
    </xf>
    <xf numFmtId="0" fontId="56" fillId="0" borderId="0" xfId="0" applyFont="1">
      <alignment vertical="center"/>
    </xf>
    <xf numFmtId="0" fontId="34" fillId="0" borderId="0" xfId="12" applyFont="1" applyAlignment="1">
      <alignment horizontal="left" vertical="center"/>
    </xf>
    <xf numFmtId="0" fontId="32" fillId="0" borderId="0" xfId="12" applyFont="1">
      <alignment vertical="center"/>
    </xf>
    <xf numFmtId="0" fontId="33" fillId="0" borderId="0" xfId="12" applyFont="1">
      <alignment vertical="center"/>
    </xf>
    <xf numFmtId="15" fontId="10" fillId="0" borderId="0" xfId="12" applyNumberFormat="1" applyFont="1">
      <alignment vertical="center"/>
    </xf>
    <xf numFmtId="177" fontId="31" fillId="0" borderId="0" xfId="12" applyNumberFormat="1" applyFont="1">
      <alignment vertical="center"/>
    </xf>
    <xf numFmtId="0" fontId="14" fillId="0" borderId="0" xfId="12" applyFont="1" applyAlignment="1">
      <alignment horizontal="centerContinuous" vertical="center"/>
    </xf>
    <xf numFmtId="0" fontId="31" fillId="0" borderId="11" xfId="12" applyFont="1" applyBorder="1" applyAlignment="1">
      <alignment horizontal="center" vertical="center"/>
    </xf>
    <xf numFmtId="0" fontId="31" fillId="0" borderId="21" xfId="12" applyFont="1" applyBorder="1" applyAlignment="1">
      <alignment horizontal="center" vertical="center"/>
    </xf>
    <xf numFmtId="0" fontId="31" fillId="0" borderId="20" xfId="12" applyFont="1" applyBorder="1" applyAlignment="1">
      <alignment vertical="center" wrapText="1"/>
    </xf>
    <xf numFmtId="0" fontId="31" fillId="0" borderId="21" xfId="12" applyFont="1" applyBorder="1" applyAlignment="1">
      <alignment vertical="center" wrapText="1"/>
    </xf>
    <xf numFmtId="0" fontId="18" fillId="0" borderId="26" xfId="12" applyFont="1" applyBorder="1">
      <alignment vertical="center"/>
    </xf>
    <xf numFmtId="0" fontId="31" fillId="0" borderId="0" xfId="12" applyFont="1" applyAlignment="1">
      <alignment vertical="top" wrapText="1"/>
    </xf>
    <xf numFmtId="0" fontId="31" fillId="0" borderId="9" xfId="12" applyFont="1" applyBorder="1" applyAlignment="1">
      <alignment vertical="top" wrapText="1"/>
    </xf>
    <xf numFmtId="0" fontId="67" fillId="0" borderId="0" xfId="20" applyFont="1" applyBorder="1">
      <alignment vertical="center"/>
    </xf>
    <xf numFmtId="0" fontId="31" fillId="0" borderId="9" xfId="12" applyFont="1" applyBorder="1" applyAlignment="1">
      <alignment horizontal="center" vertical="center"/>
    </xf>
    <xf numFmtId="0" fontId="10" fillId="0" borderId="0" xfId="12" applyFont="1" applyAlignment="1">
      <alignment horizontal="left" vertical="center"/>
    </xf>
    <xf numFmtId="40" fontId="10" fillId="0" borderId="1" xfId="13" applyNumberFormat="1" applyFont="1" applyFill="1" applyBorder="1" applyAlignment="1">
      <alignment horizontal="left" vertical="center" wrapText="1"/>
    </xf>
    <xf numFmtId="40" fontId="31" fillId="4" borderId="1" xfId="13" applyNumberFormat="1" applyFont="1" applyFill="1" applyBorder="1" applyAlignment="1">
      <alignment horizontal="left" vertical="center"/>
    </xf>
    <xf numFmtId="40" fontId="10" fillId="0" borderId="1" xfId="13" applyNumberFormat="1" applyFont="1" applyFill="1" applyBorder="1" applyAlignment="1">
      <alignment horizontal="left" vertical="center"/>
    </xf>
    <xf numFmtId="40" fontId="31" fillId="4" borderId="1" xfId="13" applyNumberFormat="1" applyFont="1" applyFill="1" applyBorder="1" applyAlignment="1">
      <alignment horizontal="left" vertical="center" wrapText="1"/>
    </xf>
    <xf numFmtId="40" fontId="10" fillId="0" borderId="20" xfId="13" applyNumberFormat="1" applyFont="1" applyFill="1" applyBorder="1" applyAlignment="1">
      <alignment horizontal="left" vertical="center" wrapText="1"/>
    </xf>
    <xf numFmtId="0" fontId="21" fillId="0" borderId="27" xfId="12" applyFont="1" applyBorder="1" applyAlignment="1">
      <alignment horizontal="center" vertical="center"/>
    </xf>
    <xf numFmtId="0" fontId="21" fillId="0" borderId="28" xfId="12" applyFont="1" applyBorder="1" applyAlignment="1">
      <alignment horizontal="center" vertical="center" wrapText="1"/>
    </xf>
    <xf numFmtId="0" fontId="31" fillId="3" borderId="0" xfId="12" applyFont="1" applyFill="1" applyAlignment="1">
      <alignment vertical="top" wrapText="1"/>
    </xf>
    <xf numFmtId="0" fontId="31" fillId="3" borderId="9" xfId="12" applyFont="1" applyFill="1" applyBorder="1" applyAlignment="1">
      <alignment vertical="top" wrapText="1"/>
    </xf>
    <xf numFmtId="0" fontId="31" fillId="3" borderId="0" xfId="12" applyFont="1" applyFill="1" applyAlignment="1">
      <alignment vertical="top"/>
    </xf>
    <xf numFmtId="176" fontId="10" fillId="0" borderId="9" xfId="30" applyNumberFormat="1" applyFont="1" applyFill="1" applyBorder="1" applyAlignment="1">
      <alignment vertical="center"/>
    </xf>
    <xf numFmtId="176" fontId="31" fillId="0" borderId="14" xfId="30" applyNumberFormat="1" applyFont="1" applyFill="1" applyBorder="1" applyAlignment="1">
      <alignment vertical="center"/>
    </xf>
    <xf numFmtId="0" fontId="21" fillId="0" borderId="15" xfId="12" applyFont="1" applyBorder="1" applyAlignment="1">
      <alignment horizontal="center" vertical="center"/>
    </xf>
    <xf numFmtId="0" fontId="21" fillId="0" borderId="1" xfId="12" applyFont="1" applyBorder="1" applyAlignment="1">
      <alignment horizontal="center" vertical="center"/>
    </xf>
    <xf numFmtId="0" fontId="38" fillId="0" borderId="1" xfId="14" applyFont="1" applyBorder="1" applyAlignment="1">
      <alignment horizontal="center" vertical="center"/>
    </xf>
    <xf numFmtId="177" fontId="21" fillId="0" borderId="1" xfId="13" applyNumberFormat="1" applyFont="1" applyFill="1" applyBorder="1" applyAlignment="1">
      <alignment horizontal="center" vertical="center"/>
    </xf>
    <xf numFmtId="0" fontId="68" fillId="0" borderId="0" xfId="12" applyFont="1">
      <alignment vertical="center"/>
    </xf>
    <xf numFmtId="0" fontId="31" fillId="0" borderId="0" xfId="12" applyFont="1" applyAlignment="1">
      <alignment vertical="center" wrapText="1"/>
    </xf>
    <xf numFmtId="0" fontId="36" fillId="0" borderId="19" xfId="12" applyFont="1" applyBorder="1">
      <alignment vertical="center"/>
    </xf>
    <xf numFmtId="41" fontId="14" fillId="0" borderId="0" xfId="30" applyFont="1">
      <alignment vertical="center"/>
    </xf>
    <xf numFmtId="0" fontId="69" fillId="0" borderId="0" xfId="12" applyFont="1">
      <alignment vertical="center"/>
    </xf>
    <xf numFmtId="0" fontId="30" fillId="0" borderId="0" xfId="12" applyFont="1">
      <alignment vertical="center"/>
    </xf>
    <xf numFmtId="41" fontId="30" fillId="0" borderId="0" xfId="30" applyFont="1">
      <alignment vertical="center"/>
    </xf>
    <xf numFmtId="0" fontId="30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70" fillId="0" borderId="0" xfId="12" applyFont="1">
      <alignment vertical="center"/>
    </xf>
    <xf numFmtId="0" fontId="71" fillId="0" borderId="0" xfId="12" applyFont="1">
      <alignment vertical="center"/>
    </xf>
    <xf numFmtId="41" fontId="17" fillId="0" borderId="0" xfId="30" applyFont="1">
      <alignment vertical="center"/>
    </xf>
    <xf numFmtId="40" fontId="10" fillId="0" borderId="0" xfId="13" applyNumberFormat="1" applyFont="1" applyBorder="1">
      <alignment vertical="center"/>
    </xf>
    <xf numFmtId="40" fontId="10" fillId="0" borderId="0" xfId="13" applyNumberFormat="1" applyFont="1">
      <alignment vertical="center"/>
    </xf>
    <xf numFmtId="41" fontId="21" fillId="0" borderId="28" xfId="30" applyFont="1" applyBorder="1" applyAlignment="1">
      <alignment horizontal="center" vertical="center" wrapText="1"/>
    </xf>
    <xf numFmtId="9" fontId="21" fillId="0" borderId="28" xfId="12" applyNumberFormat="1" applyFont="1" applyBorder="1" applyAlignment="1">
      <alignment horizontal="center" vertical="center" wrapText="1"/>
    </xf>
    <xf numFmtId="0" fontId="21" fillId="0" borderId="31" xfId="12" applyFont="1" applyBorder="1" applyAlignment="1">
      <alignment horizontal="center" vertical="center" wrapText="1"/>
    </xf>
    <xf numFmtId="0" fontId="19" fillId="0" borderId="15" xfId="12" applyFont="1" applyBorder="1" applyAlignment="1">
      <alignment horizontal="center" vertical="center"/>
    </xf>
    <xf numFmtId="0" fontId="72" fillId="2" borderId="1" xfId="14" applyFont="1" applyFill="1" applyBorder="1" applyAlignment="1">
      <alignment horizontal="center" vertical="center"/>
    </xf>
    <xf numFmtId="40" fontId="19" fillId="0" borderId="1" xfId="12" applyNumberFormat="1" applyFont="1" applyBorder="1" applyAlignment="1">
      <alignment horizontal="center" vertical="center" wrapText="1"/>
    </xf>
    <xf numFmtId="41" fontId="19" fillId="0" borderId="1" xfId="12" quotePrefix="1" applyNumberFormat="1" applyFont="1" applyBorder="1" applyAlignment="1">
      <alignment horizontal="center" vertical="center" wrapText="1"/>
    </xf>
    <xf numFmtId="177" fontId="19" fillId="0" borderId="1" xfId="30" applyNumberFormat="1" applyFont="1" applyFill="1" applyBorder="1" applyAlignment="1">
      <alignment horizontal="center" vertical="center" wrapText="1"/>
    </xf>
    <xf numFmtId="0" fontId="19" fillId="0" borderId="1" xfId="12" applyFont="1" applyBorder="1" applyAlignment="1">
      <alignment horizontal="center" vertical="center" wrapText="1"/>
    </xf>
    <xf numFmtId="176" fontId="19" fillId="0" borderId="1" xfId="13" applyNumberFormat="1" applyFont="1" applyFill="1" applyBorder="1" applyAlignment="1">
      <alignment horizontal="center" vertical="center" wrapText="1"/>
    </xf>
    <xf numFmtId="40" fontId="19" fillId="0" borderId="1" xfId="13" applyNumberFormat="1" applyFont="1" applyBorder="1" applyAlignment="1">
      <alignment horizontal="center" vertical="center"/>
    </xf>
    <xf numFmtId="185" fontId="19" fillId="0" borderId="16" xfId="13" applyNumberFormat="1" applyFont="1" applyBorder="1" applyAlignment="1">
      <alignment horizontal="center" vertical="center"/>
    </xf>
    <xf numFmtId="40" fontId="19" fillId="0" borderId="46" xfId="12" applyNumberFormat="1" applyFont="1" applyBorder="1" applyAlignment="1">
      <alignment horizontal="center" vertical="center" wrapText="1"/>
    </xf>
    <xf numFmtId="41" fontId="19" fillId="0" borderId="46" xfId="12" quotePrefix="1" applyNumberFormat="1" applyFont="1" applyBorder="1" applyAlignment="1">
      <alignment horizontal="center" vertical="center" wrapText="1"/>
    </xf>
    <xf numFmtId="176" fontId="19" fillId="0" borderId="46" xfId="13" applyNumberFormat="1" applyFont="1" applyFill="1" applyBorder="1" applyAlignment="1">
      <alignment horizontal="center" vertical="center" wrapText="1"/>
    </xf>
    <xf numFmtId="185" fontId="19" fillId="0" borderId="52" xfId="13" applyNumberFormat="1" applyFont="1" applyBorder="1" applyAlignment="1">
      <alignment horizontal="center" vertical="center"/>
    </xf>
    <xf numFmtId="0" fontId="19" fillId="0" borderId="36" xfId="12" applyFont="1" applyBorder="1">
      <alignment vertical="center"/>
    </xf>
    <xf numFmtId="0" fontId="19" fillId="0" borderId="29" xfId="12" applyFont="1" applyBorder="1">
      <alignment vertical="center"/>
    </xf>
    <xf numFmtId="176" fontId="72" fillId="0" borderId="29" xfId="12" applyNumberFormat="1" applyFont="1" applyBorder="1" applyAlignment="1">
      <alignment horizontal="center" vertical="center"/>
    </xf>
    <xf numFmtId="176" fontId="72" fillId="0" borderId="29" xfId="13" applyNumberFormat="1" applyFont="1" applyFill="1" applyBorder="1" applyAlignment="1">
      <alignment horizontal="center" vertical="center"/>
    </xf>
    <xf numFmtId="40" fontId="19" fillId="0" borderId="29" xfId="13" applyNumberFormat="1" applyFont="1" applyBorder="1">
      <alignment vertical="center"/>
    </xf>
    <xf numFmtId="38" fontId="19" fillId="0" borderId="32" xfId="13" applyNumberFormat="1" applyFont="1" applyBorder="1" applyAlignment="1">
      <alignment horizontal="center" vertical="center"/>
    </xf>
    <xf numFmtId="0" fontId="31" fillId="3" borderId="0" xfId="12" applyFont="1" applyFill="1" applyAlignment="1">
      <alignment horizontal="center" vertical="center"/>
    </xf>
    <xf numFmtId="0" fontId="31" fillId="3" borderId="9" xfId="12" applyFont="1" applyFill="1" applyBorder="1" applyAlignment="1">
      <alignment horizontal="center" vertical="center"/>
    </xf>
    <xf numFmtId="15" fontId="10" fillId="0" borderId="26" xfId="12" applyNumberFormat="1" applyFont="1" applyBorder="1" applyAlignment="1">
      <alignment horizontal="center" vertical="center" wrapText="1"/>
    </xf>
    <xf numFmtId="15" fontId="10" fillId="0" borderId="0" xfId="12" applyNumberFormat="1" applyFont="1" applyAlignment="1">
      <alignment horizontal="center" vertical="center" wrapText="1"/>
    </xf>
    <xf numFmtId="15" fontId="10" fillId="0" borderId="25" xfId="12" applyNumberFormat="1" applyFont="1" applyBorder="1" applyAlignment="1">
      <alignment horizontal="center" vertical="center" wrapText="1"/>
    </xf>
    <xf numFmtId="15" fontId="10" fillId="0" borderId="2" xfId="12" applyNumberFormat="1" applyFont="1" applyBorder="1" applyAlignment="1">
      <alignment horizontal="center" vertical="center" wrapText="1"/>
    </xf>
    <xf numFmtId="15" fontId="10" fillId="0" borderId="3" xfId="12" applyNumberFormat="1" applyFont="1" applyBorder="1" applyAlignment="1">
      <alignment horizontal="center" vertical="center" wrapText="1"/>
    </xf>
    <xf numFmtId="15" fontId="10" fillId="0" borderId="22" xfId="12" applyNumberFormat="1" applyFont="1" applyBorder="1" applyAlignment="1">
      <alignment horizontal="center" vertical="center" wrapText="1"/>
    </xf>
    <xf numFmtId="176" fontId="10" fillId="0" borderId="0" xfId="30" applyNumberFormat="1" applyFont="1" applyBorder="1" applyAlignment="1">
      <alignment horizontal="center" vertical="center"/>
    </xf>
    <xf numFmtId="0" fontId="31" fillId="3" borderId="0" xfId="12" applyFont="1" applyFill="1" applyAlignment="1">
      <alignment horizontal="center" vertical="center" wrapText="1"/>
    </xf>
    <xf numFmtId="0" fontId="31" fillId="3" borderId="9" xfId="12" applyFont="1" applyFill="1" applyBorder="1" applyAlignment="1">
      <alignment horizontal="center" vertical="center" wrapText="1"/>
    </xf>
    <xf numFmtId="15" fontId="10" fillId="0" borderId="0" xfId="12" applyNumberFormat="1" applyFont="1" applyAlignment="1">
      <alignment horizontal="center" vertical="center"/>
    </xf>
    <xf numFmtId="0" fontId="31" fillId="0" borderId="24" xfId="12" applyFont="1" applyBorder="1" applyAlignment="1">
      <alignment horizontal="left" vertical="center" wrapText="1"/>
    </xf>
    <xf numFmtId="0" fontId="31" fillId="0" borderId="20" xfId="12" applyFont="1" applyBorder="1" applyAlignment="1">
      <alignment horizontal="left" vertical="center" wrapText="1"/>
    </xf>
    <xf numFmtId="0" fontId="31" fillId="0" borderId="23" xfId="12" applyFont="1" applyBorder="1" applyAlignment="1">
      <alignment horizontal="left" vertical="center" wrapText="1"/>
    </xf>
    <xf numFmtId="0" fontId="31" fillId="0" borderId="0" xfId="12" applyFont="1" applyAlignment="1">
      <alignment horizontal="left" vertical="center" wrapText="1"/>
    </xf>
    <xf numFmtId="0" fontId="31" fillId="0" borderId="25" xfId="12" applyFont="1" applyBorder="1" applyAlignment="1">
      <alignment horizontal="left" vertical="center" wrapText="1"/>
    </xf>
    <xf numFmtId="0" fontId="31" fillId="0" borderId="26" xfId="12" applyFont="1" applyBorder="1" applyAlignment="1">
      <alignment horizontal="left" vertical="center" wrapText="1"/>
    </xf>
    <xf numFmtId="41" fontId="10" fillId="0" borderId="0" xfId="30" applyFont="1" applyBorder="1" applyAlignment="1">
      <alignment horizontal="center" vertical="center"/>
    </xf>
    <xf numFmtId="0" fontId="13" fillId="0" borderId="8" xfId="12" applyFont="1" applyBorder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3" fillId="0" borderId="9" xfId="12" applyFont="1" applyBorder="1" applyAlignment="1">
      <alignment horizontal="center" vertical="center"/>
    </xf>
    <xf numFmtId="0" fontId="31" fillId="3" borderId="5" xfId="12" applyFont="1" applyFill="1" applyBorder="1" applyAlignment="1">
      <alignment horizontal="center" vertical="center"/>
    </xf>
    <xf numFmtId="14" fontId="31" fillId="3" borderId="20" xfId="12" applyNumberFormat="1" applyFont="1" applyFill="1" applyBorder="1" applyAlignment="1">
      <alignment horizontal="center" vertical="center"/>
    </xf>
    <xf numFmtId="0" fontId="31" fillId="3" borderId="0" xfId="12" applyFont="1" applyFill="1" applyAlignment="1">
      <alignment horizontal="left" vertical="center" wrapText="1"/>
    </xf>
    <xf numFmtId="0" fontId="31" fillId="3" borderId="9" xfId="12" applyFont="1" applyFill="1" applyBorder="1" applyAlignment="1">
      <alignment horizontal="left" vertical="center" wrapText="1"/>
    </xf>
    <xf numFmtId="0" fontId="31" fillId="3" borderId="0" xfId="12" applyFont="1" applyFill="1" applyAlignment="1">
      <alignment horizontal="left" vertical="center"/>
    </xf>
    <xf numFmtId="0" fontId="31" fillId="3" borderId="9" xfId="12" applyFont="1" applyFill="1" applyBorder="1" applyAlignment="1">
      <alignment horizontal="left" vertical="center"/>
    </xf>
    <xf numFmtId="0" fontId="30" fillId="0" borderId="20" xfId="12" applyFont="1" applyBorder="1" applyAlignment="1">
      <alignment horizontal="center" vertical="center"/>
    </xf>
    <xf numFmtId="0" fontId="30" fillId="0" borderId="21" xfId="12" applyFont="1" applyBorder="1" applyAlignment="1">
      <alignment horizontal="center" vertical="center"/>
    </xf>
    <xf numFmtId="0" fontId="31" fillId="0" borderId="13" xfId="12" applyFont="1" applyBorder="1" applyAlignment="1">
      <alignment horizontal="center" vertical="center"/>
    </xf>
    <xf numFmtId="176" fontId="31" fillId="0" borderId="13" xfId="12" applyNumberFormat="1" applyFont="1" applyBorder="1" applyAlignment="1">
      <alignment horizontal="center" vertical="center"/>
    </xf>
    <xf numFmtId="176" fontId="31" fillId="0" borderId="14" xfId="12" applyNumberFormat="1" applyFont="1" applyBorder="1" applyAlignment="1">
      <alignment horizontal="center" vertical="center"/>
    </xf>
    <xf numFmtId="0" fontId="31" fillId="0" borderId="2" xfId="12" applyFont="1" applyBorder="1" applyAlignment="1">
      <alignment horizontal="center" vertical="center"/>
    </xf>
    <xf numFmtId="0" fontId="31" fillId="0" borderId="3" xfId="12" applyFont="1" applyBorder="1" applyAlignment="1">
      <alignment horizontal="center" vertical="center"/>
    </xf>
    <xf numFmtId="0" fontId="31" fillId="0" borderId="22" xfId="12" applyFont="1" applyBorder="1" applyAlignment="1">
      <alignment horizontal="center" vertical="center"/>
    </xf>
    <xf numFmtId="0" fontId="31" fillId="0" borderId="11" xfId="12" applyFont="1" applyBorder="1" applyAlignment="1">
      <alignment horizontal="center" vertical="center"/>
    </xf>
    <xf numFmtId="41" fontId="10" fillId="0" borderId="24" xfId="13" quotePrefix="1" applyFont="1" applyFill="1" applyBorder="1" applyAlignment="1">
      <alignment horizontal="center" vertical="center"/>
    </xf>
    <xf numFmtId="41" fontId="10" fillId="0" borderId="20" xfId="13" quotePrefix="1" applyFont="1" applyFill="1" applyBorder="1" applyAlignment="1">
      <alignment horizontal="center" vertical="center"/>
    </xf>
    <xf numFmtId="41" fontId="10" fillId="0" borderId="23" xfId="13" quotePrefix="1" applyFont="1" applyFill="1" applyBorder="1" applyAlignment="1">
      <alignment horizontal="center" vertical="center"/>
    </xf>
    <xf numFmtId="184" fontId="10" fillId="0" borderId="24" xfId="13" applyNumberFormat="1" applyFont="1" applyFill="1" applyBorder="1" applyAlignment="1">
      <alignment horizontal="center" vertical="center"/>
    </xf>
    <xf numFmtId="184" fontId="10" fillId="0" borderId="20" xfId="13" applyNumberFormat="1" applyFont="1" applyFill="1" applyBorder="1" applyAlignment="1">
      <alignment horizontal="center" vertical="center"/>
    </xf>
    <xf numFmtId="184" fontId="10" fillId="0" borderId="23" xfId="13" applyNumberFormat="1" applyFont="1" applyFill="1" applyBorder="1" applyAlignment="1">
      <alignment horizontal="center" vertical="center"/>
    </xf>
    <xf numFmtId="41" fontId="10" fillId="0" borderId="26" xfId="13" quotePrefix="1" applyFont="1" applyFill="1" applyBorder="1" applyAlignment="1">
      <alignment horizontal="center" vertical="center"/>
    </xf>
    <xf numFmtId="41" fontId="10" fillId="0" borderId="0" xfId="13" quotePrefix="1" applyFont="1" applyFill="1" applyBorder="1" applyAlignment="1">
      <alignment horizontal="center" vertical="center"/>
    </xf>
    <xf numFmtId="41" fontId="10" fillId="0" borderId="25" xfId="13" quotePrefix="1" applyFont="1" applyFill="1" applyBorder="1" applyAlignment="1">
      <alignment horizontal="center" vertical="center"/>
    </xf>
    <xf numFmtId="182" fontId="10" fillId="0" borderId="26" xfId="13" applyNumberFormat="1" applyFont="1" applyFill="1" applyBorder="1" applyAlignment="1">
      <alignment horizontal="center" vertical="center"/>
    </xf>
    <xf numFmtId="182" fontId="10" fillId="0" borderId="0" xfId="13" applyNumberFormat="1" applyFont="1" applyFill="1" applyBorder="1" applyAlignment="1">
      <alignment horizontal="center" vertical="center"/>
    </xf>
    <xf numFmtId="182" fontId="10" fillId="0" borderId="25" xfId="13" applyNumberFormat="1" applyFont="1" applyFill="1" applyBorder="1" applyAlignment="1">
      <alignment horizontal="center" vertical="center"/>
    </xf>
    <xf numFmtId="0" fontId="31" fillId="0" borderId="17" xfId="12" applyFont="1" applyBorder="1" applyAlignment="1">
      <alignment horizontal="center" vertical="center"/>
    </xf>
    <xf numFmtId="0" fontId="31" fillId="0" borderId="14" xfId="12" applyFont="1" applyBorder="1" applyAlignment="1">
      <alignment horizontal="center" vertical="center"/>
    </xf>
    <xf numFmtId="0" fontId="31" fillId="0" borderId="19" xfId="12" applyFont="1" applyBorder="1" applyAlignment="1">
      <alignment horizontal="left" vertical="top"/>
    </xf>
    <xf numFmtId="0" fontId="31" fillId="0" borderId="20" xfId="12" applyFont="1" applyBorder="1" applyAlignment="1">
      <alignment horizontal="left" vertical="top"/>
    </xf>
    <xf numFmtId="0" fontId="31" fillId="0" borderId="23" xfId="12" applyFont="1" applyBorder="1" applyAlignment="1">
      <alignment horizontal="left" vertical="top"/>
    </xf>
    <xf numFmtId="0" fontId="31" fillId="0" borderId="10" xfId="12" applyFont="1" applyBorder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22" xfId="12" applyFont="1" applyBorder="1" applyAlignment="1">
      <alignment horizontal="left" vertical="top"/>
    </xf>
    <xf numFmtId="0" fontId="31" fillId="0" borderId="24" xfId="12" applyFont="1" applyBorder="1" applyAlignment="1">
      <alignment horizontal="center" vertical="center"/>
    </xf>
    <xf numFmtId="0" fontId="31" fillId="0" borderId="20" xfId="12" applyFont="1" applyBorder="1" applyAlignment="1">
      <alignment horizontal="center" vertical="center"/>
    </xf>
    <xf numFmtId="0" fontId="31" fillId="0" borderId="21" xfId="12" applyFont="1" applyBorder="1" applyAlignment="1">
      <alignment horizontal="center" vertical="center"/>
    </xf>
    <xf numFmtId="0" fontId="31" fillId="0" borderId="23" xfId="12" applyFont="1" applyBorder="1" applyAlignment="1">
      <alignment horizontal="center" vertical="center"/>
    </xf>
    <xf numFmtId="0" fontId="13" fillId="0" borderId="0" xfId="12" applyFont="1" applyAlignment="1">
      <alignment horizontal="center" vertical="center" wrapText="1"/>
    </xf>
    <xf numFmtId="0" fontId="72" fillId="3" borderId="29" xfId="12" applyFont="1" applyFill="1" applyBorder="1" applyAlignment="1">
      <alignment horizontal="center" vertical="center"/>
    </xf>
    <xf numFmtId="0" fontId="31" fillId="0" borderId="34" xfId="12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4" fontId="10" fillId="0" borderId="26" xfId="13" applyNumberFormat="1" applyFont="1" applyFill="1" applyBorder="1" applyAlignment="1">
      <alignment horizontal="center" vertical="center"/>
    </xf>
    <xf numFmtId="184" fontId="10" fillId="0" borderId="0" xfId="13" applyNumberFormat="1" applyFont="1" applyFill="1" applyBorder="1" applyAlignment="1">
      <alignment horizontal="center" vertical="center"/>
    </xf>
    <xf numFmtId="184" fontId="10" fillId="0" borderId="25" xfId="13" applyNumberFormat="1" applyFont="1" applyFill="1" applyBorder="1" applyAlignment="1">
      <alignment horizontal="center" vertical="center"/>
    </xf>
    <xf numFmtId="177" fontId="10" fillId="0" borderId="26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5" xfId="13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33" xfId="1" applyNumberFormat="1" applyFont="1" applyBorder="1" applyAlignment="1">
      <alignment horizontal="center" vertical="center"/>
    </xf>
    <xf numFmtId="176" fontId="31" fillId="0" borderId="13" xfId="1" applyNumberFormat="1" applyFont="1" applyBorder="1" applyAlignment="1">
      <alignment horizontal="center" vertical="center"/>
    </xf>
    <xf numFmtId="176" fontId="31" fillId="0" borderId="34" xfId="1" applyNumberFormat="1" applyFont="1" applyBorder="1" applyAlignment="1">
      <alignment horizontal="center" vertical="center"/>
    </xf>
    <xf numFmtId="176" fontId="31" fillId="0" borderId="33" xfId="1" applyNumberFormat="1" applyFont="1" applyFill="1" applyBorder="1" applyAlignment="1">
      <alignment horizontal="center" vertical="center"/>
    </xf>
    <xf numFmtId="176" fontId="31" fillId="0" borderId="13" xfId="1" applyNumberFormat="1" applyFont="1" applyFill="1" applyBorder="1" applyAlignment="1">
      <alignment horizontal="center" vertical="center"/>
    </xf>
    <xf numFmtId="176" fontId="31" fillId="0" borderId="34" xfId="1" applyNumberFormat="1" applyFont="1" applyFill="1" applyBorder="1" applyAlignment="1">
      <alignment horizontal="center" vertical="center"/>
    </xf>
    <xf numFmtId="177" fontId="31" fillId="0" borderId="33" xfId="12" applyNumberFormat="1" applyFont="1" applyBorder="1" applyAlignment="1">
      <alignment horizontal="center" vertical="center"/>
    </xf>
    <xf numFmtId="177" fontId="31" fillId="0" borderId="13" xfId="12" applyNumberFormat="1" applyFont="1" applyBorder="1" applyAlignment="1">
      <alignment horizontal="center" vertical="center"/>
    </xf>
    <xf numFmtId="177" fontId="31" fillId="0" borderId="34" xfId="12" applyNumberFormat="1" applyFont="1" applyBorder="1" applyAlignment="1">
      <alignment horizontal="center" vertical="center"/>
    </xf>
    <xf numFmtId="178" fontId="21" fillId="0" borderId="28" xfId="12" applyNumberFormat="1" applyFont="1" applyBorder="1" applyAlignment="1">
      <alignment horizontal="center" vertical="center" wrapText="1"/>
    </xf>
    <xf numFmtId="178" fontId="21" fillId="0" borderId="1" xfId="12" applyNumberFormat="1" applyFont="1" applyBorder="1" applyAlignment="1">
      <alignment horizontal="center" vertical="center" wrapText="1"/>
    </xf>
    <xf numFmtId="0" fontId="38" fillId="4" borderId="36" xfId="12" applyFont="1" applyFill="1" applyBorder="1" applyAlignment="1">
      <alignment horizontal="center" vertical="center"/>
    </xf>
    <xf numFmtId="0" fontId="38" fillId="4" borderId="29" xfId="12" applyFont="1" applyFill="1" applyBorder="1" applyAlignment="1">
      <alignment horizontal="center" vertical="center"/>
    </xf>
    <xf numFmtId="0" fontId="25" fillId="0" borderId="0" xfId="12" applyFont="1" applyAlignment="1">
      <alignment horizontal="center" vertical="center"/>
    </xf>
    <xf numFmtId="0" fontId="21" fillId="0" borderId="27" xfId="12" applyFont="1" applyBorder="1" applyAlignment="1">
      <alignment horizontal="center" vertical="center"/>
    </xf>
    <xf numFmtId="0" fontId="21" fillId="0" borderId="15" xfId="12" applyFont="1" applyBorder="1" applyAlignment="1">
      <alignment horizontal="center" vertical="center"/>
    </xf>
    <xf numFmtId="0" fontId="21" fillId="0" borderId="28" xfId="12" applyFont="1" applyBorder="1" applyAlignment="1">
      <alignment horizontal="center" vertical="center" wrapText="1"/>
    </xf>
    <xf numFmtId="0" fontId="21" fillId="0" borderId="1" xfId="12" applyFont="1" applyBorder="1" applyAlignment="1">
      <alignment horizontal="center" vertical="center" wrapText="1"/>
    </xf>
    <xf numFmtId="41" fontId="21" fillId="0" borderId="28" xfId="13" applyFont="1" applyFill="1" applyBorder="1" applyAlignment="1">
      <alignment horizontal="center" vertical="center" wrapText="1"/>
    </xf>
    <xf numFmtId="176" fontId="21" fillId="0" borderId="28" xfId="1" applyNumberFormat="1" applyFont="1" applyBorder="1" applyAlignment="1">
      <alignment horizontal="center" vertical="center" wrapText="1"/>
    </xf>
    <xf numFmtId="176" fontId="21" fillId="0" borderId="28" xfId="1" applyNumberFormat="1" applyFont="1" applyFill="1" applyBorder="1" applyAlignment="1">
      <alignment horizontal="center" vertical="center" wrapText="1"/>
    </xf>
    <xf numFmtId="176" fontId="21" fillId="0" borderId="1" xfId="1" applyNumberFormat="1" applyFont="1" applyFill="1" applyBorder="1" applyAlignment="1">
      <alignment horizontal="center" vertical="center" wrapText="1"/>
    </xf>
    <xf numFmtId="176" fontId="21" fillId="0" borderId="28" xfId="13" applyNumberFormat="1" applyFont="1" applyFill="1" applyBorder="1" applyAlignment="1">
      <alignment horizontal="center" vertical="center" wrapText="1"/>
    </xf>
    <xf numFmtId="176" fontId="21" fillId="0" borderId="1" xfId="13" applyNumberFormat="1" applyFont="1" applyFill="1" applyBorder="1" applyAlignment="1">
      <alignment horizontal="center" vertical="center" wrapText="1"/>
    </xf>
    <xf numFmtId="0" fontId="38" fillId="0" borderId="47" xfId="12" applyFont="1" applyBorder="1" applyAlignment="1">
      <alignment horizontal="center" vertical="center"/>
    </xf>
    <xf numFmtId="0" fontId="38" fillId="0" borderId="48" xfId="12" applyFont="1" applyBorder="1" applyAlignment="1">
      <alignment horizontal="center" vertical="center"/>
    </xf>
    <xf numFmtId="0" fontId="38" fillId="0" borderId="49" xfId="12" applyFont="1" applyBorder="1" applyAlignment="1">
      <alignment horizontal="center" vertical="center"/>
    </xf>
    <xf numFmtId="176" fontId="21" fillId="0" borderId="38" xfId="1" applyNumberFormat="1" applyFont="1" applyFill="1" applyBorder="1" applyAlignment="1">
      <alignment horizontal="center" vertical="center" wrapText="1"/>
    </xf>
    <xf numFmtId="176" fontId="21" fillId="0" borderId="44" xfId="1" applyNumberFormat="1" applyFont="1" applyFill="1" applyBorder="1" applyAlignment="1">
      <alignment horizontal="center" vertical="center" wrapText="1"/>
    </xf>
    <xf numFmtId="176" fontId="21" fillId="0" borderId="38" xfId="13" applyNumberFormat="1" applyFont="1" applyFill="1" applyBorder="1" applyAlignment="1">
      <alignment horizontal="center" vertical="center" wrapText="1"/>
    </xf>
    <xf numFmtId="176" fontId="21" fillId="0" borderId="44" xfId="13" applyNumberFormat="1" applyFont="1" applyFill="1" applyBorder="1" applyAlignment="1">
      <alignment horizontal="center" vertical="center" wrapText="1"/>
    </xf>
    <xf numFmtId="178" fontId="21" fillId="0" borderId="38" xfId="12" applyNumberFormat="1" applyFont="1" applyBorder="1" applyAlignment="1">
      <alignment horizontal="center" vertical="center" wrapText="1"/>
    </xf>
    <xf numFmtId="178" fontId="21" fillId="0" borderId="44" xfId="12" applyNumberFormat="1" applyFont="1" applyBorder="1" applyAlignment="1">
      <alignment horizontal="center" vertical="center" wrapText="1"/>
    </xf>
    <xf numFmtId="178" fontId="21" fillId="0" borderId="42" xfId="12" applyNumberFormat="1" applyFont="1" applyBorder="1" applyAlignment="1">
      <alignment horizontal="center" vertical="center" wrapText="1"/>
    </xf>
    <xf numFmtId="178" fontId="21" fillId="0" borderId="45" xfId="12" applyNumberFormat="1" applyFont="1" applyBorder="1" applyAlignment="1">
      <alignment horizontal="center" vertical="center" wrapText="1"/>
    </xf>
    <xf numFmtId="0" fontId="21" fillId="0" borderId="37" xfId="12" applyFont="1" applyBorder="1" applyAlignment="1">
      <alignment horizontal="center" vertical="center"/>
    </xf>
    <xf numFmtId="0" fontId="21" fillId="0" borderId="43" xfId="12" applyFont="1" applyBorder="1" applyAlignment="1">
      <alignment horizontal="center" vertical="center"/>
    </xf>
    <xf numFmtId="0" fontId="21" fillId="0" borderId="38" xfId="12" applyFont="1" applyBorder="1" applyAlignment="1">
      <alignment horizontal="center" vertical="center" wrapText="1"/>
    </xf>
    <xf numFmtId="0" fontId="21" fillId="0" borderId="44" xfId="12" applyFont="1" applyBorder="1" applyAlignment="1">
      <alignment horizontal="center" vertical="center" wrapText="1"/>
    </xf>
    <xf numFmtId="41" fontId="21" fillId="0" borderId="39" xfId="13" applyFont="1" applyFill="1" applyBorder="1" applyAlignment="1">
      <alignment horizontal="center" vertical="center" wrapText="1"/>
    </xf>
    <xf numFmtId="41" fontId="21" fillId="0" borderId="40" xfId="13" applyFont="1" applyFill="1" applyBorder="1" applyAlignment="1">
      <alignment horizontal="center" vertical="center" wrapText="1"/>
    </xf>
    <xf numFmtId="176" fontId="21" fillId="0" borderId="39" xfId="1" applyNumberFormat="1" applyFont="1" applyBorder="1" applyAlignment="1">
      <alignment horizontal="center" vertical="center" wrapText="1"/>
    </xf>
    <xf numFmtId="176" fontId="21" fillId="0" borderId="41" xfId="1" applyNumberFormat="1" applyFont="1" applyBorder="1" applyAlignment="1">
      <alignment horizontal="center" vertical="center" wrapText="1"/>
    </xf>
    <xf numFmtId="176" fontId="21" fillId="0" borderId="40" xfId="1" applyNumberFormat="1" applyFont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3" fillId="2" borderId="13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</cellXfs>
  <cellStyles count="31">
    <cellStyle name="Comma" xfId="15" xr:uid="{48FE13E0-BB85-44EE-BFC9-2E50576CDEA3}"/>
    <cellStyle name="Comma [0]" xfId="1" xr:uid="{DF041988-E041-453A-A8AE-3C157737AB24}"/>
    <cellStyle name="Comma [0] 2" xfId="21" xr:uid="{D178E479-D40F-4620-914E-BC4BB3C4B840}"/>
    <cellStyle name="Normal 12" xfId="29" xr:uid="{B286DA0B-6338-4A85-A1E7-AF5553B6F957}"/>
    <cellStyle name="Normal 2" xfId="9" xr:uid="{00000000-0005-0000-0000-000001000000}"/>
    <cellStyle name="Standaard_Packing List(Sample for Hadjret HRSG)" xfId="4" xr:uid="{00000000-0005-0000-0000-000003000000}"/>
    <cellStyle name="쉼표 [0]" xfId="30" builtinId="6"/>
    <cellStyle name="쉼표 [0] 2" xfId="5" xr:uid="{00000000-0005-0000-0000-000004000000}"/>
    <cellStyle name="쉼표 [0] 2 2" xfId="11" xr:uid="{0E42C55F-1058-45EC-815D-B457C183F6BB}"/>
    <cellStyle name="쉼표 [0] 2 2 2" xfId="25" xr:uid="{85DDA3EC-264B-457B-BD96-4E9328BEDEAF}"/>
    <cellStyle name="쉼표 [0] 2 3" xfId="22" xr:uid="{3EA4F832-D2DA-492A-A7DB-ACBF76260DB0}"/>
    <cellStyle name="쉼표 [0] 3" xfId="13" xr:uid="{3C09C07A-4643-4949-9916-7078E6C34789}"/>
    <cellStyle name="쉼표 [0] 3 2" xfId="26" xr:uid="{EDC8AE31-E8AD-4739-AE8A-62EFE7B7FBD3}"/>
    <cellStyle name="쉼표 [0] 4" xfId="17" xr:uid="{4152EF58-1602-4F99-881C-10298C8EB8A9}"/>
    <cellStyle name="쉼표 [0] 4 2" xfId="8" xr:uid="{00000000-0005-0000-0000-000005000000}"/>
    <cellStyle name="쉼표 [0] 4 2 2" xfId="24" xr:uid="{8265607A-AFE4-4F12-9E0A-41DAEFB6412B}"/>
    <cellStyle name="쉼표 [0] 4 3" xfId="27" xr:uid="{B32CEEBC-D1A6-4658-A58B-B65EF7439747}"/>
    <cellStyle name="쉼표 [0] 5" xfId="28" xr:uid="{5190E6DF-24AE-4E76-98E2-09D4C9EEAA0F}"/>
    <cellStyle name="쉼표 2" xfId="7" xr:uid="{00000000-0005-0000-0000-000006000000}"/>
    <cellStyle name="쉼표 2 2" xfId="23" xr:uid="{A5EC79DB-3F37-49D7-B2FD-1741989777C0}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8" xr:uid="{C75AE464-5571-4553-8FCE-2C5CC6A417B1}"/>
    <cellStyle name="표준 3" xfId="12" xr:uid="{6854AB22-7CAE-4A6C-A66B-7A905DB545A4}"/>
    <cellStyle name="표준 4" xfId="16" xr:uid="{234C1612-CB5E-4938-B502-427D5E60166D}"/>
    <cellStyle name="표준 4 2" xfId="19" xr:uid="{4CED8403-DA1C-46D4-A129-BDCDE0B257FD}"/>
    <cellStyle name="표준_080407 3항차 final packing List(r3)통합" xfId="14" xr:uid="{76496DC4-684C-4D0E-9683-BB9BBEC43D78}"/>
    <cellStyle name="標準_SpecSheet1" xfId="10" xr:uid="{00000000-0005-0000-0000-00000B000000}"/>
    <cellStyle name="하이퍼링크" xfId="20" builtinId="8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133931</xdr:colOff>
      <xdr:row>2</xdr:row>
      <xdr:rowOff>57334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50</xdr:row>
      <xdr:rowOff>12700</xdr:rowOff>
    </xdr:from>
    <xdr:to>
      <xdr:col>28</xdr:col>
      <xdr:colOff>285828</xdr:colOff>
      <xdr:row>54</xdr:row>
      <xdr:rowOff>57615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47</xdr:row>
      <xdr:rowOff>120650</xdr:rowOff>
    </xdr:from>
    <xdr:to>
      <xdr:col>28</xdr:col>
      <xdr:colOff>1428480</xdr:colOff>
      <xdr:row>54</xdr:row>
      <xdr:rowOff>132907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944C84C-C976-4CB4-93F0-2442B3A4DEDC}"/>
            </a:ext>
          </a:extLst>
        </xdr:cNvPr>
        <xdr:cNvSpPr txBox="1">
          <a:spLocks noChangeArrowheads="1"/>
        </xdr:cNvSpPr>
      </xdr:nvSpPr>
      <xdr:spPr bwMode="auto">
        <a:xfrm>
          <a:off x="5887267" y="0"/>
          <a:ext cx="64812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28E71E8-6B7F-49ED-A669-481A1A5BAC3A}"/>
            </a:ext>
          </a:extLst>
        </xdr:cNvPr>
        <xdr:cNvSpPr txBox="1">
          <a:spLocks noChangeArrowheads="1"/>
        </xdr:cNvSpPr>
      </xdr:nvSpPr>
      <xdr:spPr bwMode="auto">
        <a:xfrm>
          <a:off x="5887267" y="0"/>
          <a:ext cx="64812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608086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99A37863-8DBF-4C4B-9534-7D938F28E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2210" cy="434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132296</xdr:colOff>
      <xdr:row>2</xdr:row>
      <xdr:rowOff>57877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96702</xdr:colOff>
      <xdr:row>51</xdr:row>
      <xdr:rowOff>94464</xdr:rowOff>
    </xdr:from>
    <xdr:to>
      <xdr:col>27</xdr:col>
      <xdr:colOff>149575</xdr:colOff>
      <xdr:row>56</xdr:row>
      <xdr:rowOff>19906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8702" y="9843226"/>
          <a:ext cx="1933683" cy="748521"/>
        </a:xfrm>
        <a:prstGeom prst="rect">
          <a:avLst/>
        </a:prstGeom>
      </xdr:spPr>
    </xdr:pic>
    <xdr:clientData/>
  </xdr:twoCellAnchor>
  <xdr:twoCellAnchor editAs="oneCell">
    <xdr:from>
      <xdr:col>27</xdr:col>
      <xdr:colOff>121618</xdr:colOff>
      <xdr:row>49</xdr:row>
      <xdr:rowOff>134983</xdr:rowOff>
    </xdr:from>
    <xdr:to>
      <xdr:col>28</xdr:col>
      <xdr:colOff>874878</xdr:colOff>
      <xdr:row>56</xdr:row>
      <xdr:rowOff>133458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4428" y="9581364"/>
          <a:ext cx="1091927" cy="11261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88</xdr:row>
      <xdr:rowOff>0</xdr:rowOff>
    </xdr:from>
    <xdr:to>
      <xdr:col>11</xdr:col>
      <xdr:colOff>24779</xdr:colOff>
      <xdr:row>88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88</xdr:row>
      <xdr:rowOff>0</xdr:rowOff>
    </xdr:from>
    <xdr:to>
      <xdr:col>11</xdr:col>
      <xdr:colOff>24779</xdr:colOff>
      <xdr:row>88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88</xdr:row>
      <xdr:rowOff>0</xdr:rowOff>
    </xdr:from>
    <xdr:to>
      <xdr:col>11</xdr:col>
      <xdr:colOff>24779</xdr:colOff>
      <xdr:row>88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57565</xdr:colOff>
      <xdr:row>2</xdr:row>
      <xdr:rowOff>58055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67733</xdr:colOff>
      <xdr:row>5</xdr:row>
      <xdr:rowOff>245224</xdr:rowOff>
    </xdr:from>
    <xdr:to>
      <xdr:col>22</xdr:col>
      <xdr:colOff>400067</xdr:colOff>
      <xdr:row>9</xdr:row>
      <xdr:rowOff>170747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200</xdr:row>
      <xdr:rowOff>0</xdr:rowOff>
    </xdr:from>
    <xdr:to>
      <xdr:col>10</xdr:col>
      <xdr:colOff>24779</xdr:colOff>
      <xdr:row>200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B2B85ADA-003B-4792-B805-03AED570C1B6}"/>
            </a:ext>
          </a:extLst>
        </xdr:cNvPr>
        <xdr:cNvSpPr txBox="1">
          <a:spLocks noChangeArrowheads="1"/>
        </xdr:cNvSpPr>
      </xdr:nvSpPr>
      <xdr:spPr bwMode="auto">
        <a:xfrm>
          <a:off x="6007100" y="7882890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200</xdr:row>
      <xdr:rowOff>0</xdr:rowOff>
    </xdr:from>
    <xdr:to>
      <xdr:col>10</xdr:col>
      <xdr:colOff>24779</xdr:colOff>
      <xdr:row>200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4ED4FA86-F78E-49D1-A4BC-1D1F001B87C7}"/>
            </a:ext>
          </a:extLst>
        </xdr:cNvPr>
        <xdr:cNvSpPr txBox="1">
          <a:spLocks noChangeArrowheads="1"/>
        </xdr:cNvSpPr>
      </xdr:nvSpPr>
      <xdr:spPr bwMode="auto">
        <a:xfrm>
          <a:off x="6007100" y="7882890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200</xdr:row>
      <xdr:rowOff>0</xdr:rowOff>
    </xdr:from>
    <xdr:to>
      <xdr:col>10</xdr:col>
      <xdr:colOff>24779</xdr:colOff>
      <xdr:row>200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3902A837-E3CC-4841-8C73-0043176CB65A}"/>
            </a:ext>
          </a:extLst>
        </xdr:cNvPr>
        <xdr:cNvSpPr txBox="1">
          <a:spLocks noChangeArrowheads="1"/>
        </xdr:cNvSpPr>
      </xdr:nvSpPr>
      <xdr:spPr bwMode="auto">
        <a:xfrm>
          <a:off x="6007100" y="78828900"/>
          <a:ext cx="683016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94719</xdr:colOff>
      <xdr:row>2</xdr:row>
      <xdr:rowOff>56361</xdr:rowOff>
    </xdr:to>
    <xdr:pic>
      <xdr:nvPicPr>
        <xdr:cNvPr id="5" name="그림 6">
          <a:extLst>
            <a:ext uri="{FF2B5EF4-FFF2-40B4-BE49-F238E27FC236}">
              <a16:creationId xmlns:a16="http://schemas.microsoft.com/office/drawing/2014/main" id="{72342D33-77E6-4983-A3B4-D456108E5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2734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145116</xdr:colOff>
      <xdr:row>5</xdr:row>
      <xdr:rowOff>14942</xdr:rowOff>
    </xdr:from>
    <xdr:to>
      <xdr:col>20</xdr:col>
      <xdr:colOff>96002</xdr:colOff>
      <xdr:row>7</xdr:row>
      <xdr:rowOff>77362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6E93414-8C03-4530-A1F0-4287E030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48559" y="779663"/>
          <a:ext cx="4378283" cy="937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62-F88D-482F-B221-0537376F6871}">
  <sheetPr>
    <tabColor rgb="FF00B0F0"/>
  </sheetPr>
  <dimension ref="A1:AV59"/>
  <sheetViews>
    <sheetView showGridLines="0" view="pageBreakPreview" zoomScale="90" zoomScaleNormal="100" zoomScaleSheetLayoutView="90" workbookViewId="0">
      <selection activeCell="I31" sqref="I31:Q32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0" width="3" style="5" customWidth="1"/>
    <col min="11" max="11" width="2.8984375" style="5" customWidth="1"/>
    <col min="12" max="16" width="3" style="5" customWidth="1"/>
    <col min="17" max="17" width="7.59765625" style="5" customWidth="1"/>
    <col min="18" max="18" width="3.3984375" style="5" customWidth="1"/>
    <col min="19" max="20" width="2.59765625" style="5" customWidth="1"/>
    <col min="21" max="22" width="3.3984375" style="5" customWidth="1"/>
    <col min="23" max="25" width="3.8984375" style="5" customWidth="1"/>
    <col min="26" max="28" width="3.3984375" style="5" customWidth="1"/>
    <col min="29" max="29" width="20.8984375" style="5" customWidth="1"/>
    <col min="30" max="30" width="11.8984375" style="9" bestFit="1" customWidth="1"/>
    <col min="31" max="31" width="10.8984375" style="9" bestFit="1" customWidth="1"/>
    <col min="32" max="32" width="12.59765625" style="9" customWidth="1"/>
    <col min="33" max="16384" width="3" style="9"/>
  </cols>
  <sheetData>
    <row r="1" spans="1:30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 t="s">
        <v>0</v>
      </c>
      <c r="X1" s="153"/>
      <c r="Y1" s="153"/>
      <c r="Z1" s="153"/>
      <c r="AA1" s="153"/>
      <c r="AB1" s="153"/>
      <c r="AC1" s="154"/>
    </row>
    <row r="2" spans="1:30">
      <c r="A2" s="155"/>
      <c r="W2" s="5" t="s">
        <v>1</v>
      </c>
      <c r="AC2" s="156"/>
    </row>
    <row r="3" spans="1:30">
      <c r="A3" s="155"/>
      <c r="W3" s="5" t="s">
        <v>2</v>
      </c>
      <c r="AC3" s="156"/>
    </row>
    <row r="4" spans="1:30">
      <c r="A4" s="155"/>
      <c r="W4" s="5" t="s">
        <v>3</v>
      </c>
      <c r="AC4" s="156"/>
    </row>
    <row r="5" spans="1:30">
      <c r="A5" s="155"/>
      <c r="W5" s="5" t="s">
        <v>4</v>
      </c>
      <c r="AC5" s="156"/>
    </row>
    <row r="6" spans="1:30" ht="40.35" customHeight="1">
      <c r="A6" s="363" t="s">
        <v>5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5"/>
    </row>
    <row r="7" spans="1:30" ht="14.4" thickBo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9"/>
      <c r="AD7" s="118"/>
    </row>
    <row r="8" spans="1:30" s="21" customFormat="1" ht="13.5" customHeight="1">
      <c r="A8" s="160" t="s">
        <v>6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  <c r="R8" s="163" t="s">
        <v>7</v>
      </c>
      <c r="S8" s="161"/>
      <c r="T8" s="161"/>
      <c r="U8" s="163"/>
      <c r="V8" s="366" t="s">
        <v>8</v>
      </c>
      <c r="W8" s="366"/>
      <c r="X8" s="366"/>
      <c r="Y8" s="366"/>
      <c r="Z8" s="366"/>
      <c r="AA8" s="161"/>
      <c r="AB8" s="161"/>
      <c r="AC8" s="184"/>
      <c r="AD8" s="118"/>
    </row>
    <row r="9" spans="1:30" s="21" customFormat="1" ht="14.4">
      <c r="A9" s="164"/>
      <c r="B9" s="271" t="s">
        <v>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74"/>
      <c r="R9" s="173" t="s">
        <v>10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85"/>
    </row>
    <row r="10" spans="1:30" s="21" customFormat="1" ht="14.4">
      <c r="A10" s="164"/>
      <c r="B10" s="18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41"/>
      <c r="R10" s="271" t="s">
        <v>12</v>
      </c>
      <c r="S10" s="18"/>
      <c r="T10" s="18"/>
      <c r="U10" s="18"/>
      <c r="V10" s="367">
        <v>45693</v>
      </c>
      <c r="W10" s="367"/>
      <c r="X10" s="367"/>
      <c r="Y10" s="367"/>
      <c r="Z10" s="367"/>
      <c r="AA10" s="18"/>
      <c r="AB10" s="18"/>
      <c r="AC10" s="165"/>
    </row>
    <row r="11" spans="1:30" s="21" customFormat="1" ht="14.4">
      <c r="A11" s="142"/>
      <c r="B11" s="144" t="s">
        <v>13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73" t="s">
        <v>14</v>
      </c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85"/>
    </row>
    <row r="12" spans="1:30" s="21" customFormat="1" ht="14.4">
      <c r="A12" s="166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41"/>
      <c r="R12" s="271" t="s">
        <v>16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65"/>
    </row>
    <row r="13" spans="1:30" s="21" customFormat="1" ht="14.4">
      <c r="A13" s="164"/>
      <c r="B13" s="271" t="s">
        <v>17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41"/>
      <c r="R13" s="18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193"/>
    </row>
    <row r="14" spans="1:30" s="21" customFormat="1" ht="14.4">
      <c r="A14" s="166"/>
      <c r="B14" s="18" t="s">
        <v>18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41"/>
      <c r="R14" s="271"/>
      <c r="S14" s="147" t="s">
        <v>19</v>
      </c>
      <c r="T14" s="18"/>
      <c r="U14" s="18"/>
      <c r="V14" s="18"/>
      <c r="W14" s="18"/>
      <c r="X14" s="18"/>
      <c r="Y14" s="18"/>
      <c r="Z14" s="18"/>
      <c r="AA14" s="18"/>
      <c r="AB14" s="18"/>
      <c r="AC14" s="165"/>
    </row>
    <row r="15" spans="1:30" s="21" customFormat="1" ht="14.4">
      <c r="A15" s="164"/>
      <c r="B15" s="18" t="s">
        <v>20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41"/>
      <c r="R15" s="271"/>
      <c r="S15" s="368" t="s">
        <v>21</v>
      </c>
      <c r="T15" s="368"/>
      <c r="U15" s="368"/>
      <c r="V15" s="368"/>
      <c r="W15" s="368"/>
      <c r="X15" s="368"/>
      <c r="Y15" s="368"/>
      <c r="Z15" s="368"/>
      <c r="AA15" s="368"/>
      <c r="AB15" s="368"/>
      <c r="AC15" s="369"/>
    </row>
    <row r="16" spans="1:30" s="21" customFormat="1" ht="14.4">
      <c r="A16" s="16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41"/>
      <c r="R16" s="271"/>
      <c r="S16" s="370" t="s">
        <v>22</v>
      </c>
      <c r="T16" s="370"/>
      <c r="U16" s="370"/>
      <c r="V16" s="370"/>
      <c r="W16" s="370"/>
      <c r="X16" s="370"/>
      <c r="Y16" s="370"/>
      <c r="Z16" s="370"/>
      <c r="AA16" s="370"/>
      <c r="AB16" s="370"/>
      <c r="AC16" s="371"/>
    </row>
    <row r="17" spans="1:48" s="18" customFormat="1" ht="14.85" customHeight="1">
      <c r="A17" s="164"/>
      <c r="B17" s="289"/>
      <c r="Q17" s="141"/>
      <c r="R17" s="271"/>
      <c r="S17" s="147" t="s">
        <v>23</v>
      </c>
      <c r="AC17" s="165"/>
    </row>
    <row r="18" spans="1:48" s="21" customFormat="1" ht="14.4">
      <c r="A18" s="142"/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271"/>
      <c r="S18" s="344" t="s">
        <v>24</v>
      </c>
      <c r="T18" s="344"/>
      <c r="U18" s="344"/>
      <c r="V18" s="344"/>
      <c r="W18" s="344"/>
      <c r="X18" s="344"/>
      <c r="Y18" s="344"/>
      <c r="Z18" s="344"/>
      <c r="AA18" s="344"/>
      <c r="AB18" s="344"/>
      <c r="AC18" s="345"/>
    </row>
    <row r="19" spans="1:48" s="21" customFormat="1" ht="14.4">
      <c r="A19" s="166" t="s">
        <v>25</v>
      </c>
      <c r="B19" s="1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41"/>
      <c r="R19" s="271"/>
      <c r="S19" s="147" t="s">
        <v>26</v>
      </c>
      <c r="T19" s="18"/>
      <c r="U19" s="18"/>
      <c r="V19" s="18"/>
      <c r="W19" s="64"/>
      <c r="X19" s="64"/>
      <c r="Y19" s="64"/>
      <c r="Z19" s="271"/>
      <c r="AA19" s="271"/>
      <c r="AB19" s="271"/>
      <c r="AC19" s="165"/>
    </row>
    <row r="20" spans="1:48" s="21" customFormat="1" ht="14.4">
      <c r="A20" s="164"/>
      <c r="B20" s="271" t="s">
        <v>27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41"/>
      <c r="R20" s="271"/>
      <c r="S20" s="344">
        <v>2024</v>
      </c>
      <c r="T20" s="344"/>
      <c r="U20" s="344"/>
      <c r="V20" s="344"/>
      <c r="W20" s="344"/>
      <c r="X20" s="344"/>
      <c r="Y20" s="344"/>
      <c r="Z20" s="344"/>
      <c r="AA20" s="344"/>
      <c r="AB20" s="344"/>
      <c r="AC20" s="345"/>
    </row>
    <row r="21" spans="1:48" s="21" customFormat="1" ht="14.4">
      <c r="A21" s="164"/>
      <c r="B21" s="194" t="s">
        <v>28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41"/>
      <c r="R21" s="18"/>
      <c r="S21" s="147" t="s">
        <v>29</v>
      </c>
      <c r="T21" s="147"/>
      <c r="U21" s="147"/>
      <c r="V21" s="147"/>
      <c r="W21" s="104"/>
      <c r="X21" s="104"/>
      <c r="Y21" s="104"/>
      <c r="Z21" s="271"/>
      <c r="AA21" s="18"/>
      <c r="AB21" s="18"/>
      <c r="AC21" s="165"/>
      <c r="AV21" s="1"/>
    </row>
    <row r="22" spans="1:48" s="21" customFormat="1" ht="14.4">
      <c r="A22" s="191"/>
      <c r="B22" s="195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41"/>
      <c r="R22" s="167"/>
      <c r="S22" s="344" t="s">
        <v>31</v>
      </c>
      <c r="T22" s="344"/>
      <c r="U22" s="344"/>
      <c r="V22" s="344"/>
      <c r="W22" s="344"/>
      <c r="X22" s="344"/>
      <c r="Y22" s="344"/>
      <c r="Z22" s="344"/>
      <c r="AA22" s="344"/>
      <c r="AB22" s="344"/>
      <c r="AC22" s="345"/>
    </row>
    <row r="23" spans="1:48" s="21" customFormat="1" ht="14.4">
      <c r="A23" s="164"/>
      <c r="B23" s="274" t="s">
        <v>32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41"/>
      <c r="R23" s="168"/>
      <c r="S23" s="147" t="s">
        <v>33</v>
      </c>
      <c r="T23" s="276"/>
      <c r="U23" s="18"/>
      <c r="V23" s="18"/>
      <c r="AA23" s="18"/>
      <c r="AB23" s="18"/>
      <c r="AC23" s="165"/>
    </row>
    <row r="24" spans="1:48" s="21" customFormat="1" ht="14.4">
      <c r="A24" s="164"/>
      <c r="B24" s="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41"/>
      <c r="R24" s="277"/>
      <c r="S24" s="344" t="s">
        <v>34</v>
      </c>
      <c r="T24" s="344"/>
      <c r="U24" s="344"/>
      <c r="V24" s="344"/>
      <c r="W24" s="344"/>
      <c r="X24" s="344"/>
      <c r="Y24" s="344"/>
      <c r="Z24" s="344"/>
      <c r="AA24" s="344"/>
      <c r="AB24" s="344"/>
      <c r="AC24" s="345"/>
    </row>
    <row r="25" spans="1:48" s="21" customFormat="1" ht="15" customHeight="1">
      <c r="A25" s="164"/>
      <c r="B25" s="27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41"/>
      <c r="R25" s="286"/>
      <c r="S25" s="147" t="s">
        <v>35</v>
      </c>
      <c r="T25" s="269"/>
      <c r="U25" s="269"/>
      <c r="V25" s="269"/>
      <c r="W25" s="269"/>
      <c r="X25" s="269"/>
      <c r="Y25" s="269"/>
      <c r="Z25" s="269"/>
      <c r="AA25" s="269"/>
      <c r="AB25" s="269"/>
      <c r="AC25" s="290"/>
    </row>
    <row r="26" spans="1:48" s="21" customFormat="1" ht="15" customHeight="1">
      <c r="A26" s="169" t="s">
        <v>36</v>
      </c>
      <c r="B26" s="170"/>
      <c r="C26" s="170"/>
      <c r="D26" s="170"/>
      <c r="E26" s="170"/>
      <c r="F26" s="170"/>
      <c r="G26" s="170"/>
      <c r="H26" s="171"/>
      <c r="I26" s="356" t="s">
        <v>37</v>
      </c>
      <c r="J26" s="357"/>
      <c r="K26" s="357"/>
      <c r="L26" s="357"/>
      <c r="M26" s="357"/>
      <c r="N26" s="357"/>
      <c r="O26" s="357"/>
      <c r="P26" s="357"/>
      <c r="Q26" s="358"/>
      <c r="S26" s="353" t="s">
        <v>38</v>
      </c>
      <c r="T26" s="353"/>
      <c r="U26" s="353"/>
      <c r="V26" s="353"/>
      <c r="W26" s="353"/>
      <c r="X26" s="353"/>
      <c r="Y26" s="353"/>
      <c r="Z26" s="353"/>
      <c r="AA26" s="353"/>
      <c r="AB26" s="353"/>
      <c r="AC26" s="354"/>
    </row>
    <row r="27" spans="1:48" s="18" customFormat="1" ht="14.4">
      <c r="A27" s="164"/>
      <c r="B27" s="18" t="s">
        <v>39</v>
      </c>
      <c r="H27" s="141"/>
      <c r="J27" s="18" t="s">
        <v>40</v>
      </c>
      <c r="Q27" s="141"/>
      <c r="AC27" s="165"/>
    </row>
    <row r="28" spans="1:48" s="18" customFormat="1" ht="14.4">
      <c r="A28" s="142"/>
      <c r="B28" s="172"/>
      <c r="C28" s="144"/>
      <c r="D28" s="144"/>
      <c r="E28" s="144"/>
      <c r="F28" s="144"/>
      <c r="G28" s="144"/>
      <c r="H28" s="145"/>
      <c r="I28" s="144"/>
      <c r="J28" s="172"/>
      <c r="K28" s="144"/>
      <c r="L28" s="144"/>
      <c r="M28" s="144"/>
      <c r="N28" s="144"/>
      <c r="O28" s="144"/>
      <c r="P28" s="144"/>
      <c r="Q28" s="145"/>
      <c r="AC28" s="165"/>
    </row>
    <row r="29" spans="1:48" s="18" customFormat="1" ht="14.4">
      <c r="A29" s="166" t="s">
        <v>41</v>
      </c>
      <c r="H29" s="141"/>
      <c r="I29" s="356" t="s">
        <v>42</v>
      </c>
      <c r="J29" s="357"/>
      <c r="K29" s="357"/>
      <c r="L29" s="357"/>
      <c r="M29" s="357"/>
      <c r="N29" s="357"/>
      <c r="O29" s="357"/>
      <c r="P29" s="357"/>
      <c r="Q29" s="358"/>
      <c r="R29" s="186" t="s">
        <v>43</v>
      </c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5"/>
    </row>
    <row r="30" spans="1:48" s="18" customFormat="1" ht="14.4">
      <c r="A30" s="166"/>
      <c r="H30" s="141"/>
      <c r="I30" s="361"/>
      <c r="J30" s="359"/>
      <c r="K30" s="359"/>
      <c r="L30" s="359"/>
      <c r="M30" s="359"/>
      <c r="N30" s="359"/>
      <c r="O30" s="359"/>
      <c r="P30" s="359"/>
      <c r="Q30" s="360"/>
      <c r="AC30" s="165"/>
    </row>
    <row r="31" spans="1:48" s="18" customFormat="1" ht="17.850000000000001" customHeight="1">
      <c r="A31" s="164"/>
      <c r="B31" s="274" t="s">
        <v>44</v>
      </c>
      <c r="H31" s="141"/>
      <c r="I31" s="346" t="s">
        <v>45</v>
      </c>
      <c r="J31" s="347"/>
      <c r="K31" s="347"/>
      <c r="L31" s="347"/>
      <c r="M31" s="347"/>
      <c r="N31" s="347"/>
      <c r="O31" s="347"/>
      <c r="P31" s="347"/>
      <c r="Q31" s="348"/>
      <c r="S31" s="147" t="s">
        <v>46</v>
      </c>
      <c r="X31" s="18" t="s">
        <v>47</v>
      </c>
      <c r="Y31" s="18" t="s">
        <v>48</v>
      </c>
      <c r="AC31" s="165"/>
    </row>
    <row r="32" spans="1:48" s="18" customFormat="1" ht="17.850000000000001" customHeight="1">
      <c r="A32" s="142"/>
      <c r="B32" s="144"/>
      <c r="C32" s="144"/>
      <c r="D32" s="144"/>
      <c r="E32" s="144"/>
      <c r="F32" s="144"/>
      <c r="G32" s="144"/>
      <c r="H32" s="145"/>
      <c r="I32" s="349"/>
      <c r="J32" s="350"/>
      <c r="K32" s="350"/>
      <c r="L32" s="350"/>
      <c r="M32" s="350"/>
      <c r="N32" s="350"/>
      <c r="O32" s="350"/>
      <c r="P32" s="350"/>
      <c r="Q32" s="351"/>
      <c r="S32" s="147" t="s">
        <v>49</v>
      </c>
      <c r="X32" s="18" t="s">
        <v>47</v>
      </c>
      <c r="Y32" s="362">
        <v>36</v>
      </c>
      <c r="Z32" s="362"/>
      <c r="AA32" s="362"/>
      <c r="AB32" s="362"/>
      <c r="AC32" s="165" t="s">
        <v>50</v>
      </c>
    </row>
    <row r="33" spans="1:38" s="18" customFormat="1" ht="16.5" customHeight="1">
      <c r="A33" s="169" t="s">
        <v>51</v>
      </c>
      <c r="B33" s="170"/>
      <c r="C33" s="170"/>
      <c r="D33" s="170"/>
      <c r="E33" s="170"/>
      <c r="F33" s="170"/>
      <c r="G33" s="170"/>
      <c r="H33" s="171"/>
      <c r="I33" s="356" t="s">
        <v>52</v>
      </c>
      <c r="J33" s="357"/>
      <c r="K33" s="357"/>
      <c r="L33" s="357"/>
      <c r="M33" s="357"/>
      <c r="N33" s="357"/>
      <c r="O33" s="357"/>
      <c r="P33" s="357"/>
      <c r="Q33" s="358"/>
      <c r="S33" s="147" t="s">
        <v>53</v>
      </c>
      <c r="X33" s="18" t="s">
        <v>47</v>
      </c>
      <c r="Y33" s="352">
        <f>'Summary PL'!L50</f>
        <v>17516.099999999999</v>
      </c>
      <c r="Z33" s="352"/>
      <c r="AA33" s="352"/>
      <c r="AB33" s="352"/>
      <c r="AC33" s="165" t="s">
        <v>54</v>
      </c>
    </row>
    <row r="34" spans="1:38" s="21" customFormat="1" ht="14.4">
      <c r="A34" s="166"/>
      <c r="B34" s="18"/>
      <c r="C34" s="18"/>
      <c r="D34" s="18"/>
      <c r="E34" s="18"/>
      <c r="F34" s="18"/>
      <c r="G34" s="18"/>
      <c r="H34" s="141"/>
      <c r="I34" s="359"/>
      <c r="J34" s="359"/>
      <c r="K34" s="359"/>
      <c r="L34" s="359"/>
      <c r="M34" s="359"/>
      <c r="N34" s="359"/>
      <c r="O34" s="359"/>
      <c r="P34" s="359"/>
      <c r="Q34" s="360"/>
      <c r="R34" s="18"/>
      <c r="S34" s="147" t="s">
        <v>55</v>
      </c>
      <c r="X34" s="18" t="s">
        <v>47</v>
      </c>
      <c r="Y34" s="352">
        <f>'Summary PL'!M50</f>
        <v>21866.1</v>
      </c>
      <c r="Z34" s="352"/>
      <c r="AA34" s="352"/>
      <c r="AB34" s="352"/>
      <c r="AC34" s="165" t="s">
        <v>54</v>
      </c>
    </row>
    <row r="35" spans="1:38" s="21" customFormat="1" ht="14.85" customHeight="1">
      <c r="A35" s="164"/>
      <c r="B35" s="18" t="s">
        <v>56</v>
      </c>
      <c r="C35" s="18"/>
      <c r="D35" s="18"/>
      <c r="E35" s="18"/>
      <c r="F35" s="18"/>
      <c r="G35" s="18"/>
      <c r="H35" s="141"/>
      <c r="I35" s="18"/>
      <c r="J35" s="355">
        <v>45946</v>
      </c>
      <c r="K35" s="355"/>
      <c r="L35" s="355"/>
      <c r="M35" s="355"/>
      <c r="N35" s="355"/>
      <c r="O35" s="355"/>
      <c r="P35" s="355"/>
      <c r="Q35" s="141"/>
      <c r="R35" s="18"/>
      <c r="S35" s="147" t="s">
        <v>57</v>
      </c>
      <c r="U35" s="18"/>
      <c r="V35" s="18"/>
      <c r="W35" s="18"/>
      <c r="X35" s="18" t="s">
        <v>47</v>
      </c>
      <c r="Y35" s="352">
        <f>'Summary PL'!K50</f>
        <v>140.23799999999989</v>
      </c>
      <c r="Z35" s="352"/>
      <c r="AA35" s="352"/>
      <c r="AB35" s="352"/>
      <c r="AC35" s="165" t="s">
        <v>58</v>
      </c>
    </row>
    <row r="36" spans="1:38" s="21" customFormat="1" ht="14.4">
      <c r="A36" s="142"/>
      <c r="B36" s="144"/>
      <c r="C36" s="144"/>
      <c r="D36" s="144"/>
      <c r="E36" s="144"/>
      <c r="F36" s="144"/>
      <c r="G36" s="144"/>
      <c r="H36" s="145"/>
      <c r="I36" s="144"/>
      <c r="J36" s="144"/>
      <c r="K36" s="144"/>
      <c r="L36" s="144"/>
      <c r="M36" s="144"/>
      <c r="N36" s="144"/>
      <c r="O36" s="144"/>
      <c r="P36" s="144"/>
      <c r="Q36" s="145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65"/>
    </row>
    <row r="37" spans="1:38" s="21" customFormat="1" ht="14.4">
      <c r="A37" s="169" t="s">
        <v>59</v>
      </c>
      <c r="B37" s="170"/>
      <c r="C37" s="170"/>
      <c r="D37" s="170"/>
      <c r="E37" s="170"/>
      <c r="F37" s="170"/>
      <c r="G37" s="170"/>
      <c r="H37" s="170"/>
      <c r="I37" s="186"/>
      <c r="J37" s="170"/>
      <c r="K37" s="170"/>
      <c r="L37" s="170"/>
      <c r="M37" s="170"/>
      <c r="N37" s="170"/>
      <c r="O37" s="170"/>
      <c r="P37" s="170"/>
      <c r="Q37" s="171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65"/>
    </row>
    <row r="38" spans="1:38" s="21" customFormat="1" ht="14.4">
      <c r="A38" s="164"/>
      <c r="B38" s="18"/>
      <c r="C38" s="18"/>
      <c r="D38" s="18"/>
      <c r="E38" s="18"/>
      <c r="F38" s="18"/>
      <c r="G38" s="18"/>
      <c r="H38" s="18"/>
      <c r="I38" s="18"/>
      <c r="J38" s="279"/>
      <c r="K38" s="279"/>
      <c r="L38" s="279"/>
      <c r="M38" s="279"/>
      <c r="N38" s="279"/>
      <c r="O38" s="279"/>
      <c r="P38" s="279"/>
      <c r="Q38" s="141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65"/>
    </row>
    <row r="39" spans="1:38" s="21" customFormat="1" ht="14.4">
      <c r="A39" s="142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5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65"/>
    </row>
    <row r="40" spans="1:38" s="21" customFormat="1" ht="16.5" customHeight="1">
      <c r="A40" s="395" t="s">
        <v>60</v>
      </c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7"/>
      <c r="R40" s="401" t="s">
        <v>61</v>
      </c>
      <c r="S40" s="402"/>
      <c r="T40" s="402"/>
      <c r="U40" s="402"/>
      <c r="V40" s="404"/>
      <c r="W40" s="401" t="s">
        <v>62</v>
      </c>
      <c r="X40" s="402"/>
      <c r="Y40" s="402"/>
      <c r="Z40" s="404"/>
      <c r="AA40" s="401" t="s">
        <v>63</v>
      </c>
      <c r="AB40" s="402"/>
      <c r="AC40" s="403"/>
    </row>
    <row r="41" spans="1:38" s="21" customFormat="1" ht="16.5" customHeight="1">
      <c r="A41" s="398"/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400"/>
      <c r="R41" s="377" t="s">
        <v>64</v>
      </c>
      <c r="S41" s="378"/>
      <c r="T41" s="378"/>
      <c r="U41" s="378"/>
      <c r="V41" s="379"/>
      <c r="W41" s="377" t="s">
        <v>65</v>
      </c>
      <c r="X41" s="378"/>
      <c r="Y41" s="378"/>
      <c r="Z41" s="379"/>
      <c r="AA41" s="377" t="s">
        <v>66</v>
      </c>
      <c r="AB41" s="378"/>
      <c r="AC41" s="380"/>
    </row>
    <row r="42" spans="1:38" s="63" customFormat="1" ht="18" customHeight="1">
      <c r="A42" s="310"/>
      <c r="B42" s="18" t="s">
        <v>67</v>
      </c>
      <c r="C42" s="62"/>
      <c r="D42" s="62"/>
      <c r="E42" s="62"/>
      <c r="F42" s="62"/>
      <c r="G42" s="62"/>
      <c r="H42" s="62"/>
      <c r="I42" s="170"/>
      <c r="J42" s="170"/>
      <c r="K42" s="170"/>
      <c r="L42" s="170"/>
      <c r="M42" s="170"/>
      <c r="N42" s="170"/>
      <c r="O42" s="170"/>
      <c r="P42" s="170"/>
      <c r="Q42" s="141"/>
      <c r="R42" s="381" t="s">
        <v>68</v>
      </c>
      <c r="S42" s="382"/>
      <c r="T42" s="382"/>
      <c r="U42" s="382"/>
      <c r="V42" s="383"/>
      <c r="W42" s="384">
        <v>1</v>
      </c>
      <c r="X42" s="385"/>
      <c r="Y42" s="385"/>
      <c r="Z42" s="386"/>
      <c r="AA42" s="68"/>
      <c r="AB42" s="69"/>
      <c r="AC42" s="70">
        <f>CI_BD!H45</f>
        <v>1756846.5400000003</v>
      </c>
      <c r="AD42" s="254" t="s">
        <v>69</v>
      </c>
      <c r="AE42" s="62"/>
      <c r="AF42" s="62"/>
      <c r="AG42" s="62"/>
      <c r="AH42" s="62"/>
      <c r="AI42" s="62"/>
      <c r="AJ42" s="62"/>
      <c r="AK42" s="62"/>
      <c r="AL42" s="62"/>
    </row>
    <row r="43" spans="1:38" s="21" customFormat="1" ht="18" customHeight="1">
      <c r="A43" s="191"/>
      <c r="B43" s="62" t="s">
        <v>70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41"/>
      <c r="R43" s="387"/>
      <c r="S43" s="388"/>
      <c r="T43" s="388"/>
      <c r="U43" s="388"/>
      <c r="V43" s="389"/>
      <c r="W43" s="390"/>
      <c r="X43" s="391"/>
      <c r="Y43" s="391"/>
      <c r="Z43" s="392"/>
      <c r="AA43" s="68"/>
      <c r="AB43" s="69"/>
      <c r="AC43" s="70"/>
      <c r="AD43" s="255" t="s">
        <v>71</v>
      </c>
      <c r="AE43" s="18"/>
      <c r="AF43" s="18"/>
      <c r="AG43" s="18"/>
      <c r="AH43" s="18"/>
      <c r="AI43" s="18"/>
      <c r="AJ43" s="18"/>
      <c r="AK43" s="18"/>
      <c r="AL43" s="18"/>
    </row>
    <row r="44" spans="1:38" s="21" customFormat="1" ht="18" customHeight="1" thickBot="1">
      <c r="A44" s="166"/>
      <c r="B44" s="271"/>
      <c r="C44" s="271"/>
      <c r="D44" s="271"/>
      <c r="E44" s="271"/>
      <c r="F44" s="271"/>
      <c r="G44" s="271"/>
      <c r="H44" s="271"/>
      <c r="I44" s="187"/>
      <c r="J44" s="187"/>
      <c r="K44" s="187"/>
      <c r="L44" s="187"/>
      <c r="M44" s="187"/>
      <c r="N44" s="187"/>
      <c r="O44" s="187"/>
      <c r="P44" s="187"/>
      <c r="Q44" s="182"/>
      <c r="R44" s="271"/>
      <c r="S44" s="271"/>
      <c r="T44" s="271"/>
      <c r="U44" s="271"/>
      <c r="V44" s="182"/>
      <c r="W44" s="271"/>
      <c r="X44" s="66"/>
      <c r="Y44" s="66"/>
      <c r="Z44" s="66"/>
      <c r="AA44" s="65"/>
      <c r="AB44" s="66"/>
      <c r="AC44" s="67"/>
    </row>
    <row r="45" spans="1:38" s="21" customFormat="1" ht="18" customHeight="1" thickBot="1">
      <c r="A45" s="175"/>
      <c r="B45" s="183"/>
      <c r="C45" s="176"/>
      <c r="D45" s="176"/>
      <c r="E45" s="176"/>
      <c r="F45" s="176"/>
      <c r="G45" s="176"/>
      <c r="H45" s="176"/>
      <c r="I45" s="374" t="s">
        <v>72</v>
      </c>
      <c r="J45" s="374"/>
      <c r="K45" s="374"/>
      <c r="L45" s="374"/>
      <c r="M45" s="374"/>
      <c r="N45" s="374"/>
      <c r="O45" s="374"/>
      <c r="P45" s="374"/>
      <c r="Q45" s="374"/>
      <c r="R45" s="393"/>
      <c r="S45" s="374"/>
      <c r="T45" s="374"/>
      <c r="U45" s="374"/>
      <c r="V45" s="374"/>
      <c r="W45" s="374"/>
      <c r="X45" s="374"/>
      <c r="Y45" s="374"/>
      <c r="Z45" s="394"/>
      <c r="AA45" s="375">
        <f>SUM(AC42:AC44)</f>
        <v>1756846.5400000003</v>
      </c>
      <c r="AB45" s="375"/>
      <c r="AC45" s="376"/>
      <c r="AD45" s="72"/>
      <c r="AE45" s="72"/>
      <c r="AF45" s="73"/>
    </row>
    <row r="46" spans="1:38">
      <c r="A46" s="152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4"/>
    </row>
    <row r="47" spans="1:38">
      <c r="A47" s="155"/>
      <c r="AC47" s="156"/>
    </row>
    <row r="48" spans="1:38">
      <c r="A48" s="155"/>
      <c r="AC48" s="156"/>
    </row>
    <row r="49" spans="1:29">
      <c r="A49" s="155"/>
      <c r="AC49" s="156"/>
    </row>
    <row r="50" spans="1:29">
      <c r="A50" s="155"/>
      <c r="AC50" s="156"/>
    </row>
    <row r="51" spans="1:29">
      <c r="A51" s="155"/>
      <c r="AC51" s="156"/>
    </row>
    <row r="52" spans="1:29">
      <c r="A52" s="155"/>
      <c r="AC52" s="156"/>
    </row>
    <row r="53" spans="1:29" ht="14.4">
      <c r="A53" s="16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S53" s="18" t="s">
        <v>73</v>
      </c>
      <c r="AC53" s="156"/>
    </row>
    <row r="54" spans="1:29" ht="14.4">
      <c r="A54" s="164" t="s">
        <v>74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AC54" s="156"/>
    </row>
    <row r="55" spans="1:29" ht="14.4">
      <c r="A55" s="164" t="s">
        <v>75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W55" s="177"/>
      <c r="X55" s="177"/>
      <c r="AC55" s="156"/>
    </row>
    <row r="56" spans="1:29" ht="14.4">
      <c r="A56" s="164" t="s">
        <v>76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V56" s="372" t="s">
        <v>77</v>
      </c>
      <c r="W56" s="372"/>
      <c r="X56" s="372"/>
      <c r="Y56" s="372"/>
      <c r="Z56" s="372"/>
      <c r="AA56" s="372"/>
      <c r="AB56" s="372"/>
      <c r="AC56" s="373"/>
    </row>
    <row r="57" spans="1:29" ht="14.4">
      <c r="A57" s="164" t="s">
        <v>78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S57" s="147"/>
      <c r="U57" s="281"/>
      <c r="V57" s="281"/>
      <c r="W57" s="281"/>
      <c r="X57" s="281"/>
      <c r="Y57" s="281"/>
      <c r="Z57" s="281"/>
      <c r="AA57" s="281"/>
      <c r="AB57" s="281"/>
      <c r="AC57" s="156"/>
    </row>
    <row r="58" spans="1:29" ht="12.6" thickBot="1">
      <c r="A58" s="17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9"/>
    </row>
    <row r="59" spans="1:29" ht="15" thickBot="1">
      <c r="A59" s="179" t="s">
        <v>79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1"/>
    </row>
  </sheetData>
  <mergeCells count="34"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  <mergeCell ref="A6:AC6"/>
    <mergeCell ref="V8:Z8"/>
    <mergeCell ref="V10:Z10"/>
    <mergeCell ref="S15:AC15"/>
    <mergeCell ref="S16:AC16"/>
    <mergeCell ref="S18:AC18"/>
    <mergeCell ref="S20:AC20"/>
    <mergeCell ref="I31:Q32"/>
    <mergeCell ref="Y35:AB35"/>
    <mergeCell ref="S26:AC26"/>
    <mergeCell ref="J35:P35"/>
    <mergeCell ref="I33:Q34"/>
    <mergeCell ref="I29:Q30"/>
    <mergeCell ref="I26:Q26"/>
    <mergeCell ref="S22:AC22"/>
    <mergeCell ref="S24:AC24"/>
    <mergeCell ref="Y32:AB32"/>
    <mergeCell ref="Y33:AB33"/>
    <mergeCell ref="Y34:AB34"/>
  </mergeCells>
  <phoneticPr fontId="3" type="noConversion"/>
  <hyperlinks>
    <hyperlink ref="B22" r:id="rId1" xr:uid="{ED1A2E9E-E31C-4DCD-8372-5559B7AE01BE}"/>
  </hyperlinks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2"/>
  <headerFooter alignWithMargins="0">
    <oddFooter xml:space="preserve">&amp;R_x000D_&amp;1#&amp;"Aptos"&amp;8&amp;K000000 중요비(Confidential): kichul.jang@doosan.com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549C-B4AF-4BC3-BAFC-F9805D9C0C38}">
  <sheetPr>
    <tabColor rgb="FF00B0F0"/>
  </sheetPr>
  <dimension ref="A1:J47"/>
  <sheetViews>
    <sheetView showGridLines="0" zoomScale="72" zoomScaleNormal="72" zoomScaleSheetLayoutView="70" workbookViewId="0">
      <selection activeCell="B7" sqref="B7"/>
    </sheetView>
  </sheetViews>
  <sheetFormatPr defaultColWidth="10" defaultRowHeight="14.4"/>
  <cols>
    <col min="1" max="1" width="11.5" style="14" customWidth="1"/>
    <col min="2" max="2" width="33.5" style="47" customWidth="1"/>
    <col min="3" max="3" width="40.8984375" style="47" bestFit="1" customWidth="1"/>
    <col min="4" max="4" width="15.59765625" style="47" customWidth="1"/>
    <col min="5" max="5" width="11.5" style="319" customWidth="1"/>
    <col min="6" max="6" width="10.3984375" style="47" customWidth="1"/>
    <col min="7" max="8" width="16.19921875" style="47" customWidth="1"/>
    <col min="9" max="9" width="17.5" style="321" customWidth="1"/>
    <col min="10" max="10" width="20.09765625" style="18" customWidth="1"/>
    <col min="11" max="16384" width="10" style="14"/>
  </cols>
  <sheetData>
    <row r="1" spans="1:10" s="9" customFormat="1">
      <c r="B1" s="5"/>
      <c r="C1" s="5"/>
      <c r="D1" s="5"/>
      <c r="E1" s="311"/>
      <c r="F1" s="5"/>
      <c r="G1" s="5"/>
      <c r="H1" s="5"/>
      <c r="I1" s="5" t="s">
        <v>0</v>
      </c>
      <c r="J1" s="18"/>
    </row>
    <row r="2" spans="1:10" s="9" customFormat="1">
      <c r="B2" s="5"/>
      <c r="C2" s="5"/>
      <c r="D2" s="5"/>
      <c r="E2" s="311"/>
      <c r="F2" s="5"/>
      <c r="G2" s="5"/>
      <c r="H2" s="5"/>
      <c r="I2" s="5" t="s">
        <v>1</v>
      </c>
      <c r="J2" s="18"/>
    </row>
    <row r="3" spans="1:10" s="9" customFormat="1">
      <c r="B3" s="5"/>
      <c r="C3" s="5"/>
      <c r="D3" s="5"/>
      <c r="E3" s="311"/>
      <c r="F3" s="5"/>
      <c r="G3" s="5"/>
      <c r="H3" s="5"/>
      <c r="I3" s="5" t="s">
        <v>2</v>
      </c>
      <c r="J3" s="18"/>
    </row>
    <row r="4" spans="1:10" s="9" customFormat="1">
      <c r="B4" s="5"/>
      <c r="C4" s="5"/>
      <c r="D4" s="5"/>
      <c r="E4" s="311"/>
      <c r="F4" s="5"/>
      <c r="G4" s="5"/>
      <c r="H4" s="5"/>
      <c r="I4" s="5" t="s">
        <v>3</v>
      </c>
      <c r="J4" s="18"/>
    </row>
    <row r="5" spans="1:10" s="9" customFormat="1">
      <c r="B5" s="5"/>
      <c r="C5" s="5"/>
      <c r="D5" s="5"/>
      <c r="E5" s="311"/>
      <c r="F5" s="5"/>
      <c r="G5" s="5"/>
      <c r="H5" s="5"/>
      <c r="I5" s="5" t="s">
        <v>4</v>
      </c>
      <c r="J5" s="18"/>
    </row>
    <row r="6" spans="1:10" ht="29.4" customHeight="1">
      <c r="A6" s="405" t="s">
        <v>80</v>
      </c>
      <c r="B6" s="364"/>
      <c r="C6" s="364"/>
      <c r="D6" s="364"/>
      <c r="E6" s="364"/>
      <c r="F6" s="364"/>
      <c r="G6" s="364"/>
      <c r="H6" s="364"/>
      <c r="I6" s="364"/>
      <c r="J6" s="364"/>
    </row>
    <row r="7" spans="1:10" ht="33" customHeight="1" thickBot="1">
      <c r="A7" s="312" t="s">
        <v>81</v>
      </c>
      <c r="B7" s="312" t="str">
        <f>CI!V8</f>
        <v>PGU-DE-0220</v>
      </c>
      <c r="C7" s="312"/>
      <c r="D7" s="313"/>
      <c r="E7" s="314"/>
      <c r="F7" s="313"/>
      <c r="G7" s="313"/>
      <c r="H7" s="313"/>
      <c r="I7" s="315"/>
      <c r="J7" s="316"/>
    </row>
    <row r="8" spans="1:10" s="317" customFormat="1" ht="39.75" customHeight="1">
      <c r="A8" s="297" t="s">
        <v>82</v>
      </c>
      <c r="B8" s="298" t="s">
        <v>83</v>
      </c>
      <c r="C8" s="298" t="s">
        <v>84</v>
      </c>
      <c r="D8" s="298" t="s">
        <v>85</v>
      </c>
      <c r="E8" s="322" t="s">
        <v>86</v>
      </c>
      <c r="F8" s="298" t="s">
        <v>87</v>
      </c>
      <c r="G8" s="323" t="s">
        <v>88</v>
      </c>
      <c r="H8" s="323" t="s">
        <v>89</v>
      </c>
      <c r="I8" s="298" t="s">
        <v>90</v>
      </c>
      <c r="J8" s="324" t="s">
        <v>91</v>
      </c>
    </row>
    <row r="9" spans="1:10" s="318" customFormat="1" ht="25.5" customHeight="1">
      <c r="A9" s="325">
        <v>1</v>
      </c>
      <c r="B9" s="326" t="s">
        <v>92</v>
      </c>
      <c r="C9" s="327" t="s">
        <v>93</v>
      </c>
      <c r="D9" s="328"/>
      <c r="E9" s="329">
        <v>1</v>
      </c>
      <c r="F9" s="330" t="s">
        <v>94</v>
      </c>
      <c r="G9" s="331">
        <v>104712.11</v>
      </c>
      <c r="H9" s="331">
        <v>104712.11</v>
      </c>
      <c r="I9" s="332" t="s">
        <v>95</v>
      </c>
      <c r="J9" s="333"/>
    </row>
    <row r="10" spans="1:10" s="318" customFormat="1" ht="25.5" customHeight="1">
      <c r="A10" s="325">
        <v>2</v>
      </c>
      <c r="B10" s="326" t="s">
        <v>96</v>
      </c>
      <c r="C10" s="334" t="s">
        <v>93</v>
      </c>
      <c r="D10" s="335"/>
      <c r="E10" s="329">
        <v>1</v>
      </c>
      <c r="F10" s="330" t="s">
        <v>94</v>
      </c>
      <c r="G10" s="336">
        <v>104511.51</v>
      </c>
      <c r="H10" s="331">
        <v>104511.51</v>
      </c>
      <c r="I10" s="332" t="s">
        <v>95</v>
      </c>
      <c r="J10" s="337"/>
    </row>
    <row r="11" spans="1:10" s="318" customFormat="1" ht="25.5" customHeight="1">
      <c r="A11" s="325">
        <v>3</v>
      </c>
      <c r="B11" s="326" t="s">
        <v>97</v>
      </c>
      <c r="C11" s="334" t="s">
        <v>93</v>
      </c>
      <c r="D11" s="335"/>
      <c r="E11" s="329">
        <v>1</v>
      </c>
      <c r="F11" s="330" t="s">
        <v>94</v>
      </c>
      <c r="G11" s="336">
        <v>102104.34</v>
      </c>
      <c r="H11" s="331">
        <v>102104.34</v>
      </c>
      <c r="I11" s="332" t="s">
        <v>95</v>
      </c>
      <c r="J11" s="337"/>
    </row>
    <row r="12" spans="1:10" s="318" customFormat="1" ht="25.5" customHeight="1">
      <c r="A12" s="325">
        <v>4</v>
      </c>
      <c r="B12" s="326" t="s">
        <v>98</v>
      </c>
      <c r="C12" s="334" t="s">
        <v>93</v>
      </c>
      <c r="D12" s="335"/>
      <c r="E12" s="329">
        <v>1</v>
      </c>
      <c r="F12" s="330" t="s">
        <v>94</v>
      </c>
      <c r="G12" s="336">
        <v>105013.01</v>
      </c>
      <c r="H12" s="331">
        <v>105013.01</v>
      </c>
      <c r="I12" s="332" t="s">
        <v>95</v>
      </c>
      <c r="J12" s="337"/>
    </row>
    <row r="13" spans="1:10" s="318" customFormat="1" ht="25.5" customHeight="1">
      <c r="A13" s="325">
        <v>5</v>
      </c>
      <c r="B13" s="326" t="s">
        <v>99</v>
      </c>
      <c r="C13" s="334" t="s">
        <v>93</v>
      </c>
      <c r="D13" s="335"/>
      <c r="E13" s="329">
        <v>1</v>
      </c>
      <c r="F13" s="330" t="s">
        <v>94</v>
      </c>
      <c r="G13" s="336">
        <v>101301.95</v>
      </c>
      <c r="H13" s="331">
        <v>101301.95</v>
      </c>
      <c r="I13" s="332" t="s">
        <v>95</v>
      </c>
      <c r="J13" s="337"/>
    </row>
    <row r="14" spans="1:10" s="318" customFormat="1" ht="25.5" customHeight="1">
      <c r="A14" s="325">
        <v>6</v>
      </c>
      <c r="B14" s="326" t="s">
        <v>100</v>
      </c>
      <c r="C14" s="334" t="s">
        <v>93</v>
      </c>
      <c r="D14" s="335"/>
      <c r="E14" s="329">
        <v>1</v>
      </c>
      <c r="F14" s="330" t="s">
        <v>94</v>
      </c>
      <c r="G14" s="336">
        <v>101703.14</v>
      </c>
      <c r="H14" s="331">
        <v>101703.14</v>
      </c>
      <c r="I14" s="332" t="s">
        <v>95</v>
      </c>
      <c r="J14" s="337"/>
    </row>
    <row r="15" spans="1:10" s="318" customFormat="1" ht="25.5" customHeight="1">
      <c r="A15" s="325">
        <v>7</v>
      </c>
      <c r="B15" s="326" t="s">
        <v>101</v>
      </c>
      <c r="C15" s="334" t="s">
        <v>93</v>
      </c>
      <c r="D15" s="335"/>
      <c r="E15" s="329">
        <v>1</v>
      </c>
      <c r="F15" s="330" t="s">
        <v>94</v>
      </c>
      <c r="G15" s="336">
        <v>101803.44</v>
      </c>
      <c r="H15" s="331">
        <v>101803.44</v>
      </c>
      <c r="I15" s="332" t="s">
        <v>95</v>
      </c>
      <c r="J15" s="337"/>
    </row>
    <row r="16" spans="1:10" s="318" customFormat="1" ht="25.5" customHeight="1">
      <c r="A16" s="325">
        <v>8</v>
      </c>
      <c r="B16" s="326" t="s">
        <v>102</v>
      </c>
      <c r="C16" s="334" t="s">
        <v>93</v>
      </c>
      <c r="D16" s="335"/>
      <c r="E16" s="329">
        <v>1</v>
      </c>
      <c r="F16" s="330" t="s">
        <v>94</v>
      </c>
      <c r="G16" s="336">
        <v>99295.97</v>
      </c>
      <c r="H16" s="331">
        <v>99295.97</v>
      </c>
      <c r="I16" s="332" t="s">
        <v>95</v>
      </c>
      <c r="J16" s="337"/>
    </row>
    <row r="17" spans="1:10" s="318" customFormat="1" ht="25.5" customHeight="1">
      <c r="A17" s="325">
        <v>9</v>
      </c>
      <c r="B17" s="326" t="s">
        <v>103</v>
      </c>
      <c r="C17" s="334" t="s">
        <v>93</v>
      </c>
      <c r="D17" s="335"/>
      <c r="E17" s="329">
        <v>1</v>
      </c>
      <c r="F17" s="330" t="s">
        <v>94</v>
      </c>
      <c r="G17" s="336">
        <v>68303.59</v>
      </c>
      <c r="H17" s="331">
        <v>68303.59</v>
      </c>
      <c r="I17" s="332" t="s">
        <v>95</v>
      </c>
      <c r="J17" s="337"/>
    </row>
    <row r="18" spans="1:10" s="318" customFormat="1" ht="25.5" customHeight="1">
      <c r="A18" s="325">
        <v>10</v>
      </c>
      <c r="B18" s="326" t="s">
        <v>104</v>
      </c>
      <c r="C18" s="334" t="s">
        <v>93</v>
      </c>
      <c r="D18" s="335"/>
      <c r="E18" s="329">
        <v>1</v>
      </c>
      <c r="F18" s="330" t="s">
        <v>94</v>
      </c>
      <c r="G18" s="336">
        <v>67701.8</v>
      </c>
      <c r="H18" s="331">
        <v>67701.8</v>
      </c>
      <c r="I18" s="332" t="s">
        <v>95</v>
      </c>
      <c r="J18" s="337"/>
    </row>
    <row r="19" spans="1:10" s="318" customFormat="1" ht="25.5" customHeight="1">
      <c r="A19" s="325">
        <v>11</v>
      </c>
      <c r="B19" s="326" t="s">
        <v>105</v>
      </c>
      <c r="C19" s="327" t="s">
        <v>93</v>
      </c>
      <c r="D19" s="328"/>
      <c r="E19" s="329">
        <v>1</v>
      </c>
      <c r="F19" s="330" t="s">
        <v>94</v>
      </c>
      <c r="G19" s="331">
        <v>70911.360000000001</v>
      </c>
      <c r="H19" s="331">
        <v>70911.360000000001</v>
      </c>
      <c r="I19" s="332" t="s">
        <v>95</v>
      </c>
      <c r="J19" s="333"/>
    </row>
    <row r="20" spans="1:10" s="318" customFormat="1" ht="25.5" customHeight="1">
      <c r="A20" s="325">
        <v>12</v>
      </c>
      <c r="B20" s="326" t="s">
        <v>106</v>
      </c>
      <c r="C20" s="334" t="s">
        <v>93</v>
      </c>
      <c r="D20" s="335"/>
      <c r="E20" s="329">
        <v>1</v>
      </c>
      <c r="F20" s="330" t="s">
        <v>94</v>
      </c>
      <c r="G20" s="336">
        <v>68905.38</v>
      </c>
      <c r="H20" s="331">
        <v>68905.38</v>
      </c>
      <c r="I20" s="332" t="s">
        <v>95</v>
      </c>
      <c r="J20" s="337"/>
    </row>
    <row r="21" spans="1:10" s="318" customFormat="1" ht="25.5" customHeight="1">
      <c r="A21" s="325">
        <v>13</v>
      </c>
      <c r="B21" s="326" t="s">
        <v>107</v>
      </c>
      <c r="C21" s="334" t="s">
        <v>108</v>
      </c>
      <c r="D21" s="335"/>
      <c r="E21" s="329">
        <v>1</v>
      </c>
      <c r="F21" s="330" t="s">
        <v>94</v>
      </c>
      <c r="G21" s="336">
        <v>30089.69</v>
      </c>
      <c r="H21" s="331">
        <v>30089.69</v>
      </c>
      <c r="I21" s="332" t="s">
        <v>95</v>
      </c>
      <c r="J21" s="337"/>
    </row>
    <row r="22" spans="1:10" s="318" customFormat="1" ht="25.5" customHeight="1">
      <c r="A22" s="325">
        <v>14</v>
      </c>
      <c r="B22" s="326" t="s">
        <v>109</v>
      </c>
      <c r="C22" s="334" t="s">
        <v>108</v>
      </c>
      <c r="D22" s="335"/>
      <c r="E22" s="329">
        <v>1</v>
      </c>
      <c r="F22" s="330" t="s">
        <v>94</v>
      </c>
      <c r="G22" s="336">
        <v>29788.79</v>
      </c>
      <c r="H22" s="331">
        <v>29788.79</v>
      </c>
      <c r="I22" s="332" t="s">
        <v>95</v>
      </c>
      <c r="J22" s="337"/>
    </row>
    <row r="23" spans="1:10" s="318" customFormat="1" ht="25.5" customHeight="1">
      <c r="A23" s="325">
        <v>15</v>
      </c>
      <c r="B23" s="326" t="s">
        <v>110</v>
      </c>
      <c r="C23" s="334" t="s">
        <v>108</v>
      </c>
      <c r="D23" s="335"/>
      <c r="E23" s="329">
        <v>1</v>
      </c>
      <c r="F23" s="330" t="s">
        <v>94</v>
      </c>
      <c r="G23" s="336">
        <v>30691.48</v>
      </c>
      <c r="H23" s="331">
        <v>30691.48</v>
      </c>
      <c r="I23" s="332" t="s">
        <v>95</v>
      </c>
      <c r="J23" s="337"/>
    </row>
    <row r="24" spans="1:10" s="318" customFormat="1" ht="25.5" customHeight="1">
      <c r="A24" s="325">
        <v>16</v>
      </c>
      <c r="B24" s="326" t="s">
        <v>111</v>
      </c>
      <c r="C24" s="334" t="s">
        <v>108</v>
      </c>
      <c r="D24" s="335"/>
      <c r="E24" s="329">
        <v>1</v>
      </c>
      <c r="F24" s="330" t="s">
        <v>94</v>
      </c>
      <c r="G24" s="336">
        <v>29588.19</v>
      </c>
      <c r="H24" s="331">
        <v>29588.19</v>
      </c>
      <c r="I24" s="332" t="s">
        <v>95</v>
      </c>
      <c r="J24" s="337"/>
    </row>
    <row r="25" spans="1:10" s="318" customFormat="1" ht="25.5" customHeight="1">
      <c r="A25" s="325">
        <v>17</v>
      </c>
      <c r="B25" s="326" t="s">
        <v>112</v>
      </c>
      <c r="C25" s="334" t="s">
        <v>108</v>
      </c>
      <c r="D25" s="335"/>
      <c r="E25" s="329">
        <v>1</v>
      </c>
      <c r="F25" s="330" t="s">
        <v>94</v>
      </c>
      <c r="G25" s="336">
        <v>30691.48</v>
      </c>
      <c r="H25" s="331">
        <v>30691.48</v>
      </c>
      <c r="I25" s="332" t="s">
        <v>95</v>
      </c>
      <c r="J25" s="337"/>
    </row>
    <row r="26" spans="1:10" s="318" customFormat="1" ht="25.5" customHeight="1">
      <c r="A26" s="325">
        <v>18</v>
      </c>
      <c r="B26" s="326" t="s">
        <v>113</v>
      </c>
      <c r="C26" s="334" t="s">
        <v>93</v>
      </c>
      <c r="D26" s="335"/>
      <c r="E26" s="329">
        <v>1</v>
      </c>
      <c r="F26" s="330" t="s">
        <v>94</v>
      </c>
      <c r="G26" s="336">
        <v>30390.58</v>
      </c>
      <c r="H26" s="331">
        <v>30390.58</v>
      </c>
      <c r="I26" s="332" t="s">
        <v>95</v>
      </c>
      <c r="J26" s="337"/>
    </row>
    <row r="27" spans="1:10" s="318" customFormat="1" ht="25.5" customHeight="1">
      <c r="A27" s="325">
        <v>19</v>
      </c>
      <c r="B27" s="326" t="s">
        <v>114</v>
      </c>
      <c r="C27" s="334" t="s">
        <v>93</v>
      </c>
      <c r="D27" s="335"/>
      <c r="E27" s="329">
        <v>1</v>
      </c>
      <c r="F27" s="330" t="s">
        <v>94</v>
      </c>
      <c r="G27" s="336">
        <v>29588.19</v>
      </c>
      <c r="H27" s="331">
        <v>29588.19</v>
      </c>
      <c r="I27" s="332" t="s">
        <v>95</v>
      </c>
      <c r="J27" s="337"/>
    </row>
    <row r="28" spans="1:10" s="318" customFormat="1" ht="25.5" customHeight="1">
      <c r="A28" s="325">
        <v>20</v>
      </c>
      <c r="B28" s="326" t="s">
        <v>115</v>
      </c>
      <c r="C28" s="334" t="s">
        <v>93</v>
      </c>
      <c r="D28" s="335"/>
      <c r="E28" s="329">
        <v>1</v>
      </c>
      <c r="F28" s="330" t="s">
        <v>94</v>
      </c>
      <c r="G28" s="336">
        <v>35104.629999999997</v>
      </c>
      <c r="H28" s="331">
        <v>35104.629999999997</v>
      </c>
      <c r="I28" s="332" t="s">
        <v>95</v>
      </c>
      <c r="J28" s="337"/>
    </row>
    <row r="29" spans="1:10" s="318" customFormat="1" ht="25.5" customHeight="1">
      <c r="A29" s="325">
        <v>21</v>
      </c>
      <c r="B29" s="326" t="s">
        <v>116</v>
      </c>
      <c r="C29" s="327" t="s">
        <v>93</v>
      </c>
      <c r="D29" s="328"/>
      <c r="E29" s="329">
        <v>1</v>
      </c>
      <c r="F29" s="330" t="s">
        <v>94</v>
      </c>
      <c r="G29" s="331">
        <v>34613.17</v>
      </c>
      <c r="H29" s="331">
        <v>34613.17</v>
      </c>
      <c r="I29" s="332" t="s">
        <v>95</v>
      </c>
      <c r="J29" s="333"/>
    </row>
    <row r="30" spans="1:10" s="318" customFormat="1" ht="25.5" customHeight="1">
      <c r="A30" s="325">
        <v>22</v>
      </c>
      <c r="B30" s="326" t="s">
        <v>117</v>
      </c>
      <c r="C30" s="334" t="s">
        <v>93</v>
      </c>
      <c r="D30" s="335"/>
      <c r="E30" s="329">
        <v>1</v>
      </c>
      <c r="F30" s="330" t="s">
        <v>94</v>
      </c>
      <c r="G30" s="336">
        <v>34101.64</v>
      </c>
      <c r="H30" s="331">
        <v>34101.64</v>
      </c>
      <c r="I30" s="332" t="s">
        <v>95</v>
      </c>
      <c r="J30" s="337"/>
    </row>
    <row r="31" spans="1:10" s="318" customFormat="1" ht="25.5" customHeight="1">
      <c r="A31" s="325">
        <v>23</v>
      </c>
      <c r="B31" s="326" t="s">
        <v>118</v>
      </c>
      <c r="C31" s="334" t="s">
        <v>93</v>
      </c>
      <c r="D31" s="335"/>
      <c r="E31" s="329">
        <v>1</v>
      </c>
      <c r="F31" s="330" t="s">
        <v>94</v>
      </c>
      <c r="G31" s="336">
        <v>34603.14</v>
      </c>
      <c r="H31" s="331">
        <v>34603.14</v>
      </c>
      <c r="I31" s="332" t="s">
        <v>95</v>
      </c>
      <c r="J31" s="337"/>
    </row>
    <row r="32" spans="1:10" s="318" customFormat="1" ht="25.5" customHeight="1">
      <c r="A32" s="325">
        <v>24</v>
      </c>
      <c r="B32" s="326" t="s">
        <v>119</v>
      </c>
      <c r="C32" s="334" t="s">
        <v>93</v>
      </c>
      <c r="D32" s="335"/>
      <c r="E32" s="329">
        <v>1</v>
      </c>
      <c r="F32" s="330" t="s">
        <v>94</v>
      </c>
      <c r="G32" s="336">
        <v>34302.239999999998</v>
      </c>
      <c r="H32" s="331">
        <v>34302.239999999998</v>
      </c>
      <c r="I32" s="332" t="s">
        <v>95</v>
      </c>
      <c r="J32" s="337"/>
    </row>
    <row r="33" spans="1:10" s="318" customFormat="1" ht="25.5" customHeight="1">
      <c r="A33" s="325">
        <v>25</v>
      </c>
      <c r="B33" s="326" t="s">
        <v>120</v>
      </c>
      <c r="C33" s="334" t="s">
        <v>93</v>
      </c>
      <c r="D33" s="335"/>
      <c r="E33" s="329">
        <v>1</v>
      </c>
      <c r="F33" s="330" t="s">
        <v>94</v>
      </c>
      <c r="G33" s="336">
        <v>31995.37</v>
      </c>
      <c r="H33" s="331">
        <v>31995.37</v>
      </c>
      <c r="I33" s="332" t="s">
        <v>95</v>
      </c>
      <c r="J33" s="337"/>
    </row>
    <row r="34" spans="1:10" s="318" customFormat="1" ht="25.5" customHeight="1">
      <c r="A34" s="325">
        <v>26</v>
      </c>
      <c r="B34" s="326" t="s">
        <v>121</v>
      </c>
      <c r="C34" s="334" t="s">
        <v>93</v>
      </c>
      <c r="D34" s="335"/>
      <c r="E34" s="329">
        <v>1</v>
      </c>
      <c r="F34" s="330" t="s">
        <v>94</v>
      </c>
      <c r="G34" s="336">
        <v>40520.78</v>
      </c>
      <c r="H34" s="331">
        <v>40520.78</v>
      </c>
      <c r="I34" s="332" t="s">
        <v>95</v>
      </c>
      <c r="J34" s="337"/>
    </row>
    <row r="35" spans="1:10" s="318" customFormat="1" ht="25.5" customHeight="1">
      <c r="A35" s="325">
        <v>27</v>
      </c>
      <c r="B35" s="326" t="s">
        <v>122</v>
      </c>
      <c r="C35" s="334" t="s">
        <v>93</v>
      </c>
      <c r="D35" s="335"/>
      <c r="E35" s="329">
        <v>1</v>
      </c>
      <c r="F35" s="330" t="s">
        <v>94</v>
      </c>
      <c r="G35" s="336">
        <v>39116.589999999997</v>
      </c>
      <c r="H35" s="331">
        <v>39116.589999999997</v>
      </c>
      <c r="I35" s="332" t="s">
        <v>95</v>
      </c>
      <c r="J35" s="337"/>
    </row>
    <row r="36" spans="1:10" s="318" customFormat="1" ht="25.5" customHeight="1">
      <c r="A36" s="325">
        <v>28</v>
      </c>
      <c r="B36" s="326" t="s">
        <v>123</v>
      </c>
      <c r="C36" s="334" t="s">
        <v>93</v>
      </c>
      <c r="D36" s="335"/>
      <c r="E36" s="329">
        <v>1</v>
      </c>
      <c r="F36" s="330" t="s">
        <v>94</v>
      </c>
      <c r="G36" s="336">
        <v>38715.4</v>
      </c>
      <c r="H36" s="331">
        <v>38715.4</v>
      </c>
      <c r="I36" s="332" t="s">
        <v>95</v>
      </c>
      <c r="J36" s="337"/>
    </row>
    <row r="37" spans="1:10" s="318" customFormat="1" ht="25.5" customHeight="1">
      <c r="A37" s="325">
        <v>29</v>
      </c>
      <c r="B37" s="326" t="s">
        <v>124</v>
      </c>
      <c r="C37" s="334" t="s">
        <v>93</v>
      </c>
      <c r="D37" s="335"/>
      <c r="E37" s="329">
        <v>1</v>
      </c>
      <c r="F37" s="330" t="s">
        <v>94</v>
      </c>
      <c r="G37" s="336">
        <v>37411.51</v>
      </c>
      <c r="H37" s="331">
        <v>37411.51</v>
      </c>
      <c r="I37" s="332" t="s">
        <v>95</v>
      </c>
      <c r="J37" s="337"/>
    </row>
    <row r="38" spans="1:10" s="318" customFormat="1" ht="25.5" customHeight="1">
      <c r="A38" s="325">
        <v>30</v>
      </c>
      <c r="B38" s="326" t="s">
        <v>125</v>
      </c>
      <c r="C38" s="334" t="s">
        <v>126</v>
      </c>
      <c r="D38" s="335"/>
      <c r="E38" s="329">
        <v>1</v>
      </c>
      <c r="F38" s="330" t="s">
        <v>94</v>
      </c>
      <c r="G38" s="336">
        <v>15044.84</v>
      </c>
      <c r="H38" s="331">
        <v>15044.84</v>
      </c>
      <c r="I38" s="332" t="s">
        <v>95</v>
      </c>
      <c r="J38" s="337"/>
    </row>
    <row r="39" spans="1:10" s="318" customFormat="1" ht="25.5" customHeight="1">
      <c r="A39" s="325">
        <v>31</v>
      </c>
      <c r="B39" s="326" t="s">
        <v>127</v>
      </c>
      <c r="C39" s="327" t="s">
        <v>128</v>
      </c>
      <c r="D39" s="328"/>
      <c r="E39" s="329">
        <v>1</v>
      </c>
      <c r="F39" s="330" t="s">
        <v>94</v>
      </c>
      <c r="G39" s="331">
        <v>14041.88</v>
      </c>
      <c r="H39" s="331">
        <v>14041.88</v>
      </c>
      <c r="I39" s="332" t="s">
        <v>95</v>
      </c>
      <c r="J39" s="333"/>
    </row>
    <row r="40" spans="1:10" s="318" customFormat="1" ht="25.5" customHeight="1">
      <c r="A40" s="325">
        <v>32</v>
      </c>
      <c r="B40" s="326" t="s">
        <v>129</v>
      </c>
      <c r="C40" s="334" t="s">
        <v>130</v>
      </c>
      <c r="D40" s="335"/>
      <c r="E40" s="329">
        <v>1</v>
      </c>
      <c r="F40" s="330" t="s">
        <v>94</v>
      </c>
      <c r="G40" s="336">
        <v>12035.87</v>
      </c>
      <c r="H40" s="331">
        <v>12035.87</v>
      </c>
      <c r="I40" s="332" t="s">
        <v>95</v>
      </c>
      <c r="J40" s="337"/>
    </row>
    <row r="41" spans="1:10" s="318" customFormat="1" ht="25.5" customHeight="1">
      <c r="A41" s="325">
        <v>33</v>
      </c>
      <c r="B41" s="326" t="s">
        <v>131</v>
      </c>
      <c r="C41" s="334" t="s">
        <v>132</v>
      </c>
      <c r="D41" s="335"/>
      <c r="E41" s="329">
        <v>1</v>
      </c>
      <c r="F41" s="330" t="s">
        <v>94</v>
      </c>
      <c r="G41" s="336">
        <v>12035.87</v>
      </c>
      <c r="H41" s="331">
        <v>12035.87</v>
      </c>
      <c r="I41" s="332" t="s">
        <v>95</v>
      </c>
      <c r="J41" s="337"/>
    </row>
    <row r="42" spans="1:10" s="318" customFormat="1" ht="25.5" customHeight="1">
      <c r="A42" s="325">
        <v>34</v>
      </c>
      <c r="B42" s="326" t="s">
        <v>133</v>
      </c>
      <c r="C42" s="334" t="s">
        <v>132</v>
      </c>
      <c r="D42" s="335"/>
      <c r="E42" s="329">
        <v>1</v>
      </c>
      <c r="F42" s="330" t="s">
        <v>94</v>
      </c>
      <c r="G42" s="336">
        <v>12035.87</v>
      </c>
      <c r="H42" s="331">
        <v>12035.87</v>
      </c>
      <c r="I42" s="332" t="s">
        <v>95</v>
      </c>
      <c r="J42" s="337"/>
    </row>
    <row r="43" spans="1:10" s="318" customFormat="1" ht="25.5" customHeight="1">
      <c r="A43" s="325">
        <v>35</v>
      </c>
      <c r="B43" s="326" t="s">
        <v>134</v>
      </c>
      <c r="C43" s="334" t="s">
        <v>132</v>
      </c>
      <c r="D43" s="335"/>
      <c r="E43" s="329">
        <v>1</v>
      </c>
      <c r="F43" s="330" t="s">
        <v>94</v>
      </c>
      <c r="G43" s="336">
        <v>12035.87</v>
      </c>
      <c r="H43" s="331">
        <v>12035.87</v>
      </c>
      <c r="I43" s="332" t="s">
        <v>95</v>
      </c>
      <c r="J43" s="337"/>
    </row>
    <row r="44" spans="1:10" s="318" customFormat="1" ht="25.5" customHeight="1">
      <c r="A44" s="325">
        <v>36</v>
      </c>
      <c r="B44" s="326" t="s">
        <v>135</v>
      </c>
      <c r="C44" s="334" t="s">
        <v>136</v>
      </c>
      <c r="D44" s="335"/>
      <c r="E44" s="329">
        <v>1</v>
      </c>
      <c r="F44" s="330" t="s">
        <v>94</v>
      </c>
      <c r="G44" s="336">
        <v>12035.87</v>
      </c>
      <c r="H44" s="331">
        <v>12035.87</v>
      </c>
      <c r="I44" s="332" t="s">
        <v>95</v>
      </c>
      <c r="J44" s="337"/>
    </row>
    <row r="45" spans="1:10" s="318" customFormat="1" ht="30" customHeight="1" thickBot="1">
      <c r="A45" s="338"/>
      <c r="B45" s="339"/>
      <c r="C45" s="406" t="s">
        <v>137</v>
      </c>
      <c r="D45" s="406"/>
      <c r="E45" s="406"/>
      <c r="F45" s="406"/>
      <c r="G45" s="340"/>
      <c r="H45" s="341">
        <f>SUM(H9:H44)</f>
        <v>1756846.5400000003</v>
      </c>
      <c r="I45" s="342"/>
      <c r="J45" s="343"/>
    </row>
    <row r="46" spans="1:10" s="18" customFormat="1">
      <c r="A46" s="14"/>
      <c r="B46" s="47"/>
      <c r="C46" s="47"/>
      <c r="D46" s="47"/>
      <c r="E46" s="319"/>
      <c r="F46" s="47"/>
      <c r="G46" s="47"/>
      <c r="H46" s="47"/>
      <c r="I46" s="320"/>
    </row>
    <row r="47" spans="1:10" s="18" customFormat="1">
      <c r="A47" s="14"/>
      <c r="B47" s="47"/>
      <c r="C47" s="47"/>
      <c r="D47" s="47"/>
      <c r="E47" s="319"/>
      <c r="F47" s="47"/>
      <c r="G47" s="47"/>
      <c r="H47" s="47"/>
      <c r="I47" s="320"/>
    </row>
  </sheetData>
  <protectedRanges>
    <protectedRange sqref="C9:H44" name="범위1_12"/>
  </protectedRanges>
  <autoFilter ref="B8:J45" xr:uid="{00000000-0009-0000-0000-000001000000}"/>
  <mergeCells count="2">
    <mergeCell ref="A6:J6"/>
    <mergeCell ref="C45:F45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kichul.jang@doosan.com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982-D43C-442B-A342-A7C4C2986A43}">
  <sheetPr>
    <tabColor rgb="FF00B0F0"/>
  </sheetPr>
  <dimension ref="A1:AV61"/>
  <sheetViews>
    <sheetView showGridLines="0" view="pageBreakPreview" zoomScale="90" zoomScaleNormal="100" zoomScaleSheetLayoutView="9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2.3984375" style="5" customWidth="1"/>
    <col min="19" max="20" width="4.898437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5.19921875" style="5" customWidth="1"/>
    <col min="30" max="31" width="3" style="9" customWidth="1"/>
    <col min="32" max="32" width="12.59765625" style="9" customWidth="1"/>
    <col min="33" max="16384" width="3" style="9"/>
  </cols>
  <sheetData>
    <row r="1" spans="1:29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 t="s">
        <v>0</v>
      </c>
      <c r="X1" s="153"/>
      <c r="Y1" s="153"/>
      <c r="Z1" s="153"/>
      <c r="AA1" s="153"/>
      <c r="AB1" s="153"/>
      <c r="AC1" s="154"/>
    </row>
    <row r="2" spans="1:29">
      <c r="A2" s="155"/>
      <c r="W2" s="5" t="s">
        <v>1</v>
      </c>
      <c r="AC2" s="156"/>
    </row>
    <row r="3" spans="1:29">
      <c r="A3" s="155"/>
      <c r="W3" s="5" t="s">
        <v>2</v>
      </c>
      <c r="AC3" s="156"/>
    </row>
    <row r="4" spans="1:29">
      <c r="A4" s="155"/>
      <c r="W4" s="5" t="s">
        <v>3</v>
      </c>
      <c r="AC4" s="156"/>
    </row>
    <row r="5" spans="1:29">
      <c r="A5" s="155"/>
      <c r="W5" s="5" t="s">
        <v>4</v>
      </c>
      <c r="AC5" s="156"/>
    </row>
    <row r="6" spans="1:29" ht="40.35" customHeight="1">
      <c r="A6" s="363" t="s">
        <v>138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5"/>
    </row>
    <row r="7" spans="1:29" ht="14.4" thickBo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9"/>
    </row>
    <row r="8" spans="1:29" s="21" customFormat="1" ht="15" customHeight="1">
      <c r="A8" s="160" t="s">
        <v>6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  <c r="R8" s="163" t="s">
        <v>139</v>
      </c>
      <c r="S8" s="161"/>
      <c r="T8" s="161"/>
      <c r="U8" s="163"/>
      <c r="V8" s="366" t="str">
        <f>CI!V8</f>
        <v>PGU-DE-0220</v>
      </c>
      <c r="W8" s="366"/>
      <c r="X8" s="366"/>
      <c r="Y8" s="366"/>
      <c r="Z8" s="366"/>
      <c r="AA8" s="161"/>
      <c r="AB8" s="161"/>
      <c r="AC8" s="184"/>
    </row>
    <row r="9" spans="1:29" s="21" customFormat="1" ht="15" customHeight="1">
      <c r="A9" s="164"/>
      <c r="B9" s="271" t="s">
        <v>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74"/>
      <c r="R9" s="173" t="s">
        <v>10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85"/>
    </row>
    <row r="10" spans="1:29" s="21" customFormat="1" ht="15" customHeight="1">
      <c r="A10" s="164"/>
      <c r="B10" s="18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41"/>
      <c r="R10" s="271" t="s">
        <v>12</v>
      </c>
      <c r="S10" s="18"/>
      <c r="T10" s="18"/>
      <c r="U10" s="18"/>
      <c r="V10" s="367">
        <f>CI!V10</f>
        <v>45693</v>
      </c>
      <c r="W10" s="367"/>
      <c r="X10" s="367"/>
      <c r="Y10" s="367"/>
      <c r="Z10" s="367"/>
      <c r="AA10" s="18"/>
      <c r="AB10" s="18"/>
      <c r="AC10" s="165"/>
    </row>
    <row r="11" spans="1:29" s="21" customFormat="1" ht="15" customHeight="1">
      <c r="A11" s="142"/>
      <c r="B11" s="144" t="s">
        <v>13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73" t="s">
        <v>14</v>
      </c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85"/>
    </row>
    <row r="12" spans="1:29" s="21" customFormat="1" ht="14.4">
      <c r="A12" s="166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41"/>
      <c r="R12" s="271" t="s">
        <v>16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65"/>
    </row>
    <row r="13" spans="1:29" s="138" customFormat="1" ht="16.350000000000001" customHeight="1">
      <c r="A13" s="137"/>
      <c r="B13" s="271" t="s">
        <v>17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140"/>
      <c r="R13" s="272"/>
      <c r="AC13" s="148"/>
    </row>
    <row r="14" spans="1:29" s="138" customFormat="1" ht="15" customHeight="1">
      <c r="A14" s="139"/>
      <c r="B14" s="18" t="s">
        <v>18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140"/>
      <c r="R14" s="273"/>
      <c r="S14" s="147" t="s">
        <v>19</v>
      </c>
      <c r="T14" s="18"/>
      <c r="U14" s="18"/>
      <c r="V14" s="18"/>
      <c r="W14" s="18"/>
      <c r="X14" s="18"/>
      <c r="Y14" s="18"/>
      <c r="Z14" s="18"/>
      <c r="AA14" s="18"/>
      <c r="AB14" s="18"/>
      <c r="AC14" s="165"/>
    </row>
    <row r="15" spans="1:29" s="138" customFormat="1" ht="15" customHeight="1">
      <c r="A15" s="137"/>
      <c r="B15" s="18" t="s">
        <v>20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140"/>
      <c r="R15" s="272"/>
      <c r="S15" s="301" t="s">
        <v>140</v>
      </c>
      <c r="T15" s="299"/>
      <c r="U15" s="299"/>
      <c r="V15" s="299"/>
      <c r="W15" s="299"/>
      <c r="X15" s="299"/>
      <c r="Y15" s="299"/>
      <c r="Z15" s="299"/>
      <c r="AA15" s="299"/>
      <c r="AB15" s="299"/>
      <c r="AC15" s="300"/>
    </row>
    <row r="16" spans="1:29" s="21" customFormat="1" ht="15" customHeight="1">
      <c r="A16" s="16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41"/>
      <c r="R16" s="271"/>
      <c r="S16" s="301" t="s">
        <v>22</v>
      </c>
      <c r="T16" s="299"/>
      <c r="U16" s="299"/>
      <c r="V16" s="299"/>
      <c r="W16" s="299"/>
      <c r="X16" s="299"/>
      <c r="Y16" s="299"/>
      <c r="Z16" s="299"/>
      <c r="AA16" s="299"/>
      <c r="AB16" s="299"/>
      <c r="AC16" s="300"/>
    </row>
    <row r="17" spans="1:48" s="18" customFormat="1" ht="15" customHeight="1">
      <c r="A17" s="164"/>
      <c r="B17" s="289"/>
      <c r="Q17" s="141"/>
      <c r="R17" s="271"/>
      <c r="S17" s="147" t="s">
        <v>23</v>
      </c>
      <c r="AC17" s="165"/>
    </row>
    <row r="18" spans="1:48" s="21" customFormat="1" ht="14.4">
      <c r="A18" s="142"/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271"/>
      <c r="S18" s="344" t="str">
        <f>CI!S18</f>
        <v>Siemens-energy</v>
      </c>
      <c r="T18" s="344"/>
      <c r="U18" s="344"/>
      <c r="V18" s="344"/>
      <c r="W18" s="344"/>
      <c r="X18" s="344"/>
      <c r="Y18" s="344"/>
      <c r="Z18" s="344"/>
      <c r="AA18" s="344"/>
      <c r="AB18" s="344"/>
      <c r="AC18" s="345"/>
    </row>
    <row r="19" spans="1:48" s="21" customFormat="1" ht="14.4">
      <c r="A19" s="166" t="s">
        <v>25</v>
      </c>
      <c r="B19" s="1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41"/>
      <c r="R19" s="271"/>
      <c r="S19" s="147" t="s">
        <v>26</v>
      </c>
      <c r="T19" s="18"/>
      <c r="U19" s="18"/>
      <c r="V19" s="18"/>
      <c r="W19" s="64"/>
      <c r="X19" s="64"/>
      <c r="Y19" s="64"/>
      <c r="Z19" s="271"/>
      <c r="AA19" s="271"/>
      <c r="AB19" s="271"/>
      <c r="AC19" s="165"/>
    </row>
    <row r="20" spans="1:48" s="21" customFormat="1" ht="14.4">
      <c r="A20" s="164"/>
      <c r="B20" s="275" t="str">
        <f>CI!B20</f>
        <v>Wise Logistics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41"/>
      <c r="R20" s="271"/>
      <c r="S20" s="344">
        <f>CI!S20</f>
        <v>2024</v>
      </c>
      <c r="T20" s="344"/>
      <c r="U20" s="344"/>
      <c r="V20" s="344"/>
      <c r="W20" s="344"/>
      <c r="X20" s="344"/>
      <c r="Y20" s="344"/>
      <c r="Z20" s="344"/>
      <c r="AA20" s="344"/>
      <c r="AB20" s="344"/>
      <c r="AC20" s="345"/>
    </row>
    <row r="21" spans="1:48" s="21" customFormat="1" ht="14.4">
      <c r="A21" s="164"/>
      <c r="B21" s="274" t="str">
        <f>CI!B21</f>
        <v xml:space="preserve">ATTAN: MS. Aliya 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41"/>
      <c r="R21" s="18"/>
      <c r="S21" s="147" t="s">
        <v>29</v>
      </c>
      <c r="T21" s="147"/>
      <c r="U21" s="147"/>
      <c r="V21" s="147"/>
      <c r="W21" s="104"/>
      <c r="X21" s="104"/>
      <c r="Y21" s="104"/>
      <c r="Z21" s="271"/>
      <c r="AA21" s="18"/>
      <c r="AB21" s="18"/>
      <c r="AC21" s="165"/>
      <c r="AV21" s="1"/>
    </row>
    <row r="22" spans="1:48" s="21" customFormat="1" ht="14.4">
      <c r="A22" s="191"/>
      <c r="B22" s="274" t="str">
        <f>CI!B22</f>
        <v>(E): a.kipshakbayeva@wiselogistics.kz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41"/>
      <c r="R22" s="167"/>
      <c r="S22" s="344" t="str">
        <f>CI!S22</f>
        <v>KOREA</v>
      </c>
      <c r="T22" s="344"/>
      <c r="U22" s="344"/>
      <c r="V22" s="344"/>
      <c r="W22" s="344"/>
      <c r="X22" s="344"/>
      <c r="Y22" s="344"/>
      <c r="Z22" s="344"/>
      <c r="AA22" s="344"/>
      <c r="AB22" s="344"/>
      <c r="AC22" s="345"/>
    </row>
    <row r="23" spans="1:48" s="21" customFormat="1" ht="14.4">
      <c r="A23" s="164"/>
      <c r="B23" s="274" t="str">
        <f>CI!B23</f>
        <v>(T): +7 701 512 19 69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41"/>
      <c r="R23" s="168"/>
      <c r="S23" s="147" t="s">
        <v>33</v>
      </c>
      <c r="T23" s="276"/>
      <c r="U23" s="18"/>
      <c r="V23" s="18"/>
      <c r="AA23" s="18"/>
      <c r="AB23" s="18"/>
      <c r="AC23" s="165"/>
    </row>
    <row r="24" spans="1:48" s="21" customFormat="1" ht="14.4">
      <c r="A24" s="16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41"/>
      <c r="R24" s="277"/>
      <c r="S24" s="344" t="str">
        <f>CI!S24</f>
        <v>DDP Turkistan</v>
      </c>
      <c r="T24" s="344"/>
      <c r="U24" s="344"/>
      <c r="V24" s="344"/>
      <c r="W24" s="344"/>
      <c r="X24" s="344"/>
      <c r="Y24" s="344"/>
      <c r="Z24" s="344"/>
      <c r="AA24" s="344"/>
      <c r="AB24" s="344"/>
      <c r="AC24" s="345"/>
    </row>
    <row r="25" spans="1:48" s="21" customFormat="1" ht="14.4">
      <c r="A25" s="16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41"/>
      <c r="R25" s="18"/>
      <c r="S25" s="147" t="s">
        <v>35</v>
      </c>
      <c r="T25" s="269"/>
      <c r="U25" s="269"/>
      <c r="V25" s="269"/>
      <c r="W25" s="269"/>
      <c r="X25" s="269"/>
      <c r="Y25" s="269"/>
      <c r="Z25" s="269"/>
      <c r="AA25" s="269"/>
      <c r="AB25" s="269"/>
      <c r="AC25" s="290"/>
    </row>
    <row r="26" spans="1:48" s="21" customFormat="1" ht="14.85" customHeight="1">
      <c r="A26" s="164"/>
      <c r="B26" s="27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41"/>
      <c r="R26" s="286"/>
      <c r="S26" s="353" t="s">
        <v>38</v>
      </c>
      <c r="T26" s="353"/>
      <c r="U26" s="353"/>
      <c r="V26" s="353"/>
      <c r="W26" s="353"/>
      <c r="X26" s="353"/>
      <c r="Y26" s="353"/>
      <c r="Z26" s="353"/>
      <c r="AA26" s="353"/>
      <c r="AB26" s="353"/>
      <c r="AC26" s="354"/>
    </row>
    <row r="27" spans="1:48" s="21" customFormat="1" ht="15" customHeight="1">
      <c r="A27" s="169" t="s">
        <v>36</v>
      </c>
      <c r="B27" s="170"/>
      <c r="C27" s="170"/>
      <c r="D27" s="170"/>
      <c r="E27" s="170"/>
      <c r="F27" s="170"/>
      <c r="G27" s="170"/>
      <c r="H27" s="171"/>
      <c r="I27" s="356" t="s">
        <v>37</v>
      </c>
      <c r="J27" s="357"/>
      <c r="K27" s="357"/>
      <c r="L27" s="357"/>
      <c r="M27" s="357"/>
      <c r="N27" s="357"/>
      <c r="O27" s="357"/>
      <c r="P27" s="357"/>
      <c r="Q27" s="358"/>
      <c r="R27" s="188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189"/>
    </row>
    <row r="28" spans="1:48" s="21" customFormat="1" ht="14.4">
      <c r="A28" s="164"/>
      <c r="B28" s="18" t="s">
        <v>39</v>
      </c>
      <c r="C28" s="18"/>
      <c r="D28" s="18"/>
      <c r="E28" s="18"/>
      <c r="F28" s="18"/>
      <c r="G28" s="18"/>
      <c r="H28" s="141"/>
      <c r="I28" s="18"/>
      <c r="J28" s="18" t="s">
        <v>40</v>
      </c>
      <c r="K28" s="18"/>
      <c r="L28" s="18"/>
      <c r="M28" s="18"/>
      <c r="N28" s="18"/>
      <c r="O28" s="18"/>
      <c r="P28" s="18"/>
      <c r="Q28" s="141"/>
      <c r="R28" s="18"/>
      <c r="AA28" s="18"/>
      <c r="AB28" s="18"/>
      <c r="AC28" s="165"/>
    </row>
    <row r="29" spans="1:48" s="21" customFormat="1" ht="14.4">
      <c r="A29" s="142"/>
      <c r="B29" s="172"/>
      <c r="C29" s="144"/>
      <c r="D29" s="144"/>
      <c r="E29" s="144"/>
      <c r="F29" s="144"/>
      <c r="G29" s="144"/>
      <c r="H29" s="145"/>
      <c r="I29" s="144"/>
      <c r="J29" s="172"/>
      <c r="K29" s="144"/>
      <c r="L29" s="144"/>
      <c r="M29" s="144"/>
      <c r="N29" s="144"/>
      <c r="O29" s="144"/>
      <c r="P29" s="144"/>
      <c r="Q29" s="145"/>
      <c r="R29" s="18"/>
      <c r="S29" s="147"/>
      <c r="U29" s="18"/>
      <c r="V29" s="18"/>
      <c r="X29" s="18"/>
      <c r="Y29" s="18"/>
      <c r="AA29" s="18"/>
      <c r="AB29" s="18"/>
      <c r="AC29" s="165"/>
    </row>
    <row r="30" spans="1:48" s="21" customFormat="1" ht="14.4">
      <c r="A30" s="166" t="s">
        <v>41</v>
      </c>
      <c r="B30" s="18"/>
      <c r="C30" s="18"/>
      <c r="D30" s="18"/>
      <c r="E30" s="18"/>
      <c r="F30" s="18"/>
      <c r="G30" s="18"/>
      <c r="H30" s="141"/>
      <c r="I30" s="356" t="s">
        <v>42</v>
      </c>
      <c r="J30" s="357"/>
      <c r="K30" s="357"/>
      <c r="L30" s="357"/>
      <c r="M30" s="357"/>
      <c r="N30" s="357"/>
      <c r="O30" s="357"/>
      <c r="P30" s="357"/>
      <c r="Q30" s="358"/>
      <c r="R30" s="186" t="s">
        <v>43</v>
      </c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5"/>
    </row>
    <row r="31" spans="1:48" s="21" customFormat="1" ht="14.4">
      <c r="A31" s="166"/>
      <c r="B31" s="18"/>
      <c r="C31" s="18"/>
      <c r="D31" s="18"/>
      <c r="E31" s="18"/>
      <c r="F31" s="18"/>
      <c r="G31" s="18"/>
      <c r="H31" s="141"/>
      <c r="I31" s="361"/>
      <c r="J31" s="359"/>
      <c r="K31" s="359"/>
      <c r="L31" s="359"/>
      <c r="M31" s="359"/>
      <c r="N31" s="359"/>
      <c r="O31" s="359"/>
      <c r="P31" s="359"/>
      <c r="Q31" s="360"/>
      <c r="R31" s="18"/>
      <c r="AA31" s="18"/>
      <c r="AB31" s="18"/>
      <c r="AC31" s="165"/>
    </row>
    <row r="32" spans="1:48" s="18" customFormat="1" ht="17.850000000000001" customHeight="1">
      <c r="A32" s="164"/>
      <c r="B32" s="18" t="s">
        <v>141</v>
      </c>
      <c r="H32" s="141"/>
      <c r="I32" s="346" t="s">
        <v>142</v>
      </c>
      <c r="J32" s="347"/>
      <c r="K32" s="347"/>
      <c r="L32" s="347"/>
      <c r="M32" s="347"/>
      <c r="N32" s="347"/>
      <c r="O32" s="347"/>
      <c r="P32" s="347"/>
      <c r="Q32" s="348"/>
      <c r="S32" s="147" t="s">
        <v>46</v>
      </c>
      <c r="X32" s="18" t="s">
        <v>47</v>
      </c>
      <c r="Y32" s="18" t="s">
        <v>48</v>
      </c>
      <c r="AC32" s="165"/>
    </row>
    <row r="33" spans="1:39" s="18" customFormat="1" ht="14.4">
      <c r="A33" s="142"/>
      <c r="B33" s="144"/>
      <c r="C33" s="144"/>
      <c r="D33" s="144"/>
      <c r="E33" s="144"/>
      <c r="F33" s="144"/>
      <c r="G33" s="144"/>
      <c r="H33" s="145"/>
      <c r="I33" s="349"/>
      <c r="J33" s="350"/>
      <c r="K33" s="350"/>
      <c r="L33" s="350"/>
      <c r="M33" s="350"/>
      <c r="N33" s="350"/>
      <c r="O33" s="350"/>
      <c r="P33" s="350"/>
      <c r="Q33" s="351"/>
      <c r="S33" s="147" t="s">
        <v>49</v>
      </c>
      <c r="X33" s="18" t="s">
        <v>47</v>
      </c>
      <c r="Y33" s="362">
        <f>COUNT('Summary PL'!A14:A49)</f>
        <v>36</v>
      </c>
      <c r="Z33" s="362"/>
      <c r="AA33" s="362"/>
      <c r="AB33" s="362"/>
      <c r="AC33" s="165" t="s">
        <v>50</v>
      </c>
    </row>
    <row r="34" spans="1:39" s="18" customFormat="1" ht="16.5" customHeight="1">
      <c r="A34" s="166" t="s">
        <v>143</v>
      </c>
      <c r="H34" s="141"/>
      <c r="I34" s="356" t="s">
        <v>52</v>
      </c>
      <c r="J34" s="357"/>
      <c r="K34" s="357"/>
      <c r="L34" s="357"/>
      <c r="M34" s="357"/>
      <c r="N34" s="357"/>
      <c r="O34" s="357"/>
      <c r="P34" s="357"/>
      <c r="Q34" s="358"/>
      <c r="S34" s="147" t="s">
        <v>53</v>
      </c>
      <c r="X34" s="18" t="s">
        <v>47</v>
      </c>
      <c r="Y34" s="352">
        <f>'Summary PL'!L50</f>
        <v>17516.099999999999</v>
      </c>
      <c r="Z34" s="352"/>
      <c r="AA34" s="352"/>
      <c r="AB34" s="352"/>
      <c r="AC34" s="165" t="s">
        <v>54</v>
      </c>
    </row>
    <row r="35" spans="1:39" s="18" customFormat="1" ht="14.4">
      <c r="A35" s="166"/>
      <c r="H35" s="141"/>
      <c r="I35" s="361"/>
      <c r="J35" s="359"/>
      <c r="K35" s="359"/>
      <c r="L35" s="359"/>
      <c r="M35" s="359"/>
      <c r="N35" s="359"/>
      <c r="O35" s="359"/>
      <c r="P35" s="359"/>
      <c r="Q35" s="360"/>
      <c r="S35" s="147" t="s">
        <v>55</v>
      </c>
      <c r="X35" s="18" t="s">
        <v>47</v>
      </c>
      <c r="Y35" s="352">
        <f>'Summary PL'!M50</f>
        <v>21866.1</v>
      </c>
      <c r="Z35" s="352"/>
      <c r="AA35" s="352"/>
      <c r="AB35" s="352"/>
      <c r="AC35" s="165" t="s">
        <v>54</v>
      </c>
    </row>
    <row r="36" spans="1:39" s="18" customFormat="1" ht="14.85" customHeight="1">
      <c r="A36" s="164"/>
      <c r="B36" s="18" t="s">
        <v>144</v>
      </c>
      <c r="H36" s="141"/>
      <c r="J36" s="355">
        <f>CI!J35</f>
        <v>45946</v>
      </c>
      <c r="K36" s="355"/>
      <c r="L36" s="355"/>
      <c r="M36" s="355"/>
      <c r="N36" s="355"/>
      <c r="O36" s="355"/>
      <c r="P36" s="355"/>
      <c r="Q36" s="141"/>
      <c r="S36" s="147" t="s">
        <v>57</v>
      </c>
      <c r="X36" s="18" t="s">
        <v>47</v>
      </c>
      <c r="Y36" s="352">
        <f>'Summary PL'!K50</f>
        <v>140.23799999999989</v>
      </c>
      <c r="Z36" s="352"/>
      <c r="AA36" s="352"/>
      <c r="AB36" s="352"/>
      <c r="AC36" s="165" t="s">
        <v>58</v>
      </c>
    </row>
    <row r="37" spans="1:39" s="18" customFormat="1" ht="14.4">
      <c r="A37" s="142"/>
      <c r="B37" s="144"/>
      <c r="C37" s="144"/>
      <c r="D37" s="144"/>
      <c r="E37" s="144"/>
      <c r="F37" s="144"/>
      <c r="G37" s="144"/>
      <c r="H37" s="145"/>
      <c r="I37" s="144"/>
      <c r="J37" s="144"/>
      <c r="K37" s="144"/>
      <c r="L37" s="144"/>
      <c r="M37" s="144"/>
      <c r="N37" s="144"/>
      <c r="O37" s="144"/>
      <c r="P37" s="144"/>
      <c r="Q37" s="145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8"/>
    </row>
    <row r="38" spans="1:39" s="21" customFormat="1" ht="14.4">
      <c r="A38" s="169" t="s">
        <v>59</v>
      </c>
      <c r="B38" s="170"/>
      <c r="C38" s="170"/>
      <c r="D38" s="170"/>
      <c r="E38" s="170"/>
      <c r="F38" s="170"/>
      <c r="G38" s="170"/>
      <c r="H38" s="170"/>
      <c r="I38" s="186"/>
      <c r="J38" s="170"/>
      <c r="K38" s="170"/>
      <c r="L38" s="170"/>
      <c r="M38" s="170"/>
      <c r="N38" s="170"/>
      <c r="O38" s="170"/>
      <c r="P38" s="170"/>
      <c r="Q38" s="171"/>
      <c r="R38" s="18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8"/>
    </row>
    <row r="39" spans="1:39" s="21" customFormat="1" ht="14.4">
      <c r="A39" s="164"/>
      <c r="B39" s="18"/>
      <c r="C39" s="18"/>
      <c r="D39" s="18"/>
      <c r="E39" s="18"/>
      <c r="F39" s="18"/>
      <c r="G39" s="18"/>
      <c r="H39" s="18"/>
      <c r="I39" s="18"/>
      <c r="J39" s="279"/>
      <c r="K39" s="279"/>
      <c r="L39" s="279"/>
      <c r="M39" s="279"/>
      <c r="N39" s="279"/>
      <c r="O39" s="279"/>
      <c r="P39" s="279"/>
      <c r="Q39" s="141"/>
      <c r="R39" s="18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8"/>
    </row>
    <row r="40" spans="1:39" s="21" customFormat="1" ht="14.4">
      <c r="A40" s="142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5"/>
      <c r="R40" s="18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92"/>
    </row>
    <row r="41" spans="1:39" s="21" customFormat="1" ht="16.5" customHeight="1">
      <c r="A41" s="395" t="s">
        <v>60</v>
      </c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7"/>
      <c r="R41" s="401" t="s">
        <v>145</v>
      </c>
      <c r="S41" s="402"/>
      <c r="T41" s="404"/>
      <c r="U41" s="401" t="s">
        <v>146</v>
      </c>
      <c r="V41" s="402"/>
      <c r="W41" s="402"/>
      <c r="X41" s="404"/>
      <c r="Y41" s="401" t="s">
        <v>147</v>
      </c>
      <c r="Z41" s="402"/>
      <c r="AA41" s="402"/>
      <c r="AB41" s="404"/>
      <c r="AC41" s="283" t="s">
        <v>148</v>
      </c>
    </row>
    <row r="42" spans="1:39" s="21" customFormat="1" ht="16.5" customHeight="1">
      <c r="A42" s="398"/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400"/>
      <c r="R42" s="377" t="s">
        <v>149</v>
      </c>
      <c r="S42" s="378"/>
      <c r="T42" s="379"/>
      <c r="U42" s="377" t="s">
        <v>150</v>
      </c>
      <c r="V42" s="378"/>
      <c r="W42" s="378"/>
      <c r="X42" s="379"/>
      <c r="Y42" s="377" t="s">
        <v>150</v>
      </c>
      <c r="Z42" s="378"/>
      <c r="AA42" s="378"/>
      <c r="AB42" s="379"/>
      <c r="AC42" s="282" t="s">
        <v>151</v>
      </c>
      <c r="AF42" s="411"/>
      <c r="AG42" s="411"/>
      <c r="AH42" s="411"/>
      <c r="AI42" s="411"/>
      <c r="AJ42" s="411"/>
      <c r="AK42" s="411"/>
      <c r="AL42" s="411"/>
      <c r="AM42" s="411"/>
    </row>
    <row r="43" spans="1:39" s="63" customFormat="1" ht="15" customHeight="1">
      <c r="A43" s="190"/>
      <c r="B43" s="18" t="s">
        <v>152</v>
      </c>
      <c r="C43" s="18"/>
      <c r="D43" s="18"/>
      <c r="E43" s="18"/>
      <c r="F43" s="18"/>
      <c r="G43" s="18"/>
      <c r="H43" s="18"/>
      <c r="I43" s="170"/>
      <c r="J43" s="170"/>
      <c r="K43" s="170"/>
      <c r="L43" s="170"/>
      <c r="M43" s="170"/>
      <c r="N43" s="170"/>
      <c r="O43" s="170"/>
      <c r="P43" s="170"/>
      <c r="Q43" s="141"/>
      <c r="R43" s="412">
        <v>1</v>
      </c>
      <c r="S43" s="413"/>
      <c r="T43" s="414"/>
      <c r="U43" s="418">
        <f>'Summary PL'!L50</f>
        <v>17516.099999999999</v>
      </c>
      <c r="V43" s="419"/>
      <c r="W43" s="419"/>
      <c r="X43" s="420"/>
      <c r="Y43" s="418">
        <f>'Summary PL'!M50</f>
        <v>21866.1</v>
      </c>
      <c r="Z43" s="419"/>
      <c r="AA43" s="419"/>
      <c r="AB43" s="420"/>
      <c r="AC43" s="302">
        <f>'Summary PL'!K50</f>
        <v>140.23799999999989</v>
      </c>
      <c r="AE43" s="62"/>
    </row>
    <row r="44" spans="1:39" s="21" customFormat="1" ht="15" customHeight="1">
      <c r="A44" s="190"/>
      <c r="B44" s="62" t="str">
        <f>CI!B43</f>
        <v>Распределенная система управления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41"/>
      <c r="R44" s="415"/>
      <c r="S44" s="416"/>
      <c r="T44" s="417"/>
      <c r="U44" s="408"/>
      <c r="V44" s="409"/>
      <c r="W44" s="409"/>
      <c r="X44" s="410"/>
      <c r="Y44" s="408"/>
      <c r="Z44" s="409"/>
      <c r="AA44" s="409"/>
      <c r="AB44" s="410"/>
      <c r="AC44" s="302"/>
      <c r="AE44" s="18"/>
    </row>
    <row r="45" spans="1:39" s="21" customFormat="1" ht="13.5" customHeight="1">
      <c r="A45" s="164"/>
      <c r="B45" s="271"/>
      <c r="C45" s="271"/>
      <c r="D45" s="271"/>
      <c r="E45" s="271"/>
      <c r="F45" s="271"/>
      <c r="G45" s="271"/>
      <c r="H45" s="271"/>
      <c r="I45" s="18"/>
      <c r="J45" s="271"/>
      <c r="K45" s="271"/>
      <c r="L45" s="271"/>
      <c r="M45" s="271"/>
      <c r="N45" s="271"/>
      <c r="O45" s="271"/>
      <c r="P45" s="271"/>
      <c r="Q45" s="174"/>
      <c r="R45" s="415"/>
      <c r="S45" s="416"/>
      <c r="T45" s="417"/>
      <c r="U45" s="408"/>
      <c r="V45" s="409"/>
      <c r="W45" s="409"/>
      <c r="X45" s="410"/>
      <c r="Y45" s="408"/>
      <c r="Z45" s="409"/>
      <c r="AA45" s="409"/>
      <c r="AB45" s="410"/>
      <c r="AC45" s="302"/>
    </row>
    <row r="46" spans="1:39" s="21" customFormat="1" ht="15" customHeight="1" thickBot="1">
      <c r="A46" s="166"/>
      <c r="B46" s="271"/>
      <c r="C46" s="271"/>
      <c r="D46" s="271"/>
      <c r="E46" s="271"/>
      <c r="F46" s="271"/>
      <c r="G46" s="271"/>
      <c r="H46" s="271"/>
      <c r="I46" s="187"/>
      <c r="J46" s="187"/>
      <c r="K46" s="187"/>
      <c r="L46" s="187"/>
      <c r="M46" s="187"/>
      <c r="N46" s="187"/>
      <c r="O46" s="187"/>
      <c r="P46" s="187"/>
      <c r="Q46" s="182"/>
      <c r="R46" s="280"/>
      <c r="S46" s="280"/>
      <c r="T46" s="98"/>
      <c r="U46" s="271"/>
      <c r="V46" s="271"/>
      <c r="W46" s="271"/>
      <c r="X46" s="71"/>
      <c r="Y46" s="66"/>
      <c r="Z46" s="66"/>
      <c r="AA46" s="66"/>
      <c r="AB46" s="71"/>
      <c r="AC46" s="302"/>
    </row>
    <row r="47" spans="1:39" s="21" customFormat="1" ht="17.100000000000001" customHeight="1" thickBot="1">
      <c r="A47" s="175"/>
      <c r="B47" s="176"/>
      <c r="C47" s="176"/>
      <c r="D47" s="176"/>
      <c r="E47" s="176"/>
      <c r="F47" s="176"/>
      <c r="G47" s="176"/>
      <c r="H47" s="176"/>
      <c r="I47" s="374"/>
      <c r="J47" s="374"/>
      <c r="K47" s="374"/>
      <c r="L47" s="374"/>
      <c r="M47" s="374"/>
      <c r="N47" s="374"/>
      <c r="O47" s="374"/>
      <c r="P47" s="374"/>
      <c r="Q47" s="407"/>
      <c r="R47" s="427"/>
      <c r="S47" s="428"/>
      <c r="T47" s="429"/>
      <c r="U47" s="421">
        <f>'Summary PL'!L50</f>
        <v>17516.099999999999</v>
      </c>
      <c r="V47" s="422"/>
      <c r="W47" s="422"/>
      <c r="X47" s="423"/>
      <c r="Y47" s="424">
        <f>'Summary PL'!M50</f>
        <v>21866.1</v>
      </c>
      <c r="Z47" s="425"/>
      <c r="AA47" s="425"/>
      <c r="AB47" s="426"/>
      <c r="AC47" s="303">
        <f>'Summary PL'!K50</f>
        <v>140.23799999999989</v>
      </c>
    </row>
    <row r="48" spans="1:39">
      <c r="A48" s="152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4"/>
    </row>
    <row r="49" spans="1:29">
      <c r="A49" s="155"/>
      <c r="AC49" s="156"/>
    </row>
    <row r="50" spans="1:29">
      <c r="A50" s="155"/>
      <c r="AC50" s="156"/>
    </row>
    <row r="51" spans="1:29">
      <c r="A51" s="155"/>
      <c r="AC51" s="156"/>
    </row>
    <row r="52" spans="1:29">
      <c r="A52" s="155"/>
      <c r="AC52" s="156"/>
    </row>
    <row r="53" spans="1:29">
      <c r="A53" s="155"/>
      <c r="AC53" s="156"/>
    </row>
    <row r="54" spans="1:29">
      <c r="A54" s="155"/>
      <c r="AC54" s="156"/>
    </row>
    <row r="55" spans="1:29" ht="14.4">
      <c r="A55" s="164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S55" s="18" t="s">
        <v>73</v>
      </c>
      <c r="AC55" s="156"/>
    </row>
    <row r="56" spans="1:29" ht="14.4">
      <c r="A56" s="164" t="s">
        <v>74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AC56" s="156"/>
    </row>
    <row r="57" spans="1:29" ht="14.4">
      <c r="A57" s="164" t="s">
        <v>75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W57" s="177"/>
      <c r="X57" s="177"/>
      <c r="AC57" s="156"/>
    </row>
    <row r="58" spans="1:29" ht="14.4">
      <c r="A58" s="164" t="s">
        <v>153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V58" s="372" t="s">
        <v>77</v>
      </c>
      <c r="W58" s="372"/>
      <c r="X58" s="372"/>
      <c r="Y58" s="372"/>
      <c r="Z58" s="372"/>
      <c r="AA58" s="372"/>
      <c r="AB58" s="372"/>
      <c r="AC58" s="373"/>
    </row>
    <row r="59" spans="1:29" ht="14.4">
      <c r="A59" s="164" t="s">
        <v>78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S59" s="147"/>
      <c r="U59" s="281"/>
      <c r="V59" s="281"/>
      <c r="W59" s="281"/>
      <c r="X59" s="281"/>
      <c r="Y59" s="281"/>
      <c r="Z59" s="281"/>
      <c r="AA59" s="281"/>
      <c r="AB59" s="281"/>
      <c r="AC59" s="156"/>
    </row>
    <row r="60" spans="1:29" ht="12.6" thickBot="1">
      <c r="A60" s="17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9"/>
    </row>
    <row r="61" spans="1:29" ht="15" thickBot="1">
      <c r="A61" s="179" t="s">
        <v>79</v>
      </c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1"/>
    </row>
  </sheetData>
  <protectedRanges>
    <protectedRange sqref="J45" name="범위1_1"/>
  </protectedRanges>
  <mergeCells count="40">
    <mergeCell ref="AJ42:AM42"/>
    <mergeCell ref="U41:X41"/>
    <mergeCell ref="Y41:AB41"/>
    <mergeCell ref="U42:X42"/>
    <mergeCell ref="Y42:AB42"/>
    <mergeCell ref="V58:AC58"/>
    <mergeCell ref="AF42:AI42"/>
    <mergeCell ref="R43:T43"/>
    <mergeCell ref="R44:T44"/>
    <mergeCell ref="R45:T45"/>
    <mergeCell ref="U43:X43"/>
    <mergeCell ref="U47:X47"/>
    <mergeCell ref="Y47:AB47"/>
    <mergeCell ref="R47:T47"/>
    <mergeCell ref="R42:T42"/>
    <mergeCell ref="Y43:AB43"/>
    <mergeCell ref="R41:T41"/>
    <mergeCell ref="I47:Q47"/>
    <mergeCell ref="U44:X44"/>
    <mergeCell ref="U45:X45"/>
    <mergeCell ref="Y44:AB44"/>
    <mergeCell ref="Y45:AB45"/>
    <mergeCell ref="A41:Q42"/>
    <mergeCell ref="J36:P36"/>
    <mergeCell ref="Y33:AB33"/>
    <mergeCell ref="I30:Q31"/>
    <mergeCell ref="I34:Q35"/>
    <mergeCell ref="I32:Q33"/>
    <mergeCell ref="Y34:AB34"/>
    <mergeCell ref="Y35:AB35"/>
    <mergeCell ref="Y36:AB36"/>
    <mergeCell ref="A6:AC6"/>
    <mergeCell ref="V8:Z8"/>
    <mergeCell ref="V10:Z10"/>
    <mergeCell ref="I27:Q27"/>
    <mergeCell ref="S18:AC18"/>
    <mergeCell ref="S20:AC20"/>
    <mergeCell ref="S22:AC22"/>
    <mergeCell ref="S24:AC24"/>
    <mergeCell ref="S26:AC26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>
    <oddFooter xml:space="preserve">&amp;R_x000D_&amp;1#&amp;"Aptos"&amp;8&amp;K000000 중요비(Confidential): kichul.jang@doosan.com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V98"/>
  <sheetViews>
    <sheetView showGridLines="0" view="pageBreakPreview" topLeftCell="A35" zoomScale="80" zoomScaleNormal="80" zoomScaleSheetLayoutView="80" workbookViewId="0">
      <selection activeCell="C82" sqref="C82"/>
    </sheetView>
  </sheetViews>
  <sheetFormatPr defaultColWidth="10" defaultRowHeight="13.8"/>
  <cols>
    <col min="1" max="1" width="18.09765625" style="47" customWidth="1"/>
    <col min="2" max="2" width="21" style="47" customWidth="1"/>
    <col min="3" max="3" width="28.59765625" style="47" customWidth="1"/>
    <col min="4" max="4" width="36.09765625" style="47" customWidth="1"/>
    <col min="5" max="5" width="17.09765625" style="12" customWidth="1"/>
    <col min="6" max="6" width="12.59765625" style="253" customWidth="1"/>
    <col min="7" max="7" width="9.19921875" style="49" customWidth="1"/>
    <col min="8" max="8" width="11.5" style="61" customWidth="1"/>
    <col min="9" max="10" width="11.5" style="61" bestFit="1" customWidth="1"/>
    <col min="11" max="11" width="11.59765625" style="61" customWidth="1"/>
    <col min="12" max="12" width="16.59765625" style="61" customWidth="1"/>
    <col min="13" max="13" width="17.3984375" style="243" customWidth="1"/>
    <col min="14" max="14" width="18.3984375" style="53" customWidth="1"/>
    <col min="15" max="15" width="15.3984375" style="51" customWidth="1"/>
    <col min="16" max="16" width="16.09765625" style="75" customWidth="1"/>
    <col min="17" max="18" width="10" style="12"/>
    <col min="19" max="19" width="21.59765625" style="12" customWidth="1"/>
    <col min="20" max="21" width="10" style="13"/>
    <col min="22" max="16384" width="10" style="14"/>
  </cols>
  <sheetData>
    <row r="1" spans="1:22" s="9" customFormat="1" ht="14.1" customHeight="1">
      <c r="A1" s="5"/>
      <c r="B1" s="5"/>
      <c r="C1" s="5"/>
      <c r="D1" s="5"/>
      <c r="E1" s="6"/>
      <c r="F1" s="249"/>
      <c r="G1" s="8"/>
      <c r="H1" s="78"/>
      <c r="I1" s="54"/>
      <c r="J1" s="54"/>
      <c r="K1" s="54"/>
      <c r="L1" s="260"/>
      <c r="M1" s="236"/>
      <c r="N1" s="5"/>
      <c r="O1" s="10" t="s">
        <v>0</v>
      </c>
      <c r="P1" s="45"/>
      <c r="Q1" s="200" t="s">
        <v>154</v>
      </c>
      <c r="R1" s="200"/>
      <c r="S1" s="201" t="s">
        <v>155</v>
      </c>
      <c r="T1" s="201" t="s">
        <v>156</v>
      </c>
      <c r="U1" s="202"/>
      <c r="V1" s="203"/>
    </row>
    <row r="2" spans="1:22" s="9" customFormat="1" ht="14.1" customHeight="1">
      <c r="A2" s="5"/>
      <c r="B2" s="5"/>
      <c r="C2" s="5"/>
      <c r="D2" s="5"/>
      <c r="E2" s="6"/>
      <c r="F2" s="249"/>
      <c r="G2" s="8"/>
      <c r="H2" s="78"/>
      <c r="I2" s="54"/>
      <c r="J2" s="54"/>
      <c r="K2" s="54"/>
      <c r="L2" s="260"/>
      <c r="M2" s="236"/>
      <c r="N2" s="5"/>
      <c r="O2" s="10" t="s">
        <v>1</v>
      </c>
      <c r="P2" s="45"/>
      <c r="Q2" s="203"/>
      <c r="R2" s="203"/>
      <c r="S2" s="201" t="s">
        <v>157</v>
      </c>
      <c r="T2" s="201" t="s">
        <v>158</v>
      </c>
      <c r="U2" s="203"/>
      <c r="V2" s="203"/>
    </row>
    <row r="3" spans="1:22" s="9" customFormat="1" ht="14.1" customHeight="1">
      <c r="A3" s="5"/>
      <c r="B3" s="5"/>
      <c r="C3" s="5"/>
      <c r="D3" s="5"/>
      <c r="E3" s="6"/>
      <c r="F3" s="249"/>
      <c r="G3" s="8"/>
      <c r="H3" s="78"/>
      <c r="I3" s="54"/>
      <c r="J3" s="54"/>
      <c r="K3" s="54"/>
      <c r="L3" s="260"/>
      <c r="M3" s="236"/>
      <c r="N3" s="5"/>
      <c r="O3" s="10" t="s">
        <v>2</v>
      </c>
      <c r="P3" s="45"/>
      <c r="Q3" s="204"/>
      <c r="R3" s="204"/>
      <c r="S3" s="201" t="s">
        <v>159</v>
      </c>
      <c r="T3" s="201" t="s">
        <v>160</v>
      </c>
      <c r="U3" s="203"/>
      <c r="V3" s="203"/>
    </row>
    <row r="4" spans="1:22" s="9" customFormat="1" ht="14.1" customHeight="1">
      <c r="A4" s="5"/>
      <c r="B4" s="5"/>
      <c r="C4" s="5"/>
      <c r="D4" s="5"/>
      <c r="E4" s="6"/>
      <c r="F4" s="249"/>
      <c r="G4" s="8"/>
      <c r="H4" s="78"/>
      <c r="I4" s="54"/>
      <c r="J4" s="54"/>
      <c r="K4" s="54"/>
      <c r="L4" s="260"/>
      <c r="M4" s="236"/>
      <c r="N4" s="5"/>
      <c r="O4" s="10" t="s">
        <v>3</v>
      </c>
      <c r="P4" s="45"/>
      <c r="Q4" s="204"/>
      <c r="R4" s="204"/>
      <c r="S4" s="201" t="s">
        <v>161</v>
      </c>
      <c r="T4" s="201" t="s">
        <v>162</v>
      </c>
      <c r="U4" s="203"/>
      <c r="V4" s="203"/>
    </row>
    <row r="5" spans="1:22" s="9" customFormat="1" ht="14.1" customHeight="1">
      <c r="A5" s="5"/>
      <c r="B5" s="5"/>
      <c r="C5" s="5"/>
      <c r="D5" s="5"/>
      <c r="E5" s="6"/>
      <c r="F5" s="249"/>
      <c r="G5" s="8"/>
      <c r="H5" s="78"/>
      <c r="I5" s="54"/>
      <c r="J5" s="54"/>
      <c r="K5" s="54"/>
      <c r="L5" s="260"/>
      <c r="M5" s="236"/>
      <c r="N5" s="5"/>
      <c r="O5" s="10" t="s">
        <v>4</v>
      </c>
      <c r="P5" s="45"/>
      <c r="Q5" s="119"/>
      <c r="R5" s="119"/>
    </row>
    <row r="6" spans="1:22" ht="52.35" customHeight="1">
      <c r="A6" s="405" t="s">
        <v>163</v>
      </c>
      <c r="B6" s="405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22"/>
      <c r="R6" s="22"/>
    </row>
    <row r="7" spans="1:22" ht="17.100000000000001" customHeight="1">
      <c r="A7" s="122" t="s">
        <v>164</v>
      </c>
      <c r="B7" s="122" t="s">
        <v>165</v>
      </c>
      <c r="C7" s="123"/>
      <c r="D7" s="123"/>
      <c r="E7" s="123"/>
      <c r="F7" s="244"/>
      <c r="G7" s="103"/>
      <c r="H7" s="103"/>
      <c r="I7" s="103"/>
      <c r="J7" s="103"/>
      <c r="K7" s="261"/>
      <c r="L7" s="261"/>
      <c r="M7" s="267"/>
      <c r="N7" s="103"/>
      <c r="O7" s="103"/>
      <c r="P7" s="103"/>
      <c r="Q7" s="22"/>
      <c r="R7" s="22"/>
    </row>
    <row r="8" spans="1:22" ht="17.100000000000001" customHeight="1">
      <c r="A8" s="122"/>
      <c r="B8" s="122" t="s">
        <v>166</v>
      </c>
      <c r="C8" s="123"/>
      <c r="D8" s="123"/>
      <c r="E8" s="123"/>
      <c r="F8" s="244"/>
      <c r="G8" s="103"/>
      <c r="H8" s="103"/>
      <c r="I8" s="103"/>
      <c r="J8" s="103"/>
      <c r="K8" s="261"/>
      <c r="L8" s="261"/>
      <c r="M8" s="267"/>
      <c r="N8" s="103"/>
      <c r="O8" s="103"/>
      <c r="P8" s="103"/>
      <c r="U8" s="119"/>
      <c r="V8" s="120"/>
    </row>
    <row r="9" spans="1:22" s="21" customFormat="1" ht="17.100000000000001" customHeight="1" thickBot="1">
      <c r="A9" s="122" t="s">
        <v>167</v>
      </c>
      <c r="B9" s="122" t="str">
        <f>PL!V8</f>
        <v>PGU-DE-0220</v>
      </c>
      <c r="C9" s="122"/>
      <c r="D9" s="124"/>
      <c r="E9" s="29"/>
      <c r="F9" s="250"/>
      <c r="G9" s="16"/>
      <c r="H9" s="55"/>
      <c r="I9" s="55"/>
      <c r="J9" s="55"/>
      <c r="K9" s="79"/>
      <c r="L9" s="55"/>
      <c r="M9" s="237"/>
      <c r="N9" s="17"/>
      <c r="O9" s="19"/>
      <c r="P9" s="19"/>
      <c r="U9" s="119"/>
      <c r="V9" s="120"/>
    </row>
    <row r="10" spans="1:22" s="21" customFormat="1" ht="21" customHeight="1">
      <c r="A10" s="196" t="s">
        <v>168</v>
      </c>
      <c r="B10" s="197" t="s">
        <v>169</v>
      </c>
      <c r="C10" s="197"/>
      <c r="D10" s="206"/>
      <c r="E10" s="207"/>
      <c r="F10" s="250"/>
      <c r="G10" s="16"/>
      <c r="H10" s="55"/>
      <c r="I10" s="55"/>
      <c r="J10" s="55"/>
      <c r="K10" s="79"/>
      <c r="L10" s="55"/>
      <c r="M10" s="237"/>
      <c r="N10" s="17"/>
      <c r="O10" s="19"/>
      <c r="P10" s="19"/>
      <c r="U10" s="119"/>
      <c r="V10" s="120"/>
    </row>
    <row r="11" spans="1:22" s="21" customFormat="1" ht="21" customHeight="1" thickBot="1">
      <c r="A11" s="220" t="s">
        <v>170</v>
      </c>
      <c r="B11" s="221" t="s">
        <v>171</v>
      </c>
      <c r="C11" s="221"/>
      <c r="D11" s="222"/>
      <c r="E11" s="208"/>
      <c r="F11" s="250"/>
      <c r="G11" s="16"/>
      <c r="H11" s="55"/>
      <c r="I11" s="55"/>
      <c r="J11" s="55"/>
      <c r="K11" s="79"/>
      <c r="L11" s="55"/>
      <c r="M11" s="237"/>
      <c r="N11" s="17"/>
      <c r="O11" s="19"/>
      <c r="P11" s="19"/>
      <c r="U11" s="119"/>
      <c r="V11" s="120"/>
    </row>
    <row r="12" spans="1:22" s="24" customFormat="1" ht="25.35" customHeight="1">
      <c r="A12" s="435" t="s">
        <v>172</v>
      </c>
      <c r="B12" s="437" t="s">
        <v>173</v>
      </c>
      <c r="C12" s="437" t="s">
        <v>174</v>
      </c>
      <c r="D12" s="437" t="s">
        <v>175</v>
      </c>
      <c r="E12" s="437" t="s">
        <v>176</v>
      </c>
      <c r="F12" s="439" t="s">
        <v>177</v>
      </c>
      <c r="G12" s="439"/>
      <c r="H12" s="440" t="s">
        <v>178</v>
      </c>
      <c r="I12" s="440"/>
      <c r="J12" s="440"/>
      <c r="K12" s="440"/>
      <c r="L12" s="441" t="s">
        <v>179</v>
      </c>
      <c r="M12" s="441" t="s">
        <v>180</v>
      </c>
      <c r="N12" s="443" t="s">
        <v>181</v>
      </c>
      <c r="O12" s="430" t="s">
        <v>182</v>
      </c>
      <c r="P12" s="430" t="s">
        <v>183</v>
      </c>
      <c r="S12" s="23"/>
      <c r="T12" s="23"/>
      <c r="U12" s="23"/>
    </row>
    <row r="13" spans="1:22" s="24" customFormat="1" ht="33" customHeight="1">
      <c r="A13" s="436"/>
      <c r="B13" s="438"/>
      <c r="C13" s="438"/>
      <c r="D13" s="438"/>
      <c r="E13" s="438"/>
      <c r="F13" s="245" t="s">
        <v>184</v>
      </c>
      <c r="G13" s="217" t="s">
        <v>185</v>
      </c>
      <c r="H13" s="80" t="s">
        <v>186</v>
      </c>
      <c r="I13" s="80" t="s">
        <v>187</v>
      </c>
      <c r="J13" s="80" t="s">
        <v>188</v>
      </c>
      <c r="K13" s="80" t="s">
        <v>189</v>
      </c>
      <c r="L13" s="442"/>
      <c r="M13" s="442"/>
      <c r="N13" s="444"/>
      <c r="O13" s="431"/>
      <c r="P13" s="431"/>
      <c r="S13" s="23"/>
      <c r="T13" s="23"/>
      <c r="U13" s="23"/>
    </row>
    <row r="14" spans="1:22" s="77" customFormat="1" ht="25.35" customHeight="1">
      <c r="A14" s="149">
        <v>1</v>
      </c>
      <c r="B14" s="151"/>
      <c r="C14" s="121" t="s">
        <v>92</v>
      </c>
      <c r="D14" s="219" t="s">
        <v>93</v>
      </c>
      <c r="E14" s="151" t="s">
        <v>190</v>
      </c>
      <c r="F14" s="246">
        <v>1</v>
      </c>
      <c r="G14" s="151" t="s">
        <v>191</v>
      </c>
      <c r="H14" s="56">
        <v>320</v>
      </c>
      <c r="I14" s="56">
        <v>98</v>
      </c>
      <c r="J14" s="56">
        <v>238</v>
      </c>
      <c r="K14" s="268">
        <f t="shared" ref="K14:K48" si="0">ROUND(J14*I14*H14/1000000,3)</f>
        <v>7.4640000000000004</v>
      </c>
      <c r="L14" s="56">
        <v>1044</v>
      </c>
      <c r="M14" s="238">
        <f>L14+225</f>
        <v>1269</v>
      </c>
      <c r="N14" s="27" t="s">
        <v>192</v>
      </c>
      <c r="O14" s="25" t="s">
        <v>193</v>
      </c>
      <c r="P14" s="270" t="s">
        <v>194</v>
      </c>
      <c r="Q14" s="28"/>
      <c r="R14" s="265"/>
      <c r="S14" s="29"/>
      <c r="T14" s="266"/>
      <c r="U14" s="76"/>
    </row>
    <row r="15" spans="1:22" s="77" customFormat="1" ht="25.35" customHeight="1">
      <c r="A15" s="149">
        <v>2</v>
      </c>
      <c r="B15" s="151"/>
      <c r="C15" s="121" t="s">
        <v>96</v>
      </c>
      <c r="D15" s="219" t="s">
        <v>93</v>
      </c>
      <c r="E15" s="151" t="s">
        <v>190</v>
      </c>
      <c r="F15" s="246">
        <v>1</v>
      </c>
      <c r="G15" s="151" t="s">
        <v>191</v>
      </c>
      <c r="H15" s="56">
        <v>320</v>
      </c>
      <c r="I15" s="56">
        <v>98</v>
      </c>
      <c r="J15" s="56">
        <v>238</v>
      </c>
      <c r="K15" s="268">
        <f t="shared" si="0"/>
        <v>7.4640000000000004</v>
      </c>
      <c r="L15" s="56">
        <v>1042</v>
      </c>
      <c r="M15" s="238">
        <f t="shared" ref="M15:M21" si="1">L15+225</f>
        <v>1267</v>
      </c>
      <c r="N15" s="27" t="s">
        <v>192</v>
      </c>
      <c r="O15" s="25" t="s">
        <v>193</v>
      </c>
      <c r="P15" s="270" t="s">
        <v>194</v>
      </c>
      <c r="Q15" s="28"/>
      <c r="R15" s="265"/>
      <c r="S15" s="29"/>
      <c r="T15" s="266"/>
      <c r="U15" s="76"/>
    </row>
    <row r="16" spans="1:22" s="77" customFormat="1" ht="25.35" customHeight="1">
      <c r="A16" s="149">
        <v>3</v>
      </c>
      <c r="B16" s="151"/>
      <c r="C16" s="121" t="s">
        <v>97</v>
      </c>
      <c r="D16" s="219" t="s">
        <v>93</v>
      </c>
      <c r="E16" s="151" t="s">
        <v>190</v>
      </c>
      <c r="F16" s="246">
        <v>1</v>
      </c>
      <c r="G16" s="151" t="s">
        <v>191</v>
      </c>
      <c r="H16" s="56">
        <v>320</v>
      </c>
      <c r="I16" s="56">
        <v>98</v>
      </c>
      <c r="J16" s="56">
        <v>238</v>
      </c>
      <c r="K16" s="268">
        <f t="shared" si="0"/>
        <v>7.4640000000000004</v>
      </c>
      <c r="L16" s="56">
        <v>1018</v>
      </c>
      <c r="M16" s="238">
        <f t="shared" si="1"/>
        <v>1243</v>
      </c>
      <c r="N16" s="27" t="s">
        <v>192</v>
      </c>
      <c r="O16" s="25" t="s">
        <v>193</v>
      </c>
      <c r="P16" s="270" t="s">
        <v>194</v>
      </c>
      <c r="Q16" s="28"/>
      <c r="R16" s="265"/>
      <c r="S16" s="29"/>
      <c r="T16" s="266"/>
      <c r="U16" s="76"/>
    </row>
    <row r="17" spans="1:21" s="77" customFormat="1" ht="25.35" customHeight="1">
      <c r="A17" s="149">
        <v>4</v>
      </c>
      <c r="B17" s="151"/>
      <c r="C17" s="121" t="s">
        <v>98</v>
      </c>
      <c r="D17" s="219" t="s">
        <v>93</v>
      </c>
      <c r="E17" s="151" t="s">
        <v>190</v>
      </c>
      <c r="F17" s="246">
        <v>1</v>
      </c>
      <c r="G17" s="151" t="s">
        <v>191</v>
      </c>
      <c r="H17" s="56">
        <v>320</v>
      </c>
      <c r="I17" s="56">
        <v>98</v>
      </c>
      <c r="J17" s="56">
        <v>238</v>
      </c>
      <c r="K17" s="268">
        <f t="shared" si="0"/>
        <v>7.4640000000000004</v>
      </c>
      <c r="L17" s="56">
        <v>1047</v>
      </c>
      <c r="M17" s="238">
        <f t="shared" si="1"/>
        <v>1272</v>
      </c>
      <c r="N17" s="27" t="s">
        <v>192</v>
      </c>
      <c r="O17" s="25" t="s">
        <v>193</v>
      </c>
      <c r="P17" s="270" t="s">
        <v>194</v>
      </c>
      <c r="Q17" s="28"/>
      <c r="R17" s="265"/>
      <c r="S17" s="29"/>
      <c r="T17" s="266"/>
      <c r="U17" s="76"/>
    </row>
    <row r="18" spans="1:21" s="77" customFormat="1" ht="25.35" customHeight="1">
      <c r="A18" s="149">
        <v>5</v>
      </c>
      <c r="B18" s="151"/>
      <c r="C18" s="121" t="s">
        <v>99</v>
      </c>
      <c r="D18" s="219" t="s">
        <v>93</v>
      </c>
      <c r="E18" s="151" t="s">
        <v>190</v>
      </c>
      <c r="F18" s="246">
        <v>1</v>
      </c>
      <c r="G18" s="151" t="s">
        <v>191</v>
      </c>
      <c r="H18" s="56">
        <v>320</v>
      </c>
      <c r="I18" s="56">
        <v>98</v>
      </c>
      <c r="J18" s="56">
        <v>238</v>
      </c>
      <c r="K18" s="268">
        <f t="shared" si="0"/>
        <v>7.4640000000000004</v>
      </c>
      <c r="L18" s="56">
        <v>1010</v>
      </c>
      <c r="M18" s="238">
        <f t="shared" si="1"/>
        <v>1235</v>
      </c>
      <c r="N18" s="27" t="s">
        <v>192</v>
      </c>
      <c r="O18" s="25" t="s">
        <v>193</v>
      </c>
      <c r="P18" s="270" t="s">
        <v>194</v>
      </c>
      <c r="Q18" s="28"/>
      <c r="R18" s="265"/>
      <c r="S18" s="29"/>
      <c r="T18" s="266"/>
      <c r="U18" s="76"/>
    </row>
    <row r="19" spans="1:21" s="77" customFormat="1" ht="25.35" customHeight="1">
      <c r="A19" s="149">
        <v>6</v>
      </c>
      <c r="B19" s="151"/>
      <c r="C19" s="121" t="s">
        <v>100</v>
      </c>
      <c r="D19" s="219" t="s">
        <v>93</v>
      </c>
      <c r="E19" s="151" t="s">
        <v>190</v>
      </c>
      <c r="F19" s="246">
        <v>1</v>
      </c>
      <c r="G19" s="151" t="s">
        <v>191</v>
      </c>
      <c r="H19" s="56">
        <v>320</v>
      </c>
      <c r="I19" s="56">
        <v>98</v>
      </c>
      <c r="J19" s="56">
        <v>238</v>
      </c>
      <c r="K19" s="268">
        <f t="shared" si="0"/>
        <v>7.4640000000000004</v>
      </c>
      <c r="L19" s="56">
        <v>1014</v>
      </c>
      <c r="M19" s="238">
        <f t="shared" si="1"/>
        <v>1239</v>
      </c>
      <c r="N19" s="27" t="s">
        <v>192</v>
      </c>
      <c r="O19" s="25" t="s">
        <v>193</v>
      </c>
      <c r="P19" s="270" t="s">
        <v>194</v>
      </c>
      <c r="Q19" s="28"/>
      <c r="R19" s="265"/>
      <c r="S19" s="29"/>
      <c r="T19" s="266"/>
      <c r="U19" s="76"/>
    </row>
    <row r="20" spans="1:21" s="77" customFormat="1" ht="25.35" customHeight="1">
      <c r="A20" s="149">
        <v>7</v>
      </c>
      <c r="B20" s="151"/>
      <c r="C20" s="121" t="s">
        <v>101</v>
      </c>
      <c r="D20" s="219" t="s">
        <v>93</v>
      </c>
      <c r="E20" s="151" t="s">
        <v>190</v>
      </c>
      <c r="F20" s="246">
        <v>1</v>
      </c>
      <c r="G20" s="151" t="s">
        <v>191</v>
      </c>
      <c r="H20" s="56">
        <v>320</v>
      </c>
      <c r="I20" s="56">
        <v>98</v>
      </c>
      <c r="J20" s="56">
        <v>238</v>
      </c>
      <c r="K20" s="268">
        <f t="shared" si="0"/>
        <v>7.4640000000000004</v>
      </c>
      <c r="L20" s="56">
        <v>1015</v>
      </c>
      <c r="M20" s="238">
        <f t="shared" si="1"/>
        <v>1240</v>
      </c>
      <c r="N20" s="27" t="s">
        <v>192</v>
      </c>
      <c r="O20" s="25" t="s">
        <v>193</v>
      </c>
      <c r="P20" s="270" t="s">
        <v>194</v>
      </c>
      <c r="Q20" s="28"/>
      <c r="R20" s="265"/>
      <c r="S20" s="29"/>
      <c r="T20" s="266"/>
      <c r="U20" s="76"/>
    </row>
    <row r="21" spans="1:21" s="77" customFormat="1" ht="25.35" customHeight="1">
      <c r="A21" s="149">
        <v>8</v>
      </c>
      <c r="B21" s="151"/>
      <c r="C21" s="121" t="s">
        <v>102</v>
      </c>
      <c r="D21" s="219" t="s">
        <v>93</v>
      </c>
      <c r="E21" s="151" t="s">
        <v>190</v>
      </c>
      <c r="F21" s="246">
        <v>1</v>
      </c>
      <c r="G21" s="151" t="s">
        <v>191</v>
      </c>
      <c r="H21" s="56">
        <v>320</v>
      </c>
      <c r="I21" s="56">
        <v>98</v>
      </c>
      <c r="J21" s="56">
        <v>238</v>
      </c>
      <c r="K21" s="268">
        <f t="shared" si="0"/>
        <v>7.4640000000000004</v>
      </c>
      <c r="L21" s="56">
        <v>990</v>
      </c>
      <c r="M21" s="238">
        <f t="shared" si="1"/>
        <v>1215</v>
      </c>
      <c r="N21" s="27" t="s">
        <v>192</v>
      </c>
      <c r="O21" s="25" t="s">
        <v>193</v>
      </c>
      <c r="P21" s="270" t="s">
        <v>194</v>
      </c>
      <c r="Q21" s="28"/>
      <c r="R21" s="265"/>
      <c r="S21" s="29"/>
      <c r="T21" s="266"/>
      <c r="U21" s="76"/>
    </row>
    <row r="22" spans="1:21" s="77" customFormat="1" ht="25.35" customHeight="1">
      <c r="A22" s="149">
        <v>9</v>
      </c>
      <c r="B22" s="151"/>
      <c r="C22" s="121" t="s">
        <v>103</v>
      </c>
      <c r="D22" s="219" t="s">
        <v>93</v>
      </c>
      <c r="E22" s="151" t="s">
        <v>190</v>
      </c>
      <c r="F22" s="246">
        <v>1</v>
      </c>
      <c r="G22" s="151" t="s">
        <v>191</v>
      </c>
      <c r="H22" s="56">
        <v>221</v>
      </c>
      <c r="I22" s="56">
        <v>98</v>
      </c>
      <c r="J22" s="56">
        <v>238</v>
      </c>
      <c r="K22" s="268">
        <f t="shared" si="0"/>
        <v>5.1550000000000002</v>
      </c>
      <c r="L22" s="56">
        <v>681</v>
      </c>
      <c r="M22" s="238">
        <f>L22+160</f>
        <v>841</v>
      </c>
      <c r="N22" s="27" t="s">
        <v>192</v>
      </c>
      <c r="O22" s="25" t="s">
        <v>193</v>
      </c>
      <c r="P22" s="270" t="s">
        <v>194</v>
      </c>
      <c r="Q22" s="28"/>
      <c r="R22" s="265"/>
      <c r="S22" s="29"/>
      <c r="T22" s="266"/>
      <c r="U22" s="76"/>
    </row>
    <row r="23" spans="1:21" s="77" customFormat="1" ht="25.35" customHeight="1">
      <c r="A23" s="149">
        <v>10</v>
      </c>
      <c r="B23" s="151"/>
      <c r="C23" s="121" t="s">
        <v>104</v>
      </c>
      <c r="D23" s="219" t="s">
        <v>93</v>
      </c>
      <c r="E23" s="151" t="s">
        <v>190</v>
      </c>
      <c r="F23" s="246">
        <v>1</v>
      </c>
      <c r="G23" s="151" t="s">
        <v>191</v>
      </c>
      <c r="H23" s="56">
        <v>221</v>
      </c>
      <c r="I23" s="56">
        <v>98</v>
      </c>
      <c r="J23" s="56">
        <v>238</v>
      </c>
      <c r="K23" s="268">
        <f t="shared" si="0"/>
        <v>5.1550000000000002</v>
      </c>
      <c r="L23" s="56">
        <v>675</v>
      </c>
      <c r="M23" s="238">
        <f t="shared" ref="M23:M25" si="2">L23+160</f>
        <v>835</v>
      </c>
      <c r="N23" s="27" t="s">
        <v>192</v>
      </c>
      <c r="O23" s="25" t="s">
        <v>193</v>
      </c>
      <c r="P23" s="270" t="s">
        <v>194</v>
      </c>
      <c r="Q23" s="28"/>
      <c r="R23" s="265"/>
      <c r="S23" s="29"/>
      <c r="T23" s="266"/>
      <c r="U23" s="76"/>
    </row>
    <row r="24" spans="1:21" s="77" customFormat="1" ht="25.35" customHeight="1">
      <c r="A24" s="149">
        <v>11</v>
      </c>
      <c r="B24" s="151"/>
      <c r="C24" s="121" t="s">
        <v>105</v>
      </c>
      <c r="D24" s="219" t="s">
        <v>93</v>
      </c>
      <c r="E24" s="151" t="s">
        <v>190</v>
      </c>
      <c r="F24" s="246">
        <v>1</v>
      </c>
      <c r="G24" s="151" t="s">
        <v>191</v>
      </c>
      <c r="H24" s="56">
        <v>221</v>
      </c>
      <c r="I24" s="56">
        <v>98</v>
      </c>
      <c r="J24" s="56">
        <v>238</v>
      </c>
      <c r="K24" s="268">
        <f t="shared" si="0"/>
        <v>5.1550000000000002</v>
      </c>
      <c r="L24" s="56">
        <v>707</v>
      </c>
      <c r="M24" s="238">
        <f t="shared" si="2"/>
        <v>867</v>
      </c>
      <c r="N24" s="27" t="s">
        <v>192</v>
      </c>
      <c r="O24" s="25" t="s">
        <v>193</v>
      </c>
      <c r="P24" s="270" t="s">
        <v>194</v>
      </c>
      <c r="Q24" s="28"/>
      <c r="R24" s="265"/>
      <c r="S24" s="29"/>
      <c r="T24" s="266"/>
      <c r="U24" s="76"/>
    </row>
    <row r="25" spans="1:21" s="77" customFormat="1" ht="25.35" customHeight="1">
      <c r="A25" s="149">
        <v>12</v>
      </c>
      <c r="B25" s="151"/>
      <c r="C25" s="121" t="s">
        <v>106</v>
      </c>
      <c r="D25" s="219" t="s">
        <v>93</v>
      </c>
      <c r="E25" s="151" t="s">
        <v>190</v>
      </c>
      <c r="F25" s="246">
        <v>1</v>
      </c>
      <c r="G25" s="151" t="s">
        <v>191</v>
      </c>
      <c r="H25" s="56">
        <v>221</v>
      </c>
      <c r="I25" s="56">
        <v>98</v>
      </c>
      <c r="J25" s="56">
        <v>238</v>
      </c>
      <c r="K25" s="268">
        <f t="shared" si="0"/>
        <v>5.1550000000000002</v>
      </c>
      <c r="L25" s="56">
        <v>687</v>
      </c>
      <c r="M25" s="238">
        <f t="shared" si="2"/>
        <v>847</v>
      </c>
      <c r="N25" s="27" t="s">
        <v>192</v>
      </c>
      <c r="O25" s="25" t="s">
        <v>193</v>
      </c>
      <c r="P25" s="270" t="s">
        <v>194</v>
      </c>
      <c r="Q25" s="28"/>
      <c r="R25" s="265"/>
      <c r="S25" s="29"/>
      <c r="T25" s="266"/>
      <c r="U25" s="76"/>
    </row>
    <row r="26" spans="1:21" s="77" customFormat="1" ht="25.35" customHeight="1">
      <c r="A26" s="149">
        <v>13</v>
      </c>
      <c r="B26" s="151"/>
      <c r="C26" s="121" t="s">
        <v>107</v>
      </c>
      <c r="D26" s="219" t="s">
        <v>108</v>
      </c>
      <c r="E26" s="151" t="s">
        <v>190</v>
      </c>
      <c r="F26" s="246">
        <v>1</v>
      </c>
      <c r="G26" s="151" t="s">
        <v>191</v>
      </c>
      <c r="H26" s="56">
        <v>100</v>
      </c>
      <c r="I26" s="56">
        <v>98</v>
      </c>
      <c r="J26" s="56">
        <v>238</v>
      </c>
      <c r="K26" s="268">
        <f t="shared" si="0"/>
        <v>2.3319999999999999</v>
      </c>
      <c r="L26" s="56">
        <v>300</v>
      </c>
      <c r="M26" s="238">
        <f>L26+70</f>
        <v>370</v>
      </c>
      <c r="N26" s="27" t="s">
        <v>192</v>
      </c>
      <c r="O26" s="25" t="s">
        <v>193</v>
      </c>
      <c r="P26" s="270" t="s">
        <v>194</v>
      </c>
      <c r="Q26" s="28"/>
      <c r="R26" s="265"/>
      <c r="S26" s="29"/>
      <c r="T26" s="266"/>
      <c r="U26" s="76"/>
    </row>
    <row r="27" spans="1:21" s="77" customFormat="1" ht="25.35" customHeight="1">
      <c r="A27" s="149">
        <v>14</v>
      </c>
      <c r="B27" s="151"/>
      <c r="C27" s="121" t="s">
        <v>109</v>
      </c>
      <c r="D27" s="219" t="s">
        <v>108</v>
      </c>
      <c r="E27" s="151" t="s">
        <v>190</v>
      </c>
      <c r="F27" s="246">
        <v>1</v>
      </c>
      <c r="G27" s="151" t="s">
        <v>191</v>
      </c>
      <c r="H27" s="56">
        <v>100</v>
      </c>
      <c r="I27" s="56">
        <v>98</v>
      </c>
      <c r="J27" s="56">
        <v>238</v>
      </c>
      <c r="K27" s="268">
        <f t="shared" si="0"/>
        <v>2.3319999999999999</v>
      </c>
      <c r="L27" s="56">
        <v>297</v>
      </c>
      <c r="M27" s="238">
        <f t="shared" ref="M27:M32" si="3">L27+70</f>
        <v>367</v>
      </c>
      <c r="N27" s="27" t="s">
        <v>192</v>
      </c>
      <c r="O27" s="25" t="s">
        <v>193</v>
      </c>
      <c r="P27" s="270" t="s">
        <v>194</v>
      </c>
      <c r="Q27" s="28"/>
      <c r="R27" s="265"/>
      <c r="S27" s="29"/>
      <c r="T27" s="266"/>
      <c r="U27" s="76"/>
    </row>
    <row r="28" spans="1:21" s="77" customFormat="1" ht="25.35" customHeight="1">
      <c r="A28" s="149">
        <v>15</v>
      </c>
      <c r="B28" s="151"/>
      <c r="C28" s="121" t="s">
        <v>110</v>
      </c>
      <c r="D28" s="219" t="s">
        <v>108</v>
      </c>
      <c r="E28" s="151" t="s">
        <v>190</v>
      </c>
      <c r="F28" s="246">
        <v>1</v>
      </c>
      <c r="G28" s="151" t="s">
        <v>191</v>
      </c>
      <c r="H28" s="56">
        <v>100</v>
      </c>
      <c r="I28" s="56">
        <v>98</v>
      </c>
      <c r="J28" s="56">
        <v>238</v>
      </c>
      <c r="K28" s="268">
        <f t="shared" si="0"/>
        <v>2.3319999999999999</v>
      </c>
      <c r="L28" s="56">
        <v>306</v>
      </c>
      <c r="M28" s="238">
        <f t="shared" si="3"/>
        <v>376</v>
      </c>
      <c r="N28" s="27" t="s">
        <v>192</v>
      </c>
      <c r="O28" s="25" t="s">
        <v>193</v>
      </c>
      <c r="P28" s="270" t="s">
        <v>194</v>
      </c>
      <c r="Q28" s="28"/>
      <c r="R28" s="265"/>
      <c r="S28" s="29"/>
      <c r="T28" s="266"/>
      <c r="U28" s="76"/>
    </row>
    <row r="29" spans="1:21" s="77" customFormat="1" ht="25.35" customHeight="1">
      <c r="A29" s="149">
        <v>16</v>
      </c>
      <c r="B29" s="151"/>
      <c r="C29" s="121" t="s">
        <v>111</v>
      </c>
      <c r="D29" s="219" t="s">
        <v>108</v>
      </c>
      <c r="E29" s="151" t="s">
        <v>190</v>
      </c>
      <c r="F29" s="246">
        <v>1</v>
      </c>
      <c r="G29" s="151" t="s">
        <v>191</v>
      </c>
      <c r="H29" s="56">
        <v>100</v>
      </c>
      <c r="I29" s="56">
        <v>98</v>
      </c>
      <c r="J29" s="56">
        <v>238</v>
      </c>
      <c r="K29" s="268">
        <f t="shared" si="0"/>
        <v>2.3319999999999999</v>
      </c>
      <c r="L29" s="56">
        <v>295</v>
      </c>
      <c r="M29" s="238">
        <f t="shared" si="3"/>
        <v>365</v>
      </c>
      <c r="N29" s="27" t="s">
        <v>192</v>
      </c>
      <c r="O29" s="25" t="s">
        <v>193</v>
      </c>
      <c r="P29" s="270" t="s">
        <v>194</v>
      </c>
      <c r="Q29" s="28"/>
      <c r="R29" s="265"/>
      <c r="S29" s="29"/>
      <c r="T29" s="266"/>
      <c r="U29" s="76"/>
    </row>
    <row r="30" spans="1:21" s="77" customFormat="1" ht="25.35" customHeight="1">
      <c r="A30" s="149">
        <v>17</v>
      </c>
      <c r="B30" s="151"/>
      <c r="C30" s="121" t="s">
        <v>112</v>
      </c>
      <c r="D30" s="219" t="s">
        <v>108</v>
      </c>
      <c r="E30" s="151" t="s">
        <v>190</v>
      </c>
      <c r="F30" s="246">
        <v>1</v>
      </c>
      <c r="G30" s="151" t="s">
        <v>191</v>
      </c>
      <c r="H30" s="56">
        <v>100</v>
      </c>
      <c r="I30" s="56">
        <v>98</v>
      </c>
      <c r="J30" s="56">
        <v>238</v>
      </c>
      <c r="K30" s="268">
        <f t="shared" si="0"/>
        <v>2.3319999999999999</v>
      </c>
      <c r="L30" s="56">
        <v>306</v>
      </c>
      <c r="M30" s="238">
        <f t="shared" si="3"/>
        <v>376</v>
      </c>
      <c r="N30" s="27" t="s">
        <v>192</v>
      </c>
      <c r="O30" s="25" t="s">
        <v>193</v>
      </c>
      <c r="P30" s="270" t="s">
        <v>194</v>
      </c>
      <c r="Q30" s="28"/>
      <c r="R30" s="265"/>
      <c r="S30" s="29"/>
      <c r="T30" s="266"/>
      <c r="U30" s="76"/>
    </row>
    <row r="31" spans="1:21" s="77" customFormat="1" ht="25.35" customHeight="1">
      <c r="A31" s="149">
        <v>18</v>
      </c>
      <c r="B31" s="151"/>
      <c r="C31" s="121" t="s">
        <v>113</v>
      </c>
      <c r="D31" s="219" t="s">
        <v>93</v>
      </c>
      <c r="E31" s="151" t="s">
        <v>190</v>
      </c>
      <c r="F31" s="246">
        <v>1</v>
      </c>
      <c r="G31" s="151" t="s">
        <v>191</v>
      </c>
      <c r="H31" s="56">
        <v>100</v>
      </c>
      <c r="I31" s="56">
        <v>98</v>
      </c>
      <c r="J31" s="56">
        <v>238</v>
      </c>
      <c r="K31" s="268">
        <f t="shared" si="0"/>
        <v>2.3319999999999999</v>
      </c>
      <c r="L31" s="56">
        <v>303</v>
      </c>
      <c r="M31" s="238">
        <f t="shared" si="3"/>
        <v>373</v>
      </c>
      <c r="N31" s="27" t="s">
        <v>192</v>
      </c>
      <c r="O31" s="25" t="s">
        <v>193</v>
      </c>
      <c r="P31" s="270" t="s">
        <v>194</v>
      </c>
      <c r="Q31" s="28"/>
      <c r="R31" s="265"/>
      <c r="S31" s="29"/>
      <c r="T31" s="266"/>
      <c r="U31" s="76"/>
    </row>
    <row r="32" spans="1:21" s="77" customFormat="1" ht="25.35" customHeight="1">
      <c r="A32" s="149">
        <v>19</v>
      </c>
      <c r="B32" s="151"/>
      <c r="C32" s="121" t="s">
        <v>114</v>
      </c>
      <c r="D32" s="219" t="s">
        <v>93</v>
      </c>
      <c r="E32" s="151" t="s">
        <v>190</v>
      </c>
      <c r="F32" s="246">
        <v>1</v>
      </c>
      <c r="G32" s="151" t="s">
        <v>191</v>
      </c>
      <c r="H32" s="56">
        <v>100</v>
      </c>
      <c r="I32" s="56">
        <v>98</v>
      </c>
      <c r="J32" s="56">
        <v>238</v>
      </c>
      <c r="K32" s="268">
        <f t="shared" si="0"/>
        <v>2.3319999999999999</v>
      </c>
      <c r="L32" s="56">
        <v>295</v>
      </c>
      <c r="M32" s="238">
        <f t="shared" si="3"/>
        <v>365</v>
      </c>
      <c r="N32" s="27" t="s">
        <v>192</v>
      </c>
      <c r="O32" s="25" t="s">
        <v>193</v>
      </c>
      <c r="P32" s="270" t="s">
        <v>194</v>
      </c>
      <c r="Q32" s="28"/>
      <c r="R32" s="265"/>
      <c r="S32" s="29"/>
      <c r="T32" s="266"/>
      <c r="U32" s="76"/>
    </row>
    <row r="33" spans="1:21" s="77" customFormat="1" ht="25.35" customHeight="1">
      <c r="A33" s="304">
        <v>20</v>
      </c>
      <c r="B33" s="305"/>
      <c r="C33" s="306" t="s">
        <v>115</v>
      </c>
      <c r="D33" s="219" t="s">
        <v>93</v>
      </c>
      <c r="E33" s="305" t="s">
        <v>190</v>
      </c>
      <c r="F33" s="307">
        <v>1</v>
      </c>
      <c r="G33" s="305" t="s">
        <v>191</v>
      </c>
      <c r="H33" s="238">
        <v>100</v>
      </c>
      <c r="I33" s="238">
        <v>122</v>
      </c>
      <c r="J33" s="238">
        <v>238</v>
      </c>
      <c r="K33" s="268">
        <f t="shared" si="0"/>
        <v>2.9039999999999999</v>
      </c>
      <c r="L33" s="238">
        <v>350</v>
      </c>
      <c r="M33" s="238">
        <f>L33+90</f>
        <v>440</v>
      </c>
      <c r="N33" s="270" t="s">
        <v>192</v>
      </c>
      <c r="O33" s="25" t="s">
        <v>193</v>
      </c>
      <c r="P33" s="270" t="s">
        <v>194</v>
      </c>
      <c r="Q33" s="308"/>
      <c r="R33" s="265"/>
      <c r="S33" s="29"/>
      <c r="T33" s="266"/>
      <c r="U33" s="76"/>
    </row>
    <row r="34" spans="1:21" s="77" customFormat="1" ht="25.35" customHeight="1">
      <c r="A34" s="304">
        <v>21</v>
      </c>
      <c r="B34" s="305"/>
      <c r="C34" s="306" t="s">
        <v>116</v>
      </c>
      <c r="D34" s="219" t="s">
        <v>93</v>
      </c>
      <c r="E34" s="305" t="s">
        <v>190</v>
      </c>
      <c r="F34" s="307">
        <v>1</v>
      </c>
      <c r="G34" s="305" t="s">
        <v>191</v>
      </c>
      <c r="H34" s="238">
        <v>100</v>
      </c>
      <c r="I34" s="238">
        <v>122</v>
      </c>
      <c r="J34" s="238">
        <v>238</v>
      </c>
      <c r="K34" s="268">
        <f t="shared" si="0"/>
        <v>2.9039999999999999</v>
      </c>
      <c r="L34" s="238">
        <v>345.1</v>
      </c>
      <c r="M34" s="238">
        <f t="shared" ref="M34:M42" si="4">L34+90</f>
        <v>435.1</v>
      </c>
      <c r="N34" s="270" t="s">
        <v>192</v>
      </c>
      <c r="O34" s="25" t="s">
        <v>193</v>
      </c>
      <c r="P34" s="270" t="s">
        <v>194</v>
      </c>
      <c r="Q34" s="308"/>
      <c r="R34" s="265"/>
      <c r="S34" s="29"/>
      <c r="T34" s="266"/>
      <c r="U34" s="76"/>
    </row>
    <row r="35" spans="1:21" s="77" customFormat="1" ht="25.35" customHeight="1">
      <c r="A35" s="304">
        <v>22</v>
      </c>
      <c r="B35" s="305"/>
      <c r="C35" s="306" t="s">
        <v>117</v>
      </c>
      <c r="D35" s="219" t="s">
        <v>93</v>
      </c>
      <c r="E35" s="305" t="s">
        <v>190</v>
      </c>
      <c r="F35" s="307">
        <v>1</v>
      </c>
      <c r="G35" s="305" t="s">
        <v>191</v>
      </c>
      <c r="H35" s="238">
        <v>100</v>
      </c>
      <c r="I35" s="238">
        <v>122</v>
      </c>
      <c r="J35" s="238">
        <v>238</v>
      </c>
      <c r="K35" s="268">
        <f t="shared" si="0"/>
        <v>2.9039999999999999</v>
      </c>
      <c r="L35" s="238">
        <v>340</v>
      </c>
      <c r="M35" s="238">
        <f t="shared" si="4"/>
        <v>430</v>
      </c>
      <c r="N35" s="270" t="s">
        <v>192</v>
      </c>
      <c r="O35" s="25" t="s">
        <v>193</v>
      </c>
      <c r="P35" s="270" t="s">
        <v>194</v>
      </c>
      <c r="Q35" s="308"/>
      <c r="R35" s="265"/>
      <c r="S35" s="29"/>
      <c r="T35" s="266"/>
      <c r="U35" s="76"/>
    </row>
    <row r="36" spans="1:21" s="77" customFormat="1" ht="25.35" customHeight="1">
      <c r="A36" s="304">
        <v>23</v>
      </c>
      <c r="B36" s="305"/>
      <c r="C36" s="306" t="s">
        <v>118</v>
      </c>
      <c r="D36" s="219" t="s">
        <v>93</v>
      </c>
      <c r="E36" s="305" t="s">
        <v>190</v>
      </c>
      <c r="F36" s="307">
        <v>1</v>
      </c>
      <c r="G36" s="305" t="s">
        <v>191</v>
      </c>
      <c r="H36" s="238">
        <v>100</v>
      </c>
      <c r="I36" s="238">
        <v>122</v>
      </c>
      <c r="J36" s="238">
        <v>238</v>
      </c>
      <c r="K36" s="268">
        <f t="shared" si="0"/>
        <v>2.9039999999999999</v>
      </c>
      <c r="L36" s="238">
        <v>345</v>
      </c>
      <c r="M36" s="238">
        <f t="shared" si="4"/>
        <v>435</v>
      </c>
      <c r="N36" s="270" t="s">
        <v>192</v>
      </c>
      <c r="O36" s="25" t="s">
        <v>193</v>
      </c>
      <c r="P36" s="270" t="s">
        <v>194</v>
      </c>
      <c r="Q36" s="308"/>
      <c r="R36" s="265"/>
      <c r="S36" s="29"/>
      <c r="T36" s="266"/>
      <c r="U36" s="76"/>
    </row>
    <row r="37" spans="1:21" s="77" customFormat="1" ht="25.35" customHeight="1">
      <c r="A37" s="149">
        <v>24</v>
      </c>
      <c r="B37" s="151"/>
      <c r="C37" s="121" t="s">
        <v>119</v>
      </c>
      <c r="D37" s="219" t="s">
        <v>93</v>
      </c>
      <c r="E37" s="151" t="s">
        <v>190</v>
      </c>
      <c r="F37" s="246">
        <v>1</v>
      </c>
      <c r="G37" s="151" t="s">
        <v>191</v>
      </c>
      <c r="H37" s="56">
        <v>100</v>
      </c>
      <c r="I37" s="56">
        <v>122</v>
      </c>
      <c r="J37" s="56">
        <v>238</v>
      </c>
      <c r="K37" s="268">
        <f t="shared" si="0"/>
        <v>2.9039999999999999</v>
      </c>
      <c r="L37" s="56">
        <v>342</v>
      </c>
      <c r="M37" s="238">
        <f t="shared" si="4"/>
        <v>432</v>
      </c>
      <c r="N37" s="27" t="s">
        <v>192</v>
      </c>
      <c r="O37" s="25" t="s">
        <v>193</v>
      </c>
      <c r="P37" s="270" t="s">
        <v>194</v>
      </c>
      <c r="Q37" s="28"/>
      <c r="R37" s="265"/>
      <c r="S37" s="29"/>
      <c r="T37" s="266"/>
      <c r="U37" s="76"/>
    </row>
    <row r="38" spans="1:21" s="77" customFormat="1" ht="25.35" customHeight="1">
      <c r="A38" s="149">
        <v>25</v>
      </c>
      <c r="B38" s="151"/>
      <c r="C38" s="121" t="s">
        <v>120</v>
      </c>
      <c r="D38" s="219" t="s">
        <v>93</v>
      </c>
      <c r="E38" s="151" t="s">
        <v>190</v>
      </c>
      <c r="F38" s="246">
        <v>1</v>
      </c>
      <c r="G38" s="151" t="s">
        <v>191</v>
      </c>
      <c r="H38" s="56">
        <v>100</v>
      </c>
      <c r="I38" s="56">
        <v>122</v>
      </c>
      <c r="J38" s="56">
        <v>238</v>
      </c>
      <c r="K38" s="268">
        <f t="shared" si="0"/>
        <v>2.9039999999999999</v>
      </c>
      <c r="L38" s="56">
        <v>319</v>
      </c>
      <c r="M38" s="238">
        <f t="shared" si="4"/>
        <v>409</v>
      </c>
      <c r="N38" s="27" t="s">
        <v>192</v>
      </c>
      <c r="O38" s="25" t="s">
        <v>193</v>
      </c>
      <c r="P38" s="270" t="s">
        <v>194</v>
      </c>
      <c r="Q38" s="28"/>
      <c r="R38" s="265"/>
      <c r="S38" s="29"/>
      <c r="T38" s="266"/>
      <c r="U38" s="76"/>
    </row>
    <row r="39" spans="1:21" s="77" customFormat="1" ht="25.35" customHeight="1">
      <c r="A39" s="149">
        <v>26</v>
      </c>
      <c r="B39" s="151"/>
      <c r="C39" s="121" t="s">
        <v>121</v>
      </c>
      <c r="D39" s="219" t="s">
        <v>93</v>
      </c>
      <c r="E39" s="151" t="s">
        <v>190</v>
      </c>
      <c r="F39" s="246">
        <v>1</v>
      </c>
      <c r="G39" s="151" t="s">
        <v>191</v>
      </c>
      <c r="H39" s="56">
        <v>100</v>
      </c>
      <c r="I39" s="56">
        <v>122</v>
      </c>
      <c r="J39" s="56">
        <v>238</v>
      </c>
      <c r="K39" s="268">
        <f t="shared" si="0"/>
        <v>2.9039999999999999</v>
      </c>
      <c r="L39" s="56">
        <v>404</v>
      </c>
      <c r="M39" s="238">
        <f t="shared" si="4"/>
        <v>494</v>
      </c>
      <c r="N39" s="27" t="s">
        <v>192</v>
      </c>
      <c r="O39" s="25" t="s">
        <v>193</v>
      </c>
      <c r="P39" s="270" t="s">
        <v>194</v>
      </c>
      <c r="Q39" s="28"/>
      <c r="R39" s="265"/>
      <c r="S39" s="29"/>
      <c r="T39" s="266"/>
      <c r="U39" s="76"/>
    </row>
    <row r="40" spans="1:21" s="77" customFormat="1" ht="25.35" customHeight="1">
      <c r="A40" s="149">
        <v>27</v>
      </c>
      <c r="B40" s="151"/>
      <c r="C40" s="121" t="s">
        <v>122</v>
      </c>
      <c r="D40" s="219" t="s">
        <v>93</v>
      </c>
      <c r="E40" s="151" t="s">
        <v>190</v>
      </c>
      <c r="F40" s="246">
        <v>1</v>
      </c>
      <c r="G40" s="151" t="s">
        <v>191</v>
      </c>
      <c r="H40" s="56">
        <v>100</v>
      </c>
      <c r="I40" s="56">
        <v>122</v>
      </c>
      <c r="J40" s="56">
        <v>238</v>
      </c>
      <c r="K40" s="268">
        <f t="shared" si="0"/>
        <v>2.9039999999999999</v>
      </c>
      <c r="L40" s="56">
        <v>390</v>
      </c>
      <c r="M40" s="238">
        <f t="shared" si="4"/>
        <v>480</v>
      </c>
      <c r="N40" s="27" t="s">
        <v>192</v>
      </c>
      <c r="O40" s="25" t="s">
        <v>193</v>
      </c>
      <c r="P40" s="270" t="s">
        <v>194</v>
      </c>
      <c r="Q40" s="28"/>
      <c r="R40" s="265"/>
      <c r="S40" s="29"/>
      <c r="T40" s="266"/>
      <c r="U40" s="76"/>
    </row>
    <row r="41" spans="1:21" s="77" customFormat="1" ht="25.35" customHeight="1">
      <c r="A41" s="149">
        <v>28</v>
      </c>
      <c r="B41" s="151"/>
      <c r="C41" s="121" t="s">
        <v>123</v>
      </c>
      <c r="D41" s="219" t="s">
        <v>93</v>
      </c>
      <c r="E41" s="151" t="s">
        <v>190</v>
      </c>
      <c r="F41" s="246">
        <v>1</v>
      </c>
      <c r="G41" s="151" t="s">
        <v>191</v>
      </c>
      <c r="H41" s="56">
        <v>100</v>
      </c>
      <c r="I41" s="56">
        <v>122</v>
      </c>
      <c r="J41" s="56">
        <v>238</v>
      </c>
      <c r="K41" s="268">
        <f t="shared" si="0"/>
        <v>2.9039999999999999</v>
      </c>
      <c r="L41" s="56">
        <v>386</v>
      </c>
      <c r="M41" s="238">
        <f t="shared" si="4"/>
        <v>476</v>
      </c>
      <c r="N41" s="27" t="s">
        <v>192</v>
      </c>
      <c r="O41" s="25" t="s">
        <v>193</v>
      </c>
      <c r="P41" s="270" t="s">
        <v>194</v>
      </c>
      <c r="Q41" s="28"/>
      <c r="R41" s="265"/>
      <c r="S41" s="29"/>
      <c r="T41" s="266"/>
      <c r="U41" s="76"/>
    </row>
    <row r="42" spans="1:21" s="77" customFormat="1" ht="25.35" customHeight="1">
      <c r="A42" s="149">
        <v>29</v>
      </c>
      <c r="B42" s="151"/>
      <c r="C42" s="121" t="s">
        <v>124</v>
      </c>
      <c r="D42" s="219" t="s">
        <v>93</v>
      </c>
      <c r="E42" s="151" t="s">
        <v>190</v>
      </c>
      <c r="F42" s="246">
        <v>1</v>
      </c>
      <c r="G42" s="151" t="s">
        <v>191</v>
      </c>
      <c r="H42" s="56">
        <v>100</v>
      </c>
      <c r="I42" s="56">
        <v>122</v>
      </c>
      <c r="J42" s="56">
        <v>238</v>
      </c>
      <c r="K42" s="268">
        <f t="shared" si="0"/>
        <v>2.9039999999999999</v>
      </c>
      <c r="L42" s="56">
        <v>373</v>
      </c>
      <c r="M42" s="238">
        <f t="shared" si="4"/>
        <v>463</v>
      </c>
      <c r="N42" s="27" t="s">
        <v>192</v>
      </c>
      <c r="O42" s="25" t="s">
        <v>193</v>
      </c>
      <c r="P42" s="270" t="s">
        <v>194</v>
      </c>
      <c r="Q42" s="28"/>
      <c r="R42" s="265"/>
      <c r="S42" s="29"/>
      <c r="T42" s="266"/>
      <c r="U42" s="76"/>
    </row>
    <row r="43" spans="1:21" s="77" customFormat="1" ht="25.35" customHeight="1">
      <c r="A43" s="149">
        <v>30</v>
      </c>
      <c r="B43" s="151"/>
      <c r="C43" s="121" t="s">
        <v>125</v>
      </c>
      <c r="D43" s="219" t="s">
        <v>126</v>
      </c>
      <c r="E43" s="151" t="s">
        <v>190</v>
      </c>
      <c r="F43" s="246">
        <v>1</v>
      </c>
      <c r="G43" s="151" t="s">
        <v>191</v>
      </c>
      <c r="H43" s="56">
        <v>140</v>
      </c>
      <c r="I43" s="56">
        <v>120</v>
      </c>
      <c r="J43" s="56">
        <v>90</v>
      </c>
      <c r="K43" s="268">
        <f t="shared" si="0"/>
        <v>1.512</v>
      </c>
      <c r="L43" s="56">
        <v>150</v>
      </c>
      <c r="M43" s="238">
        <f>L43+50</f>
        <v>200</v>
      </c>
      <c r="N43" s="27" t="s">
        <v>192</v>
      </c>
      <c r="O43" s="25" t="s">
        <v>193</v>
      </c>
      <c r="P43" s="270" t="s">
        <v>195</v>
      </c>
      <c r="Q43" s="28"/>
      <c r="R43" s="265"/>
      <c r="S43" s="29"/>
      <c r="T43" s="266"/>
      <c r="U43" s="76"/>
    </row>
    <row r="44" spans="1:21" s="77" customFormat="1" ht="25.35" customHeight="1">
      <c r="A44" s="149">
        <v>31</v>
      </c>
      <c r="B44" s="151"/>
      <c r="C44" s="121" t="s">
        <v>196</v>
      </c>
      <c r="D44" s="219" t="s">
        <v>128</v>
      </c>
      <c r="E44" s="151" t="s">
        <v>190</v>
      </c>
      <c r="F44" s="246">
        <v>1</v>
      </c>
      <c r="G44" s="151" t="s">
        <v>191</v>
      </c>
      <c r="H44" s="56">
        <v>122</v>
      </c>
      <c r="I44" s="56">
        <v>110</v>
      </c>
      <c r="J44" s="56">
        <v>125</v>
      </c>
      <c r="K44" s="268">
        <f t="shared" si="0"/>
        <v>1.6779999999999999</v>
      </c>
      <c r="L44" s="56">
        <f>'Detail PL'!K75</f>
        <v>140</v>
      </c>
      <c r="M44" s="56">
        <f>L44+60</f>
        <v>200</v>
      </c>
      <c r="N44" s="27" t="s">
        <v>192</v>
      </c>
      <c r="O44" s="25" t="s">
        <v>193</v>
      </c>
      <c r="P44" s="270" t="s">
        <v>195</v>
      </c>
      <c r="Q44" s="28"/>
      <c r="R44" s="265"/>
      <c r="S44" s="29"/>
      <c r="T44" s="266"/>
      <c r="U44" s="76"/>
    </row>
    <row r="45" spans="1:21" s="77" customFormat="1" ht="25.35" customHeight="1">
      <c r="A45" s="149">
        <v>32</v>
      </c>
      <c r="B45" s="151"/>
      <c r="C45" s="121" t="s">
        <v>129</v>
      </c>
      <c r="D45" s="219" t="s">
        <v>130</v>
      </c>
      <c r="E45" s="151" t="s">
        <v>190</v>
      </c>
      <c r="F45" s="246">
        <v>1</v>
      </c>
      <c r="G45" s="151" t="s">
        <v>191</v>
      </c>
      <c r="H45" s="56">
        <v>130</v>
      </c>
      <c r="I45" s="56">
        <v>100</v>
      </c>
      <c r="J45" s="56">
        <v>135</v>
      </c>
      <c r="K45" s="268">
        <f t="shared" si="0"/>
        <v>1.7549999999999999</v>
      </c>
      <c r="L45" s="56">
        <v>120</v>
      </c>
      <c r="M45" s="56">
        <f t="shared" ref="M45:M49" si="5">L45+60</f>
        <v>180</v>
      </c>
      <c r="N45" s="27" t="s">
        <v>192</v>
      </c>
      <c r="O45" s="25" t="s">
        <v>193</v>
      </c>
      <c r="P45" s="270" t="s">
        <v>195</v>
      </c>
      <c r="Q45" s="28"/>
      <c r="R45" s="265"/>
      <c r="S45" s="29"/>
      <c r="T45" s="266"/>
      <c r="U45" s="76"/>
    </row>
    <row r="46" spans="1:21" s="77" customFormat="1" ht="25.35" customHeight="1">
      <c r="A46" s="149">
        <v>33</v>
      </c>
      <c r="B46" s="151"/>
      <c r="C46" s="121" t="s">
        <v>131</v>
      </c>
      <c r="D46" s="219" t="s">
        <v>132</v>
      </c>
      <c r="E46" s="151" t="s">
        <v>190</v>
      </c>
      <c r="F46" s="246">
        <v>1</v>
      </c>
      <c r="G46" s="151" t="s">
        <v>191</v>
      </c>
      <c r="H46" s="56">
        <v>190</v>
      </c>
      <c r="I46" s="56">
        <v>190</v>
      </c>
      <c r="J46" s="56">
        <v>120</v>
      </c>
      <c r="K46" s="268">
        <f t="shared" si="0"/>
        <v>4.3319999999999999</v>
      </c>
      <c r="L46" s="56">
        <v>120</v>
      </c>
      <c r="M46" s="56">
        <v>290</v>
      </c>
      <c r="N46" s="27" t="s">
        <v>192</v>
      </c>
      <c r="O46" s="25" t="s">
        <v>193</v>
      </c>
      <c r="P46" s="270" t="s">
        <v>195</v>
      </c>
      <c r="Q46" s="28"/>
      <c r="R46" s="265"/>
      <c r="S46" s="29"/>
      <c r="T46" s="266"/>
      <c r="U46" s="76"/>
    </row>
    <row r="47" spans="1:21" s="77" customFormat="1" ht="25.35" customHeight="1">
      <c r="A47" s="149">
        <v>34</v>
      </c>
      <c r="B47" s="151"/>
      <c r="C47" s="121" t="s">
        <v>133</v>
      </c>
      <c r="D47" s="219" t="s">
        <v>132</v>
      </c>
      <c r="E47" s="151" t="s">
        <v>190</v>
      </c>
      <c r="F47" s="246">
        <v>1</v>
      </c>
      <c r="G47" s="151" t="s">
        <v>191</v>
      </c>
      <c r="H47" s="56">
        <v>130</v>
      </c>
      <c r="I47" s="56">
        <v>100</v>
      </c>
      <c r="J47" s="56">
        <v>135</v>
      </c>
      <c r="K47" s="268">
        <f t="shared" si="0"/>
        <v>1.7549999999999999</v>
      </c>
      <c r="L47" s="56">
        <v>120</v>
      </c>
      <c r="M47" s="56">
        <f t="shared" si="5"/>
        <v>180</v>
      </c>
      <c r="N47" s="27" t="s">
        <v>192</v>
      </c>
      <c r="O47" s="25" t="s">
        <v>193</v>
      </c>
      <c r="P47" s="270" t="s">
        <v>195</v>
      </c>
      <c r="Q47" s="28"/>
      <c r="R47" s="265"/>
      <c r="S47" s="29"/>
      <c r="T47" s="266"/>
      <c r="U47" s="76"/>
    </row>
    <row r="48" spans="1:21" s="77" customFormat="1" ht="25.35" customHeight="1">
      <c r="A48" s="149">
        <v>35</v>
      </c>
      <c r="B48" s="151"/>
      <c r="C48" s="121" t="s">
        <v>134</v>
      </c>
      <c r="D48" s="219" t="s">
        <v>132</v>
      </c>
      <c r="E48" s="151" t="s">
        <v>190</v>
      </c>
      <c r="F48" s="246">
        <v>1</v>
      </c>
      <c r="G48" s="151" t="s">
        <v>191</v>
      </c>
      <c r="H48" s="56">
        <v>130</v>
      </c>
      <c r="I48" s="56">
        <v>100</v>
      </c>
      <c r="J48" s="56">
        <v>135</v>
      </c>
      <c r="K48" s="268">
        <f t="shared" si="0"/>
        <v>1.7549999999999999</v>
      </c>
      <c r="L48" s="56">
        <v>120</v>
      </c>
      <c r="M48" s="56">
        <f t="shared" si="5"/>
        <v>180</v>
      </c>
      <c r="N48" s="27" t="s">
        <v>192</v>
      </c>
      <c r="O48" s="25" t="s">
        <v>193</v>
      </c>
      <c r="P48" s="270" t="s">
        <v>195</v>
      </c>
      <c r="Q48" s="28"/>
      <c r="R48" s="265"/>
      <c r="S48" s="29"/>
      <c r="T48" s="266"/>
      <c r="U48" s="76"/>
    </row>
    <row r="49" spans="1:21" s="77" customFormat="1" ht="25.35" customHeight="1">
      <c r="A49" s="149">
        <v>36</v>
      </c>
      <c r="B49" s="151"/>
      <c r="C49" s="121" t="s">
        <v>197</v>
      </c>
      <c r="D49" s="219" t="s">
        <v>136</v>
      </c>
      <c r="E49" s="151" t="s">
        <v>198</v>
      </c>
      <c r="F49" s="246">
        <v>1</v>
      </c>
      <c r="G49" s="151" t="s">
        <v>191</v>
      </c>
      <c r="H49" s="56">
        <f>'Detail PL'!G161</f>
        <v>130</v>
      </c>
      <c r="I49" s="56">
        <f>'Detail PL'!H161</f>
        <v>100</v>
      </c>
      <c r="J49" s="56">
        <f>'Detail PL'!I161</f>
        <v>135</v>
      </c>
      <c r="K49" s="56">
        <f>'Detail PL'!J161</f>
        <v>1.7549999999999999</v>
      </c>
      <c r="L49" s="56">
        <f>'Detail PL'!K161</f>
        <v>120</v>
      </c>
      <c r="M49" s="56">
        <f t="shared" si="5"/>
        <v>180</v>
      </c>
      <c r="N49" s="27" t="s">
        <v>192</v>
      </c>
      <c r="O49" s="25" t="s">
        <v>193</v>
      </c>
      <c r="P49" s="270" t="s">
        <v>195</v>
      </c>
      <c r="Q49" s="28"/>
      <c r="R49" s="265"/>
      <c r="S49" s="29"/>
      <c r="T49" s="266"/>
      <c r="U49" s="76"/>
    </row>
    <row r="50" spans="1:21" s="33" customFormat="1" ht="28.35" customHeight="1" thickBot="1">
      <c r="A50" s="432" t="s">
        <v>199</v>
      </c>
      <c r="B50" s="433"/>
      <c r="C50" s="433"/>
      <c r="D50" s="433"/>
      <c r="E50" s="433"/>
      <c r="F50" s="251">
        <f>SUM(F14:F49)</f>
        <v>36</v>
      </c>
      <c r="G50" s="218"/>
      <c r="H50" s="117"/>
      <c r="I50" s="117"/>
      <c r="J50" s="117"/>
      <c r="K50" s="117">
        <f>SUM(K14:K49)</f>
        <v>140.23799999999989</v>
      </c>
      <c r="L50" s="117">
        <f>SUM(L14:L49)</f>
        <v>17516.099999999999</v>
      </c>
      <c r="M50" s="117">
        <f>SUM(M14:M49)</f>
        <v>21866.1</v>
      </c>
      <c r="N50" s="198"/>
      <c r="O50" s="199"/>
      <c r="P50" s="205"/>
      <c r="Q50" s="31"/>
      <c r="R50" s="31"/>
      <c r="S50" s="31"/>
      <c r="T50" s="32"/>
      <c r="U50" s="32"/>
    </row>
    <row r="51" spans="1:21" s="9" customFormat="1" ht="22.5" customHeight="1">
      <c r="A51" s="5"/>
      <c r="B51" s="5"/>
      <c r="C51" s="8"/>
      <c r="D51" s="8"/>
      <c r="E51" s="34"/>
      <c r="F51" s="247"/>
      <c r="G51" s="8"/>
      <c r="H51" s="57"/>
      <c r="I51" s="57"/>
      <c r="J51" s="59"/>
      <c r="K51" s="59"/>
      <c r="L51" s="57"/>
      <c r="M51" s="239"/>
      <c r="N51" s="36"/>
      <c r="O51" s="38"/>
      <c r="P51" s="19"/>
      <c r="Q51" s="39"/>
      <c r="R51" s="39"/>
      <c r="S51" s="39"/>
      <c r="T51" s="11"/>
      <c r="U51" s="11"/>
    </row>
    <row r="52" spans="1:21" s="9" customFormat="1" ht="12" customHeight="1">
      <c r="A52" s="5"/>
      <c r="B52" s="5"/>
      <c r="C52" s="8"/>
      <c r="D52" s="8"/>
      <c r="F52" s="247"/>
      <c r="G52" s="8"/>
      <c r="H52" s="57"/>
      <c r="I52" s="57"/>
      <c r="J52" s="59"/>
      <c r="K52" s="59"/>
      <c r="L52" s="57"/>
      <c r="M52" s="239"/>
      <c r="N52" s="36"/>
      <c r="O52" s="38"/>
      <c r="P52" s="19"/>
      <c r="Q52" s="6"/>
      <c r="R52" s="6"/>
      <c r="S52" s="6"/>
      <c r="T52" s="11"/>
      <c r="U52" s="11"/>
    </row>
    <row r="53" spans="1:21" s="9" customFormat="1" ht="22.5" customHeight="1">
      <c r="A53" s="5"/>
      <c r="B53" s="5"/>
      <c r="C53" s="8"/>
      <c r="D53" s="8"/>
      <c r="F53" s="247"/>
      <c r="G53" s="8"/>
      <c r="H53" s="57"/>
      <c r="I53" s="57"/>
      <c r="J53" s="59"/>
      <c r="K53" s="59"/>
      <c r="L53" s="57"/>
      <c r="M53" s="239"/>
      <c r="N53" s="36"/>
      <c r="O53" s="38"/>
      <c r="P53" s="19"/>
      <c r="Q53" s="6"/>
      <c r="R53" s="6"/>
      <c r="S53" s="6"/>
      <c r="T53" s="11"/>
      <c r="U53" s="11"/>
    </row>
    <row r="54" spans="1:21" s="9" customFormat="1" ht="12" customHeight="1">
      <c r="A54" s="5"/>
      <c r="B54" s="5"/>
      <c r="C54" s="8"/>
      <c r="D54" s="8"/>
      <c r="F54" s="247"/>
      <c r="G54" s="8"/>
      <c r="H54" s="57"/>
      <c r="I54" s="57"/>
      <c r="J54" s="59"/>
      <c r="K54" s="59"/>
      <c r="L54" s="57"/>
      <c r="M54" s="239"/>
      <c r="N54" s="36"/>
      <c r="O54" s="38"/>
      <c r="P54" s="19"/>
      <c r="Q54" s="6"/>
      <c r="R54" s="6"/>
      <c r="S54" s="6"/>
      <c r="T54" s="11"/>
      <c r="U54" s="11"/>
    </row>
    <row r="55" spans="1:21" s="9" customFormat="1" ht="12" customHeight="1">
      <c r="A55" s="5"/>
      <c r="B55" s="5"/>
      <c r="C55" s="8"/>
      <c r="D55" s="8"/>
      <c r="F55" s="248"/>
      <c r="G55" s="41"/>
      <c r="H55" s="57"/>
      <c r="I55" s="57"/>
      <c r="J55" s="59"/>
      <c r="K55" s="59"/>
      <c r="L55" s="57"/>
      <c r="M55" s="239"/>
      <c r="N55" s="36"/>
      <c r="O55" s="38"/>
      <c r="P55" s="19"/>
      <c r="Q55" s="6"/>
      <c r="R55" s="6"/>
      <c r="S55" s="6"/>
      <c r="T55" s="11"/>
      <c r="U55" s="11"/>
    </row>
    <row r="56" spans="1:21" s="9" customFormat="1" ht="12" customHeight="1">
      <c r="A56" s="5"/>
      <c r="B56" s="5"/>
      <c r="C56" s="8"/>
      <c r="D56" s="8"/>
      <c r="F56" s="248"/>
      <c r="G56" s="41"/>
      <c r="H56" s="57"/>
      <c r="I56" s="57"/>
      <c r="J56" s="59"/>
      <c r="K56" s="59"/>
      <c r="L56" s="57"/>
      <c r="M56" s="239"/>
      <c r="N56" s="36"/>
      <c r="O56" s="38"/>
      <c r="P56" s="19"/>
      <c r="Q56" s="6"/>
      <c r="R56" s="6"/>
      <c r="S56" s="6"/>
      <c r="T56" s="11"/>
      <c r="U56" s="11"/>
    </row>
    <row r="57" spans="1:21" s="9" customFormat="1" ht="12" customHeight="1">
      <c r="A57" s="5"/>
      <c r="B57" s="5"/>
      <c r="C57" s="8"/>
      <c r="D57" s="8"/>
      <c r="F57" s="248"/>
      <c r="G57" s="41"/>
      <c r="H57" s="57"/>
      <c r="I57" s="57"/>
      <c r="J57" s="59"/>
      <c r="K57" s="59"/>
      <c r="L57" s="57"/>
      <c r="M57" s="239"/>
      <c r="N57" s="36"/>
      <c r="O57" s="38"/>
      <c r="P57" s="19"/>
      <c r="Q57" s="6"/>
      <c r="R57" s="6"/>
      <c r="S57" s="6"/>
      <c r="T57" s="11"/>
      <c r="U57" s="11"/>
    </row>
    <row r="58" spans="1:21" s="45" customFormat="1" ht="29.25" customHeight="1">
      <c r="A58" s="10"/>
      <c r="B58" s="10"/>
      <c r="C58" s="10"/>
      <c r="D58" s="10"/>
      <c r="F58" s="248"/>
      <c r="G58" s="41"/>
      <c r="H58" s="58"/>
      <c r="I58" s="58"/>
      <c r="J58" s="81"/>
      <c r="K58" s="81"/>
      <c r="L58" s="58"/>
      <c r="M58" s="240"/>
      <c r="N58" s="43"/>
      <c r="O58" s="19"/>
      <c r="P58" s="19"/>
      <c r="Q58" s="6"/>
      <c r="R58" s="6"/>
      <c r="S58" s="6"/>
      <c r="T58" s="44"/>
      <c r="U58" s="44"/>
    </row>
    <row r="59" spans="1:21" s="45" customFormat="1" ht="29.25" customHeight="1">
      <c r="A59" s="10"/>
      <c r="B59" s="10"/>
      <c r="C59" s="10"/>
      <c r="D59" s="10"/>
      <c r="F59" s="248"/>
      <c r="G59" s="41"/>
      <c r="H59" s="58"/>
      <c r="I59" s="58"/>
      <c r="J59" s="81"/>
      <c r="K59" s="81"/>
      <c r="L59" s="58"/>
      <c r="M59" s="240"/>
      <c r="N59" s="43"/>
      <c r="O59" s="19"/>
      <c r="P59" s="19"/>
      <c r="Q59" s="6"/>
      <c r="R59" s="6"/>
      <c r="S59" s="6"/>
      <c r="T59" s="44"/>
      <c r="U59" s="44"/>
    </row>
    <row r="60" spans="1:21" s="9" customFormat="1" ht="12" customHeight="1">
      <c r="A60" s="5"/>
      <c r="B60" s="5"/>
      <c r="C60" s="8"/>
      <c r="D60" s="8"/>
      <c r="F60" s="248"/>
      <c r="G60" s="8"/>
      <c r="H60" s="57"/>
      <c r="I60" s="57"/>
      <c r="J60" s="59"/>
      <c r="K60" s="59"/>
      <c r="L60" s="57"/>
      <c r="M60" s="239"/>
      <c r="N60" s="36"/>
      <c r="O60" s="38"/>
      <c r="P60" s="19"/>
      <c r="Q60" s="6"/>
      <c r="R60" s="6"/>
      <c r="S60" s="6"/>
      <c r="T60" s="11"/>
      <c r="U60" s="11"/>
    </row>
    <row r="61" spans="1:21" s="9" customFormat="1" ht="18" customHeight="1">
      <c r="A61" s="5"/>
      <c r="B61" s="5"/>
      <c r="C61" s="8"/>
      <c r="D61" s="8"/>
      <c r="E61" s="5"/>
      <c r="F61" s="248"/>
      <c r="G61" s="8"/>
      <c r="H61" s="57"/>
      <c r="I61" s="57"/>
      <c r="J61" s="59"/>
      <c r="K61" s="59"/>
      <c r="L61" s="57"/>
      <c r="M61" s="239"/>
      <c r="N61" s="36"/>
      <c r="O61" s="38"/>
      <c r="P61" s="19"/>
      <c r="Q61" s="6"/>
      <c r="R61" s="6"/>
      <c r="S61" s="6"/>
      <c r="T61" s="11"/>
      <c r="U61" s="11"/>
    </row>
    <row r="62" spans="1:21" s="9" customFormat="1" ht="12" customHeight="1">
      <c r="A62" s="5"/>
      <c r="B62" s="5"/>
      <c r="C62" s="8"/>
      <c r="D62" s="8"/>
      <c r="E62" s="5"/>
      <c r="F62" s="248"/>
      <c r="G62" s="8"/>
      <c r="H62" s="57"/>
      <c r="I62" s="57"/>
      <c r="J62" s="59"/>
      <c r="K62" s="59"/>
      <c r="L62" s="57"/>
      <c r="M62" s="239"/>
      <c r="N62" s="36"/>
      <c r="O62" s="38"/>
      <c r="P62" s="19"/>
      <c r="Q62" s="6"/>
      <c r="R62" s="6"/>
      <c r="S62" s="6"/>
      <c r="T62" s="11"/>
      <c r="U62" s="11"/>
    </row>
    <row r="63" spans="1:21" s="9" customFormat="1" ht="12" customHeight="1">
      <c r="A63" s="5"/>
      <c r="B63" s="5"/>
      <c r="C63" s="8"/>
      <c r="D63" s="8"/>
      <c r="E63" s="5"/>
      <c r="F63" s="248"/>
      <c r="G63" s="8"/>
      <c r="H63" s="57"/>
      <c r="I63" s="57"/>
      <c r="J63" s="59"/>
      <c r="K63" s="59"/>
      <c r="L63" s="57"/>
      <c r="M63" s="239"/>
      <c r="N63" s="36"/>
      <c r="O63" s="38"/>
      <c r="P63" s="19"/>
      <c r="Q63" s="6"/>
      <c r="R63" s="6"/>
      <c r="S63" s="6"/>
      <c r="T63" s="11"/>
      <c r="U63" s="11"/>
    </row>
    <row r="64" spans="1:21" s="9" customFormat="1" ht="12" customHeight="1">
      <c r="A64" s="5"/>
      <c r="B64" s="5"/>
      <c r="C64" s="8"/>
      <c r="D64" s="8"/>
      <c r="E64" s="5"/>
      <c r="F64" s="248"/>
      <c r="G64" s="8"/>
      <c r="H64" s="57"/>
      <c r="I64" s="57"/>
      <c r="J64" s="59"/>
      <c r="K64" s="59"/>
      <c r="L64" s="57"/>
      <c r="M64" s="239"/>
      <c r="N64" s="36"/>
      <c r="O64" s="38"/>
      <c r="P64" s="19"/>
      <c r="Q64" s="6"/>
      <c r="R64" s="6"/>
      <c r="S64" s="6"/>
      <c r="T64" s="11"/>
      <c r="U64" s="11"/>
    </row>
    <row r="65" spans="1:21" s="9" customFormat="1" ht="12" customHeight="1">
      <c r="A65" s="5"/>
      <c r="B65" s="5"/>
      <c r="C65" s="8"/>
      <c r="D65" s="8"/>
      <c r="E65" s="5"/>
      <c r="F65" s="248"/>
      <c r="G65" s="8"/>
      <c r="H65" s="57"/>
      <c r="I65" s="57"/>
      <c r="J65" s="59"/>
      <c r="K65" s="59"/>
      <c r="L65" s="57"/>
      <c r="M65" s="239"/>
      <c r="N65" s="36"/>
      <c r="O65" s="38"/>
      <c r="P65" s="19"/>
      <c r="Q65" s="6"/>
      <c r="R65" s="6"/>
      <c r="S65" s="6"/>
      <c r="T65" s="11"/>
      <c r="U65" s="11"/>
    </row>
    <row r="66" spans="1:21" s="9" customFormat="1" ht="12" customHeight="1">
      <c r="A66" s="5"/>
      <c r="B66" s="5"/>
      <c r="C66" s="8"/>
      <c r="D66" s="8"/>
      <c r="E66" s="5"/>
      <c r="F66" s="248"/>
      <c r="G66" s="8"/>
      <c r="H66" s="57"/>
      <c r="I66" s="57"/>
      <c r="J66" s="59"/>
      <c r="K66" s="59"/>
      <c r="L66" s="57"/>
      <c r="M66" s="239"/>
      <c r="N66" s="36"/>
      <c r="O66" s="38"/>
      <c r="P66" s="19"/>
      <c r="Q66" s="6"/>
      <c r="R66" s="6"/>
      <c r="S66" s="6"/>
      <c r="T66" s="11"/>
      <c r="U66" s="11"/>
    </row>
    <row r="67" spans="1:21" s="9" customFormat="1" ht="13.5" customHeight="1">
      <c r="A67" s="5"/>
      <c r="B67" s="5"/>
      <c r="C67" s="8"/>
      <c r="D67" s="8"/>
      <c r="E67" s="5"/>
      <c r="F67" s="248"/>
      <c r="G67" s="8"/>
      <c r="H67" s="57"/>
      <c r="I67" s="57"/>
      <c r="J67" s="59"/>
      <c r="K67" s="59"/>
      <c r="L67" s="57"/>
      <c r="M67" s="239"/>
      <c r="N67" s="36"/>
      <c r="O67" s="38"/>
      <c r="P67" s="19"/>
      <c r="Q67" s="6"/>
      <c r="R67" s="6"/>
      <c r="S67" s="6"/>
      <c r="T67" s="11"/>
      <c r="U67" s="11"/>
    </row>
    <row r="68" spans="1:21" s="9" customFormat="1" ht="13.5" customHeight="1">
      <c r="A68" s="5"/>
      <c r="B68" s="5"/>
      <c r="C68" s="8"/>
      <c r="D68" s="8"/>
      <c r="E68" s="5"/>
      <c r="F68" s="248"/>
      <c r="G68" s="8"/>
      <c r="H68" s="57"/>
      <c r="I68" s="57"/>
      <c r="J68" s="59"/>
      <c r="K68" s="59"/>
      <c r="L68" s="57"/>
      <c r="M68" s="239"/>
      <c r="N68" s="36"/>
      <c r="O68" s="38"/>
      <c r="P68" s="19"/>
      <c r="Q68" s="6"/>
      <c r="R68" s="6"/>
      <c r="S68" s="6"/>
      <c r="T68" s="11"/>
      <c r="U68" s="11"/>
    </row>
    <row r="69" spans="1:21" s="9" customFormat="1" ht="13.5" customHeight="1">
      <c r="A69" s="5"/>
      <c r="B69" s="5"/>
      <c r="C69" s="8"/>
      <c r="D69" s="8"/>
      <c r="E69" s="5"/>
      <c r="F69" s="248"/>
      <c r="G69" s="8"/>
      <c r="H69" s="57"/>
      <c r="I69" s="57"/>
      <c r="J69" s="59"/>
      <c r="K69" s="59"/>
      <c r="L69" s="57"/>
      <c r="M69" s="239"/>
      <c r="N69" s="36"/>
      <c r="O69" s="38"/>
      <c r="P69" s="19"/>
      <c r="Q69" s="6"/>
      <c r="R69" s="6"/>
      <c r="S69" s="6"/>
      <c r="T69" s="11"/>
      <c r="U69" s="11"/>
    </row>
    <row r="70" spans="1:21" s="9" customFormat="1" ht="29.25" customHeight="1">
      <c r="A70" s="5"/>
      <c r="B70" s="5"/>
      <c r="C70" s="8"/>
      <c r="D70" s="8"/>
      <c r="E70" s="5"/>
      <c r="F70" s="248"/>
      <c r="G70" s="8"/>
      <c r="H70" s="57"/>
      <c r="I70" s="57"/>
      <c r="J70" s="59"/>
      <c r="K70" s="59"/>
      <c r="L70" s="57"/>
      <c r="M70" s="239"/>
      <c r="N70" s="36"/>
      <c r="O70" s="38"/>
      <c r="P70" s="19"/>
      <c r="Q70" s="6"/>
      <c r="R70" s="6"/>
      <c r="S70" s="6"/>
      <c r="T70" s="11"/>
      <c r="U70" s="11"/>
    </row>
    <row r="71" spans="1:21" s="9" customFormat="1" ht="13.5" customHeight="1">
      <c r="A71" s="5"/>
      <c r="B71" s="5"/>
      <c r="C71" s="8"/>
      <c r="D71" s="8"/>
      <c r="E71" s="5"/>
      <c r="F71" s="248"/>
      <c r="G71" s="8"/>
      <c r="H71" s="57"/>
      <c r="I71" s="57"/>
      <c r="J71" s="59"/>
      <c r="K71" s="59"/>
      <c r="L71" s="57"/>
      <c r="M71" s="239"/>
      <c r="N71" s="36"/>
      <c r="O71" s="38"/>
      <c r="P71" s="19"/>
      <c r="Q71" s="6"/>
      <c r="R71" s="6"/>
      <c r="S71" s="6"/>
      <c r="T71" s="11"/>
      <c r="U71" s="11"/>
    </row>
    <row r="72" spans="1:21" s="9" customFormat="1" ht="13.5" customHeight="1">
      <c r="A72" s="5"/>
      <c r="B72" s="5"/>
      <c r="C72" s="8"/>
      <c r="D72" s="8"/>
      <c r="E72" s="5"/>
      <c r="F72" s="248"/>
      <c r="G72" s="8"/>
      <c r="H72" s="57"/>
      <c r="I72" s="57"/>
      <c r="J72" s="59"/>
      <c r="K72" s="59"/>
      <c r="L72" s="57"/>
      <c r="M72" s="239"/>
      <c r="N72" s="36"/>
      <c r="O72" s="38"/>
      <c r="P72" s="19"/>
      <c r="Q72" s="6"/>
      <c r="R72" s="6"/>
      <c r="S72" s="6"/>
      <c r="T72" s="11"/>
      <c r="U72" s="11"/>
    </row>
    <row r="73" spans="1:21" s="9" customFormat="1" ht="13.5" customHeight="1">
      <c r="A73" s="5"/>
      <c r="B73" s="5"/>
      <c r="C73" s="8"/>
      <c r="D73" s="8"/>
      <c r="E73" s="5"/>
      <c r="F73" s="248"/>
      <c r="G73" s="8"/>
      <c r="H73" s="57"/>
      <c r="I73" s="57"/>
      <c r="J73" s="59"/>
      <c r="K73" s="59"/>
      <c r="L73" s="57"/>
      <c r="M73" s="239"/>
      <c r="N73" s="36"/>
      <c r="O73" s="38"/>
      <c r="P73" s="19"/>
      <c r="Q73" s="6"/>
      <c r="R73" s="6"/>
      <c r="S73" s="6"/>
      <c r="T73" s="11"/>
      <c r="U73" s="11"/>
    </row>
    <row r="74" spans="1:21" s="9" customFormat="1" ht="13.5" customHeight="1">
      <c r="A74" s="5"/>
      <c r="B74" s="5"/>
      <c r="C74" s="8"/>
      <c r="D74" s="8"/>
      <c r="E74" s="5"/>
      <c r="F74" s="248"/>
      <c r="G74" s="8"/>
      <c r="H74" s="57"/>
      <c r="I74" s="57"/>
      <c r="J74" s="59"/>
      <c r="K74" s="59"/>
      <c r="L74" s="57"/>
      <c r="M74" s="239"/>
      <c r="N74" s="36"/>
      <c r="O74" s="38"/>
      <c r="P74" s="19"/>
      <c r="Q74" s="6"/>
      <c r="R74" s="6"/>
      <c r="S74" s="6"/>
      <c r="T74" s="11"/>
      <c r="U74" s="11"/>
    </row>
    <row r="75" spans="1:21" s="9" customFormat="1" ht="13.5" customHeight="1">
      <c r="A75" s="5"/>
      <c r="B75" s="5"/>
      <c r="C75" s="8"/>
      <c r="D75" s="8"/>
      <c r="E75" s="5"/>
      <c r="F75" s="248"/>
      <c r="G75" s="8"/>
      <c r="H75" s="57"/>
      <c r="I75" s="57"/>
      <c r="J75" s="59"/>
      <c r="K75" s="59"/>
      <c r="L75" s="57"/>
      <c r="M75" s="239"/>
      <c r="N75" s="36"/>
      <c r="O75" s="38"/>
      <c r="P75" s="19"/>
      <c r="Q75" s="6"/>
      <c r="R75" s="6"/>
      <c r="S75" s="6"/>
      <c r="T75" s="11"/>
      <c r="U75" s="11"/>
    </row>
    <row r="76" spans="1:21" s="9" customFormat="1" ht="13.5" customHeight="1">
      <c r="A76" s="5"/>
      <c r="B76" s="5"/>
      <c r="C76" s="8"/>
      <c r="D76" s="8"/>
      <c r="E76" s="5"/>
      <c r="F76" s="248"/>
      <c r="G76" s="8"/>
      <c r="H76" s="57"/>
      <c r="I76" s="57"/>
      <c r="J76" s="59"/>
      <c r="K76" s="59"/>
      <c r="L76" s="57"/>
      <c r="M76" s="239"/>
      <c r="N76" s="36"/>
      <c r="O76" s="38"/>
      <c r="P76" s="19"/>
      <c r="Q76" s="6"/>
      <c r="R76" s="6"/>
      <c r="S76" s="6"/>
      <c r="T76" s="11"/>
      <c r="U76" s="11"/>
    </row>
    <row r="77" spans="1:21" s="9" customFormat="1" ht="13.5" customHeight="1">
      <c r="A77" s="5"/>
      <c r="B77" s="5"/>
      <c r="C77" s="8"/>
      <c r="D77" s="8"/>
      <c r="E77" s="5"/>
      <c r="F77" s="248"/>
      <c r="G77" s="8"/>
      <c r="H77" s="57"/>
      <c r="I77" s="57"/>
      <c r="J77" s="59"/>
      <c r="K77" s="59"/>
      <c r="L77" s="57"/>
      <c r="M77" s="239"/>
      <c r="N77" s="36"/>
      <c r="O77" s="38"/>
      <c r="P77" s="19"/>
      <c r="Q77" s="6"/>
      <c r="R77" s="6"/>
      <c r="S77" s="6"/>
      <c r="T77" s="11"/>
      <c r="U77" s="11"/>
    </row>
    <row r="78" spans="1:21" s="9" customFormat="1" ht="13.5" customHeight="1">
      <c r="A78" s="5"/>
      <c r="B78" s="5"/>
      <c r="C78" s="8"/>
      <c r="D78" s="8"/>
      <c r="E78" s="5"/>
      <c r="F78" s="248"/>
      <c r="G78" s="8"/>
      <c r="H78" s="57"/>
      <c r="I78" s="57"/>
      <c r="J78" s="59"/>
      <c r="K78" s="59"/>
      <c r="L78" s="57"/>
      <c r="M78" s="239"/>
      <c r="N78" s="36"/>
      <c r="O78" s="38"/>
      <c r="P78" s="19"/>
      <c r="Q78" s="6"/>
      <c r="R78" s="6"/>
      <c r="S78" s="6"/>
      <c r="T78" s="11"/>
      <c r="U78" s="11"/>
    </row>
    <row r="79" spans="1:21" s="9" customFormat="1" ht="13.5" customHeight="1">
      <c r="A79" s="5"/>
      <c r="B79" s="5"/>
      <c r="C79" s="8"/>
      <c r="D79" s="8"/>
      <c r="E79" s="5"/>
      <c r="F79" s="248"/>
      <c r="G79" s="8"/>
      <c r="H79" s="57"/>
      <c r="I79" s="57"/>
      <c r="J79" s="59"/>
      <c r="K79" s="59"/>
      <c r="L79" s="57"/>
      <c r="M79" s="239"/>
      <c r="N79" s="36"/>
      <c r="O79" s="38"/>
      <c r="P79" s="19"/>
      <c r="Q79" s="6"/>
      <c r="R79" s="6"/>
      <c r="S79" s="6"/>
      <c r="T79" s="11"/>
      <c r="U79" s="11"/>
    </row>
    <row r="80" spans="1:21" s="9" customFormat="1" ht="13.5" customHeight="1">
      <c r="A80" s="5"/>
      <c r="B80" s="5"/>
      <c r="C80" s="8"/>
      <c r="D80" s="8"/>
      <c r="E80" s="5"/>
      <c r="F80" s="248"/>
      <c r="G80" s="8"/>
      <c r="H80" s="57"/>
      <c r="I80" s="57"/>
      <c r="J80" s="59"/>
      <c r="K80" s="59"/>
      <c r="L80" s="57"/>
      <c r="M80" s="239"/>
      <c r="N80" s="36"/>
      <c r="O80" s="38"/>
      <c r="P80" s="19"/>
      <c r="Q80" s="6"/>
      <c r="R80" s="6"/>
      <c r="S80" s="6"/>
      <c r="T80" s="11"/>
      <c r="U80" s="11"/>
    </row>
    <row r="81" spans="1:21" s="9" customFormat="1" ht="13.5" customHeight="1">
      <c r="A81" s="5"/>
      <c r="B81" s="5"/>
      <c r="C81" s="8"/>
      <c r="D81" s="8"/>
      <c r="E81" s="5"/>
      <c r="F81" s="248"/>
      <c r="G81" s="8"/>
      <c r="H81" s="57"/>
      <c r="I81" s="57"/>
      <c r="J81" s="59"/>
      <c r="K81" s="59"/>
      <c r="L81" s="57"/>
      <c r="M81" s="239"/>
      <c r="N81" s="36"/>
      <c r="O81" s="38"/>
      <c r="P81" s="19"/>
      <c r="Q81" s="6"/>
      <c r="R81" s="6"/>
      <c r="S81" s="6"/>
      <c r="T81" s="11"/>
      <c r="U81" s="11"/>
    </row>
    <row r="82" spans="1:21" s="9" customFormat="1" ht="13.5" customHeight="1">
      <c r="A82" s="5"/>
      <c r="B82" s="5"/>
      <c r="C82" s="8"/>
      <c r="D82" s="8"/>
      <c r="E82" s="5"/>
      <c r="F82" s="248"/>
      <c r="G82" s="8"/>
      <c r="H82" s="57"/>
      <c r="I82" s="57"/>
      <c r="J82" s="59"/>
      <c r="K82" s="59"/>
      <c r="L82" s="57"/>
      <c r="M82" s="239"/>
      <c r="N82" s="36"/>
      <c r="O82" s="38"/>
      <c r="P82" s="19"/>
      <c r="Q82" s="6"/>
      <c r="R82" s="6"/>
      <c r="S82" s="6"/>
      <c r="T82" s="11"/>
      <c r="U82" s="11"/>
    </row>
    <row r="83" spans="1:21" s="9" customFormat="1" ht="13.5" customHeight="1">
      <c r="A83" s="5"/>
      <c r="B83" s="5"/>
      <c r="C83" s="8"/>
      <c r="D83" s="8"/>
      <c r="E83" s="5"/>
      <c r="F83" s="248"/>
      <c r="G83" s="8"/>
      <c r="H83" s="57"/>
      <c r="I83" s="57"/>
      <c r="J83" s="59"/>
      <c r="K83" s="59"/>
      <c r="L83" s="57"/>
      <c r="M83" s="239"/>
      <c r="N83" s="36"/>
      <c r="O83" s="38"/>
      <c r="P83" s="19"/>
      <c r="Q83" s="6"/>
      <c r="R83" s="6"/>
      <c r="S83" s="6"/>
      <c r="T83" s="11"/>
      <c r="U83" s="11"/>
    </row>
    <row r="84" spans="1:21" s="9" customFormat="1" ht="13.5" customHeight="1">
      <c r="A84" s="5"/>
      <c r="B84" s="5"/>
      <c r="C84" s="8"/>
      <c r="D84" s="8"/>
      <c r="E84" s="5"/>
      <c r="F84" s="248"/>
      <c r="G84" s="8"/>
      <c r="H84" s="57"/>
      <c r="I84" s="57"/>
      <c r="J84" s="59"/>
      <c r="K84" s="59"/>
      <c r="L84" s="57"/>
      <c r="M84" s="239"/>
      <c r="N84" s="36"/>
      <c r="O84" s="38"/>
      <c r="P84" s="19"/>
      <c r="Q84" s="6"/>
      <c r="R84" s="6"/>
      <c r="S84" s="6"/>
      <c r="T84" s="11"/>
      <c r="U84" s="11"/>
    </row>
    <row r="85" spans="1:21" s="9" customFormat="1" ht="13.5" customHeight="1">
      <c r="A85" s="5"/>
      <c r="B85" s="5"/>
      <c r="C85" s="8"/>
      <c r="D85" s="8"/>
      <c r="E85" s="5"/>
      <c r="F85" s="248"/>
      <c r="G85" s="8"/>
      <c r="H85" s="57"/>
      <c r="I85" s="57"/>
      <c r="J85" s="59"/>
      <c r="K85" s="59"/>
      <c r="L85" s="57"/>
      <c r="M85" s="239"/>
      <c r="N85" s="36"/>
      <c r="O85" s="38"/>
      <c r="P85" s="19"/>
      <c r="Q85" s="12"/>
      <c r="R85" s="12"/>
      <c r="S85" s="12"/>
      <c r="T85" s="11"/>
      <c r="U85" s="11"/>
    </row>
    <row r="86" spans="1:21" s="9" customFormat="1" ht="13.5" customHeight="1">
      <c r="A86" s="5"/>
      <c r="B86" s="5"/>
      <c r="C86" s="8"/>
      <c r="D86" s="8"/>
      <c r="E86" s="5"/>
      <c r="F86" s="248"/>
      <c r="G86" s="8"/>
      <c r="H86" s="57"/>
      <c r="I86" s="57"/>
      <c r="J86" s="59"/>
      <c r="K86" s="59"/>
      <c r="L86" s="57"/>
      <c r="M86" s="239"/>
      <c r="N86" s="36"/>
      <c r="O86" s="38"/>
      <c r="P86" s="19"/>
      <c r="Q86" s="12"/>
      <c r="R86" s="12"/>
      <c r="S86" s="12"/>
      <c r="T86" s="11"/>
      <c r="U86" s="11"/>
    </row>
    <row r="87" spans="1:21" s="9" customFormat="1" ht="13.5" customHeight="1">
      <c r="A87" s="5"/>
      <c r="B87" s="5"/>
      <c r="C87" s="8"/>
      <c r="D87" s="8"/>
      <c r="E87" s="5"/>
      <c r="F87" s="248"/>
      <c r="G87" s="8"/>
      <c r="H87" s="57"/>
      <c r="I87" s="57"/>
      <c r="J87" s="59"/>
      <c r="K87" s="59"/>
      <c r="L87" s="57"/>
      <c r="M87" s="239"/>
      <c r="N87" s="36"/>
      <c r="O87" s="38"/>
      <c r="P87" s="19"/>
      <c r="Q87" s="12"/>
      <c r="R87" s="12"/>
      <c r="S87" s="12"/>
      <c r="T87" s="11"/>
      <c r="U87" s="11"/>
    </row>
    <row r="88" spans="1:21" s="9" customFormat="1" ht="13.5" customHeight="1">
      <c r="A88" s="5"/>
      <c r="B88" s="5"/>
      <c r="C88" s="8"/>
      <c r="D88" s="8"/>
      <c r="E88" s="5"/>
      <c r="F88" s="248"/>
      <c r="G88" s="8"/>
      <c r="H88" s="57"/>
      <c r="I88" s="57"/>
      <c r="J88" s="59"/>
      <c r="K88" s="59"/>
      <c r="L88" s="57"/>
      <c r="M88" s="239"/>
      <c r="N88" s="36"/>
      <c r="O88" s="38"/>
      <c r="P88" s="19"/>
      <c r="Q88" s="12"/>
      <c r="R88" s="12"/>
      <c r="S88" s="12"/>
      <c r="T88" s="11"/>
      <c r="U88" s="11"/>
    </row>
    <row r="89" spans="1:21" s="9" customFormat="1" ht="13.5" customHeight="1">
      <c r="A89" s="5"/>
      <c r="B89" s="5"/>
      <c r="C89" s="8"/>
      <c r="D89" s="8"/>
      <c r="E89" s="5"/>
      <c r="F89" s="248"/>
      <c r="G89" s="8"/>
      <c r="H89" s="57"/>
      <c r="I89" s="57"/>
      <c r="J89" s="59"/>
      <c r="K89" s="59"/>
      <c r="L89" s="57"/>
      <c r="M89" s="239"/>
      <c r="N89" s="36"/>
      <c r="O89" s="38"/>
      <c r="P89" s="19"/>
      <c r="Q89" s="12"/>
      <c r="R89" s="12"/>
      <c r="S89" s="12"/>
      <c r="T89" s="11"/>
      <c r="U89" s="11"/>
    </row>
    <row r="90" spans="1:21" s="9" customFormat="1" ht="13.5" customHeight="1">
      <c r="A90" s="5"/>
      <c r="B90" s="5"/>
      <c r="C90" s="8"/>
      <c r="D90" s="8"/>
      <c r="E90" s="5"/>
      <c r="F90" s="248"/>
      <c r="G90" s="8"/>
      <c r="H90" s="57"/>
      <c r="I90" s="57"/>
      <c r="J90" s="59"/>
      <c r="K90" s="59"/>
      <c r="L90" s="57"/>
      <c r="M90" s="239"/>
      <c r="N90" s="36"/>
      <c r="O90" s="38"/>
      <c r="P90" s="19"/>
      <c r="Q90" s="12"/>
      <c r="R90" s="12"/>
      <c r="S90" s="12"/>
      <c r="T90" s="11"/>
      <c r="U90" s="11"/>
    </row>
    <row r="91" spans="1:21" s="9" customFormat="1" ht="13.5" customHeight="1">
      <c r="A91" s="5"/>
      <c r="B91" s="5"/>
      <c r="C91" s="8"/>
      <c r="D91" s="8"/>
      <c r="E91" s="5"/>
      <c r="F91" s="247"/>
      <c r="G91" s="8"/>
      <c r="H91" s="57"/>
      <c r="I91" s="57"/>
      <c r="J91" s="59"/>
      <c r="K91" s="59"/>
      <c r="L91" s="57"/>
      <c r="M91" s="239"/>
      <c r="N91" s="36"/>
      <c r="O91" s="38"/>
      <c r="P91" s="19"/>
      <c r="Q91" s="12"/>
      <c r="R91" s="12"/>
      <c r="S91" s="12"/>
      <c r="T91" s="11"/>
      <c r="U91" s="11"/>
    </row>
    <row r="92" spans="1:21" s="9" customFormat="1" ht="22.5" customHeight="1">
      <c r="A92" s="5"/>
      <c r="B92" s="5"/>
      <c r="C92" s="434"/>
      <c r="D92" s="434"/>
      <c r="E92" s="434"/>
      <c r="F92" s="247"/>
      <c r="G92" s="8"/>
      <c r="H92" s="59"/>
      <c r="I92" s="59"/>
      <c r="J92" s="59"/>
      <c r="K92" s="82"/>
      <c r="L92" s="59"/>
      <c r="M92" s="241"/>
      <c r="N92" s="37"/>
      <c r="O92" s="46"/>
      <c r="P92" s="74"/>
      <c r="Q92" s="12"/>
      <c r="R92" s="12"/>
      <c r="S92" s="12"/>
      <c r="T92" s="11"/>
      <c r="U92" s="11"/>
    </row>
    <row r="93" spans="1:21">
      <c r="F93" s="252"/>
      <c r="H93" s="60"/>
      <c r="I93" s="60"/>
      <c r="L93" s="60"/>
      <c r="M93" s="242"/>
      <c r="N93" s="50"/>
    </row>
    <row r="94" spans="1:21">
      <c r="F94" s="252"/>
      <c r="H94" s="60"/>
      <c r="I94" s="60"/>
      <c r="L94" s="60"/>
      <c r="M94" s="242"/>
      <c r="N94" s="50"/>
    </row>
    <row r="95" spans="1:21">
      <c r="F95" s="252"/>
      <c r="H95" s="60"/>
      <c r="I95" s="60"/>
      <c r="L95" s="60"/>
      <c r="M95" s="242"/>
      <c r="N95" s="50"/>
    </row>
    <row r="96" spans="1:21">
      <c r="F96" s="252"/>
      <c r="H96" s="60"/>
      <c r="I96" s="60"/>
      <c r="L96" s="60"/>
      <c r="M96" s="242"/>
      <c r="N96" s="50"/>
    </row>
    <row r="97" spans="1:21">
      <c r="F97" s="252"/>
      <c r="H97" s="60"/>
      <c r="I97" s="60"/>
      <c r="L97" s="60"/>
      <c r="M97" s="242"/>
      <c r="N97" s="50"/>
    </row>
    <row r="98" spans="1:21" s="12" customFormat="1">
      <c r="A98" s="47"/>
      <c r="B98" s="47"/>
      <c r="C98" s="47"/>
      <c r="D98" s="47"/>
      <c r="F98" s="252"/>
      <c r="G98" s="49"/>
      <c r="H98" s="60"/>
      <c r="I98" s="60"/>
      <c r="J98" s="61"/>
      <c r="K98" s="61"/>
      <c r="L98" s="60"/>
      <c r="M98" s="242"/>
      <c r="N98" s="50"/>
      <c r="O98" s="51"/>
      <c r="P98" s="75"/>
      <c r="T98" s="13"/>
      <c r="U98" s="13"/>
    </row>
  </sheetData>
  <protectedRanges>
    <protectedRange sqref="D49:L49 L45:L48 M45:N49 O15:P49 L15:N44 D14:J48 L14:P14" name="범위1_1"/>
    <protectedRange sqref="K14:K48" name="범위1_1_2_1"/>
  </protectedRanges>
  <autoFilter ref="A12:P13" xr:uid="{EEC8972D-56AD-4F6D-B5B0-4E29749415B4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50:E50"/>
    <mergeCell ref="C92:E92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6" fitToHeight="0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kichul.jang@doosan.com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C8DA-37B6-4ABC-B373-7F648E58E971}">
  <sheetPr>
    <tabColor rgb="FF00B0F0"/>
    <pageSetUpPr fitToPage="1"/>
  </sheetPr>
  <dimension ref="A1:V210"/>
  <sheetViews>
    <sheetView showGridLines="0" tabSelected="1" zoomScale="85" zoomScaleNormal="85" zoomScaleSheetLayoutView="70" workbookViewId="0">
      <pane ySplit="13" topLeftCell="A15" activePane="bottomLeft" state="frozen"/>
      <selection pane="bottomLeft" activeCell="C18" sqref="C18"/>
    </sheetView>
  </sheetViews>
  <sheetFormatPr defaultColWidth="10" defaultRowHeight="14.4"/>
  <cols>
    <col min="1" max="1" width="17.59765625" style="47" customWidth="1"/>
    <col min="2" max="2" width="27.69921875" style="47" customWidth="1"/>
    <col min="3" max="3" width="69.8984375" style="291" customWidth="1"/>
    <col min="4" max="4" width="17.5" style="12" customWidth="1"/>
    <col min="5" max="5" width="11.59765625" style="52" customWidth="1"/>
    <col min="6" max="6" width="10.09765625" style="49" customWidth="1"/>
    <col min="7" max="7" width="11.5" style="61" customWidth="1"/>
    <col min="8" max="9" width="11.5" style="61" bestFit="1" customWidth="1"/>
    <col min="10" max="10" width="11.59765625" style="61" customWidth="1"/>
    <col min="11" max="12" width="17.59765625" style="61" customWidth="1"/>
    <col min="13" max="13" width="18.09765625" style="61" customWidth="1"/>
    <col min="14" max="14" width="20.8984375" style="61" customWidth="1"/>
    <col min="15" max="15" width="18.59765625" style="53" customWidth="1"/>
    <col min="16" max="16" width="18.59765625" style="51" customWidth="1"/>
    <col min="17" max="17" width="24.8984375" style="75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>
      <c r="A1" s="5"/>
      <c r="B1" s="5"/>
      <c r="C1" s="291"/>
      <c r="D1" s="6"/>
      <c r="E1" s="7"/>
      <c r="F1" s="8"/>
      <c r="G1" s="78"/>
      <c r="H1" s="54"/>
      <c r="I1" s="54"/>
      <c r="J1" s="54"/>
      <c r="K1" s="260"/>
      <c r="L1" s="54"/>
      <c r="M1" s="54"/>
      <c r="N1" s="54"/>
      <c r="O1" s="5"/>
      <c r="P1" s="10" t="s">
        <v>200</v>
      </c>
      <c r="Q1" s="45"/>
      <c r="R1" s="6"/>
      <c r="S1" s="5"/>
      <c r="T1" s="6"/>
      <c r="U1" s="11"/>
      <c r="V1" s="11"/>
    </row>
    <row r="2" spans="1:22" s="9" customFormat="1">
      <c r="A2" s="5"/>
      <c r="B2" s="5"/>
      <c r="C2" s="291"/>
      <c r="D2" s="6"/>
      <c r="E2" s="7"/>
      <c r="F2" s="8"/>
      <c r="G2" s="78"/>
      <c r="H2" s="54"/>
      <c r="I2" s="54"/>
      <c r="J2" s="54"/>
      <c r="K2" s="260"/>
      <c r="L2" s="54"/>
      <c r="M2" s="54"/>
      <c r="N2" s="54"/>
      <c r="O2" s="5"/>
      <c r="P2" s="10" t="s">
        <v>1</v>
      </c>
      <c r="Q2" s="45"/>
      <c r="R2" s="101" t="s">
        <v>154</v>
      </c>
      <c r="S2" s="100" t="s">
        <v>155</v>
      </c>
      <c r="T2" s="102" t="s">
        <v>156</v>
      </c>
      <c r="U2" s="11"/>
      <c r="V2" s="11"/>
    </row>
    <row r="3" spans="1:22" s="9" customFormat="1">
      <c r="A3" s="5"/>
      <c r="B3" s="5"/>
      <c r="C3" s="291"/>
      <c r="D3" s="6"/>
      <c r="E3" s="7"/>
      <c r="F3" s="8"/>
      <c r="G3" s="78"/>
      <c r="H3" s="54"/>
      <c r="I3" s="54"/>
      <c r="J3" s="54"/>
      <c r="K3" s="260"/>
      <c r="L3" s="54"/>
      <c r="M3" s="54"/>
      <c r="N3" s="54"/>
      <c r="O3" s="5"/>
      <c r="P3" s="10" t="s">
        <v>2</v>
      </c>
      <c r="Q3" s="45"/>
      <c r="R3" s="6"/>
      <c r="S3" s="100" t="s">
        <v>157</v>
      </c>
      <c r="T3" s="102" t="s">
        <v>158</v>
      </c>
      <c r="U3" s="11"/>
      <c r="V3" s="11"/>
    </row>
    <row r="4" spans="1:22" s="9" customFormat="1">
      <c r="A4" s="5"/>
      <c r="B4" s="5"/>
      <c r="C4" s="291"/>
      <c r="D4" s="6"/>
      <c r="E4" s="7"/>
      <c r="F4" s="8"/>
      <c r="G4" s="78"/>
      <c r="H4" s="54"/>
      <c r="I4" s="54"/>
      <c r="J4" s="54"/>
      <c r="K4" s="260"/>
      <c r="L4" s="54"/>
      <c r="M4" s="54"/>
      <c r="N4" s="54"/>
      <c r="O4" s="5"/>
      <c r="P4" s="10" t="s">
        <v>3</v>
      </c>
      <c r="Q4" s="45"/>
      <c r="R4" s="6"/>
      <c r="S4" s="100" t="s">
        <v>159</v>
      </c>
      <c r="T4" s="102" t="s">
        <v>160</v>
      </c>
      <c r="U4" s="11"/>
      <c r="V4" s="11"/>
    </row>
    <row r="5" spans="1:22" s="9" customFormat="1">
      <c r="A5" s="5"/>
      <c r="B5" s="5"/>
      <c r="C5" s="291"/>
      <c r="D5" s="6"/>
      <c r="E5" s="7"/>
      <c r="F5" s="8"/>
      <c r="G5" s="78"/>
      <c r="H5" s="54"/>
      <c r="I5" s="54"/>
      <c r="J5" s="54"/>
      <c r="K5" s="260"/>
      <c r="L5" s="54"/>
      <c r="M5" s="54"/>
      <c r="N5" s="54"/>
      <c r="O5" s="5"/>
      <c r="P5" s="10" t="s">
        <v>4</v>
      </c>
      <c r="Q5" s="45"/>
      <c r="R5" s="6"/>
      <c r="S5" s="100" t="s">
        <v>161</v>
      </c>
      <c r="T5" s="102" t="s">
        <v>162</v>
      </c>
      <c r="U5" s="11"/>
      <c r="V5" s="11"/>
    </row>
    <row r="6" spans="1:22" ht="47.85" customHeight="1">
      <c r="A6" s="405" t="s">
        <v>201</v>
      </c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</row>
    <row r="7" spans="1:22" ht="21" customHeight="1">
      <c r="A7" s="122" t="s">
        <v>164</v>
      </c>
      <c r="B7" s="122" t="s">
        <v>165</v>
      </c>
      <c r="C7" s="147"/>
      <c r="D7" s="123"/>
      <c r="E7" s="123"/>
      <c r="F7" s="123"/>
      <c r="G7" s="103"/>
      <c r="H7" s="103"/>
      <c r="I7" s="103"/>
      <c r="J7" s="261"/>
      <c r="K7" s="261"/>
      <c r="L7" s="261"/>
      <c r="M7" s="103"/>
      <c r="N7" s="103"/>
      <c r="O7" s="103"/>
      <c r="P7" s="103"/>
      <c r="Q7" s="12"/>
      <c r="S7" s="13"/>
      <c r="T7" s="13"/>
      <c r="U7" s="14"/>
      <c r="V7" s="14"/>
    </row>
    <row r="8" spans="1:22" ht="21" customHeight="1">
      <c r="A8" s="122"/>
      <c r="B8" s="122" t="s">
        <v>166</v>
      </c>
      <c r="C8" s="147"/>
      <c r="D8" s="123"/>
      <c r="E8" s="123"/>
      <c r="F8" s="123"/>
      <c r="G8" s="103"/>
      <c r="H8" s="103"/>
      <c r="I8" s="103"/>
      <c r="J8" s="261"/>
      <c r="K8" s="261"/>
      <c r="L8" s="261"/>
      <c r="M8" s="103"/>
      <c r="N8" s="103"/>
      <c r="O8" s="103"/>
      <c r="P8" s="103"/>
      <c r="Q8" s="12"/>
      <c r="S8" s="13"/>
      <c r="T8" s="13"/>
      <c r="U8" s="14"/>
      <c r="V8" s="14"/>
    </row>
    <row r="9" spans="1:22" s="21" customFormat="1" ht="21" customHeight="1" thickBot="1">
      <c r="A9" s="122" t="s">
        <v>167</v>
      </c>
      <c r="B9" s="122" t="str">
        <f>CI!V8</f>
        <v>PGU-DE-0220</v>
      </c>
      <c r="C9" s="147"/>
      <c r="D9" s="124"/>
      <c r="E9" s="29"/>
      <c r="F9" s="125"/>
      <c r="G9" s="16"/>
      <c r="H9" s="55"/>
      <c r="I9" s="55"/>
      <c r="J9" s="55"/>
      <c r="K9" s="79"/>
      <c r="L9" s="55"/>
      <c r="M9" s="55"/>
      <c r="N9" s="17"/>
      <c r="O9" s="19"/>
      <c r="P9" s="19"/>
      <c r="Q9" s="15"/>
      <c r="R9" s="15"/>
      <c r="S9" s="20"/>
      <c r="T9" s="20"/>
    </row>
    <row r="10" spans="1:22" s="21" customFormat="1" ht="21" customHeight="1">
      <c r="A10" s="196" t="s">
        <v>168</v>
      </c>
      <c r="B10" s="197" t="s">
        <v>169</v>
      </c>
      <c r="C10" s="197"/>
      <c r="D10" s="206"/>
      <c r="E10" s="207"/>
      <c r="F10" s="250"/>
      <c r="G10" s="16"/>
      <c r="H10" s="55"/>
      <c r="I10" s="55"/>
      <c r="J10" s="55"/>
      <c r="K10" s="79"/>
      <c r="L10" s="55"/>
      <c r="M10" s="237"/>
      <c r="N10" s="17"/>
      <c r="O10" s="19"/>
      <c r="P10" s="19"/>
      <c r="U10" s="119"/>
      <c r="V10" s="120"/>
    </row>
    <row r="11" spans="1:22" s="21" customFormat="1" ht="21" customHeight="1" thickBot="1">
      <c r="A11" s="220" t="s">
        <v>170</v>
      </c>
      <c r="B11" s="221" t="s">
        <v>171</v>
      </c>
      <c r="C11" s="221"/>
      <c r="D11" s="222"/>
      <c r="E11" s="208"/>
      <c r="F11" s="250"/>
      <c r="G11" s="16"/>
      <c r="H11" s="55"/>
      <c r="I11" s="55"/>
      <c r="J11" s="55"/>
      <c r="K11" s="79"/>
      <c r="L11" s="55"/>
      <c r="M11" s="237"/>
      <c r="N11" s="17"/>
      <c r="O11" s="19"/>
      <c r="P11" s="19"/>
      <c r="U11" s="119"/>
      <c r="V11" s="120"/>
    </row>
    <row r="12" spans="1:22" s="24" customFormat="1" ht="23.85" customHeight="1">
      <c r="A12" s="456" t="s">
        <v>172</v>
      </c>
      <c r="B12" s="458" t="s">
        <v>202</v>
      </c>
      <c r="C12" s="458" t="s">
        <v>175</v>
      </c>
      <c r="D12" s="458" t="s">
        <v>203</v>
      </c>
      <c r="E12" s="460" t="s">
        <v>177</v>
      </c>
      <c r="F12" s="461"/>
      <c r="G12" s="462" t="s">
        <v>178</v>
      </c>
      <c r="H12" s="463"/>
      <c r="I12" s="463"/>
      <c r="J12" s="464"/>
      <c r="K12" s="448" t="s">
        <v>179</v>
      </c>
      <c r="L12" s="448" t="s">
        <v>180</v>
      </c>
      <c r="M12" s="448" t="s">
        <v>204</v>
      </c>
      <c r="N12" s="448" t="s">
        <v>205</v>
      </c>
      <c r="O12" s="450" t="s">
        <v>206</v>
      </c>
      <c r="P12" s="452" t="s">
        <v>207</v>
      </c>
      <c r="Q12" s="454" t="s">
        <v>208</v>
      </c>
      <c r="R12" s="22"/>
      <c r="S12" s="23"/>
      <c r="T12" s="23"/>
      <c r="U12" s="23"/>
      <c r="V12" s="23"/>
    </row>
    <row r="13" spans="1:22" s="24" customFormat="1" ht="39" customHeight="1">
      <c r="A13" s="457"/>
      <c r="B13" s="459"/>
      <c r="C13" s="459"/>
      <c r="D13" s="459"/>
      <c r="E13" s="223" t="s">
        <v>209</v>
      </c>
      <c r="F13" s="224" t="s">
        <v>210</v>
      </c>
      <c r="G13" s="80" t="s">
        <v>211</v>
      </c>
      <c r="H13" s="80" t="s">
        <v>212</v>
      </c>
      <c r="I13" s="80" t="s">
        <v>213</v>
      </c>
      <c r="J13" s="80" t="s">
        <v>214</v>
      </c>
      <c r="K13" s="449"/>
      <c r="L13" s="449"/>
      <c r="M13" s="449"/>
      <c r="N13" s="449"/>
      <c r="O13" s="451"/>
      <c r="P13" s="453"/>
      <c r="Q13" s="455"/>
      <c r="R13" s="22"/>
      <c r="S13" s="23"/>
      <c r="T13" s="23"/>
      <c r="U13" s="23"/>
      <c r="V13" s="23"/>
    </row>
    <row r="14" spans="1:22" s="77" customFormat="1" ht="25.35" customHeight="1">
      <c r="A14" s="149">
        <v>1</v>
      </c>
      <c r="B14" s="150" t="s">
        <v>215</v>
      </c>
      <c r="C14" s="292" t="s">
        <v>216</v>
      </c>
      <c r="D14" s="151"/>
      <c r="E14" s="26">
        <v>3</v>
      </c>
      <c r="F14" s="151" t="s">
        <v>191</v>
      </c>
      <c r="G14" s="256"/>
      <c r="H14" s="257"/>
      <c r="I14" s="258"/>
      <c r="J14" s="262"/>
      <c r="K14" s="56"/>
      <c r="L14" s="56"/>
      <c r="M14" s="56"/>
      <c r="N14" s="226"/>
      <c r="O14" s="27"/>
      <c r="P14" s="25"/>
      <c r="Q14" s="227"/>
      <c r="R14" s="28"/>
      <c r="S14" s="29"/>
      <c r="T14" s="30"/>
      <c r="U14" s="29"/>
      <c r="V14" s="76"/>
    </row>
    <row r="15" spans="1:22" s="116" customFormat="1" ht="25.35" customHeight="1">
      <c r="A15" s="106"/>
      <c r="B15" s="107"/>
      <c r="C15" s="293"/>
      <c r="D15" s="110"/>
      <c r="E15" s="109"/>
      <c r="F15" s="110"/>
      <c r="G15" s="228">
        <v>320</v>
      </c>
      <c r="H15" s="228">
        <v>98</v>
      </c>
      <c r="I15" s="228">
        <v>238</v>
      </c>
      <c r="J15" s="228">
        <f>ROUND(I15*H15*G15/1000000,3)</f>
        <v>7.4640000000000004</v>
      </c>
      <c r="K15" s="228">
        <v>1044</v>
      </c>
      <c r="L15" s="228">
        <f>'Summary PL'!M14</f>
        <v>1269</v>
      </c>
      <c r="M15" s="111"/>
      <c r="N15" s="111"/>
      <c r="O15" s="111"/>
      <c r="P15" s="108"/>
      <c r="Q15" s="112"/>
      <c r="R15" s="28"/>
      <c r="S15" s="113"/>
      <c r="T15" s="114"/>
      <c r="U15" s="113"/>
      <c r="V15" s="115"/>
    </row>
    <row r="16" spans="1:22" s="77" customFormat="1" ht="25.35" customHeight="1">
      <c r="A16" s="149">
        <v>2</v>
      </c>
      <c r="B16" s="150" t="s">
        <v>96</v>
      </c>
      <c r="C16" s="292" t="s">
        <v>217</v>
      </c>
      <c r="E16" s="26">
        <v>3</v>
      </c>
      <c r="F16" s="151" t="s">
        <v>191</v>
      </c>
      <c r="G16" s="56"/>
      <c r="H16" s="56"/>
      <c r="I16" s="225"/>
      <c r="J16" s="263"/>
      <c r="K16" s="56"/>
      <c r="L16" s="56"/>
      <c r="M16" s="56"/>
      <c r="N16" s="226"/>
      <c r="O16" s="27"/>
      <c r="P16" s="25"/>
      <c r="Q16" s="227"/>
      <c r="R16" s="28"/>
      <c r="S16" s="29"/>
      <c r="T16" s="30"/>
      <c r="U16" s="29"/>
      <c r="V16" s="76"/>
    </row>
    <row r="17" spans="1:22" s="116" customFormat="1" ht="25.35" customHeight="1">
      <c r="A17" s="106"/>
      <c r="B17" s="107"/>
      <c r="C17" s="293"/>
      <c r="D17" s="110"/>
      <c r="E17" s="109"/>
      <c r="F17" s="110"/>
      <c r="G17" s="228">
        <v>320</v>
      </c>
      <c r="H17" s="228">
        <v>98</v>
      </c>
      <c r="I17" s="228">
        <v>238</v>
      </c>
      <c r="J17" s="228">
        <f>ROUND(I17*H17*G17/1000000,3)</f>
        <v>7.4640000000000004</v>
      </c>
      <c r="K17" s="228">
        <v>1042</v>
      </c>
      <c r="L17" s="228">
        <f>'Summary PL'!M15</f>
        <v>1267</v>
      </c>
      <c r="M17" s="111"/>
      <c r="N17" s="111"/>
      <c r="O17" s="111"/>
      <c r="P17" s="108"/>
      <c r="Q17" s="112"/>
      <c r="R17" s="28"/>
      <c r="S17" s="113"/>
      <c r="T17" s="114"/>
      <c r="U17" s="113"/>
      <c r="V17" s="115"/>
    </row>
    <row r="18" spans="1:22" s="77" customFormat="1" ht="25.35" customHeight="1">
      <c r="A18" s="149">
        <v>3</v>
      </c>
      <c r="B18" s="150" t="s">
        <v>97</v>
      </c>
      <c r="C18" s="292" t="s">
        <v>218</v>
      </c>
      <c r="D18" s="151"/>
      <c r="E18" s="77">
        <v>3</v>
      </c>
      <c r="F18" s="151" t="s">
        <v>191</v>
      </c>
      <c r="G18" s="56"/>
      <c r="H18" s="56"/>
      <c r="I18" s="225"/>
      <c r="J18" s="262"/>
      <c r="K18" s="56"/>
      <c r="L18" s="56"/>
      <c r="M18" s="56"/>
      <c r="N18" s="226"/>
      <c r="O18" s="27"/>
      <c r="P18" s="25"/>
      <c r="Q18" s="227"/>
      <c r="R18" s="28"/>
      <c r="S18" s="29"/>
      <c r="T18" s="30"/>
      <c r="U18" s="29"/>
      <c r="V18" s="76"/>
    </row>
    <row r="19" spans="1:22" s="116" customFormat="1" ht="25.35" customHeight="1">
      <c r="A19" s="106"/>
      <c r="B19" s="107"/>
      <c r="C19" s="293"/>
      <c r="D19" s="110"/>
      <c r="E19" s="109"/>
      <c r="F19" s="110"/>
      <c r="G19" s="228">
        <v>320</v>
      </c>
      <c r="H19" s="228">
        <v>98</v>
      </c>
      <c r="I19" s="228">
        <v>238</v>
      </c>
      <c r="J19" s="228">
        <f>ROUND(I19*H19*G19/1000000,3)</f>
        <v>7.4640000000000004</v>
      </c>
      <c r="K19" s="228">
        <v>1018</v>
      </c>
      <c r="L19" s="228">
        <f>'Summary PL'!M16</f>
        <v>1243</v>
      </c>
      <c r="M19" s="111"/>
      <c r="N19" s="111"/>
      <c r="O19" s="111"/>
      <c r="P19" s="108"/>
      <c r="Q19" s="112"/>
      <c r="R19" s="28"/>
      <c r="S19" s="113"/>
      <c r="T19" s="114"/>
      <c r="U19" s="113"/>
      <c r="V19" s="115"/>
    </row>
    <row r="20" spans="1:22" s="77" customFormat="1" ht="25.35" customHeight="1">
      <c r="A20" s="149">
        <v>4</v>
      </c>
      <c r="B20" s="150" t="s">
        <v>98</v>
      </c>
      <c r="C20" s="292" t="s">
        <v>219</v>
      </c>
      <c r="D20" s="151"/>
      <c r="E20" s="77">
        <v>3</v>
      </c>
      <c r="F20" s="151" t="s">
        <v>191</v>
      </c>
      <c r="G20" s="56"/>
      <c r="H20" s="56"/>
      <c r="I20" s="225"/>
      <c r="J20" s="263"/>
      <c r="K20" s="56"/>
      <c r="L20" s="56"/>
      <c r="M20" s="56"/>
      <c r="N20" s="226"/>
      <c r="O20" s="27"/>
      <c r="P20" s="25"/>
      <c r="Q20" s="227"/>
      <c r="R20" s="28"/>
      <c r="S20" s="29"/>
      <c r="T20" s="30"/>
      <c r="U20" s="29"/>
      <c r="V20" s="76"/>
    </row>
    <row r="21" spans="1:22" s="116" customFormat="1" ht="25.35" customHeight="1">
      <c r="A21" s="106"/>
      <c r="B21" s="107"/>
      <c r="C21" s="293"/>
      <c r="D21" s="110"/>
      <c r="E21" s="109"/>
      <c r="F21" s="110"/>
      <c r="G21" s="228">
        <v>320</v>
      </c>
      <c r="H21" s="228">
        <v>98</v>
      </c>
      <c r="I21" s="228">
        <v>238</v>
      </c>
      <c r="J21" s="228">
        <f>ROUND(I21*H21*G21/1000000,3)</f>
        <v>7.4640000000000004</v>
      </c>
      <c r="K21" s="228">
        <v>1047</v>
      </c>
      <c r="L21" s="228">
        <f>'Summary PL'!M17</f>
        <v>1272</v>
      </c>
      <c r="M21" s="111"/>
      <c r="N21" s="111"/>
      <c r="O21" s="111"/>
      <c r="P21" s="108"/>
      <c r="Q21" s="112"/>
      <c r="R21" s="28"/>
      <c r="S21" s="113"/>
      <c r="T21" s="114"/>
      <c r="U21" s="113"/>
      <c r="V21" s="115"/>
    </row>
    <row r="22" spans="1:22" s="77" customFormat="1" ht="25.35" customHeight="1">
      <c r="A22" s="149">
        <v>5</v>
      </c>
      <c r="B22" s="150" t="s">
        <v>99</v>
      </c>
      <c r="C22" s="292" t="s">
        <v>220</v>
      </c>
      <c r="D22" s="151"/>
      <c r="E22" s="26">
        <v>3</v>
      </c>
      <c r="F22" s="151" t="s">
        <v>191</v>
      </c>
      <c r="G22" s="56"/>
      <c r="H22" s="56"/>
      <c r="I22" s="225"/>
      <c r="J22" s="262"/>
      <c r="K22" s="56"/>
      <c r="L22" s="56"/>
      <c r="M22" s="56"/>
      <c r="N22" s="226"/>
      <c r="O22" s="27"/>
      <c r="P22" s="25"/>
      <c r="Q22" s="227"/>
      <c r="R22" s="28"/>
      <c r="S22" s="29"/>
      <c r="T22" s="30"/>
      <c r="U22" s="29"/>
      <c r="V22" s="76"/>
    </row>
    <row r="23" spans="1:22" s="116" customFormat="1" ht="25.35" customHeight="1">
      <c r="A23" s="106"/>
      <c r="B23" s="107"/>
      <c r="C23" s="293"/>
      <c r="D23" s="110"/>
      <c r="E23" s="109"/>
      <c r="F23" s="110"/>
      <c r="G23" s="228">
        <v>320</v>
      </c>
      <c r="H23" s="228">
        <v>98</v>
      </c>
      <c r="I23" s="228">
        <v>238</v>
      </c>
      <c r="J23" s="228">
        <f>ROUND(I23*H23*G23/1000000,3)</f>
        <v>7.4640000000000004</v>
      </c>
      <c r="K23" s="228">
        <v>1010</v>
      </c>
      <c r="L23" s="228">
        <f>'Summary PL'!M18</f>
        <v>1235</v>
      </c>
      <c r="M23" s="111"/>
      <c r="N23" s="111"/>
      <c r="O23" s="111"/>
      <c r="P23" s="108"/>
      <c r="Q23" s="112"/>
      <c r="R23" s="28"/>
      <c r="S23" s="113"/>
      <c r="T23" s="114"/>
      <c r="U23" s="113"/>
      <c r="V23" s="115"/>
    </row>
    <row r="24" spans="1:22" s="77" customFormat="1" ht="25.35" customHeight="1">
      <c r="A24" s="149">
        <v>6</v>
      </c>
      <c r="B24" s="150" t="s">
        <v>100</v>
      </c>
      <c r="C24" s="292" t="s">
        <v>221</v>
      </c>
      <c r="D24" s="151"/>
      <c r="E24" s="26">
        <v>3</v>
      </c>
      <c r="F24" s="151" t="s">
        <v>191</v>
      </c>
      <c r="G24" s="56"/>
      <c r="H24" s="56"/>
      <c r="I24" s="225"/>
      <c r="J24" s="263"/>
      <c r="K24" s="56"/>
      <c r="L24" s="56"/>
      <c r="M24" s="56"/>
      <c r="N24" s="226"/>
      <c r="O24" s="27"/>
      <c r="P24" s="25"/>
      <c r="Q24" s="227"/>
      <c r="R24" s="28"/>
      <c r="S24" s="29"/>
      <c r="T24" s="30"/>
      <c r="U24" s="29"/>
      <c r="V24" s="76"/>
    </row>
    <row r="25" spans="1:22" s="116" customFormat="1" ht="25.35" customHeight="1">
      <c r="A25" s="106"/>
      <c r="B25" s="107"/>
      <c r="C25" s="293"/>
      <c r="D25" s="110"/>
      <c r="E25" s="109"/>
      <c r="F25" s="110"/>
      <c r="G25" s="228">
        <v>320</v>
      </c>
      <c r="H25" s="228">
        <v>98</v>
      </c>
      <c r="I25" s="228">
        <v>238</v>
      </c>
      <c r="J25" s="228">
        <f>ROUND(I25*H25*G25/1000000,3)</f>
        <v>7.4640000000000004</v>
      </c>
      <c r="K25" s="228">
        <v>1014</v>
      </c>
      <c r="L25" s="228">
        <f>'Summary PL'!M19</f>
        <v>1239</v>
      </c>
      <c r="M25" s="111"/>
      <c r="N25" s="111"/>
      <c r="O25" s="111"/>
      <c r="P25" s="108"/>
      <c r="Q25" s="112"/>
      <c r="R25" s="28"/>
      <c r="S25" s="113"/>
      <c r="T25" s="114"/>
      <c r="U25" s="113"/>
      <c r="V25" s="115"/>
    </row>
    <row r="26" spans="1:22" s="77" customFormat="1" ht="25.35" customHeight="1">
      <c r="A26" s="149">
        <v>7</v>
      </c>
      <c r="B26" s="150" t="s">
        <v>101</v>
      </c>
      <c r="C26" s="292" t="s">
        <v>222</v>
      </c>
      <c r="D26" s="151"/>
      <c r="E26" s="26">
        <v>3</v>
      </c>
      <c r="F26" s="151" t="s">
        <v>191</v>
      </c>
      <c r="G26" s="56"/>
      <c r="H26" s="56"/>
      <c r="I26" s="225"/>
      <c r="J26" s="262"/>
      <c r="K26" s="56"/>
      <c r="L26" s="56"/>
      <c r="M26" s="56"/>
      <c r="N26" s="226"/>
      <c r="O26" s="27"/>
      <c r="P26" s="25"/>
      <c r="Q26" s="227"/>
      <c r="R26" s="28"/>
      <c r="S26" s="29"/>
      <c r="T26" s="30"/>
      <c r="U26" s="29"/>
      <c r="V26" s="76"/>
    </row>
    <row r="27" spans="1:22" s="116" customFormat="1" ht="25.35" customHeight="1">
      <c r="A27" s="106"/>
      <c r="B27" s="107"/>
      <c r="C27" s="293"/>
      <c r="D27" s="110"/>
      <c r="E27" s="109"/>
      <c r="F27" s="110"/>
      <c r="G27" s="228">
        <v>320</v>
      </c>
      <c r="H27" s="228">
        <v>98</v>
      </c>
      <c r="I27" s="228">
        <v>238</v>
      </c>
      <c r="J27" s="228">
        <f>ROUND(I27*H27*G27/1000000,3)</f>
        <v>7.4640000000000004</v>
      </c>
      <c r="K27" s="228">
        <v>1015</v>
      </c>
      <c r="L27" s="228">
        <f>'Summary PL'!M20</f>
        <v>1240</v>
      </c>
      <c r="M27" s="111"/>
      <c r="N27" s="111"/>
      <c r="O27" s="111"/>
      <c r="P27" s="108"/>
      <c r="Q27" s="112"/>
      <c r="R27" s="28"/>
      <c r="S27" s="113"/>
      <c r="T27" s="114"/>
      <c r="U27" s="113"/>
      <c r="V27" s="115"/>
    </row>
    <row r="28" spans="1:22" s="77" customFormat="1" ht="25.35" customHeight="1">
      <c r="A28" s="149">
        <v>8</v>
      </c>
      <c r="B28" s="150" t="s">
        <v>102</v>
      </c>
      <c r="C28" s="292" t="s">
        <v>223</v>
      </c>
      <c r="D28" s="151"/>
      <c r="E28" s="26">
        <v>3</v>
      </c>
      <c r="F28" s="151" t="s">
        <v>191</v>
      </c>
      <c r="G28" s="56"/>
      <c r="H28" s="56"/>
      <c r="I28" s="225"/>
      <c r="J28" s="263"/>
      <c r="K28" s="56"/>
      <c r="L28" s="56"/>
      <c r="M28" s="56"/>
      <c r="N28" s="226"/>
      <c r="O28" s="27"/>
      <c r="P28" s="25"/>
      <c r="Q28" s="227"/>
      <c r="R28" s="28"/>
      <c r="S28" s="29"/>
      <c r="T28" s="30"/>
      <c r="U28" s="29"/>
      <c r="V28" s="76"/>
    </row>
    <row r="29" spans="1:22" s="116" customFormat="1" ht="25.35" customHeight="1">
      <c r="A29" s="106"/>
      <c r="B29" s="107"/>
      <c r="C29" s="293"/>
      <c r="D29" s="110"/>
      <c r="E29" s="109"/>
      <c r="F29" s="110"/>
      <c r="G29" s="228">
        <v>320</v>
      </c>
      <c r="H29" s="228">
        <v>98</v>
      </c>
      <c r="I29" s="228">
        <v>238</v>
      </c>
      <c r="J29" s="228">
        <f>ROUND(I29*H29*G29/1000000,3)</f>
        <v>7.4640000000000004</v>
      </c>
      <c r="K29" s="228">
        <v>990</v>
      </c>
      <c r="L29" s="228">
        <f>'Summary PL'!M21</f>
        <v>1215</v>
      </c>
      <c r="M29" s="111"/>
      <c r="N29" s="111"/>
      <c r="O29" s="111"/>
      <c r="P29" s="108"/>
      <c r="Q29" s="112"/>
      <c r="R29" s="28"/>
      <c r="S29" s="113"/>
      <c r="T29" s="114"/>
      <c r="U29" s="113"/>
      <c r="V29" s="115"/>
    </row>
    <row r="30" spans="1:22" s="77" customFormat="1" ht="25.35" customHeight="1">
      <c r="A30" s="149">
        <v>9</v>
      </c>
      <c r="B30" s="150" t="s">
        <v>103</v>
      </c>
      <c r="C30" s="292" t="s">
        <v>224</v>
      </c>
      <c r="D30" s="151"/>
      <c r="E30" s="26">
        <v>2</v>
      </c>
      <c r="F30" s="151" t="s">
        <v>191</v>
      </c>
      <c r="G30" s="56"/>
      <c r="H30" s="56"/>
      <c r="I30" s="225"/>
      <c r="J30" s="262"/>
      <c r="K30" s="56"/>
      <c r="L30" s="56"/>
      <c r="M30" s="56"/>
      <c r="N30" s="226"/>
      <c r="O30" s="27"/>
      <c r="P30" s="25"/>
      <c r="Q30" s="227"/>
      <c r="R30" s="28"/>
      <c r="S30" s="29"/>
      <c r="T30" s="30"/>
      <c r="U30" s="29"/>
      <c r="V30" s="76"/>
    </row>
    <row r="31" spans="1:22" s="116" customFormat="1" ht="25.35" customHeight="1">
      <c r="A31" s="106"/>
      <c r="B31" s="107"/>
      <c r="C31" s="293"/>
      <c r="D31" s="110"/>
      <c r="E31" s="109"/>
      <c r="F31" s="110"/>
      <c r="G31" s="228">
        <v>221</v>
      </c>
      <c r="H31" s="228">
        <v>98</v>
      </c>
      <c r="I31" s="228">
        <v>238</v>
      </c>
      <c r="J31" s="228">
        <f>ROUND(I31*H31*G31/1000000,3)</f>
        <v>5.1550000000000002</v>
      </c>
      <c r="K31" s="228">
        <v>681</v>
      </c>
      <c r="L31" s="228">
        <f>'Summary PL'!M22</f>
        <v>841</v>
      </c>
      <c r="M31" s="111"/>
      <c r="N31" s="111"/>
      <c r="O31" s="111"/>
      <c r="P31" s="108"/>
      <c r="Q31" s="112"/>
      <c r="R31" s="28"/>
      <c r="S31" s="113"/>
      <c r="T31" s="114"/>
      <c r="U31" s="113"/>
      <c r="V31" s="115"/>
    </row>
    <row r="32" spans="1:22" s="77" customFormat="1" ht="25.35" customHeight="1">
      <c r="A32" s="149">
        <v>10</v>
      </c>
      <c r="B32" s="150" t="s">
        <v>104</v>
      </c>
      <c r="C32" s="292" t="s">
        <v>225</v>
      </c>
      <c r="D32" s="151"/>
      <c r="E32" s="26">
        <v>2</v>
      </c>
      <c r="F32" s="151" t="s">
        <v>191</v>
      </c>
      <c r="G32" s="56"/>
      <c r="H32" s="56"/>
      <c r="I32" s="225"/>
      <c r="J32" s="262"/>
      <c r="K32" s="56"/>
      <c r="L32" s="56"/>
      <c r="M32" s="56"/>
      <c r="N32" s="226"/>
      <c r="O32" s="27"/>
      <c r="P32" s="25"/>
      <c r="Q32" s="227"/>
      <c r="R32" s="28"/>
      <c r="S32" s="29"/>
      <c r="T32" s="30"/>
      <c r="U32" s="29"/>
      <c r="V32" s="76"/>
    </row>
    <row r="33" spans="1:22" s="116" customFormat="1" ht="25.35" customHeight="1">
      <c r="A33" s="106"/>
      <c r="B33" s="107"/>
      <c r="C33" s="293"/>
      <c r="D33" s="110"/>
      <c r="E33" s="109"/>
      <c r="F33" s="110"/>
      <c r="G33" s="228">
        <v>221</v>
      </c>
      <c r="H33" s="228">
        <v>98</v>
      </c>
      <c r="I33" s="228">
        <v>238</v>
      </c>
      <c r="J33" s="228">
        <f>ROUND(I33*H33*G33/1000000,3)</f>
        <v>5.1550000000000002</v>
      </c>
      <c r="K33" s="228">
        <v>675</v>
      </c>
      <c r="L33" s="228">
        <f>'Summary PL'!M23</f>
        <v>835</v>
      </c>
      <c r="M33" s="111"/>
      <c r="N33" s="111"/>
      <c r="O33" s="111"/>
      <c r="P33" s="108"/>
      <c r="Q33" s="112"/>
      <c r="R33" s="28"/>
      <c r="S33" s="113"/>
      <c r="T33" s="114"/>
      <c r="U33" s="113"/>
      <c r="V33" s="115"/>
    </row>
    <row r="34" spans="1:22" s="77" customFormat="1" ht="25.35" customHeight="1">
      <c r="A34" s="149">
        <v>11</v>
      </c>
      <c r="B34" s="150" t="s">
        <v>105</v>
      </c>
      <c r="C34" s="292" t="s">
        <v>226</v>
      </c>
      <c r="D34" s="151"/>
      <c r="E34" s="26">
        <v>2</v>
      </c>
      <c r="F34" s="151" t="s">
        <v>191</v>
      </c>
      <c r="G34" s="56"/>
      <c r="H34" s="56"/>
      <c r="I34" s="225"/>
      <c r="J34" s="262"/>
      <c r="K34" s="56"/>
      <c r="L34" s="56"/>
      <c r="M34" s="56"/>
      <c r="N34" s="226"/>
      <c r="O34" s="27"/>
      <c r="P34" s="25"/>
      <c r="Q34" s="227"/>
      <c r="R34" s="28"/>
      <c r="S34" s="29"/>
      <c r="T34" s="30"/>
      <c r="U34" s="29"/>
      <c r="V34" s="76"/>
    </row>
    <row r="35" spans="1:22" s="116" customFormat="1" ht="25.35" customHeight="1">
      <c r="A35" s="106"/>
      <c r="B35" s="107"/>
      <c r="C35" s="293"/>
      <c r="D35" s="110"/>
      <c r="E35" s="109"/>
      <c r="F35" s="110"/>
      <c r="G35" s="228">
        <v>221</v>
      </c>
      <c r="H35" s="228">
        <v>98</v>
      </c>
      <c r="I35" s="228">
        <v>238</v>
      </c>
      <c r="J35" s="228">
        <f>ROUND(I35*H35*G35/1000000,3)</f>
        <v>5.1550000000000002</v>
      </c>
      <c r="K35" s="228">
        <v>707</v>
      </c>
      <c r="L35" s="228">
        <f>'Summary PL'!M24</f>
        <v>867</v>
      </c>
      <c r="M35" s="111"/>
      <c r="N35" s="111"/>
      <c r="O35" s="111"/>
      <c r="P35" s="108"/>
      <c r="Q35" s="112"/>
      <c r="R35" s="28"/>
      <c r="S35" s="113"/>
      <c r="T35" s="114"/>
      <c r="U35" s="113"/>
      <c r="V35" s="115"/>
    </row>
    <row r="36" spans="1:22" s="77" customFormat="1" ht="25.35" customHeight="1">
      <c r="A36" s="149">
        <v>12</v>
      </c>
      <c r="B36" s="150" t="s">
        <v>106</v>
      </c>
      <c r="C36" s="292" t="s">
        <v>227</v>
      </c>
      <c r="D36" s="151"/>
      <c r="E36" s="26">
        <v>2</v>
      </c>
      <c r="F36" s="151" t="s">
        <v>191</v>
      </c>
      <c r="G36" s="56"/>
      <c r="H36" s="56"/>
      <c r="I36" s="225"/>
      <c r="J36" s="262"/>
      <c r="K36" s="56"/>
      <c r="L36" s="56"/>
      <c r="M36" s="56"/>
      <c r="N36" s="226"/>
      <c r="O36" s="27"/>
      <c r="P36" s="25"/>
      <c r="Q36" s="227"/>
      <c r="R36" s="28"/>
      <c r="S36" s="29"/>
      <c r="T36" s="30"/>
      <c r="U36" s="29"/>
      <c r="V36" s="76"/>
    </row>
    <row r="37" spans="1:22" s="116" customFormat="1" ht="25.35" customHeight="1">
      <c r="A37" s="106"/>
      <c r="B37" s="107"/>
      <c r="C37" s="293"/>
      <c r="D37" s="110"/>
      <c r="E37" s="109"/>
      <c r="F37" s="110"/>
      <c r="G37" s="228">
        <v>221</v>
      </c>
      <c r="H37" s="228">
        <v>98</v>
      </c>
      <c r="I37" s="228">
        <v>238</v>
      </c>
      <c r="J37" s="228">
        <f>ROUND(I37*H37*G37/1000000,3)</f>
        <v>5.1550000000000002</v>
      </c>
      <c r="K37" s="228">
        <v>687</v>
      </c>
      <c r="L37" s="228">
        <f>'Summary PL'!M25</f>
        <v>847</v>
      </c>
      <c r="M37" s="111"/>
      <c r="N37" s="111"/>
      <c r="O37" s="111"/>
      <c r="P37" s="108"/>
      <c r="Q37" s="112"/>
      <c r="R37" s="28"/>
      <c r="S37" s="113"/>
      <c r="T37" s="114"/>
      <c r="U37" s="113"/>
      <c r="V37" s="115"/>
    </row>
    <row r="38" spans="1:22" s="77" customFormat="1" ht="25.35" customHeight="1">
      <c r="A38" s="149">
        <v>13</v>
      </c>
      <c r="B38" s="150" t="s">
        <v>107</v>
      </c>
      <c r="C38" s="292" t="s">
        <v>228</v>
      </c>
      <c r="D38" s="151"/>
      <c r="E38" s="26">
        <v>1</v>
      </c>
      <c r="F38" s="151" t="s">
        <v>191</v>
      </c>
      <c r="G38" s="56"/>
      <c r="H38" s="56"/>
      <c r="I38" s="225"/>
      <c r="J38" s="262"/>
      <c r="K38" s="56"/>
      <c r="L38" s="56"/>
      <c r="M38" s="56"/>
      <c r="N38" s="226"/>
      <c r="O38" s="27"/>
      <c r="P38" s="25"/>
      <c r="Q38" s="227"/>
      <c r="R38" s="28"/>
      <c r="S38" s="29"/>
      <c r="T38" s="30"/>
      <c r="U38" s="29"/>
      <c r="V38" s="76"/>
    </row>
    <row r="39" spans="1:22" s="116" customFormat="1" ht="25.35" customHeight="1">
      <c r="A39" s="106"/>
      <c r="B39" s="107"/>
      <c r="C39" s="293"/>
      <c r="D39" s="110"/>
      <c r="E39" s="109"/>
      <c r="F39" s="110"/>
      <c r="G39" s="228">
        <v>100</v>
      </c>
      <c r="H39" s="228">
        <v>98</v>
      </c>
      <c r="I39" s="228">
        <v>238</v>
      </c>
      <c r="J39" s="228">
        <f>ROUND(I39*H39*G39/1000000,3)</f>
        <v>2.3319999999999999</v>
      </c>
      <c r="K39" s="228">
        <v>300</v>
      </c>
      <c r="L39" s="228">
        <f>'Summary PL'!M26</f>
        <v>370</v>
      </c>
      <c r="M39" s="111"/>
      <c r="N39" s="111"/>
      <c r="O39" s="111"/>
      <c r="P39" s="108"/>
      <c r="Q39" s="112"/>
      <c r="R39" s="28"/>
      <c r="S39" s="113"/>
      <c r="T39" s="114"/>
      <c r="U39" s="113"/>
      <c r="V39" s="115"/>
    </row>
    <row r="40" spans="1:22" s="77" customFormat="1" ht="25.35" customHeight="1">
      <c r="A40" s="149">
        <v>14</v>
      </c>
      <c r="B40" s="150" t="s">
        <v>109</v>
      </c>
      <c r="C40" s="292" t="s">
        <v>229</v>
      </c>
      <c r="D40" s="151"/>
      <c r="E40" s="26">
        <v>1</v>
      </c>
      <c r="F40" s="151" t="s">
        <v>191</v>
      </c>
      <c r="G40" s="56"/>
      <c r="H40" s="56"/>
      <c r="I40" s="225"/>
      <c r="J40" s="262"/>
      <c r="K40" s="56"/>
      <c r="L40" s="56"/>
      <c r="M40" s="56"/>
      <c r="N40" s="226"/>
      <c r="O40" s="27"/>
      <c r="P40" s="25"/>
      <c r="Q40" s="227"/>
      <c r="R40" s="28"/>
      <c r="S40" s="29"/>
      <c r="T40" s="30"/>
      <c r="U40" s="29"/>
      <c r="V40" s="76"/>
    </row>
    <row r="41" spans="1:22" s="116" customFormat="1" ht="25.35" customHeight="1">
      <c r="A41" s="106"/>
      <c r="B41" s="107"/>
      <c r="C41" s="293"/>
      <c r="D41" s="110"/>
      <c r="E41" s="109"/>
      <c r="F41" s="110"/>
      <c r="G41" s="228">
        <v>100</v>
      </c>
      <c r="H41" s="228">
        <v>98</v>
      </c>
      <c r="I41" s="228">
        <v>238</v>
      </c>
      <c r="J41" s="228">
        <f>ROUND(I41*H41*G41/1000000,3)</f>
        <v>2.3319999999999999</v>
      </c>
      <c r="K41" s="228">
        <v>297</v>
      </c>
      <c r="L41" s="228">
        <f>'Summary PL'!M27</f>
        <v>367</v>
      </c>
      <c r="M41" s="111"/>
      <c r="N41" s="111"/>
      <c r="O41" s="111"/>
      <c r="P41" s="108"/>
      <c r="Q41" s="112"/>
      <c r="R41" s="28"/>
      <c r="S41" s="113"/>
      <c r="T41" s="114"/>
      <c r="U41" s="113"/>
      <c r="V41" s="115"/>
    </row>
    <row r="42" spans="1:22" s="77" customFormat="1" ht="25.35" customHeight="1">
      <c r="A42" s="149">
        <v>15</v>
      </c>
      <c r="B42" s="150" t="s">
        <v>110</v>
      </c>
      <c r="C42" s="292" t="s">
        <v>230</v>
      </c>
      <c r="D42" s="151"/>
      <c r="E42" s="26">
        <v>1</v>
      </c>
      <c r="F42" s="151" t="s">
        <v>191</v>
      </c>
      <c r="G42" s="56"/>
      <c r="H42" s="56"/>
      <c r="I42" s="225"/>
      <c r="J42" s="262"/>
      <c r="K42" s="56"/>
      <c r="L42" s="56"/>
      <c r="M42" s="56"/>
      <c r="N42" s="226"/>
      <c r="O42" s="27"/>
      <c r="P42" s="25"/>
      <c r="Q42" s="227"/>
      <c r="R42" s="28"/>
      <c r="S42" s="29"/>
      <c r="T42" s="30"/>
      <c r="U42" s="29"/>
      <c r="V42" s="76"/>
    </row>
    <row r="43" spans="1:22" s="116" customFormat="1" ht="25.35" customHeight="1">
      <c r="A43" s="106"/>
      <c r="B43" s="107"/>
      <c r="C43" s="293"/>
      <c r="D43" s="110"/>
      <c r="E43" s="109"/>
      <c r="F43" s="110"/>
      <c r="G43" s="228">
        <v>100</v>
      </c>
      <c r="H43" s="228">
        <v>98</v>
      </c>
      <c r="I43" s="228">
        <v>238</v>
      </c>
      <c r="J43" s="228">
        <f>ROUND(I43*H43*G43/1000000,3)</f>
        <v>2.3319999999999999</v>
      </c>
      <c r="K43" s="228">
        <v>306</v>
      </c>
      <c r="L43" s="228">
        <f>'Summary PL'!M28</f>
        <v>376</v>
      </c>
      <c r="M43" s="111"/>
      <c r="N43" s="111"/>
      <c r="O43" s="111"/>
      <c r="P43" s="108"/>
      <c r="Q43" s="112"/>
      <c r="R43" s="28"/>
      <c r="S43" s="113"/>
      <c r="T43" s="114"/>
      <c r="U43" s="113"/>
      <c r="V43" s="115"/>
    </row>
    <row r="44" spans="1:22" s="77" customFormat="1" ht="25.35" customHeight="1">
      <c r="A44" s="149">
        <v>16</v>
      </c>
      <c r="B44" s="150" t="s">
        <v>111</v>
      </c>
      <c r="C44" s="292" t="s">
        <v>231</v>
      </c>
      <c r="D44" s="151"/>
      <c r="E44" s="26">
        <v>1</v>
      </c>
      <c r="F44" s="151" t="s">
        <v>191</v>
      </c>
      <c r="G44" s="56"/>
      <c r="H44" s="56"/>
      <c r="I44" s="225"/>
      <c r="J44" s="262"/>
      <c r="K44" s="56"/>
      <c r="L44" s="56"/>
      <c r="M44" s="56"/>
      <c r="N44" s="226"/>
      <c r="O44" s="27"/>
      <c r="P44" s="25"/>
      <c r="Q44" s="227"/>
      <c r="R44" s="28"/>
      <c r="S44" s="29"/>
      <c r="T44" s="30"/>
      <c r="U44" s="29"/>
      <c r="V44" s="76"/>
    </row>
    <row r="45" spans="1:22" s="116" customFormat="1" ht="25.35" customHeight="1">
      <c r="A45" s="106"/>
      <c r="B45" s="107"/>
      <c r="C45" s="293"/>
      <c r="D45" s="110"/>
      <c r="E45" s="109"/>
      <c r="F45" s="110"/>
      <c r="G45" s="228">
        <v>100</v>
      </c>
      <c r="H45" s="228">
        <v>98</v>
      </c>
      <c r="I45" s="228">
        <v>238</v>
      </c>
      <c r="J45" s="228">
        <f>ROUND(I45*H45*G45/1000000,3)</f>
        <v>2.3319999999999999</v>
      </c>
      <c r="K45" s="228">
        <v>295</v>
      </c>
      <c r="L45" s="228">
        <f>'Summary PL'!M29</f>
        <v>365</v>
      </c>
      <c r="M45" s="111"/>
      <c r="N45" s="111"/>
      <c r="O45" s="111"/>
      <c r="P45" s="108"/>
      <c r="Q45" s="112"/>
      <c r="R45" s="28"/>
      <c r="S45" s="113"/>
      <c r="T45" s="114"/>
      <c r="U45" s="113"/>
      <c r="V45" s="115"/>
    </row>
    <row r="46" spans="1:22" s="77" customFormat="1" ht="25.35" customHeight="1">
      <c r="A46" s="149">
        <v>17</v>
      </c>
      <c r="B46" s="150" t="s">
        <v>112</v>
      </c>
      <c r="C46" s="292" t="s">
        <v>232</v>
      </c>
      <c r="D46" s="151"/>
      <c r="E46" s="26">
        <v>1</v>
      </c>
      <c r="F46" s="151" t="s">
        <v>191</v>
      </c>
      <c r="G46" s="56"/>
      <c r="H46" s="56"/>
      <c r="I46" s="225"/>
      <c r="J46" s="262"/>
      <c r="K46" s="56"/>
      <c r="L46" s="56"/>
      <c r="M46" s="56"/>
      <c r="N46" s="226"/>
      <c r="O46" s="27"/>
      <c r="P46" s="25"/>
      <c r="Q46" s="227"/>
      <c r="R46" s="28"/>
      <c r="S46" s="29"/>
      <c r="T46" s="30"/>
      <c r="U46" s="29"/>
      <c r="V46" s="76"/>
    </row>
    <row r="47" spans="1:22" s="116" customFormat="1" ht="25.35" customHeight="1">
      <c r="A47" s="106"/>
      <c r="B47" s="107"/>
      <c r="C47" s="293"/>
      <c r="D47" s="110"/>
      <c r="E47" s="109"/>
      <c r="F47" s="110"/>
      <c r="G47" s="228">
        <v>100</v>
      </c>
      <c r="H47" s="228">
        <v>98</v>
      </c>
      <c r="I47" s="228">
        <v>238</v>
      </c>
      <c r="J47" s="228">
        <f>ROUND(I47*H47*G47/1000000,3)</f>
        <v>2.3319999999999999</v>
      </c>
      <c r="K47" s="228">
        <v>306</v>
      </c>
      <c r="L47" s="228">
        <f>'Summary PL'!M30</f>
        <v>376</v>
      </c>
      <c r="M47" s="111"/>
      <c r="N47" s="111"/>
      <c r="O47" s="111"/>
      <c r="P47" s="108"/>
      <c r="Q47" s="112"/>
      <c r="R47" s="28"/>
      <c r="S47" s="113"/>
      <c r="T47" s="114"/>
      <c r="U47" s="113"/>
      <c r="V47" s="115"/>
    </row>
    <row r="48" spans="1:22" s="77" customFormat="1" ht="25.35" customHeight="1">
      <c r="A48" s="149">
        <v>18</v>
      </c>
      <c r="B48" s="150" t="s">
        <v>113</v>
      </c>
      <c r="C48" s="292" t="s">
        <v>233</v>
      </c>
      <c r="D48" s="151"/>
      <c r="E48" s="26">
        <v>1</v>
      </c>
      <c r="F48" s="151" t="s">
        <v>191</v>
      </c>
      <c r="G48" s="56"/>
      <c r="H48" s="56"/>
      <c r="I48" s="225"/>
      <c r="J48" s="262"/>
      <c r="K48" s="56"/>
      <c r="L48" s="56"/>
      <c r="M48" s="56"/>
      <c r="N48" s="226"/>
      <c r="O48" s="27"/>
      <c r="P48" s="25"/>
      <c r="Q48" s="227"/>
      <c r="R48" s="28"/>
      <c r="S48" s="29"/>
      <c r="T48" s="30"/>
      <c r="U48" s="29"/>
      <c r="V48" s="76"/>
    </row>
    <row r="49" spans="1:22" s="116" customFormat="1" ht="25.35" customHeight="1">
      <c r="A49" s="106"/>
      <c r="B49" s="107"/>
      <c r="C49" s="293"/>
      <c r="D49" s="110"/>
      <c r="E49" s="109"/>
      <c r="F49" s="110"/>
      <c r="G49" s="228">
        <v>100</v>
      </c>
      <c r="H49" s="228">
        <v>98</v>
      </c>
      <c r="I49" s="228">
        <v>238</v>
      </c>
      <c r="J49" s="228">
        <f>ROUND(I49*H49*G49/1000000,3)</f>
        <v>2.3319999999999999</v>
      </c>
      <c r="K49" s="228">
        <v>303</v>
      </c>
      <c r="L49" s="228">
        <f>'Summary PL'!M31</f>
        <v>373</v>
      </c>
      <c r="M49" s="111"/>
      <c r="N49" s="111"/>
      <c r="O49" s="111"/>
      <c r="P49" s="108"/>
      <c r="Q49" s="112"/>
      <c r="R49" s="28"/>
      <c r="S49" s="113"/>
      <c r="T49" s="114"/>
      <c r="U49" s="113"/>
      <c r="V49" s="115"/>
    </row>
    <row r="50" spans="1:22" s="77" customFormat="1" ht="25.35" customHeight="1">
      <c r="A50" s="149">
        <v>19</v>
      </c>
      <c r="B50" s="150" t="s">
        <v>114</v>
      </c>
      <c r="C50" s="292" t="s">
        <v>234</v>
      </c>
      <c r="D50" s="151"/>
      <c r="E50" s="26">
        <v>1</v>
      </c>
      <c r="F50" s="151" t="s">
        <v>191</v>
      </c>
      <c r="G50" s="56"/>
      <c r="H50" s="56"/>
      <c r="I50" s="225"/>
      <c r="J50" s="262"/>
      <c r="K50" s="56"/>
      <c r="L50" s="56"/>
      <c r="M50" s="56"/>
      <c r="N50" s="226"/>
      <c r="O50" s="27"/>
      <c r="P50" s="25"/>
      <c r="Q50" s="227"/>
      <c r="R50" s="28"/>
      <c r="S50" s="29"/>
      <c r="T50" s="30"/>
      <c r="U50" s="29"/>
      <c r="V50" s="76"/>
    </row>
    <row r="51" spans="1:22" s="116" customFormat="1" ht="25.35" customHeight="1">
      <c r="A51" s="106"/>
      <c r="B51" s="107"/>
      <c r="C51" s="293"/>
      <c r="D51" s="110"/>
      <c r="E51" s="109"/>
      <c r="F51" s="110"/>
      <c r="G51" s="228">
        <v>100</v>
      </c>
      <c r="H51" s="228">
        <v>98</v>
      </c>
      <c r="I51" s="228">
        <v>238</v>
      </c>
      <c r="J51" s="228">
        <f>ROUND(I51*H51*G51/1000000,3)</f>
        <v>2.3319999999999999</v>
      </c>
      <c r="K51" s="228">
        <v>295</v>
      </c>
      <c r="L51" s="228">
        <f>'Summary PL'!M32</f>
        <v>365</v>
      </c>
      <c r="M51" s="111"/>
      <c r="N51" s="111"/>
      <c r="O51" s="111"/>
      <c r="P51" s="108"/>
      <c r="Q51" s="112"/>
      <c r="R51" s="28"/>
      <c r="S51" s="113"/>
      <c r="T51" s="114"/>
      <c r="U51" s="113"/>
      <c r="V51" s="115"/>
    </row>
    <row r="52" spans="1:22" s="77" customFormat="1" ht="25.35" customHeight="1">
      <c r="A52" s="149">
        <v>20</v>
      </c>
      <c r="B52" s="150" t="s">
        <v>115</v>
      </c>
      <c r="C52" s="292" t="s">
        <v>235</v>
      </c>
      <c r="D52" s="151"/>
      <c r="E52" s="26">
        <v>1</v>
      </c>
      <c r="F52" s="151" t="s">
        <v>191</v>
      </c>
      <c r="G52" s="56"/>
      <c r="H52" s="56"/>
      <c r="I52" s="225"/>
      <c r="J52" s="262"/>
      <c r="K52" s="56"/>
      <c r="L52" s="56"/>
      <c r="M52" s="56"/>
      <c r="N52" s="226"/>
      <c r="O52" s="27"/>
      <c r="P52" s="25"/>
      <c r="Q52" s="227"/>
      <c r="R52" s="28"/>
      <c r="S52" s="29"/>
      <c r="T52" s="30"/>
      <c r="U52" s="29"/>
      <c r="V52" s="76"/>
    </row>
    <row r="53" spans="1:22" s="116" customFormat="1" ht="25.35" customHeight="1">
      <c r="A53" s="106"/>
      <c r="B53" s="107"/>
      <c r="C53" s="293"/>
      <c r="D53" s="110"/>
      <c r="E53" s="109"/>
      <c r="F53" s="110"/>
      <c r="G53" s="228">
        <v>100</v>
      </c>
      <c r="H53" s="228">
        <v>122</v>
      </c>
      <c r="I53" s="228">
        <v>238</v>
      </c>
      <c r="J53" s="228">
        <f>ROUND(I53*H53*G53/1000000,3)</f>
        <v>2.9039999999999999</v>
      </c>
      <c r="K53" s="228">
        <v>350</v>
      </c>
      <c r="L53" s="228">
        <f>'Summary PL'!M33</f>
        <v>440</v>
      </c>
      <c r="M53" s="111"/>
      <c r="N53" s="111"/>
      <c r="O53" s="111"/>
      <c r="P53" s="108"/>
      <c r="Q53" s="112"/>
      <c r="R53" s="28"/>
      <c r="S53" s="113"/>
      <c r="T53" s="114"/>
      <c r="U53" s="113"/>
      <c r="V53" s="115"/>
    </row>
    <row r="54" spans="1:22" s="77" customFormat="1" ht="25.35" customHeight="1">
      <c r="A54" s="149">
        <v>21</v>
      </c>
      <c r="B54" s="150" t="s">
        <v>116</v>
      </c>
      <c r="C54" s="292" t="s">
        <v>236</v>
      </c>
      <c r="D54" s="151"/>
      <c r="E54" s="26">
        <v>1</v>
      </c>
      <c r="F54" s="151" t="s">
        <v>191</v>
      </c>
      <c r="G54" s="56"/>
      <c r="H54" s="56"/>
      <c r="I54" s="225"/>
      <c r="J54" s="262"/>
      <c r="K54" s="56"/>
      <c r="L54" s="56"/>
      <c r="M54" s="56"/>
      <c r="N54" s="226"/>
      <c r="O54" s="27"/>
      <c r="P54" s="25"/>
      <c r="Q54" s="227"/>
      <c r="R54" s="28"/>
      <c r="S54" s="29"/>
      <c r="T54" s="30"/>
      <c r="U54" s="29"/>
      <c r="V54" s="76"/>
    </row>
    <row r="55" spans="1:22" s="116" customFormat="1" ht="25.35" customHeight="1">
      <c r="A55" s="106"/>
      <c r="B55" s="107"/>
      <c r="C55" s="293"/>
      <c r="D55" s="110"/>
      <c r="E55" s="109"/>
      <c r="F55" s="110"/>
      <c r="G55" s="228">
        <v>100</v>
      </c>
      <c r="H55" s="228">
        <v>122</v>
      </c>
      <c r="I55" s="228">
        <v>238</v>
      </c>
      <c r="J55" s="228">
        <f>ROUND(I55*H55*G55/1000000,3)</f>
        <v>2.9039999999999999</v>
      </c>
      <c r="K55" s="228">
        <v>345.1</v>
      </c>
      <c r="L55" s="228">
        <f>'Summary PL'!M34</f>
        <v>435.1</v>
      </c>
      <c r="M55" s="111"/>
      <c r="N55" s="111"/>
      <c r="O55" s="111"/>
      <c r="P55" s="108"/>
      <c r="Q55" s="112"/>
      <c r="R55" s="28"/>
      <c r="S55" s="113"/>
      <c r="T55" s="114"/>
      <c r="U55" s="113"/>
      <c r="V55" s="115"/>
    </row>
    <row r="56" spans="1:22" s="77" customFormat="1" ht="25.35" customHeight="1">
      <c r="A56" s="149">
        <v>22</v>
      </c>
      <c r="B56" s="150" t="s">
        <v>117</v>
      </c>
      <c r="C56" s="292" t="s">
        <v>237</v>
      </c>
      <c r="D56" s="151"/>
      <c r="E56" s="26">
        <v>1</v>
      </c>
      <c r="F56" s="151" t="s">
        <v>191</v>
      </c>
      <c r="G56" s="56"/>
      <c r="H56" s="56"/>
      <c r="I56" s="225"/>
      <c r="J56" s="262"/>
      <c r="K56" s="56"/>
      <c r="L56" s="56"/>
      <c r="M56" s="56"/>
      <c r="N56" s="226"/>
      <c r="O56" s="27"/>
      <c r="P56" s="25"/>
      <c r="Q56" s="227"/>
      <c r="R56" s="28"/>
      <c r="S56" s="29"/>
      <c r="T56" s="30"/>
      <c r="U56" s="29"/>
      <c r="V56" s="76"/>
    </row>
    <row r="57" spans="1:22" s="116" customFormat="1" ht="25.35" customHeight="1">
      <c r="A57" s="106"/>
      <c r="B57" s="107"/>
      <c r="C57" s="293"/>
      <c r="D57" s="110"/>
      <c r="E57" s="109"/>
      <c r="F57" s="110"/>
      <c r="G57" s="228">
        <v>100</v>
      </c>
      <c r="H57" s="228">
        <v>122</v>
      </c>
      <c r="I57" s="228">
        <v>238</v>
      </c>
      <c r="J57" s="228">
        <f>ROUND(I57*H57*G57/1000000,3)</f>
        <v>2.9039999999999999</v>
      </c>
      <c r="K57" s="228">
        <v>340</v>
      </c>
      <c r="L57" s="228">
        <f>'Summary PL'!M35</f>
        <v>430</v>
      </c>
      <c r="M57" s="111"/>
      <c r="N57" s="111"/>
      <c r="O57" s="111"/>
      <c r="P57" s="108"/>
      <c r="Q57" s="112"/>
      <c r="R57" s="28"/>
      <c r="S57" s="113"/>
      <c r="T57" s="114"/>
      <c r="U57" s="113"/>
      <c r="V57" s="115"/>
    </row>
    <row r="58" spans="1:22" s="77" customFormat="1" ht="25.35" customHeight="1">
      <c r="A58" s="149">
        <v>23</v>
      </c>
      <c r="B58" s="150" t="s">
        <v>118</v>
      </c>
      <c r="C58" s="292" t="s">
        <v>238</v>
      </c>
      <c r="D58" s="151"/>
      <c r="E58" s="26">
        <v>1</v>
      </c>
      <c r="F58" s="151" t="s">
        <v>191</v>
      </c>
      <c r="G58" s="56"/>
      <c r="H58" s="56"/>
      <c r="I58" s="225"/>
      <c r="J58" s="262"/>
      <c r="K58" s="56"/>
      <c r="L58" s="56"/>
      <c r="M58" s="56"/>
      <c r="N58" s="226"/>
      <c r="O58" s="27"/>
      <c r="P58" s="25"/>
      <c r="Q58" s="227"/>
      <c r="R58" s="28"/>
      <c r="S58" s="29"/>
      <c r="T58" s="30"/>
      <c r="U58" s="29"/>
      <c r="V58" s="76"/>
    </row>
    <row r="59" spans="1:22" s="116" customFormat="1" ht="25.35" customHeight="1">
      <c r="A59" s="106"/>
      <c r="B59" s="107"/>
      <c r="C59" s="293"/>
      <c r="D59" s="110"/>
      <c r="E59" s="109"/>
      <c r="F59" s="110"/>
      <c r="G59" s="228">
        <v>100</v>
      </c>
      <c r="H59" s="228">
        <v>122</v>
      </c>
      <c r="I59" s="228">
        <v>238</v>
      </c>
      <c r="J59" s="228">
        <f>ROUND(I59*H59*G59/1000000,3)</f>
        <v>2.9039999999999999</v>
      </c>
      <c r="K59" s="228">
        <v>345</v>
      </c>
      <c r="L59" s="228">
        <f>'Summary PL'!M36</f>
        <v>435</v>
      </c>
      <c r="M59" s="111"/>
      <c r="N59" s="111"/>
      <c r="O59" s="111"/>
      <c r="P59" s="108"/>
      <c r="Q59" s="112"/>
      <c r="R59" s="28"/>
      <c r="S59" s="113"/>
      <c r="T59" s="114"/>
      <c r="U59" s="113"/>
      <c r="V59" s="115"/>
    </row>
    <row r="60" spans="1:22" s="77" customFormat="1" ht="25.35" customHeight="1">
      <c r="A60" s="149">
        <v>24</v>
      </c>
      <c r="B60" s="150" t="s">
        <v>119</v>
      </c>
      <c r="C60" s="292" t="s">
        <v>239</v>
      </c>
      <c r="D60" s="151"/>
      <c r="E60" s="26">
        <v>1</v>
      </c>
      <c r="F60" s="151" t="s">
        <v>191</v>
      </c>
      <c r="G60" s="56"/>
      <c r="H60" s="56"/>
      <c r="I60" s="225"/>
      <c r="J60" s="262"/>
      <c r="K60" s="56"/>
      <c r="L60" s="56"/>
      <c r="M60" s="56"/>
      <c r="N60" s="226"/>
      <c r="O60" s="27"/>
      <c r="P60" s="25"/>
      <c r="Q60" s="227"/>
      <c r="R60" s="28"/>
      <c r="S60" s="29"/>
      <c r="T60" s="30"/>
      <c r="U60" s="29"/>
      <c r="V60" s="76"/>
    </row>
    <row r="61" spans="1:22" s="116" customFormat="1" ht="25.35" customHeight="1">
      <c r="A61" s="106"/>
      <c r="B61" s="107"/>
      <c r="C61" s="293"/>
      <c r="D61" s="110"/>
      <c r="E61" s="109"/>
      <c r="F61" s="110"/>
      <c r="G61" s="228">
        <v>100</v>
      </c>
      <c r="H61" s="228">
        <v>122</v>
      </c>
      <c r="I61" s="228">
        <v>238</v>
      </c>
      <c r="J61" s="228">
        <f>ROUND(I61*H61*G61/1000000,3)</f>
        <v>2.9039999999999999</v>
      </c>
      <c r="K61" s="228">
        <v>342</v>
      </c>
      <c r="L61" s="228">
        <f>'Summary PL'!M37</f>
        <v>432</v>
      </c>
      <c r="M61" s="111"/>
      <c r="N61" s="111"/>
      <c r="O61" s="111"/>
      <c r="P61" s="108"/>
      <c r="Q61" s="112"/>
      <c r="R61" s="28"/>
      <c r="S61" s="113"/>
      <c r="T61" s="114"/>
      <c r="U61" s="113"/>
      <c r="V61" s="115"/>
    </row>
    <row r="62" spans="1:22" s="77" customFormat="1" ht="25.35" customHeight="1">
      <c r="A62" s="149">
        <v>25</v>
      </c>
      <c r="B62" s="150" t="s">
        <v>120</v>
      </c>
      <c r="C62" s="294" t="s">
        <v>240</v>
      </c>
      <c r="D62" s="151"/>
      <c r="E62" s="26">
        <v>1</v>
      </c>
      <c r="F62" s="151" t="s">
        <v>191</v>
      </c>
      <c r="G62" s="56"/>
      <c r="H62" s="56"/>
      <c r="I62" s="225"/>
      <c r="J62" s="262"/>
      <c r="K62" s="56"/>
      <c r="L62" s="56"/>
      <c r="M62" s="56"/>
      <c r="N62" s="226"/>
      <c r="O62" s="27"/>
      <c r="P62" s="25"/>
      <c r="Q62" s="227"/>
      <c r="R62" s="28"/>
      <c r="S62" s="29"/>
      <c r="T62" s="30"/>
      <c r="U62" s="29"/>
      <c r="V62" s="76"/>
    </row>
    <row r="63" spans="1:22" s="116" customFormat="1" ht="25.35" customHeight="1">
      <c r="A63" s="106"/>
      <c r="B63" s="107"/>
      <c r="C63" s="293"/>
      <c r="D63" s="110"/>
      <c r="E63" s="109"/>
      <c r="F63" s="110"/>
      <c r="G63" s="228">
        <v>100</v>
      </c>
      <c r="H63" s="228">
        <v>122</v>
      </c>
      <c r="I63" s="228">
        <v>238</v>
      </c>
      <c r="J63" s="228">
        <f>ROUND(I63*H63*G63/1000000,3)</f>
        <v>2.9039999999999999</v>
      </c>
      <c r="K63" s="228">
        <v>319</v>
      </c>
      <c r="L63" s="228">
        <f>'Summary PL'!M38</f>
        <v>409</v>
      </c>
      <c r="M63" s="111"/>
      <c r="N63" s="111"/>
      <c r="O63" s="111"/>
      <c r="P63" s="108"/>
      <c r="Q63" s="112"/>
      <c r="R63" s="28"/>
      <c r="S63" s="113"/>
      <c r="T63" s="114"/>
      <c r="U63" s="113"/>
      <c r="V63" s="115"/>
    </row>
    <row r="64" spans="1:22" s="77" customFormat="1" ht="25.35" customHeight="1">
      <c r="A64" s="149">
        <v>26</v>
      </c>
      <c r="B64" s="150" t="s">
        <v>121</v>
      </c>
      <c r="C64" s="294" t="s">
        <v>241</v>
      </c>
      <c r="D64" s="151"/>
      <c r="E64" s="26">
        <v>1</v>
      </c>
      <c r="F64" s="151" t="s">
        <v>191</v>
      </c>
      <c r="G64" s="56"/>
      <c r="H64" s="56"/>
      <c r="I64" s="225"/>
      <c r="J64" s="262"/>
      <c r="K64" s="56"/>
      <c r="L64" s="56"/>
      <c r="M64" s="56"/>
      <c r="N64" s="226"/>
      <c r="O64" s="27"/>
      <c r="P64" s="25"/>
      <c r="Q64" s="227"/>
      <c r="R64" s="28"/>
      <c r="S64" s="29"/>
      <c r="T64" s="30"/>
      <c r="U64" s="29"/>
      <c r="V64" s="76"/>
    </row>
    <row r="65" spans="1:22" s="116" customFormat="1" ht="25.35" customHeight="1">
      <c r="A65" s="106"/>
      <c r="B65" s="107"/>
      <c r="C65" s="293"/>
      <c r="D65" s="110"/>
      <c r="E65" s="109"/>
      <c r="F65" s="110"/>
      <c r="G65" s="228">
        <v>100</v>
      </c>
      <c r="H65" s="228">
        <v>122</v>
      </c>
      <c r="I65" s="228">
        <v>238</v>
      </c>
      <c r="J65" s="228">
        <f>ROUND(I65*H65*G65/1000000,3)</f>
        <v>2.9039999999999999</v>
      </c>
      <c r="K65" s="228">
        <v>404</v>
      </c>
      <c r="L65" s="228">
        <f>'Summary PL'!M39</f>
        <v>494</v>
      </c>
      <c r="M65" s="111"/>
      <c r="N65" s="111"/>
      <c r="O65" s="111"/>
      <c r="P65" s="108"/>
      <c r="Q65" s="112"/>
      <c r="R65" s="28"/>
      <c r="S65" s="113"/>
      <c r="T65" s="114"/>
      <c r="U65" s="113"/>
      <c r="V65" s="115"/>
    </row>
    <row r="66" spans="1:22" s="77" customFormat="1" ht="25.35" customHeight="1">
      <c r="A66" s="149">
        <v>27</v>
      </c>
      <c r="B66" s="150" t="s">
        <v>122</v>
      </c>
      <c r="C66" s="294" t="s">
        <v>242</v>
      </c>
      <c r="D66" s="151"/>
      <c r="E66" s="26">
        <v>1</v>
      </c>
      <c r="F66" s="151" t="s">
        <v>191</v>
      </c>
      <c r="G66" s="56"/>
      <c r="H66" s="56"/>
      <c r="I66" s="225"/>
      <c r="J66" s="262"/>
      <c r="K66" s="56"/>
      <c r="L66" s="56"/>
      <c r="M66" s="56"/>
      <c r="N66" s="226"/>
      <c r="O66" s="27"/>
      <c r="P66" s="25"/>
      <c r="Q66" s="227"/>
      <c r="R66" s="28"/>
      <c r="S66" s="29"/>
      <c r="T66" s="30"/>
      <c r="U66" s="29"/>
      <c r="V66" s="76"/>
    </row>
    <row r="67" spans="1:22" s="116" customFormat="1" ht="25.35" customHeight="1">
      <c r="A67" s="106"/>
      <c r="B67" s="107"/>
      <c r="C67" s="293"/>
      <c r="D67" s="110"/>
      <c r="E67" s="109"/>
      <c r="F67" s="110"/>
      <c r="G67" s="228">
        <v>100</v>
      </c>
      <c r="H67" s="228">
        <v>122</v>
      </c>
      <c r="I67" s="228">
        <v>238</v>
      </c>
      <c r="J67" s="228">
        <f>ROUND(I67*H67*G67/1000000,3)</f>
        <v>2.9039999999999999</v>
      </c>
      <c r="K67" s="228">
        <v>390</v>
      </c>
      <c r="L67" s="228">
        <f>'Summary PL'!M40</f>
        <v>480</v>
      </c>
      <c r="M67" s="111"/>
      <c r="N67" s="111"/>
      <c r="O67" s="111"/>
      <c r="P67" s="108"/>
      <c r="Q67" s="112"/>
      <c r="R67" s="28"/>
      <c r="S67" s="113"/>
      <c r="T67" s="114"/>
      <c r="U67" s="113"/>
      <c r="V67" s="115"/>
    </row>
    <row r="68" spans="1:22" s="77" customFormat="1" ht="25.35" customHeight="1">
      <c r="A68" s="149">
        <v>28</v>
      </c>
      <c r="B68" s="150" t="s">
        <v>123</v>
      </c>
      <c r="C68" s="294" t="s">
        <v>243</v>
      </c>
      <c r="D68" s="151"/>
      <c r="E68" s="26">
        <v>1</v>
      </c>
      <c r="F68" s="151" t="s">
        <v>191</v>
      </c>
      <c r="G68" s="56"/>
      <c r="H68" s="56"/>
      <c r="I68" s="225"/>
      <c r="J68" s="262"/>
      <c r="K68" s="56"/>
      <c r="L68" s="56"/>
      <c r="M68" s="56"/>
      <c r="N68" s="226"/>
      <c r="O68" s="27"/>
      <c r="P68" s="25"/>
      <c r="Q68" s="227"/>
      <c r="R68" s="28"/>
      <c r="S68" s="29"/>
      <c r="T68" s="30"/>
      <c r="U68" s="29"/>
      <c r="V68" s="76"/>
    </row>
    <row r="69" spans="1:22" s="116" customFormat="1" ht="25.35" customHeight="1">
      <c r="A69" s="106"/>
      <c r="B69" s="107"/>
      <c r="C69" s="293"/>
      <c r="D69" s="110"/>
      <c r="E69" s="109"/>
      <c r="F69" s="110"/>
      <c r="G69" s="228">
        <v>100</v>
      </c>
      <c r="H69" s="228">
        <v>122</v>
      </c>
      <c r="I69" s="228">
        <v>238</v>
      </c>
      <c r="J69" s="228">
        <f>ROUND(I69*H69*G69/1000000,3)</f>
        <v>2.9039999999999999</v>
      </c>
      <c r="K69" s="228">
        <v>386</v>
      </c>
      <c r="L69" s="228">
        <f>'Summary PL'!M41</f>
        <v>476</v>
      </c>
      <c r="M69" s="111"/>
      <c r="N69" s="111"/>
      <c r="O69" s="111"/>
      <c r="P69" s="108"/>
      <c r="Q69" s="112"/>
      <c r="R69" s="28"/>
      <c r="S69" s="113"/>
      <c r="T69" s="114"/>
      <c r="U69" s="113"/>
      <c r="V69" s="115"/>
    </row>
    <row r="70" spans="1:22" s="77" customFormat="1" ht="25.35" customHeight="1">
      <c r="A70" s="149">
        <v>29</v>
      </c>
      <c r="B70" s="150" t="s">
        <v>124</v>
      </c>
      <c r="C70" s="294" t="s">
        <v>244</v>
      </c>
      <c r="D70" s="151"/>
      <c r="E70" s="26">
        <v>1</v>
      </c>
      <c r="F70" s="151" t="s">
        <v>191</v>
      </c>
      <c r="G70" s="56"/>
      <c r="H70" s="56"/>
      <c r="I70" s="225"/>
      <c r="J70" s="262"/>
      <c r="K70" s="56"/>
      <c r="L70" s="56"/>
      <c r="M70" s="56"/>
      <c r="N70" s="226"/>
      <c r="O70" s="27"/>
      <c r="P70" s="25"/>
      <c r="Q70" s="227"/>
      <c r="R70" s="28"/>
      <c r="S70" s="29"/>
      <c r="T70" s="30"/>
      <c r="U70" s="29"/>
      <c r="V70" s="76"/>
    </row>
    <row r="71" spans="1:22" s="116" customFormat="1" ht="25.35" customHeight="1">
      <c r="A71" s="106"/>
      <c r="B71" s="107"/>
      <c r="C71" s="293"/>
      <c r="D71" s="110"/>
      <c r="E71" s="109"/>
      <c r="F71" s="110"/>
      <c r="G71" s="228">
        <v>100</v>
      </c>
      <c r="H71" s="228">
        <v>122</v>
      </c>
      <c r="I71" s="228">
        <v>238</v>
      </c>
      <c r="J71" s="228">
        <f>ROUND(I71*H71*G71/1000000,3)</f>
        <v>2.9039999999999999</v>
      </c>
      <c r="K71" s="228">
        <v>373</v>
      </c>
      <c r="L71" s="228">
        <f>'Summary PL'!M42</f>
        <v>463</v>
      </c>
      <c r="M71" s="111"/>
      <c r="N71" s="111"/>
      <c r="O71" s="111"/>
      <c r="P71" s="108"/>
      <c r="Q71" s="112"/>
      <c r="R71" s="28"/>
      <c r="S71" s="113"/>
      <c r="T71" s="114"/>
      <c r="U71" s="113"/>
      <c r="V71" s="115"/>
    </row>
    <row r="72" spans="1:22" s="77" customFormat="1" ht="25.35" customHeight="1">
      <c r="A72" s="149">
        <v>30</v>
      </c>
      <c r="B72" s="150" t="s">
        <v>125</v>
      </c>
      <c r="C72" s="294" t="s">
        <v>245</v>
      </c>
      <c r="D72" s="151"/>
      <c r="E72" s="26">
        <v>10</v>
      </c>
      <c r="F72" s="151" t="s">
        <v>191</v>
      </c>
      <c r="G72" s="56"/>
      <c r="H72" s="56"/>
      <c r="I72" s="225"/>
      <c r="J72" s="262"/>
      <c r="K72" s="56"/>
      <c r="L72" s="56"/>
      <c r="M72" s="56"/>
      <c r="N72" s="226"/>
      <c r="O72" s="27"/>
      <c r="P72" s="25"/>
      <c r="Q72" s="227"/>
      <c r="R72" s="28"/>
      <c r="S72" s="29"/>
      <c r="T72" s="30"/>
      <c r="U72" s="29"/>
      <c r="V72" s="76"/>
    </row>
    <row r="73" spans="1:22" s="116" customFormat="1" ht="25.35" customHeight="1">
      <c r="A73" s="106"/>
      <c r="B73" s="107"/>
      <c r="C73" s="293"/>
      <c r="D73" s="110"/>
      <c r="E73" s="109"/>
      <c r="F73" s="110"/>
      <c r="G73" s="228">
        <v>140</v>
      </c>
      <c r="H73" s="228">
        <v>120</v>
      </c>
      <c r="I73" s="228">
        <v>90</v>
      </c>
      <c r="J73" s="228">
        <f>ROUND(I73*H73*G73/1000000,3)</f>
        <v>1.512</v>
      </c>
      <c r="K73" s="228">
        <v>150</v>
      </c>
      <c r="L73" s="228">
        <f>'Summary PL'!M43</f>
        <v>200</v>
      </c>
      <c r="M73" s="111"/>
      <c r="N73" s="111"/>
      <c r="O73" s="111"/>
      <c r="P73" s="108"/>
      <c r="Q73" s="112"/>
      <c r="R73" s="28"/>
      <c r="S73" s="113"/>
      <c r="T73" s="114"/>
      <c r="U73" s="113"/>
      <c r="V73" s="115"/>
    </row>
    <row r="74" spans="1:22" s="77" customFormat="1" ht="25.35" customHeight="1">
      <c r="A74" s="149">
        <v>31</v>
      </c>
      <c r="B74" s="150" t="s">
        <v>127</v>
      </c>
      <c r="C74" s="294" t="s">
        <v>246</v>
      </c>
      <c r="D74" s="151"/>
      <c r="E74" s="26">
        <v>20</v>
      </c>
      <c r="F74" s="151" t="s">
        <v>191</v>
      </c>
      <c r="G74" s="56"/>
      <c r="H74" s="56"/>
      <c r="I74" s="225"/>
      <c r="J74" s="262"/>
      <c r="K74" s="56"/>
      <c r="L74" s="56"/>
      <c r="M74" s="56"/>
      <c r="N74" s="226"/>
      <c r="O74" s="27"/>
      <c r="P74" s="25"/>
      <c r="Q74" s="227"/>
      <c r="R74" s="28"/>
      <c r="S74" s="29"/>
      <c r="T74" s="30"/>
      <c r="U74" s="29"/>
      <c r="V74" s="76"/>
    </row>
    <row r="75" spans="1:22" s="116" customFormat="1" ht="25.35" customHeight="1">
      <c r="A75" s="106"/>
      <c r="B75" s="107"/>
      <c r="C75" s="293"/>
      <c r="D75" s="110"/>
      <c r="E75" s="109"/>
      <c r="F75" s="110"/>
      <c r="G75" s="228">
        <v>122</v>
      </c>
      <c r="H75" s="228">
        <v>110</v>
      </c>
      <c r="I75" s="228">
        <v>125</v>
      </c>
      <c r="J75" s="228">
        <f>ROUND(I75*H75*G75/1000000,3)</f>
        <v>1.6779999999999999</v>
      </c>
      <c r="K75" s="228">
        <v>140</v>
      </c>
      <c r="L75" s="228">
        <f>'Summary PL'!M44</f>
        <v>200</v>
      </c>
      <c r="M75" s="111"/>
      <c r="N75" s="111"/>
      <c r="O75" s="111"/>
      <c r="P75" s="108"/>
      <c r="Q75" s="112"/>
      <c r="R75" s="28"/>
      <c r="S75" s="113"/>
      <c r="T75" s="114"/>
      <c r="U75" s="113"/>
      <c r="V75" s="115"/>
    </row>
    <row r="76" spans="1:22" s="77" customFormat="1" ht="25.35" customHeight="1">
      <c r="A76" s="149">
        <v>32</v>
      </c>
      <c r="B76" s="150" t="s">
        <v>129</v>
      </c>
      <c r="C76" s="294" t="s">
        <v>247</v>
      </c>
      <c r="D76" s="151"/>
      <c r="E76" s="26">
        <v>1</v>
      </c>
      <c r="F76" s="151" t="s">
        <v>191</v>
      </c>
      <c r="G76" s="56"/>
      <c r="H76" s="56"/>
      <c r="I76" s="225"/>
      <c r="J76" s="262"/>
      <c r="K76" s="56"/>
      <c r="L76" s="56"/>
      <c r="M76" s="56"/>
      <c r="N76" s="226"/>
      <c r="O76" s="27"/>
      <c r="P76" s="25"/>
      <c r="Q76" s="259" t="s">
        <v>248</v>
      </c>
      <c r="R76" s="28"/>
      <c r="S76" s="29"/>
      <c r="T76" s="30"/>
      <c r="U76" s="29"/>
      <c r="V76" s="76"/>
    </row>
    <row r="77" spans="1:22" s="77" customFormat="1" ht="25.35" customHeight="1">
      <c r="A77" s="149">
        <v>32</v>
      </c>
      <c r="B77" s="150" t="s">
        <v>129</v>
      </c>
      <c r="C77" s="294" t="s">
        <v>249</v>
      </c>
      <c r="D77" s="151"/>
      <c r="E77" s="26">
        <v>2</v>
      </c>
      <c r="F77" s="151" t="s">
        <v>191</v>
      </c>
      <c r="G77" s="56"/>
      <c r="H77" s="56"/>
      <c r="I77" s="225"/>
      <c r="J77" s="262"/>
      <c r="K77" s="56"/>
      <c r="L77" s="56"/>
      <c r="M77" s="56"/>
      <c r="N77" s="226"/>
      <c r="O77" s="27"/>
      <c r="P77" s="25"/>
      <c r="Q77" s="259" t="s">
        <v>248</v>
      </c>
      <c r="R77" s="28"/>
      <c r="S77" s="29"/>
      <c r="T77" s="30"/>
      <c r="U77" s="29"/>
      <c r="V77" s="76"/>
    </row>
    <row r="78" spans="1:22" s="77" customFormat="1" ht="25.35" customHeight="1">
      <c r="A78" s="149">
        <v>32</v>
      </c>
      <c r="B78" s="150" t="s">
        <v>129</v>
      </c>
      <c r="C78" s="294" t="s">
        <v>250</v>
      </c>
      <c r="D78" s="151"/>
      <c r="E78" s="26">
        <v>2</v>
      </c>
      <c r="F78" s="151" t="s">
        <v>191</v>
      </c>
      <c r="G78" s="56"/>
      <c r="H78" s="56"/>
      <c r="I78" s="225"/>
      <c r="J78" s="262"/>
      <c r="K78" s="56"/>
      <c r="L78" s="56"/>
      <c r="M78" s="56"/>
      <c r="N78" s="226"/>
      <c r="O78" s="27"/>
      <c r="P78" s="25"/>
      <c r="Q78" s="259" t="s">
        <v>248</v>
      </c>
      <c r="R78" s="28"/>
      <c r="S78" s="29"/>
      <c r="T78" s="30"/>
      <c r="U78" s="29"/>
      <c r="V78" s="76"/>
    </row>
    <row r="79" spans="1:22" s="77" customFormat="1" ht="25.35" customHeight="1">
      <c r="A79" s="149">
        <v>32</v>
      </c>
      <c r="B79" s="150" t="s">
        <v>129</v>
      </c>
      <c r="C79" s="294" t="s">
        <v>251</v>
      </c>
      <c r="D79" s="151"/>
      <c r="E79" s="26">
        <v>4</v>
      </c>
      <c r="F79" s="151" t="s">
        <v>191</v>
      </c>
      <c r="G79" s="56"/>
      <c r="H79" s="56"/>
      <c r="I79" s="225"/>
      <c r="J79" s="262"/>
      <c r="K79" s="56"/>
      <c r="L79" s="56"/>
      <c r="M79" s="56"/>
      <c r="N79" s="226"/>
      <c r="O79" s="27"/>
      <c r="P79" s="25"/>
      <c r="Q79" s="259" t="s">
        <v>248</v>
      </c>
      <c r="R79" s="28"/>
      <c r="S79" s="29"/>
      <c r="T79" s="30"/>
      <c r="U79" s="29"/>
      <c r="V79" s="76"/>
    </row>
    <row r="80" spans="1:22" s="77" customFormat="1" ht="25.35" customHeight="1">
      <c r="A80" s="149">
        <v>32</v>
      </c>
      <c r="B80" s="150" t="s">
        <v>129</v>
      </c>
      <c r="C80" s="294" t="s">
        <v>252</v>
      </c>
      <c r="D80" s="151"/>
      <c r="E80" s="26">
        <v>2</v>
      </c>
      <c r="F80" s="151" t="s">
        <v>191</v>
      </c>
      <c r="G80" s="56"/>
      <c r="H80" s="56"/>
      <c r="I80" s="225"/>
      <c r="J80" s="262"/>
      <c r="K80" s="56"/>
      <c r="L80" s="56"/>
      <c r="M80" s="56"/>
      <c r="N80" s="226"/>
      <c r="O80" s="27"/>
      <c r="P80" s="25"/>
      <c r="Q80" s="259" t="s">
        <v>248</v>
      </c>
      <c r="R80" s="28"/>
      <c r="S80" s="29"/>
      <c r="T80" s="30"/>
      <c r="U80" s="29"/>
      <c r="V80" s="76"/>
    </row>
    <row r="81" spans="1:22" s="77" customFormat="1" ht="25.35" customHeight="1">
      <c r="A81" s="149">
        <v>32</v>
      </c>
      <c r="B81" s="150" t="s">
        <v>129</v>
      </c>
      <c r="C81" s="294" t="s">
        <v>253</v>
      </c>
      <c r="D81" s="151"/>
      <c r="E81" s="26">
        <v>2</v>
      </c>
      <c r="F81" s="151" t="s">
        <v>191</v>
      </c>
      <c r="G81" s="56"/>
      <c r="H81" s="56"/>
      <c r="I81" s="225"/>
      <c r="J81" s="262"/>
      <c r="K81" s="56"/>
      <c r="L81" s="56"/>
      <c r="M81" s="56"/>
      <c r="N81" s="226"/>
      <c r="O81" s="27"/>
      <c r="P81" s="25"/>
      <c r="Q81" s="259" t="s">
        <v>248</v>
      </c>
      <c r="R81" s="28"/>
      <c r="S81" s="29"/>
      <c r="T81" s="30"/>
      <c r="U81" s="29"/>
      <c r="V81" s="76"/>
    </row>
    <row r="82" spans="1:22" s="77" customFormat="1" ht="25.35" customHeight="1">
      <c r="A82" s="149">
        <v>32</v>
      </c>
      <c r="B82" s="150" t="s">
        <v>129</v>
      </c>
      <c r="C82" s="294" t="s">
        <v>254</v>
      </c>
      <c r="D82" s="151"/>
      <c r="E82" s="26">
        <v>2</v>
      </c>
      <c r="F82" s="151" t="s">
        <v>191</v>
      </c>
      <c r="G82" s="56"/>
      <c r="H82" s="56"/>
      <c r="I82" s="225"/>
      <c r="J82" s="262"/>
      <c r="K82" s="56"/>
      <c r="L82" s="56"/>
      <c r="M82" s="56"/>
      <c r="N82" s="226"/>
      <c r="O82" s="27"/>
      <c r="P82" s="25"/>
      <c r="Q82" s="259" t="s">
        <v>248</v>
      </c>
      <c r="R82" s="28"/>
      <c r="S82" s="29"/>
      <c r="T82" s="30"/>
      <c r="U82" s="29"/>
      <c r="V82" s="76"/>
    </row>
    <row r="83" spans="1:22" s="77" customFormat="1" ht="25.35" customHeight="1">
      <c r="A83" s="149">
        <v>32</v>
      </c>
      <c r="B83" s="150" t="s">
        <v>129</v>
      </c>
      <c r="C83" s="292" t="s">
        <v>255</v>
      </c>
      <c r="D83" s="151"/>
      <c r="E83" s="26">
        <v>2</v>
      </c>
      <c r="F83" s="151" t="s">
        <v>191</v>
      </c>
      <c r="G83" s="56"/>
      <c r="H83" s="56"/>
      <c r="I83" s="225"/>
      <c r="J83" s="262"/>
      <c r="K83" s="56"/>
      <c r="L83" s="56"/>
      <c r="M83" s="56"/>
      <c r="N83" s="226"/>
      <c r="O83" s="27"/>
      <c r="P83" s="25"/>
      <c r="Q83" s="259" t="s">
        <v>248</v>
      </c>
      <c r="R83" s="28"/>
      <c r="S83" s="29"/>
      <c r="T83" s="30"/>
      <c r="U83" s="29"/>
      <c r="V83" s="76"/>
    </row>
    <row r="84" spans="1:22" s="77" customFormat="1" ht="25.35" customHeight="1">
      <c r="A84" s="149">
        <v>32</v>
      </c>
      <c r="B84" s="150" t="s">
        <v>129</v>
      </c>
      <c r="C84" s="294" t="s">
        <v>256</v>
      </c>
      <c r="D84" s="151"/>
      <c r="E84" s="26">
        <v>1</v>
      </c>
      <c r="F84" s="151" t="s">
        <v>191</v>
      </c>
      <c r="G84" s="56"/>
      <c r="H84" s="56"/>
      <c r="I84" s="225"/>
      <c r="J84" s="262"/>
      <c r="K84" s="56"/>
      <c r="L84" s="56"/>
      <c r="M84" s="56"/>
      <c r="N84" s="226"/>
      <c r="O84" s="27"/>
      <c r="P84" s="25"/>
      <c r="Q84" s="259" t="s">
        <v>248</v>
      </c>
      <c r="R84" s="28"/>
      <c r="S84" s="29"/>
      <c r="T84" s="30"/>
      <c r="U84" s="29"/>
      <c r="V84" s="76"/>
    </row>
    <row r="85" spans="1:22" s="77" customFormat="1" ht="25.35" customHeight="1">
      <c r="A85" s="149">
        <v>32</v>
      </c>
      <c r="B85" s="150" t="s">
        <v>129</v>
      </c>
      <c r="C85" s="292" t="s">
        <v>257</v>
      </c>
      <c r="D85" s="151"/>
      <c r="E85" s="26">
        <v>6</v>
      </c>
      <c r="F85" s="151" t="s">
        <v>191</v>
      </c>
      <c r="G85" s="56"/>
      <c r="H85" s="56"/>
      <c r="I85" s="225"/>
      <c r="J85" s="262"/>
      <c r="K85" s="56"/>
      <c r="L85" s="56"/>
      <c r="M85" s="56"/>
      <c r="N85" s="226"/>
      <c r="O85" s="27"/>
      <c r="P85" s="25"/>
      <c r="Q85" s="259" t="s">
        <v>248</v>
      </c>
      <c r="R85" s="28"/>
      <c r="S85" s="29"/>
      <c r="T85" s="30"/>
      <c r="U85" s="29"/>
      <c r="V85" s="76"/>
    </row>
    <row r="86" spans="1:22" s="77" customFormat="1" ht="25.35" customHeight="1">
      <c r="A86" s="149">
        <v>32</v>
      </c>
      <c r="B86" s="150" t="s">
        <v>129</v>
      </c>
      <c r="C86" s="294" t="s">
        <v>258</v>
      </c>
      <c r="D86" s="151"/>
      <c r="E86" s="26">
        <v>58</v>
      </c>
      <c r="F86" s="151" t="s">
        <v>191</v>
      </c>
      <c r="G86" s="56"/>
      <c r="H86" s="56"/>
      <c r="I86" s="225"/>
      <c r="J86" s="262"/>
      <c r="K86" s="56"/>
      <c r="L86" s="56"/>
      <c r="M86" s="56"/>
      <c r="N86" s="226"/>
      <c r="O86" s="27"/>
      <c r="P86" s="25"/>
      <c r="Q86" s="259" t="s">
        <v>248</v>
      </c>
      <c r="R86" s="28"/>
      <c r="S86" s="29"/>
      <c r="T86" s="30"/>
      <c r="U86" s="29"/>
      <c r="V86" s="76"/>
    </row>
    <row r="87" spans="1:22" s="77" customFormat="1" ht="25.35" customHeight="1">
      <c r="A87" s="149">
        <v>32</v>
      </c>
      <c r="B87" s="150" t="s">
        <v>129</v>
      </c>
      <c r="C87" s="294" t="s">
        <v>259</v>
      </c>
      <c r="D87" s="151"/>
      <c r="E87" s="26">
        <v>48</v>
      </c>
      <c r="F87" s="151" t="s">
        <v>191</v>
      </c>
      <c r="G87" s="56"/>
      <c r="H87" s="56"/>
      <c r="I87" s="225"/>
      <c r="J87" s="262"/>
      <c r="K87" s="56"/>
      <c r="L87" s="56"/>
      <c r="M87" s="56"/>
      <c r="N87" s="226"/>
      <c r="O87" s="27"/>
      <c r="P87" s="25"/>
      <c r="Q87" s="259" t="s">
        <v>248</v>
      </c>
      <c r="R87" s="28"/>
      <c r="S87" s="29"/>
      <c r="T87" s="30"/>
      <c r="U87" s="29"/>
      <c r="V87" s="76"/>
    </row>
    <row r="88" spans="1:22" s="77" customFormat="1" ht="25.35" customHeight="1">
      <c r="A88" s="149">
        <v>32</v>
      </c>
      <c r="B88" s="150" t="s">
        <v>129</v>
      </c>
      <c r="C88" s="292" t="s">
        <v>249</v>
      </c>
      <c r="D88" s="151"/>
      <c r="E88" s="26">
        <v>2</v>
      </c>
      <c r="F88" s="151" t="s">
        <v>191</v>
      </c>
      <c r="G88" s="56"/>
      <c r="H88" s="56"/>
      <c r="I88" s="225"/>
      <c r="J88" s="262"/>
      <c r="K88" s="56"/>
      <c r="L88" s="56"/>
      <c r="M88" s="56"/>
      <c r="N88" s="226"/>
      <c r="O88" s="27"/>
      <c r="P88" s="25"/>
      <c r="Q88" s="227" t="s">
        <v>260</v>
      </c>
      <c r="R88" s="28"/>
      <c r="S88" s="29"/>
      <c r="T88" s="30"/>
      <c r="U88" s="29"/>
      <c r="V88" s="76"/>
    </row>
    <row r="89" spans="1:22" s="77" customFormat="1" ht="25.35" customHeight="1">
      <c r="A89" s="149">
        <v>32</v>
      </c>
      <c r="B89" s="150" t="s">
        <v>129</v>
      </c>
      <c r="C89" s="292" t="s">
        <v>250</v>
      </c>
      <c r="D89" s="151"/>
      <c r="E89" s="26">
        <v>2</v>
      </c>
      <c r="F89" s="151" t="s">
        <v>191</v>
      </c>
      <c r="G89" s="56"/>
      <c r="H89" s="56"/>
      <c r="I89" s="225"/>
      <c r="J89" s="262"/>
      <c r="K89" s="56"/>
      <c r="L89" s="56"/>
      <c r="M89" s="56"/>
      <c r="N89" s="226"/>
      <c r="O89" s="27"/>
      <c r="P89" s="25"/>
      <c r="Q89" s="227" t="s">
        <v>260</v>
      </c>
      <c r="R89" s="28"/>
      <c r="S89" s="29"/>
      <c r="T89" s="30"/>
      <c r="U89" s="29"/>
      <c r="V89" s="76"/>
    </row>
    <row r="90" spans="1:22" s="77" customFormat="1" ht="25.35" customHeight="1">
      <c r="A90" s="149">
        <v>32</v>
      </c>
      <c r="B90" s="150" t="s">
        <v>129</v>
      </c>
      <c r="C90" s="292" t="s">
        <v>251</v>
      </c>
      <c r="D90" s="151"/>
      <c r="E90" s="26">
        <v>4</v>
      </c>
      <c r="F90" s="151" t="s">
        <v>191</v>
      </c>
      <c r="G90" s="56"/>
      <c r="H90" s="56"/>
      <c r="I90" s="225"/>
      <c r="J90" s="262"/>
      <c r="K90" s="56"/>
      <c r="L90" s="56"/>
      <c r="M90" s="56"/>
      <c r="N90" s="226"/>
      <c r="O90" s="27"/>
      <c r="P90" s="25"/>
      <c r="Q90" s="227" t="s">
        <v>260</v>
      </c>
      <c r="R90" s="28"/>
      <c r="S90" s="29"/>
      <c r="T90" s="30"/>
      <c r="U90" s="29"/>
      <c r="V90" s="76"/>
    </row>
    <row r="91" spans="1:22" s="77" customFormat="1" ht="25.35" customHeight="1">
      <c r="A91" s="149">
        <v>32</v>
      </c>
      <c r="B91" s="150" t="s">
        <v>129</v>
      </c>
      <c r="C91" s="292" t="s">
        <v>252</v>
      </c>
      <c r="D91" s="151"/>
      <c r="E91" s="26">
        <v>2</v>
      </c>
      <c r="F91" s="151" t="s">
        <v>191</v>
      </c>
      <c r="G91" s="56"/>
      <c r="H91" s="56"/>
      <c r="I91" s="225"/>
      <c r="J91" s="262"/>
      <c r="K91" s="56"/>
      <c r="L91" s="56"/>
      <c r="M91" s="56"/>
      <c r="N91" s="226"/>
      <c r="O91" s="27"/>
      <c r="P91" s="25"/>
      <c r="Q91" s="227" t="s">
        <v>260</v>
      </c>
      <c r="R91" s="28"/>
      <c r="S91" s="29"/>
      <c r="T91" s="30"/>
      <c r="U91" s="29"/>
      <c r="V91" s="76"/>
    </row>
    <row r="92" spans="1:22" s="77" customFormat="1" ht="25.35" customHeight="1">
      <c r="A92" s="149">
        <v>32</v>
      </c>
      <c r="B92" s="150" t="s">
        <v>129</v>
      </c>
      <c r="C92" s="292" t="s">
        <v>253</v>
      </c>
      <c r="D92" s="151"/>
      <c r="E92" s="26">
        <v>2</v>
      </c>
      <c r="F92" s="151" t="s">
        <v>191</v>
      </c>
      <c r="G92" s="56"/>
      <c r="H92" s="56"/>
      <c r="I92" s="225"/>
      <c r="J92" s="262"/>
      <c r="K92" s="56"/>
      <c r="L92" s="56"/>
      <c r="M92" s="56"/>
      <c r="N92" s="226"/>
      <c r="O92" s="27"/>
      <c r="P92" s="25"/>
      <c r="Q92" s="227" t="s">
        <v>260</v>
      </c>
      <c r="R92" s="28"/>
      <c r="S92" s="29"/>
      <c r="T92" s="30"/>
      <c r="U92" s="29"/>
      <c r="V92" s="76"/>
    </row>
    <row r="93" spans="1:22" s="77" customFormat="1" ht="25.35" customHeight="1">
      <c r="A93" s="149">
        <v>32</v>
      </c>
      <c r="B93" s="150" t="s">
        <v>129</v>
      </c>
      <c r="C93" s="292" t="s">
        <v>254</v>
      </c>
      <c r="D93" s="151"/>
      <c r="E93" s="26">
        <v>2</v>
      </c>
      <c r="F93" s="151" t="s">
        <v>191</v>
      </c>
      <c r="G93" s="56"/>
      <c r="H93" s="56"/>
      <c r="I93" s="225"/>
      <c r="J93" s="262"/>
      <c r="K93" s="56"/>
      <c r="L93" s="56"/>
      <c r="M93" s="56"/>
      <c r="N93" s="226"/>
      <c r="O93" s="27"/>
      <c r="P93" s="25"/>
      <c r="Q93" s="227" t="s">
        <v>260</v>
      </c>
      <c r="R93" s="28"/>
      <c r="S93" s="29"/>
      <c r="T93" s="30"/>
      <c r="U93" s="29"/>
      <c r="V93" s="76"/>
    </row>
    <row r="94" spans="1:22" s="77" customFormat="1" ht="25.35" customHeight="1">
      <c r="A94" s="149">
        <v>32</v>
      </c>
      <c r="B94" s="150" t="s">
        <v>129</v>
      </c>
      <c r="C94" s="292" t="s">
        <v>261</v>
      </c>
      <c r="D94" s="151"/>
      <c r="E94" s="26">
        <v>2</v>
      </c>
      <c r="F94" s="151" t="s">
        <v>191</v>
      </c>
      <c r="G94" s="56"/>
      <c r="H94" s="56"/>
      <c r="I94" s="225"/>
      <c r="J94" s="262"/>
      <c r="K94" s="56"/>
      <c r="L94" s="56"/>
      <c r="M94" s="56"/>
      <c r="N94" s="226"/>
      <c r="O94" s="27"/>
      <c r="P94" s="25"/>
      <c r="Q94" s="227" t="s">
        <v>260</v>
      </c>
      <c r="R94" s="28"/>
      <c r="S94" s="29"/>
      <c r="T94" s="30"/>
      <c r="U94" s="29"/>
      <c r="V94" s="76"/>
    </row>
    <row r="95" spans="1:22" s="77" customFormat="1" ht="25.35" customHeight="1">
      <c r="A95" s="149">
        <v>32</v>
      </c>
      <c r="B95" s="150" t="s">
        <v>129</v>
      </c>
      <c r="C95" s="292" t="s">
        <v>256</v>
      </c>
      <c r="D95" s="151"/>
      <c r="E95" s="26">
        <v>1</v>
      </c>
      <c r="F95" s="151" t="s">
        <v>191</v>
      </c>
      <c r="G95" s="56"/>
      <c r="H95" s="56"/>
      <c r="I95" s="225"/>
      <c r="J95" s="262"/>
      <c r="K95" s="56"/>
      <c r="L95" s="56"/>
      <c r="M95" s="56"/>
      <c r="N95" s="226"/>
      <c r="O95" s="27"/>
      <c r="P95" s="25"/>
      <c r="Q95" s="227" t="s">
        <v>260</v>
      </c>
      <c r="R95" s="28"/>
      <c r="S95" s="29"/>
      <c r="T95" s="30"/>
      <c r="U95" s="29"/>
      <c r="V95" s="76"/>
    </row>
    <row r="96" spans="1:22" s="77" customFormat="1" ht="25.35" customHeight="1">
      <c r="A96" s="149">
        <v>32</v>
      </c>
      <c r="B96" s="150" t="s">
        <v>129</v>
      </c>
      <c r="C96" s="292" t="s">
        <v>262</v>
      </c>
      <c r="D96" s="151"/>
      <c r="E96" s="26">
        <v>19</v>
      </c>
      <c r="F96" s="151" t="s">
        <v>191</v>
      </c>
      <c r="G96" s="56"/>
      <c r="H96" s="56"/>
      <c r="I96" s="225"/>
      <c r="J96" s="262"/>
      <c r="K96" s="56"/>
      <c r="L96" s="56"/>
      <c r="M96" s="56"/>
      <c r="N96" s="226"/>
      <c r="O96" s="27"/>
      <c r="P96" s="25"/>
      <c r="Q96" s="227" t="s">
        <v>260</v>
      </c>
      <c r="R96" s="28"/>
      <c r="S96" s="29"/>
      <c r="T96" s="30"/>
      <c r="U96" s="29"/>
      <c r="V96" s="76"/>
    </row>
    <row r="97" spans="1:22" s="77" customFormat="1" ht="25.35" customHeight="1">
      <c r="A97" s="149">
        <v>32</v>
      </c>
      <c r="B97" s="150" t="s">
        <v>129</v>
      </c>
      <c r="C97" s="292" t="s">
        <v>263</v>
      </c>
      <c r="D97" s="151"/>
      <c r="E97" s="26">
        <v>45</v>
      </c>
      <c r="F97" s="151" t="s">
        <v>191</v>
      </c>
      <c r="G97" s="56"/>
      <c r="H97" s="56"/>
      <c r="I97" s="225"/>
      <c r="J97" s="262"/>
      <c r="K97" s="56"/>
      <c r="L97" s="56"/>
      <c r="M97" s="56"/>
      <c r="N97" s="226"/>
      <c r="O97" s="27"/>
      <c r="P97" s="25"/>
      <c r="Q97" s="227" t="s">
        <v>260</v>
      </c>
      <c r="R97" s="28"/>
      <c r="S97" s="29"/>
      <c r="T97" s="30"/>
      <c r="U97" s="29"/>
      <c r="V97" s="76"/>
    </row>
    <row r="98" spans="1:22" s="77" customFormat="1" ht="25.35" customHeight="1">
      <c r="A98" s="149">
        <v>32</v>
      </c>
      <c r="B98" s="150" t="s">
        <v>129</v>
      </c>
      <c r="C98" s="292" t="s">
        <v>264</v>
      </c>
      <c r="D98" s="151"/>
      <c r="E98" s="26">
        <v>5</v>
      </c>
      <c r="F98" s="151" t="s">
        <v>191</v>
      </c>
      <c r="G98" s="56"/>
      <c r="H98" s="56"/>
      <c r="I98" s="225"/>
      <c r="J98" s="262"/>
      <c r="K98" s="56"/>
      <c r="L98" s="56"/>
      <c r="M98" s="56"/>
      <c r="N98" s="226"/>
      <c r="O98" s="27"/>
      <c r="P98" s="25"/>
      <c r="Q98" s="227" t="s">
        <v>260</v>
      </c>
      <c r="R98" s="28"/>
      <c r="S98" s="29"/>
      <c r="T98" s="30"/>
      <c r="U98" s="29"/>
      <c r="V98" s="76"/>
    </row>
    <row r="99" spans="1:22" s="77" customFormat="1" ht="25.35" customHeight="1">
      <c r="A99" s="149">
        <v>32</v>
      </c>
      <c r="B99" s="150" t="s">
        <v>129</v>
      </c>
      <c r="C99" s="292" t="s">
        <v>265</v>
      </c>
      <c r="D99" s="151"/>
      <c r="E99" s="26">
        <v>7</v>
      </c>
      <c r="F99" s="151" t="s">
        <v>191</v>
      </c>
      <c r="G99" s="56"/>
      <c r="H99" s="56"/>
      <c r="I99" s="225"/>
      <c r="J99" s="262"/>
      <c r="K99" s="56"/>
      <c r="L99" s="56"/>
      <c r="M99" s="56"/>
      <c r="N99" s="226"/>
      <c r="O99" s="27"/>
      <c r="P99" s="25"/>
      <c r="Q99" s="227" t="s">
        <v>260</v>
      </c>
      <c r="R99" s="28"/>
      <c r="S99" s="29"/>
      <c r="T99" s="30"/>
      <c r="U99" s="29"/>
      <c r="V99" s="76"/>
    </row>
    <row r="100" spans="1:22" s="77" customFormat="1" ht="25.35" customHeight="1">
      <c r="A100" s="149">
        <v>32</v>
      </c>
      <c r="B100" s="150" t="s">
        <v>129</v>
      </c>
      <c r="C100" s="292" t="s">
        <v>266</v>
      </c>
      <c r="D100" s="151"/>
      <c r="E100" s="26">
        <v>3</v>
      </c>
      <c r="F100" s="151" t="s">
        <v>191</v>
      </c>
      <c r="G100" s="56"/>
      <c r="H100" s="56"/>
      <c r="I100" s="225"/>
      <c r="J100" s="262"/>
      <c r="K100" s="56"/>
      <c r="L100" s="56"/>
      <c r="M100" s="56"/>
      <c r="N100" s="226"/>
      <c r="O100" s="27"/>
      <c r="P100" s="25"/>
      <c r="Q100" s="227" t="s">
        <v>260</v>
      </c>
      <c r="R100" s="28"/>
      <c r="S100" s="29"/>
      <c r="T100" s="30"/>
      <c r="U100" s="29"/>
      <c r="V100" s="76"/>
    </row>
    <row r="101" spans="1:22" s="77" customFormat="1" ht="25.35" customHeight="1">
      <c r="A101" s="149">
        <v>32</v>
      </c>
      <c r="B101" s="150" t="s">
        <v>129</v>
      </c>
      <c r="C101" s="292" t="s">
        <v>267</v>
      </c>
      <c r="D101" s="151"/>
      <c r="E101" s="26">
        <v>3</v>
      </c>
      <c r="F101" s="151" t="s">
        <v>191</v>
      </c>
      <c r="G101" s="56"/>
      <c r="H101" s="56"/>
      <c r="I101" s="225"/>
      <c r="J101" s="262"/>
      <c r="K101" s="56"/>
      <c r="L101" s="56"/>
      <c r="M101" s="56"/>
      <c r="N101" s="226"/>
      <c r="O101" s="27"/>
      <c r="P101" s="25"/>
      <c r="Q101" s="227" t="s">
        <v>260</v>
      </c>
      <c r="R101" s="28"/>
      <c r="S101" s="29"/>
      <c r="T101" s="30"/>
      <c r="U101" s="29"/>
      <c r="V101" s="76"/>
    </row>
    <row r="102" spans="1:22" s="77" customFormat="1" ht="25.35" customHeight="1">
      <c r="A102" s="149">
        <v>32</v>
      </c>
      <c r="B102" s="150" t="s">
        <v>129</v>
      </c>
      <c r="C102" s="292" t="s">
        <v>268</v>
      </c>
      <c r="D102" s="151"/>
      <c r="E102" s="26">
        <v>3</v>
      </c>
      <c r="F102" s="151" t="s">
        <v>191</v>
      </c>
      <c r="G102" s="56"/>
      <c r="H102" s="56"/>
      <c r="I102" s="225"/>
      <c r="J102" s="262"/>
      <c r="K102" s="56"/>
      <c r="L102" s="56"/>
      <c r="M102" s="56"/>
      <c r="N102" s="226"/>
      <c r="O102" s="27"/>
      <c r="P102" s="25"/>
      <c r="Q102" s="227" t="s">
        <v>260</v>
      </c>
      <c r="R102" s="28"/>
      <c r="S102" s="29"/>
      <c r="T102" s="30"/>
      <c r="U102" s="29"/>
      <c r="V102" s="76"/>
    </row>
    <row r="103" spans="1:22" s="77" customFormat="1" ht="25.35" customHeight="1">
      <c r="A103" s="149">
        <v>32</v>
      </c>
      <c r="B103" s="150" t="s">
        <v>129</v>
      </c>
      <c r="C103" s="292" t="s">
        <v>269</v>
      </c>
      <c r="D103" s="151"/>
      <c r="E103" s="26">
        <v>3</v>
      </c>
      <c r="F103" s="151" t="s">
        <v>191</v>
      </c>
      <c r="G103" s="56"/>
      <c r="H103" s="56"/>
      <c r="I103" s="225"/>
      <c r="J103" s="262"/>
      <c r="K103" s="56"/>
      <c r="L103" s="56"/>
      <c r="M103" s="56"/>
      <c r="N103" s="226"/>
      <c r="O103" s="27"/>
      <c r="P103" s="25"/>
      <c r="Q103" s="227" t="s">
        <v>260</v>
      </c>
      <c r="R103" s="28"/>
      <c r="S103" s="29"/>
      <c r="T103" s="30"/>
      <c r="U103" s="29"/>
      <c r="V103" s="76"/>
    </row>
    <row r="104" spans="1:22" s="77" customFormat="1" ht="25.35" customHeight="1">
      <c r="A104" s="149">
        <v>32</v>
      </c>
      <c r="B104" s="150" t="s">
        <v>129</v>
      </c>
      <c r="C104" s="292" t="s">
        <v>270</v>
      </c>
      <c r="D104" s="151"/>
      <c r="E104" s="26">
        <v>6</v>
      </c>
      <c r="F104" s="151" t="s">
        <v>191</v>
      </c>
      <c r="G104" s="56"/>
      <c r="H104" s="56"/>
      <c r="I104" s="225"/>
      <c r="J104" s="262"/>
      <c r="K104" s="56"/>
      <c r="L104" s="56"/>
      <c r="M104" s="56"/>
      <c r="N104" s="226"/>
      <c r="O104" s="27"/>
      <c r="P104" s="25"/>
      <c r="Q104" s="227" t="s">
        <v>260</v>
      </c>
      <c r="R104" s="28"/>
      <c r="S104" s="29"/>
      <c r="T104" s="30"/>
      <c r="U104" s="29"/>
      <c r="V104" s="76"/>
    </row>
    <row r="105" spans="1:22" s="77" customFormat="1" ht="25.35" customHeight="1">
      <c r="A105" s="149">
        <v>32</v>
      </c>
      <c r="B105" s="150" t="s">
        <v>129</v>
      </c>
      <c r="C105" s="292" t="s">
        <v>271</v>
      </c>
      <c r="D105" s="151"/>
      <c r="E105" s="26">
        <v>3</v>
      </c>
      <c r="F105" s="151" t="s">
        <v>191</v>
      </c>
      <c r="G105" s="56"/>
      <c r="H105" s="56"/>
      <c r="I105" s="225"/>
      <c r="J105" s="262"/>
      <c r="K105" s="56"/>
      <c r="L105" s="56"/>
      <c r="M105" s="56"/>
      <c r="N105" s="226"/>
      <c r="O105" s="27"/>
      <c r="P105" s="25"/>
      <c r="Q105" s="227" t="s">
        <v>260</v>
      </c>
      <c r="R105" s="28"/>
      <c r="S105" s="29"/>
      <c r="T105" s="30"/>
      <c r="U105" s="29"/>
      <c r="V105" s="76"/>
    </row>
    <row r="106" spans="1:22" s="77" customFormat="1" ht="25.35" customHeight="1">
      <c r="A106" s="149">
        <v>32</v>
      </c>
      <c r="B106" s="150" t="s">
        <v>129</v>
      </c>
      <c r="C106" s="292" t="s">
        <v>272</v>
      </c>
      <c r="D106" s="151"/>
      <c r="E106" s="26">
        <v>3</v>
      </c>
      <c r="F106" s="151" t="s">
        <v>191</v>
      </c>
      <c r="G106" s="56"/>
      <c r="H106" s="56"/>
      <c r="I106" s="225"/>
      <c r="J106" s="262"/>
      <c r="K106" s="56"/>
      <c r="L106" s="56"/>
      <c r="M106" s="56"/>
      <c r="N106" s="226"/>
      <c r="O106" s="27"/>
      <c r="P106" s="25"/>
      <c r="Q106" s="227" t="s">
        <v>260</v>
      </c>
      <c r="R106" s="28"/>
      <c r="S106" s="29"/>
      <c r="T106" s="30"/>
      <c r="U106" s="29"/>
      <c r="V106" s="76"/>
    </row>
    <row r="107" spans="1:22" s="116" customFormat="1" ht="25.35" customHeight="1">
      <c r="A107" s="106"/>
      <c r="B107" s="107"/>
      <c r="C107" s="293"/>
      <c r="D107" s="110"/>
      <c r="E107" s="109"/>
      <c r="F107" s="110"/>
      <c r="G107" s="228">
        <v>130</v>
      </c>
      <c r="H107" s="228">
        <v>100</v>
      </c>
      <c r="I107" s="228">
        <v>135</v>
      </c>
      <c r="J107" s="228">
        <f>ROUND(I107*H107*G107/1000000,3)</f>
        <v>1.7549999999999999</v>
      </c>
      <c r="K107" s="228">
        <v>120</v>
      </c>
      <c r="L107" s="228">
        <f>'Summary PL'!M45</f>
        <v>180</v>
      </c>
      <c r="M107" s="111"/>
      <c r="N107" s="111"/>
      <c r="O107" s="111"/>
      <c r="P107" s="108"/>
      <c r="Q107" s="112"/>
      <c r="R107" s="28"/>
      <c r="S107" s="113"/>
      <c r="T107" s="114"/>
      <c r="U107" s="113"/>
      <c r="V107" s="115"/>
    </row>
    <row r="108" spans="1:22" s="77" customFormat="1" ht="25.35" customHeight="1">
      <c r="A108" s="149">
        <v>33</v>
      </c>
      <c r="B108" s="150" t="s">
        <v>131</v>
      </c>
      <c r="C108" s="292" t="s">
        <v>273</v>
      </c>
      <c r="D108" s="151"/>
      <c r="E108" s="26">
        <v>3</v>
      </c>
      <c r="F108" s="151" t="s">
        <v>191</v>
      </c>
      <c r="G108" s="56"/>
      <c r="H108" s="56"/>
      <c r="I108" s="225"/>
      <c r="J108" s="262"/>
      <c r="K108" s="56"/>
      <c r="L108" s="56"/>
      <c r="M108" s="56"/>
      <c r="N108" s="226"/>
      <c r="O108" s="27"/>
      <c r="P108" s="25"/>
      <c r="Q108" s="227" t="s">
        <v>274</v>
      </c>
      <c r="R108" s="28"/>
      <c r="S108" s="29"/>
      <c r="T108" s="30"/>
      <c r="U108" s="29"/>
      <c r="V108" s="76"/>
    </row>
    <row r="109" spans="1:22" s="77" customFormat="1" ht="25.35" customHeight="1">
      <c r="A109" s="149">
        <v>33</v>
      </c>
      <c r="B109" s="150" t="s">
        <v>131</v>
      </c>
      <c r="C109" s="292" t="s">
        <v>275</v>
      </c>
      <c r="D109" s="151"/>
      <c r="E109" s="26">
        <v>2</v>
      </c>
      <c r="F109" s="151" t="s">
        <v>191</v>
      </c>
      <c r="G109" s="56"/>
      <c r="H109" s="56"/>
      <c r="I109" s="225"/>
      <c r="J109" s="262"/>
      <c r="K109" s="56"/>
      <c r="L109" s="56"/>
      <c r="M109" s="56"/>
      <c r="N109" s="226"/>
      <c r="O109" s="27"/>
      <c r="P109" s="25"/>
      <c r="Q109" s="227" t="s">
        <v>274</v>
      </c>
      <c r="R109" s="28"/>
      <c r="S109" s="29"/>
      <c r="T109" s="30"/>
      <c r="U109" s="29"/>
      <c r="V109" s="76"/>
    </row>
    <row r="110" spans="1:22" s="77" customFormat="1" ht="25.35" customHeight="1">
      <c r="A110" s="149">
        <v>33</v>
      </c>
      <c r="B110" s="150" t="s">
        <v>131</v>
      </c>
      <c r="C110" s="292" t="s">
        <v>276</v>
      </c>
      <c r="D110" s="151"/>
      <c r="E110" s="26">
        <v>1</v>
      </c>
      <c r="F110" s="151" t="s">
        <v>191</v>
      </c>
      <c r="G110" s="56"/>
      <c r="H110" s="56"/>
      <c r="I110" s="225"/>
      <c r="J110" s="262"/>
      <c r="K110" s="56"/>
      <c r="L110" s="56"/>
      <c r="M110" s="56"/>
      <c r="N110" s="226"/>
      <c r="O110" s="27"/>
      <c r="P110" s="25"/>
      <c r="Q110" s="227" t="s">
        <v>274</v>
      </c>
      <c r="R110" s="28"/>
      <c r="S110" s="29"/>
      <c r="T110" s="30"/>
      <c r="U110" s="29"/>
      <c r="V110" s="76"/>
    </row>
    <row r="111" spans="1:22" s="77" customFormat="1" ht="25.35" customHeight="1">
      <c r="A111" s="149">
        <v>33</v>
      </c>
      <c r="B111" s="150" t="s">
        <v>131</v>
      </c>
      <c r="C111" s="292" t="s">
        <v>277</v>
      </c>
      <c r="D111" s="151"/>
      <c r="E111" s="26">
        <v>1</v>
      </c>
      <c r="F111" s="151" t="s">
        <v>191</v>
      </c>
      <c r="G111" s="56"/>
      <c r="H111" s="56"/>
      <c r="I111" s="225"/>
      <c r="J111" s="262"/>
      <c r="K111" s="56"/>
      <c r="L111" s="56"/>
      <c r="M111" s="56"/>
      <c r="N111" s="226"/>
      <c r="O111" s="27"/>
      <c r="P111" s="25"/>
      <c r="Q111" s="227" t="s">
        <v>274</v>
      </c>
      <c r="R111" s="28"/>
      <c r="S111" s="29"/>
      <c r="T111" s="30"/>
      <c r="U111" s="29"/>
      <c r="V111" s="76"/>
    </row>
    <row r="112" spans="1:22" s="77" customFormat="1" ht="25.35" customHeight="1">
      <c r="A112" s="149">
        <v>33</v>
      </c>
      <c r="B112" s="150" t="s">
        <v>131</v>
      </c>
      <c r="C112" s="292" t="s">
        <v>278</v>
      </c>
      <c r="D112" s="151"/>
      <c r="E112" s="26">
        <v>3</v>
      </c>
      <c r="F112" s="151" t="s">
        <v>191</v>
      </c>
      <c r="G112" s="56"/>
      <c r="H112" s="56"/>
      <c r="I112" s="225"/>
      <c r="J112" s="262"/>
      <c r="K112" s="56"/>
      <c r="L112" s="56"/>
      <c r="M112" s="56"/>
      <c r="N112" s="226"/>
      <c r="O112" s="27"/>
      <c r="P112" s="25"/>
      <c r="Q112" s="227" t="s">
        <v>274</v>
      </c>
      <c r="R112" s="28"/>
      <c r="S112" s="29"/>
      <c r="T112" s="30"/>
      <c r="U112" s="29"/>
      <c r="V112" s="76"/>
    </row>
    <row r="113" spans="1:22" s="77" customFormat="1" ht="25.35" customHeight="1">
      <c r="A113" s="149">
        <v>33</v>
      </c>
      <c r="B113" s="150" t="s">
        <v>131</v>
      </c>
      <c r="C113" s="292" t="s">
        <v>279</v>
      </c>
      <c r="D113" s="151"/>
      <c r="E113" s="26">
        <v>5</v>
      </c>
      <c r="F113" s="151" t="s">
        <v>191</v>
      </c>
      <c r="G113" s="56"/>
      <c r="H113" s="56"/>
      <c r="I113" s="225"/>
      <c r="J113" s="262"/>
      <c r="K113" s="56"/>
      <c r="L113" s="56"/>
      <c r="M113" s="56"/>
      <c r="N113" s="226"/>
      <c r="O113" s="27"/>
      <c r="P113" s="25"/>
      <c r="Q113" s="227" t="s">
        <v>274</v>
      </c>
      <c r="R113" s="28"/>
      <c r="S113" s="29"/>
      <c r="T113" s="30"/>
      <c r="U113" s="29"/>
      <c r="V113" s="76"/>
    </row>
    <row r="114" spans="1:22" s="77" customFormat="1" ht="25.35" customHeight="1">
      <c r="A114" s="149">
        <v>33</v>
      </c>
      <c r="B114" s="150" t="s">
        <v>131</v>
      </c>
      <c r="C114" s="292" t="s">
        <v>280</v>
      </c>
      <c r="D114" s="151"/>
      <c r="E114" s="26">
        <v>15</v>
      </c>
      <c r="F114" s="151" t="s">
        <v>191</v>
      </c>
      <c r="G114" s="56"/>
      <c r="H114" s="56"/>
      <c r="I114" s="225"/>
      <c r="J114" s="262"/>
      <c r="K114" s="56"/>
      <c r="L114" s="56"/>
      <c r="M114" s="56"/>
      <c r="N114" s="226"/>
      <c r="O114" s="27"/>
      <c r="P114" s="25"/>
      <c r="Q114" s="227" t="s">
        <v>274</v>
      </c>
      <c r="R114" s="28"/>
      <c r="S114" s="29"/>
      <c r="T114" s="30"/>
      <c r="U114" s="29"/>
      <c r="V114" s="76"/>
    </row>
    <row r="115" spans="1:22" s="77" customFormat="1" ht="25.35" customHeight="1">
      <c r="A115" s="149">
        <v>33</v>
      </c>
      <c r="B115" s="150" t="s">
        <v>131</v>
      </c>
      <c r="C115" s="292" t="s">
        <v>281</v>
      </c>
      <c r="D115" s="151"/>
      <c r="E115" s="26">
        <v>10</v>
      </c>
      <c r="F115" s="151" t="s">
        <v>191</v>
      </c>
      <c r="G115" s="56"/>
      <c r="H115" s="56"/>
      <c r="I115" s="225"/>
      <c r="J115" s="262"/>
      <c r="K115" s="56"/>
      <c r="L115" s="56"/>
      <c r="M115" s="56"/>
      <c r="N115" s="226"/>
      <c r="O115" s="27"/>
      <c r="P115" s="25"/>
      <c r="Q115" s="227" t="s">
        <v>274</v>
      </c>
      <c r="R115" s="28"/>
      <c r="S115" s="29"/>
      <c r="T115" s="30"/>
      <c r="U115" s="29"/>
      <c r="V115" s="76"/>
    </row>
    <row r="116" spans="1:22" s="77" customFormat="1" ht="25.35" customHeight="1">
      <c r="A116" s="149">
        <v>33</v>
      </c>
      <c r="B116" s="150" t="s">
        <v>131</v>
      </c>
      <c r="C116" s="292" t="s">
        <v>282</v>
      </c>
      <c r="D116" s="151"/>
      <c r="E116" s="26">
        <v>19</v>
      </c>
      <c r="F116" s="151" t="s">
        <v>191</v>
      </c>
      <c r="G116" s="56"/>
      <c r="H116" s="56"/>
      <c r="I116" s="225"/>
      <c r="J116" s="262"/>
      <c r="K116" s="56"/>
      <c r="L116" s="56"/>
      <c r="M116" s="56"/>
      <c r="N116" s="226"/>
      <c r="O116" s="27"/>
      <c r="P116" s="25"/>
      <c r="Q116" s="227" t="s">
        <v>274</v>
      </c>
      <c r="R116" s="28"/>
      <c r="S116" s="29"/>
      <c r="T116" s="30"/>
      <c r="U116" s="29"/>
      <c r="V116" s="76"/>
    </row>
    <row r="117" spans="1:22" s="77" customFormat="1" ht="25.35" customHeight="1">
      <c r="A117" s="149">
        <v>33</v>
      </c>
      <c r="B117" s="150" t="s">
        <v>131</v>
      </c>
      <c r="C117" s="292" t="s">
        <v>283</v>
      </c>
      <c r="D117" s="151"/>
      <c r="E117" s="26">
        <v>1</v>
      </c>
      <c r="F117" s="151" t="s">
        <v>191</v>
      </c>
      <c r="G117" s="56"/>
      <c r="H117" s="56"/>
      <c r="I117" s="225"/>
      <c r="J117" s="262"/>
      <c r="K117" s="56"/>
      <c r="L117" s="56"/>
      <c r="M117" s="56"/>
      <c r="N117" s="226"/>
      <c r="O117" s="27"/>
      <c r="P117" s="25"/>
      <c r="Q117" s="227" t="s">
        <v>274</v>
      </c>
      <c r="R117" s="28"/>
      <c r="S117" s="29"/>
      <c r="T117" s="30"/>
      <c r="U117" s="29"/>
      <c r="V117" s="76"/>
    </row>
    <row r="118" spans="1:22" s="77" customFormat="1" ht="25.35" customHeight="1">
      <c r="A118" s="149">
        <v>33</v>
      </c>
      <c r="B118" s="150" t="s">
        <v>131</v>
      </c>
      <c r="C118" s="292" t="s">
        <v>284</v>
      </c>
      <c r="D118" s="151"/>
      <c r="E118" s="26">
        <v>5</v>
      </c>
      <c r="F118" s="151" t="s">
        <v>191</v>
      </c>
      <c r="G118" s="56"/>
      <c r="H118" s="56"/>
      <c r="I118" s="225"/>
      <c r="J118" s="262"/>
      <c r="K118" s="56"/>
      <c r="L118" s="56"/>
      <c r="M118" s="56"/>
      <c r="N118" s="226"/>
      <c r="O118" s="27"/>
      <c r="P118" s="25"/>
      <c r="Q118" s="227" t="s">
        <v>274</v>
      </c>
      <c r="R118" s="28"/>
      <c r="S118" s="29"/>
      <c r="T118" s="30"/>
      <c r="U118" s="29"/>
      <c r="V118" s="76"/>
    </row>
    <row r="119" spans="1:22" s="77" customFormat="1" ht="25.35" customHeight="1">
      <c r="A119" s="149">
        <v>33</v>
      </c>
      <c r="B119" s="150" t="s">
        <v>131</v>
      </c>
      <c r="C119" s="292" t="s">
        <v>285</v>
      </c>
      <c r="D119" s="151"/>
      <c r="E119" s="26">
        <v>3</v>
      </c>
      <c r="F119" s="151" t="s">
        <v>191</v>
      </c>
      <c r="G119" s="56"/>
      <c r="H119" s="56"/>
      <c r="I119" s="225"/>
      <c r="J119" s="262"/>
      <c r="K119" s="56"/>
      <c r="L119" s="56"/>
      <c r="M119" s="56"/>
      <c r="N119" s="226"/>
      <c r="O119" s="27"/>
      <c r="P119" s="25"/>
      <c r="Q119" s="227" t="s">
        <v>274</v>
      </c>
      <c r="R119" s="28"/>
      <c r="S119" s="29"/>
      <c r="T119" s="30"/>
      <c r="U119" s="29"/>
      <c r="V119" s="76"/>
    </row>
    <row r="120" spans="1:22" s="77" customFormat="1" ht="25.35" customHeight="1">
      <c r="A120" s="149">
        <v>33</v>
      </c>
      <c r="B120" s="150" t="s">
        <v>131</v>
      </c>
      <c r="C120" s="292" t="s">
        <v>286</v>
      </c>
      <c r="D120" s="151"/>
      <c r="E120" s="26">
        <v>1</v>
      </c>
      <c r="F120" s="151" t="s">
        <v>191</v>
      </c>
      <c r="G120" s="56"/>
      <c r="H120" s="56"/>
      <c r="I120" s="225"/>
      <c r="J120" s="262"/>
      <c r="K120" s="56"/>
      <c r="L120" s="56"/>
      <c r="M120" s="56"/>
      <c r="N120" s="226"/>
      <c r="O120" s="27"/>
      <c r="P120" s="25"/>
      <c r="Q120" s="227" t="s">
        <v>274</v>
      </c>
      <c r="R120" s="28"/>
      <c r="S120" s="29"/>
      <c r="T120" s="30"/>
      <c r="U120" s="29"/>
      <c r="V120" s="76"/>
    </row>
    <row r="121" spans="1:22" s="77" customFormat="1" ht="25.35" customHeight="1">
      <c r="A121" s="149">
        <v>33</v>
      </c>
      <c r="B121" s="150" t="s">
        <v>131</v>
      </c>
      <c r="C121" s="292" t="s">
        <v>287</v>
      </c>
      <c r="D121" s="151"/>
      <c r="E121" s="26">
        <v>1</v>
      </c>
      <c r="F121" s="151" t="s">
        <v>191</v>
      </c>
      <c r="G121" s="56"/>
      <c r="H121" s="56"/>
      <c r="I121" s="225"/>
      <c r="J121" s="262"/>
      <c r="K121" s="56"/>
      <c r="L121" s="56"/>
      <c r="M121" s="56"/>
      <c r="N121" s="226"/>
      <c r="O121" s="27"/>
      <c r="P121" s="25"/>
      <c r="Q121" s="227" t="s">
        <v>274</v>
      </c>
      <c r="R121" s="28"/>
      <c r="S121" s="29"/>
      <c r="T121" s="30"/>
      <c r="U121" s="29"/>
      <c r="V121" s="76"/>
    </row>
    <row r="122" spans="1:22" s="77" customFormat="1" ht="25.35" customHeight="1">
      <c r="A122" s="149">
        <v>33</v>
      </c>
      <c r="B122" s="150" t="s">
        <v>131</v>
      </c>
      <c r="C122" s="292" t="s">
        <v>288</v>
      </c>
      <c r="D122" s="151"/>
      <c r="E122" s="26">
        <v>3</v>
      </c>
      <c r="F122" s="151" t="s">
        <v>191</v>
      </c>
      <c r="G122" s="56"/>
      <c r="H122" s="56"/>
      <c r="I122" s="225"/>
      <c r="J122" s="262"/>
      <c r="K122" s="56"/>
      <c r="L122" s="56"/>
      <c r="M122" s="56"/>
      <c r="N122" s="226"/>
      <c r="O122" s="27"/>
      <c r="P122" s="25"/>
      <c r="Q122" s="227" t="s">
        <v>274</v>
      </c>
      <c r="R122" s="28"/>
      <c r="S122" s="29"/>
      <c r="T122" s="30"/>
      <c r="U122" s="29"/>
      <c r="V122" s="76"/>
    </row>
    <row r="123" spans="1:22" s="77" customFormat="1" ht="25.35" customHeight="1">
      <c r="A123" s="149">
        <v>33</v>
      </c>
      <c r="B123" s="150" t="s">
        <v>131</v>
      </c>
      <c r="C123" s="292" t="s">
        <v>289</v>
      </c>
      <c r="D123" s="151"/>
      <c r="E123" s="26">
        <v>3</v>
      </c>
      <c r="F123" s="151" t="s">
        <v>191</v>
      </c>
      <c r="G123" s="56"/>
      <c r="H123" s="56"/>
      <c r="I123" s="225"/>
      <c r="J123" s="262"/>
      <c r="K123" s="56"/>
      <c r="L123" s="56"/>
      <c r="M123" s="56"/>
      <c r="N123" s="226"/>
      <c r="O123" s="27"/>
      <c r="P123" s="25"/>
      <c r="Q123" s="227" t="s">
        <v>274</v>
      </c>
      <c r="R123" s="28"/>
      <c r="S123" s="29"/>
      <c r="T123" s="30"/>
      <c r="U123" s="29"/>
      <c r="V123" s="76"/>
    </row>
    <row r="124" spans="1:22" s="77" customFormat="1" ht="25.35" customHeight="1">
      <c r="A124" s="149">
        <v>33</v>
      </c>
      <c r="B124" s="150" t="s">
        <v>131</v>
      </c>
      <c r="C124" s="292" t="s">
        <v>290</v>
      </c>
      <c r="D124" s="151"/>
      <c r="E124" s="26">
        <v>3</v>
      </c>
      <c r="F124" s="151" t="s">
        <v>191</v>
      </c>
      <c r="G124" s="56"/>
      <c r="H124" s="56"/>
      <c r="I124" s="225"/>
      <c r="J124" s="262"/>
      <c r="K124" s="56"/>
      <c r="L124" s="56"/>
      <c r="M124" s="56"/>
      <c r="N124" s="226"/>
      <c r="O124" s="27"/>
      <c r="P124" s="25"/>
      <c r="Q124" s="227" t="s">
        <v>274</v>
      </c>
      <c r="R124" s="28"/>
      <c r="S124" s="29"/>
      <c r="T124" s="30"/>
      <c r="U124" s="29"/>
      <c r="V124" s="76"/>
    </row>
    <row r="125" spans="1:22" s="77" customFormat="1" ht="25.35" customHeight="1">
      <c r="A125" s="149">
        <v>33</v>
      </c>
      <c r="B125" s="150" t="s">
        <v>131</v>
      </c>
      <c r="C125" s="292" t="s">
        <v>291</v>
      </c>
      <c r="D125" s="151"/>
      <c r="E125" s="26">
        <v>2</v>
      </c>
      <c r="F125" s="151" t="s">
        <v>191</v>
      </c>
      <c r="G125" s="56"/>
      <c r="H125" s="56"/>
      <c r="I125" s="225"/>
      <c r="J125" s="262"/>
      <c r="K125" s="56"/>
      <c r="L125" s="56"/>
      <c r="M125" s="56"/>
      <c r="N125" s="226"/>
      <c r="O125" s="27"/>
      <c r="P125" s="25"/>
      <c r="Q125" s="227" t="s">
        <v>274</v>
      </c>
      <c r="R125" s="28"/>
      <c r="S125" s="29"/>
      <c r="T125" s="30"/>
      <c r="U125" s="29"/>
      <c r="V125" s="76"/>
    </row>
    <row r="126" spans="1:22" s="77" customFormat="1" ht="25.35" customHeight="1">
      <c r="A126" s="149">
        <v>33</v>
      </c>
      <c r="B126" s="150" t="s">
        <v>131</v>
      </c>
      <c r="C126" s="292" t="s">
        <v>292</v>
      </c>
      <c r="D126" s="151"/>
      <c r="E126" s="26">
        <v>2</v>
      </c>
      <c r="F126" s="151" t="s">
        <v>191</v>
      </c>
      <c r="G126" s="56"/>
      <c r="H126" s="56"/>
      <c r="I126" s="225"/>
      <c r="J126" s="262"/>
      <c r="K126" s="56"/>
      <c r="L126" s="56"/>
      <c r="M126" s="56"/>
      <c r="N126" s="226"/>
      <c r="O126" s="27"/>
      <c r="P126" s="25"/>
      <c r="Q126" s="227" t="s">
        <v>274</v>
      </c>
      <c r="R126" s="28"/>
      <c r="S126" s="29"/>
      <c r="T126" s="30"/>
      <c r="U126" s="29"/>
      <c r="V126" s="76"/>
    </row>
    <row r="127" spans="1:22" s="77" customFormat="1" ht="25.35" customHeight="1">
      <c r="A127" s="149">
        <v>33</v>
      </c>
      <c r="B127" s="150" t="s">
        <v>131</v>
      </c>
      <c r="C127" s="292" t="s">
        <v>293</v>
      </c>
      <c r="D127" s="151"/>
      <c r="E127" s="26">
        <v>2</v>
      </c>
      <c r="F127" s="151" t="s">
        <v>191</v>
      </c>
      <c r="G127" s="56"/>
      <c r="H127" s="56"/>
      <c r="I127" s="225"/>
      <c r="J127" s="262"/>
      <c r="K127" s="56"/>
      <c r="L127" s="56"/>
      <c r="M127" s="56"/>
      <c r="N127" s="226"/>
      <c r="O127" s="27"/>
      <c r="P127" s="25"/>
      <c r="Q127" s="227" t="s">
        <v>274</v>
      </c>
      <c r="R127" s="28"/>
      <c r="S127" s="29"/>
      <c r="T127" s="30"/>
      <c r="U127" s="29"/>
      <c r="V127" s="76"/>
    </row>
    <row r="128" spans="1:22" s="77" customFormat="1" ht="25.35" customHeight="1">
      <c r="A128" s="149">
        <v>33</v>
      </c>
      <c r="B128" s="150" t="s">
        <v>131</v>
      </c>
      <c r="C128" s="292" t="s">
        <v>294</v>
      </c>
      <c r="D128" s="151"/>
      <c r="E128" s="26">
        <v>15</v>
      </c>
      <c r="F128" s="151" t="s">
        <v>191</v>
      </c>
      <c r="G128" s="56"/>
      <c r="H128" s="56"/>
      <c r="I128" s="225"/>
      <c r="J128" s="262"/>
      <c r="K128" s="56"/>
      <c r="L128" s="56"/>
      <c r="M128" s="56"/>
      <c r="N128" s="226"/>
      <c r="O128" s="27"/>
      <c r="P128" s="25"/>
      <c r="Q128" s="227" t="s">
        <v>274</v>
      </c>
      <c r="R128" s="28"/>
      <c r="S128" s="29"/>
      <c r="T128" s="30"/>
      <c r="U128" s="29"/>
      <c r="V128" s="76"/>
    </row>
    <row r="129" spans="1:22" s="116" customFormat="1" ht="25.35" customHeight="1">
      <c r="A129" s="106"/>
      <c r="B129" s="107"/>
      <c r="C129" s="293"/>
      <c r="D129" s="110"/>
      <c r="E129" s="109"/>
      <c r="F129" s="110"/>
      <c r="G129" s="228">
        <v>190</v>
      </c>
      <c r="H129" s="228">
        <v>190</v>
      </c>
      <c r="I129" s="228">
        <v>120</v>
      </c>
      <c r="J129" s="228">
        <f>ROUND(I129*H129*G129/1000000,3)</f>
        <v>4.3319999999999999</v>
      </c>
      <c r="K129" s="228">
        <v>120</v>
      </c>
      <c r="L129" s="228">
        <f>'Summary PL'!M46</f>
        <v>290</v>
      </c>
      <c r="M129" s="111"/>
      <c r="N129" s="111"/>
      <c r="O129" s="111"/>
      <c r="P129" s="108"/>
      <c r="Q129" s="112"/>
      <c r="R129" s="28"/>
      <c r="S129" s="113"/>
      <c r="T129" s="114"/>
      <c r="U129" s="113"/>
      <c r="V129" s="115"/>
    </row>
    <row r="130" spans="1:22" s="77" customFormat="1" ht="25.35" customHeight="1">
      <c r="A130" s="149">
        <v>34</v>
      </c>
      <c r="B130" s="150" t="s">
        <v>133</v>
      </c>
      <c r="C130" s="294" t="s">
        <v>295</v>
      </c>
      <c r="D130" s="151"/>
      <c r="E130" s="26">
        <v>2</v>
      </c>
      <c r="F130" s="151" t="s">
        <v>191</v>
      </c>
      <c r="G130" s="56"/>
      <c r="H130" s="56"/>
      <c r="I130" s="225"/>
      <c r="J130" s="262"/>
      <c r="K130" s="56"/>
      <c r="L130" s="56"/>
      <c r="M130" s="56"/>
      <c r="N130" s="226"/>
      <c r="O130" s="27"/>
      <c r="P130" s="25"/>
      <c r="Q130" s="227" t="s">
        <v>296</v>
      </c>
      <c r="R130" s="28"/>
      <c r="S130" s="29"/>
      <c r="T130" s="30"/>
      <c r="U130" s="29"/>
      <c r="V130" s="76"/>
    </row>
    <row r="131" spans="1:22" s="77" customFormat="1" ht="25.35" customHeight="1">
      <c r="A131" s="149">
        <v>34</v>
      </c>
      <c r="B131" s="150" t="s">
        <v>133</v>
      </c>
      <c r="C131" s="294" t="s">
        <v>297</v>
      </c>
      <c r="D131" s="151"/>
      <c r="E131" s="26">
        <v>2</v>
      </c>
      <c r="F131" s="151" t="s">
        <v>191</v>
      </c>
      <c r="G131" s="56"/>
      <c r="H131" s="56"/>
      <c r="I131" s="225"/>
      <c r="J131" s="262"/>
      <c r="K131" s="56"/>
      <c r="L131" s="56"/>
      <c r="M131" s="56"/>
      <c r="N131" s="226"/>
      <c r="O131" s="27"/>
      <c r="P131" s="25"/>
      <c r="Q131" s="227" t="s">
        <v>296</v>
      </c>
      <c r="R131" s="28"/>
      <c r="S131" s="29"/>
      <c r="T131" s="30"/>
      <c r="U131" s="29"/>
      <c r="V131" s="76"/>
    </row>
    <row r="132" spans="1:22" s="77" customFormat="1" ht="25.35" customHeight="1">
      <c r="A132" s="149">
        <v>34</v>
      </c>
      <c r="B132" s="150" t="s">
        <v>133</v>
      </c>
      <c r="C132" s="294" t="s">
        <v>298</v>
      </c>
      <c r="D132" s="151"/>
      <c r="E132" s="26">
        <v>2</v>
      </c>
      <c r="F132" s="151" t="s">
        <v>191</v>
      </c>
      <c r="G132" s="56"/>
      <c r="H132" s="56"/>
      <c r="I132" s="225"/>
      <c r="J132" s="262"/>
      <c r="K132" s="56"/>
      <c r="L132" s="56"/>
      <c r="M132" s="56"/>
      <c r="N132" s="226"/>
      <c r="O132" s="27"/>
      <c r="P132" s="25"/>
      <c r="Q132" s="227" t="s">
        <v>296</v>
      </c>
      <c r="R132" s="28"/>
      <c r="S132" s="29"/>
      <c r="T132" s="30"/>
      <c r="U132" s="29"/>
      <c r="V132" s="76"/>
    </row>
    <row r="133" spans="1:22" s="77" customFormat="1" ht="25.35" customHeight="1">
      <c r="A133" s="149">
        <v>34</v>
      </c>
      <c r="B133" s="150" t="s">
        <v>133</v>
      </c>
      <c r="C133" s="294" t="s">
        <v>299</v>
      </c>
      <c r="D133" s="151"/>
      <c r="E133" s="26">
        <v>3</v>
      </c>
      <c r="F133" s="151" t="s">
        <v>191</v>
      </c>
      <c r="G133" s="56"/>
      <c r="H133" s="56"/>
      <c r="I133" s="225"/>
      <c r="J133" s="262"/>
      <c r="K133" s="56"/>
      <c r="L133" s="56"/>
      <c r="M133" s="56"/>
      <c r="N133" s="226"/>
      <c r="O133" s="27"/>
      <c r="P133" s="25"/>
      <c r="Q133" s="227" t="s">
        <v>296</v>
      </c>
      <c r="R133" s="28"/>
      <c r="S133" s="29"/>
      <c r="T133" s="30"/>
      <c r="U133" s="29"/>
      <c r="V133" s="76"/>
    </row>
    <row r="134" spans="1:22" s="77" customFormat="1" ht="25.35" customHeight="1">
      <c r="A134" s="149">
        <v>34</v>
      </c>
      <c r="B134" s="150" t="s">
        <v>133</v>
      </c>
      <c r="C134" s="292" t="s">
        <v>300</v>
      </c>
      <c r="D134" s="151"/>
      <c r="E134" s="26">
        <v>10</v>
      </c>
      <c r="F134" s="151" t="s">
        <v>191</v>
      </c>
      <c r="G134" s="56"/>
      <c r="H134" s="56"/>
      <c r="I134" s="225"/>
      <c r="J134" s="262"/>
      <c r="K134" s="56"/>
      <c r="L134" s="56"/>
      <c r="M134" s="56"/>
      <c r="N134" s="226"/>
      <c r="O134" s="27"/>
      <c r="P134" s="25"/>
      <c r="Q134" s="227" t="s">
        <v>296</v>
      </c>
      <c r="R134" s="28"/>
      <c r="S134" s="29"/>
      <c r="T134" s="30"/>
      <c r="U134" s="29"/>
      <c r="V134" s="76"/>
    </row>
    <row r="135" spans="1:22" s="77" customFormat="1" ht="25.35" customHeight="1">
      <c r="A135" s="149">
        <v>34</v>
      </c>
      <c r="B135" s="150" t="s">
        <v>133</v>
      </c>
      <c r="C135" s="292" t="s">
        <v>301</v>
      </c>
      <c r="D135" s="151"/>
      <c r="E135" s="26">
        <v>1</v>
      </c>
      <c r="F135" s="151" t="s">
        <v>191</v>
      </c>
      <c r="G135" s="56"/>
      <c r="H135" s="56"/>
      <c r="I135" s="225"/>
      <c r="J135" s="262"/>
      <c r="K135" s="56"/>
      <c r="L135" s="56"/>
      <c r="M135" s="56"/>
      <c r="N135" s="226"/>
      <c r="O135" s="27"/>
      <c r="P135" s="25"/>
      <c r="Q135" s="227" t="s">
        <v>296</v>
      </c>
      <c r="R135" s="28"/>
      <c r="S135" s="29"/>
      <c r="T135" s="30"/>
      <c r="U135" s="29"/>
      <c r="V135" s="76"/>
    </row>
    <row r="136" spans="1:22" s="77" customFormat="1" ht="25.35" customHeight="1">
      <c r="A136" s="149">
        <v>34</v>
      </c>
      <c r="B136" s="150" t="s">
        <v>133</v>
      </c>
      <c r="C136" s="294" t="s">
        <v>302</v>
      </c>
      <c r="D136" s="151"/>
      <c r="E136" s="26">
        <v>300</v>
      </c>
      <c r="F136" s="151" t="s">
        <v>191</v>
      </c>
      <c r="G136" s="56"/>
      <c r="H136" s="56"/>
      <c r="I136" s="225"/>
      <c r="J136" s="262"/>
      <c r="K136" s="56"/>
      <c r="L136" s="56"/>
      <c r="M136" s="56"/>
      <c r="N136" s="226"/>
      <c r="O136" s="27"/>
      <c r="P136" s="25"/>
      <c r="Q136" s="227" t="s">
        <v>296</v>
      </c>
      <c r="R136" s="28"/>
      <c r="S136" s="29"/>
      <c r="T136" s="30"/>
      <c r="U136" s="29"/>
      <c r="V136" s="76"/>
    </row>
    <row r="137" spans="1:22" s="77" customFormat="1" ht="25.35" customHeight="1">
      <c r="A137" s="149">
        <v>34</v>
      </c>
      <c r="B137" s="150" t="s">
        <v>133</v>
      </c>
      <c r="C137" s="294" t="s">
        <v>303</v>
      </c>
      <c r="D137" s="151"/>
      <c r="E137" s="26">
        <v>200</v>
      </c>
      <c r="F137" s="151" t="s">
        <v>191</v>
      </c>
      <c r="G137" s="56"/>
      <c r="H137" s="56"/>
      <c r="I137" s="225"/>
      <c r="J137" s="262"/>
      <c r="K137" s="56"/>
      <c r="L137" s="56"/>
      <c r="M137" s="56"/>
      <c r="N137" s="226"/>
      <c r="O137" s="27"/>
      <c r="P137" s="25"/>
      <c r="Q137" s="227" t="s">
        <v>296</v>
      </c>
      <c r="R137" s="28"/>
      <c r="S137" s="29"/>
      <c r="T137" s="30"/>
      <c r="U137" s="29"/>
      <c r="V137" s="76"/>
    </row>
    <row r="138" spans="1:22" s="77" customFormat="1" ht="25.35" customHeight="1">
      <c r="A138" s="149">
        <v>34</v>
      </c>
      <c r="B138" s="150" t="s">
        <v>133</v>
      </c>
      <c r="C138" s="292" t="s">
        <v>304</v>
      </c>
      <c r="D138" s="151"/>
      <c r="E138" s="26">
        <v>15</v>
      </c>
      <c r="F138" s="151" t="s">
        <v>191</v>
      </c>
      <c r="G138" s="56"/>
      <c r="H138" s="56"/>
      <c r="I138" s="225"/>
      <c r="J138" s="262"/>
      <c r="K138" s="56"/>
      <c r="L138" s="56"/>
      <c r="M138" s="56"/>
      <c r="N138" s="226"/>
      <c r="O138" s="27"/>
      <c r="P138" s="25"/>
      <c r="Q138" s="227" t="s">
        <v>296</v>
      </c>
      <c r="R138" s="28"/>
      <c r="S138" s="29"/>
      <c r="T138" s="30"/>
      <c r="U138" s="29"/>
      <c r="V138" s="76"/>
    </row>
    <row r="139" spans="1:22" s="77" customFormat="1" ht="25.35" customHeight="1">
      <c r="A139" s="149">
        <v>34</v>
      </c>
      <c r="B139" s="150" t="s">
        <v>133</v>
      </c>
      <c r="C139" s="292" t="s">
        <v>305</v>
      </c>
      <c r="D139" s="151"/>
      <c r="E139" s="26">
        <v>14</v>
      </c>
      <c r="F139" s="151" t="s">
        <v>191</v>
      </c>
      <c r="G139" s="56"/>
      <c r="H139" s="56"/>
      <c r="I139" s="225"/>
      <c r="J139" s="262"/>
      <c r="K139" s="56"/>
      <c r="L139" s="56"/>
      <c r="M139" s="56"/>
      <c r="N139" s="226"/>
      <c r="O139" s="27"/>
      <c r="P139" s="25"/>
      <c r="Q139" s="227" t="s">
        <v>296</v>
      </c>
      <c r="R139" s="28"/>
      <c r="S139" s="29"/>
      <c r="T139" s="30"/>
      <c r="U139" s="29"/>
      <c r="V139" s="76"/>
    </row>
    <row r="140" spans="1:22" s="77" customFormat="1" ht="25.35" customHeight="1">
      <c r="A140" s="149">
        <v>34</v>
      </c>
      <c r="B140" s="150" t="s">
        <v>133</v>
      </c>
      <c r="C140" s="292" t="s">
        <v>306</v>
      </c>
      <c r="D140" s="151"/>
      <c r="E140" s="26">
        <v>5</v>
      </c>
      <c r="F140" s="151" t="s">
        <v>191</v>
      </c>
      <c r="G140" s="56"/>
      <c r="H140" s="56"/>
      <c r="I140" s="225"/>
      <c r="J140" s="262"/>
      <c r="K140" s="56"/>
      <c r="L140" s="56"/>
      <c r="M140" s="56"/>
      <c r="N140" s="226"/>
      <c r="O140" s="27"/>
      <c r="P140" s="25"/>
      <c r="Q140" s="227" t="s">
        <v>296</v>
      </c>
      <c r="R140" s="28"/>
      <c r="S140" s="29"/>
      <c r="T140" s="30"/>
      <c r="U140" s="29"/>
      <c r="V140" s="76"/>
    </row>
    <row r="141" spans="1:22" s="77" customFormat="1" ht="25.35" customHeight="1">
      <c r="A141" s="149">
        <v>34</v>
      </c>
      <c r="B141" s="150" t="s">
        <v>133</v>
      </c>
      <c r="C141" s="292" t="s">
        <v>307</v>
      </c>
      <c r="D141" s="151"/>
      <c r="E141" s="26">
        <v>5</v>
      </c>
      <c r="F141" s="151" t="s">
        <v>191</v>
      </c>
      <c r="G141" s="56"/>
      <c r="H141" s="56"/>
      <c r="I141" s="225"/>
      <c r="J141" s="262"/>
      <c r="K141" s="56"/>
      <c r="L141" s="56"/>
      <c r="M141" s="56"/>
      <c r="N141" s="226"/>
      <c r="O141" s="27"/>
      <c r="P141" s="25"/>
      <c r="Q141" s="227" t="s">
        <v>296</v>
      </c>
      <c r="R141" s="28"/>
      <c r="S141" s="29"/>
      <c r="T141" s="30"/>
      <c r="U141" s="29"/>
      <c r="V141" s="76"/>
    </row>
    <row r="142" spans="1:22" s="77" customFormat="1" ht="25.35" customHeight="1">
      <c r="A142" s="149">
        <v>34</v>
      </c>
      <c r="B142" s="150" t="s">
        <v>133</v>
      </c>
      <c r="C142" s="292" t="s">
        <v>308</v>
      </c>
      <c r="D142" s="151"/>
      <c r="E142" s="26">
        <v>3</v>
      </c>
      <c r="F142" s="151" t="s">
        <v>191</v>
      </c>
      <c r="G142" s="56"/>
      <c r="H142" s="56"/>
      <c r="I142" s="225"/>
      <c r="J142" s="262"/>
      <c r="K142" s="56"/>
      <c r="L142" s="56"/>
      <c r="M142" s="56"/>
      <c r="N142" s="226"/>
      <c r="O142" s="27"/>
      <c r="P142" s="25"/>
      <c r="Q142" s="227" t="s">
        <v>296</v>
      </c>
      <c r="R142" s="28"/>
      <c r="S142" s="29"/>
      <c r="T142" s="30"/>
      <c r="U142" s="29"/>
      <c r="V142" s="76"/>
    </row>
    <row r="143" spans="1:22" s="116" customFormat="1" ht="25.35" customHeight="1">
      <c r="A143" s="106"/>
      <c r="B143" s="107"/>
      <c r="C143" s="295"/>
      <c r="D143" s="110"/>
      <c r="E143" s="109"/>
      <c r="F143" s="110"/>
      <c r="G143" s="228">
        <v>130</v>
      </c>
      <c r="H143" s="228">
        <v>100</v>
      </c>
      <c r="I143" s="228">
        <v>135</v>
      </c>
      <c r="J143" s="228">
        <f>ROUND(I143*H143*G143/1000000,3)</f>
        <v>1.7549999999999999</v>
      </c>
      <c r="K143" s="228">
        <v>120</v>
      </c>
      <c r="L143" s="228">
        <f>'Summary PL'!M47</f>
        <v>180</v>
      </c>
      <c r="M143" s="111"/>
      <c r="N143" s="111"/>
      <c r="O143" s="111"/>
      <c r="P143" s="108"/>
      <c r="Q143" s="112"/>
      <c r="R143" s="28"/>
      <c r="S143" s="113"/>
      <c r="T143" s="114"/>
      <c r="U143" s="113"/>
      <c r="V143" s="115"/>
    </row>
    <row r="144" spans="1:22" s="77" customFormat="1" ht="25.35" customHeight="1">
      <c r="A144" s="149">
        <v>35</v>
      </c>
      <c r="B144" s="150" t="s">
        <v>134</v>
      </c>
      <c r="C144" s="296" t="s">
        <v>309</v>
      </c>
      <c r="D144" s="151"/>
      <c r="E144" s="26">
        <v>2</v>
      </c>
      <c r="F144" s="151" t="s">
        <v>191</v>
      </c>
      <c r="G144" s="56"/>
      <c r="H144" s="56"/>
      <c r="I144" s="225"/>
      <c r="J144" s="262"/>
      <c r="K144" s="56"/>
      <c r="L144" s="56"/>
      <c r="M144" s="56"/>
      <c r="N144" s="226"/>
      <c r="O144" s="27"/>
      <c r="P144" s="25"/>
      <c r="Q144" s="227" t="s">
        <v>310</v>
      </c>
      <c r="R144" s="28"/>
      <c r="S144" s="29"/>
      <c r="T144" s="30"/>
      <c r="U144" s="29"/>
      <c r="V144" s="76"/>
    </row>
    <row r="145" spans="1:22" s="77" customFormat="1" ht="25.35" customHeight="1">
      <c r="A145" s="149">
        <v>35</v>
      </c>
      <c r="B145" s="150" t="s">
        <v>134</v>
      </c>
      <c r="C145" s="296" t="s">
        <v>311</v>
      </c>
      <c r="D145" s="151"/>
      <c r="E145" s="26">
        <v>12</v>
      </c>
      <c r="F145" s="151" t="s">
        <v>191</v>
      </c>
      <c r="G145" s="56"/>
      <c r="H145" s="56"/>
      <c r="I145" s="225"/>
      <c r="J145" s="262"/>
      <c r="K145" s="56"/>
      <c r="L145" s="56"/>
      <c r="M145" s="56"/>
      <c r="N145" s="226"/>
      <c r="O145" s="27"/>
      <c r="P145" s="25"/>
      <c r="Q145" s="227"/>
      <c r="R145" s="28"/>
      <c r="S145" s="29"/>
      <c r="T145" s="30"/>
      <c r="U145" s="29"/>
      <c r="V145" s="76"/>
    </row>
    <row r="146" spans="1:22" s="77" customFormat="1" ht="25.35" customHeight="1">
      <c r="A146" s="149">
        <v>35</v>
      </c>
      <c r="B146" s="150" t="s">
        <v>134</v>
      </c>
      <c r="C146" s="296" t="s">
        <v>312</v>
      </c>
      <c r="D146" s="151"/>
      <c r="E146" s="26">
        <v>6</v>
      </c>
      <c r="F146" s="151" t="s">
        <v>191</v>
      </c>
      <c r="G146" s="56"/>
      <c r="H146" s="56"/>
      <c r="I146" s="225"/>
      <c r="J146" s="262"/>
      <c r="K146" s="56"/>
      <c r="L146" s="56"/>
      <c r="M146" s="56"/>
      <c r="N146" s="226"/>
      <c r="O146" s="27"/>
      <c r="P146" s="25"/>
      <c r="Q146" s="227"/>
      <c r="R146" s="28"/>
      <c r="S146" s="29"/>
      <c r="T146" s="30"/>
      <c r="U146" s="29"/>
      <c r="V146" s="76"/>
    </row>
    <row r="147" spans="1:22" s="77" customFormat="1" ht="25.35" customHeight="1">
      <c r="A147" s="149">
        <v>35</v>
      </c>
      <c r="B147" s="150" t="s">
        <v>134</v>
      </c>
      <c r="C147" s="296" t="s">
        <v>313</v>
      </c>
      <c r="D147" s="151"/>
      <c r="E147" s="26">
        <v>37</v>
      </c>
      <c r="F147" s="151" t="s">
        <v>191</v>
      </c>
      <c r="G147" s="56"/>
      <c r="H147" s="56"/>
      <c r="I147" s="225"/>
      <c r="J147" s="262"/>
      <c r="K147" s="56"/>
      <c r="L147" s="56"/>
      <c r="M147" s="56"/>
      <c r="N147" s="226"/>
      <c r="O147" s="27"/>
      <c r="P147" s="25"/>
      <c r="Q147" s="227"/>
      <c r="R147" s="28"/>
      <c r="S147" s="29"/>
      <c r="T147" s="30"/>
      <c r="U147" s="29"/>
      <c r="V147" s="76"/>
    </row>
    <row r="148" spans="1:22" s="77" customFormat="1" ht="25.35" customHeight="1">
      <c r="A148" s="149">
        <v>35</v>
      </c>
      <c r="B148" s="150" t="s">
        <v>134</v>
      </c>
      <c r="C148" s="296" t="s">
        <v>314</v>
      </c>
      <c r="D148" s="151"/>
      <c r="E148" s="26">
        <v>19</v>
      </c>
      <c r="F148" s="151" t="s">
        <v>191</v>
      </c>
      <c r="G148" s="56"/>
      <c r="H148" s="56"/>
      <c r="I148" s="225"/>
      <c r="J148" s="262"/>
      <c r="K148" s="56"/>
      <c r="L148" s="56"/>
      <c r="M148" s="56"/>
      <c r="N148" s="226"/>
      <c r="O148" s="27"/>
      <c r="P148" s="25"/>
      <c r="Q148" s="227"/>
      <c r="R148" s="28"/>
      <c r="S148" s="29"/>
      <c r="T148" s="30"/>
      <c r="U148" s="29"/>
      <c r="V148" s="76"/>
    </row>
    <row r="149" spans="1:22" s="77" customFormat="1" ht="25.35" customHeight="1">
      <c r="A149" s="149">
        <v>35</v>
      </c>
      <c r="B149" s="150" t="s">
        <v>134</v>
      </c>
      <c r="C149" s="296" t="s">
        <v>315</v>
      </c>
      <c r="D149" s="151"/>
      <c r="E149" s="26">
        <v>5</v>
      </c>
      <c r="F149" s="151" t="s">
        <v>191</v>
      </c>
      <c r="G149" s="56"/>
      <c r="H149" s="56"/>
      <c r="I149" s="225"/>
      <c r="J149" s="262"/>
      <c r="K149" s="56"/>
      <c r="L149" s="56"/>
      <c r="M149" s="56"/>
      <c r="N149" s="226"/>
      <c r="O149" s="27"/>
      <c r="P149" s="25"/>
      <c r="Q149" s="227"/>
      <c r="R149" s="28"/>
      <c r="S149" s="29"/>
      <c r="T149" s="30"/>
      <c r="U149" s="29"/>
      <c r="V149" s="76"/>
    </row>
    <row r="150" spans="1:22" s="77" customFormat="1" ht="25.35" customHeight="1">
      <c r="A150" s="149">
        <v>35</v>
      </c>
      <c r="B150" s="150" t="s">
        <v>134</v>
      </c>
      <c r="C150" s="296" t="s">
        <v>316</v>
      </c>
      <c r="D150" s="151"/>
      <c r="E150" s="26">
        <v>15</v>
      </c>
      <c r="F150" s="151" t="s">
        <v>191</v>
      </c>
      <c r="G150" s="56"/>
      <c r="H150" s="56"/>
      <c r="I150" s="225"/>
      <c r="J150" s="262"/>
      <c r="K150" s="56"/>
      <c r="L150" s="56"/>
      <c r="M150" s="56"/>
      <c r="N150" s="226"/>
      <c r="O150" s="27"/>
      <c r="P150" s="25"/>
      <c r="Q150" s="227"/>
      <c r="R150" s="28"/>
      <c r="S150" s="29"/>
      <c r="T150" s="30"/>
      <c r="U150" s="29"/>
      <c r="V150" s="76"/>
    </row>
    <row r="151" spans="1:22" s="77" customFormat="1" ht="25.35" customHeight="1">
      <c r="A151" s="149">
        <v>35</v>
      </c>
      <c r="B151" s="150" t="s">
        <v>134</v>
      </c>
      <c r="C151" s="296" t="s">
        <v>317</v>
      </c>
      <c r="D151" s="151"/>
      <c r="E151" s="26">
        <v>7</v>
      </c>
      <c r="F151" s="151" t="s">
        <v>191</v>
      </c>
      <c r="G151" s="56"/>
      <c r="H151" s="56"/>
      <c r="I151" s="225"/>
      <c r="J151" s="262"/>
      <c r="K151" s="56"/>
      <c r="L151" s="56"/>
      <c r="M151" s="56"/>
      <c r="N151" s="226"/>
      <c r="O151" s="27"/>
      <c r="P151" s="25"/>
      <c r="Q151" s="227"/>
      <c r="R151" s="28"/>
      <c r="S151" s="29"/>
      <c r="T151" s="30"/>
      <c r="U151" s="29"/>
      <c r="V151" s="76"/>
    </row>
    <row r="152" spans="1:22" s="77" customFormat="1" ht="25.35" customHeight="1">
      <c r="A152" s="149">
        <v>35</v>
      </c>
      <c r="B152" s="150" t="s">
        <v>134</v>
      </c>
      <c r="C152" s="296" t="s">
        <v>318</v>
      </c>
      <c r="D152" s="151"/>
      <c r="E152" s="26">
        <v>34</v>
      </c>
      <c r="F152" s="151" t="s">
        <v>191</v>
      </c>
      <c r="G152" s="56"/>
      <c r="H152" s="56"/>
      <c r="I152" s="225"/>
      <c r="J152" s="262"/>
      <c r="K152" s="56"/>
      <c r="L152" s="56"/>
      <c r="M152" s="56"/>
      <c r="N152" s="226"/>
      <c r="O152" s="27"/>
      <c r="P152" s="25"/>
      <c r="Q152" s="227"/>
      <c r="R152" s="28"/>
      <c r="S152" s="29"/>
      <c r="T152" s="30"/>
      <c r="U152" s="29"/>
      <c r="V152" s="76"/>
    </row>
    <row r="153" spans="1:22" s="77" customFormat="1" ht="25.35" customHeight="1">
      <c r="A153" s="149">
        <v>35</v>
      </c>
      <c r="B153" s="150" t="s">
        <v>134</v>
      </c>
      <c r="C153" s="296" t="s">
        <v>319</v>
      </c>
      <c r="D153" s="151"/>
      <c r="E153" s="26">
        <v>32</v>
      </c>
      <c r="F153" s="151" t="s">
        <v>191</v>
      </c>
      <c r="G153" s="56"/>
      <c r="H153" s="56"/>
      <c r="I153" s="225"/>
      <c r="J153" s="262"/>
      <c r="K153" s="56"/>
      <c r="L153" s="56"/>
      <c r="M153" s="56"/>
      <c r="N153" s="226"/>
      <c r="O153" s="27"/>
      <c r="P153" s="25"/>
      <c r="Q153" s="227"/>
      <c r="R153" s="28"/>
      <c r="S153" s="29"/>
      <c r="T153" s="30"/>
      <c r="U153" s="29"/>
      <c r="V153" s="76"/>
    </row>
    <row r="154" spans="1:22" s="77" customFormat="1" ht="25.35" customHeight="1">
      <c r="A154" s="149">
        <v>35</v>
      </c>
      <c r="B154" s="150" t="s">
        <v>134</v>
      </c>
      <c r="C154" s="296" t="s">
        <v>320</v>
      </c>
      <c r="D154" s="151"/>
      <c r="E154" s="26">
        <v>21</v>
      </c>
      <c r="F154" s="151" t="s">
        <v>191</v>
      </c>
      <c r="G154" s="56"/>
      <c r="H154" s="56"/>
      <c r="I154" s="225"/>
      <c r="J154" s="262"/>
      <c r="K154" s="56"/>
      <c r="L154" s="56"/>
      <c r="M154" s="56"/>
      <c r="N154" s="226"/>
      <c r="O154" s="27"/>
      <c r="P154" s="25"/>
      <c r="Q154" s="227"/>
      <c r="R154" s="28"/>
      <c r="S154" s="29"/>
      <c r="T154" s="30"/>
      <c r="U154" s="29"/>
      <c r="V154" s="76"/>
    </row>
    <row r="155" spans="1:22" s="77" customFormat="1" ht="25.35" customHeight="1">
      <c r="A155" s="149">
        <v>35</v>
      </c>
      <c r="B155" s="150" t="s">
        <v>134</v>
      </c>
      <c r="C155" s="296" t="s">
        <v>321</v>
      </c>
      <c r="D155" s="151"/>
      <c r="E155" s="26">
        <v>11</v>
      </c>
      <c r="F155" s="151" t="s">
        <v>191</v>
      </c>
      <c r="G155" s="56"/>
      <c r="H155" s="56"/>
      <c r="I155" s="225"/>
      <c r="J155" s="262"/>
      <c r="K155" s="56"/>
      <c r="L155" s="56"/>
      <c r="M155" s="56"/>
      <c r="N155" s="226"/>
      <c r="O155" s="27"/>
      <c r="P155" s="25"/>
      <c r="Q155" s="227"/>
      <c r="R155" s="28"/>
      <c r="S155" s="29"/>
      <c r="T155" s="30"/>
      <c r="U155" s="29"/>
      <c r="V155" s="76"/>
    </row>
    <row r="156" spans="1:22" s="77" customFormat="1" ht="25.35" customHeight="1">
      <c r="A156" s="149">
        <v>35</v>
      </c>
      <c r="B156" s="150" t="s">
        <v>134</v>
      </c>
      <c r="C156" s="296" t="s">
        <v>322</v>
      </c>
      <c r="D156" s="151"/>
      <c r="E156" s="26">
        <v>4</v>
      </c>
      <c r="F156" s="151" t="s">
        <v>191</v>
      </c>
      <c r="G156" s="56"/>
      <c r="H156" s="56"/>
      <c r="I156" s="225"/>
      <c r="J156" s="262"/>
      <c r="K156" s="56"/>
      <c r="L156" s="56"/>
      <c r="M156" s="56"/>
      <c r="N156" s="226"/>
      <c r="O156" s="27"/>
      <c r="P156" s="25"/>
      <c r="Q156" s="227"/>
      <c r="R156" s="28"/>
      <c r="S156" s="29"/>
      <c r="T156" s="30"/>
      <c r="U156" s="29"/>
      <c r="V156" s="76"/>
    </row>
    <row r="157" spans="1:22" s="77" customFormat="1" ht="25.35" customHeight="1">
      <c r="A157" s="149">
        <v>35</v>
      </c>
      <c r="B157" s="150" t="s">
        <v>134</v>
      </c>
      <c r="C157" s="296" t="s">
        <v>323</v>
      </c>
      <c r="D157" s="151"/>
      <c r="E157" s="26">
        <v>1</v>
      </c>
      <c r="F157" s="151" t="s">
        <v>191</v>
      </c>
      <c r="G157" s="56"/>
      <c r="H157" s="56"/>
      <c r="I157" s="225"/>
      <c r="J157" s="262"/>
      <c r="K157" s="56"/>
      <c r="L157" s="56"/>
      <c r="M157" s="56"/>
      <c r="N157" s="226"/>
      <c r="O157" s="27"/>
      <c r="P157" s="25"/>
      <c r="Q157" s="227"/>
      <c r="R157" s="28"/>
      <c r="S157" s="29"/>
      <c r="T157" s="30"/>
      <c r="U157" s="29"/>
      <c r="V157" s="76"/>
    </row>
    <row r="158" spans="1:22" s="77" customFormat="1" ht="25.35" customHeight="1">
      <c r="A158" s="149">
        <v>35</v>
      </c>
      <c r="B158" s="150" t="s">
        <v>134</v>
      </c>
      <c r="C158" s="296" t="s">
        <v>324</v>
      </c>
      <c r="D158" s="151"/>
      <c r="E158" s="26">
        <v>4</v>
      </c>
      <c r="F158" s="151" t="s">
        <v>191</v>
      </c>
      <c r="G158" s="56"/>
      <c r="H158" s="56"/>
      <c r="I158" s="225"/>
      <c r="J158" s="262"/>
      <c r="K158" s="56"/>
      <c r="L158" s="56"/>
      <c r="M158" s="56"/>
      <c r="N158" s="226"/>
      <c r="O158" s="27"/>
      <c r="P158" s="25"/>
      <c r="Q158" s="227"/>
      <c r="R158" s="28"/>
      <c r="S158" s="29"/>
      <c r="T158" s="30"/>
      <c r="U158" s="29"/>
      <c r="V158" s="76"/>
    </row>
    <row r="159" spans="1:22" s="116" customFormat="1" ht="25.35" customHeight="1">
      <c r="A159" s="106"/>
      <c r="B159" s="107"/>
      <c r="C159" s="293"/>
      <c r="D159" s="110"/>
      <c r="E159" s="109"/>
      <c r="F159" s="110"/>
      <c r="G159" s="228">
        <v>130</v>
      </c>
      <c r="H159" s="228">
        <v>100</v>
      </c>
      <c r="I159" s="228">
        <v>135</v>
      </c>
      <c r="J159" s="228">
        <f>ROUND(I159*H159*G159/1000000,3)</f>
        <v>1.7549999999999999</v>
      </c>
      <c r="K159" s="228">
        <v>120</v>
      </c>
      <c r="L159" s="228">
        <f>'Summary PL'!M48</f>
        <v>180</v>
      </c>
      <c r="M159" s="111"/>
      <c r="N159" s="111"/>
      <c r="O159" s="111"/>
      <c r="P159" s="108"/>
      <c r="Q159" s="112"/>
      <c r="R159" s="28"/>
      <c r="S159" s="113"/>
      <c r="T159" s="114"/>
      <c r="U159" s="113"/>
      <c r="V159" s="115"/>
    </row>
    <row r="160" spans="1:22" s="77" customFormat="1" ht="25.35" customHeight="1">
      <c r="A160" s="149">
        <v>36</v>
      </c>
      <c r="B160" s="150" t="s">
        <v>135</v>
      </c>
      <c r="C160" s="294" t="s">
        <v>325</v>
      </c>
      <c r="D160" s="151"/>
      <c r="E160" s="26">
        <v>1</v>
      </c>
      <c r="F160" s="151" t="s">
        <v>191</v>
      </c>
      <c r="G160" s="56"/>
      <c r="H160" s="56"/>
      <c r="I160" s="225"/>
      <c r="J160" s="262"/>
      <c r="K160" s="56"/>
      <c r="L160" s="56"/>
      <c r="M160" s="56"/>
      <c r="N160" s="226"/>
      <c r="O160" s="27"/>
      <c r="P160" s="25"/>
      <c r="Q160" s="227"/>
      <c r="R160" s="28"/>
      <c r="S160" s="29"/>
      <c r="T160" s="30"/>
      <c r="U160" s="29"/>
      <c r="V160" s="76"/>
    </row>
    <row r="161" spans="1:22" s="116" customFormat="1" ht="25.35" customHeight="1">
      <c r="A161" s="106"/>
      <c r="B161" s="107"/>
      <c r="C161" s="293"/>
      <c r="D161" s="110"/>
      <c r="E161" s="109"/>
      <c r="F161" s="110"/>
      <c r="G161" s="228">
        <v>130</v>
      </c>
      <c r="H161" s="228">
        <v>100</v>
      </c>
      <c r="I161" s="228">
        <v>135</v>
      </c>
      <c r="J161" s="228">
        <f>ROUND(I161*H161*G161/1000000,3)</f>
        <v>1.7549999999999999</v>
      </c>
      <c r="K161" s="228">
        <v>120</v>
      </c>
      <c r="L161" s="228">
        <f>'Summary PL'!M49</f>
        <v>180</v>
      </c>
      <c r="M161" s="111"/>
      <c r="N161" s="111"/>
      <c r="O161" s="111"/>
      <c r="P161" s="108"/>
      <c r="Q161" s="112"/>
      <c r="R161" s="28"/>
      <c r="S161" s="113"/>
      <c r="T161" s="114"/>
      <c r="U161" s="113"/>
      <c r="V161" s="115"/>
    </row>
    <row r="162" spans="1:22" s="33" customFormat="1" ht="28.35" customHeight="1" thickBot="1">
      <c r="A162" s="445" t="s">
        <v>326</v>
      </c>
      <c r="B162" s="446"/>
      <c r="C162" s="446"/>
      <c r="D162" s="447"/>
      <c r="E162" s="229"/>
      <c r="F162" s="230"/>
      <c r="G162" s="231"/>
      <c r="H162" s="231"/>
      <c r="I162" s="231"/>
      <c r="J162" s="264">
        <f>SUM(J14:J161)</f>
        <v>140.23799999999989</v>
      </c>
      <c r="K162" s="264">
        <f t="shared" ref="K162:L162" si="0">SUM(K14:K161)</f>
        <v>17516.099999999999</v>
      </c>
      <c r="L162" s="264">
        <f t="shared" si="0"/>
        <v>21866.1</v>
      </c>
      <c r="M162" s="232"/>
      <c r="N162" s="232"/>
      <c r="O162" s="233"/>
      <c r="P162" s="234"/>
      <c r="Q162" s="235"/>
      <c r="R162" s="31"/>
      <c r="S162" s="31"/>
      <c r="T162" s="31"/>
      <c r="U162" s="32"/>
      <c r="V162" s="32"/>
    </row>
    <row r="163" spans="1:22" s="9" customFormat="1" ht="22.5" customHeight="1">
      <c r="A163" s="5"/>
      <c r="B163" s="8"/>
      <c r="C163" s="291"/>
      <c r="D163" s="34"/>
      <c r="E163" s="35"/>
      <c r="F163" s="8"/>
      <c r="G163" s="57"/>
      <c r="H163" s="57"/>
      <c r="I163" s="59"/>
      <c r="J163" s="59"/>
      <c r="K163" s="57"/>
      <c r="L163" s="57"/>
      <c r="M163" s="57"/>
      <c r="N163" s="57"/>
      <c r="O163" s="36"/>
      <c r="P163" s="38"/>
      <c r="Q163" s="19"/>
      <c r="R163" s="39"/>
      <c r="S163" s="39"/>
      <c r="T163" s="39"/>
      <c r="U163" s="11"/>
      <c r="V163" s="11"/>
    </row>
    <row r="164" spans="1:22" s="9" customFormat="1" ht="12" customHeight="1">
      <c r="A164" s="5"/>
      <c r="B164" s="8"/>
      <c r="C164" s="291"/>
      <c r="E164" s="35"/>
      <c r="F164" s="8"/>
      <c r="G164" s="57"/>
      <c r="H164" s="57"/>
      <c r="I164" s="59"/>
      <c r="J164" s="59"/>
      <c r="K164" s="57"/>
      <c r="L164" s="57"/>
      <c r="M164" s="57"/>
      <c r="N164" s="57"/>
      <c r="O164" s="36"/>
      <c r="P164" s="38"/>
      <c r="Q164" s="19"/>
      <c r="R164" s="6"/>
      <c r="S164" s="6"/>
      <c r="T164" s="6"/>
      <c r="U164" s="11"/>
      <c r="V164" s="11"/>
    </row>
    <row r="165" spans="1:22" s="9" customFormat="1" ht="22.5" customHeight="1">
      <c r="A165" s="5"/>
      <c r="B165" s="8"/>
      <c r="C165" s="291"/>
      <c r="E165" s="35"/>
      <c r="F165" s="8"/>
      <c r="G165" s="57"/>
      <c r="H165" s="57"/>
      <c r="I165" s="59"/>
      <c r="J165" s="59"/>
      <c r="K165" s="57"/>
      <c r="L165" s="57"/>
      <c r="M165" s="57"/>
      <c r="N165" s="57"/>
      <c r="O165" s="36"/>
      <c r="P165" s="38"/>
      <c r="Q165" s="19"/>
      <c r="R165" s="6"/>
      <c r="S165" s="6"/>
      <c r="T165" s="6"/>
      <c r="U165" s="11"/>
      <c r="V165" s="11"/>
    </row>
    <row r="166" spans="1:22" s="9" customFormat="1" ht="12" customHeight="1">
      <c r="A166" s="5"/>
      <c r="B166" s="8"/>
      <c r="C166" s="291"/>
      <c r="E166" s="35"/>
      <c r="F166" s="8"/>
      <c r="G166" s="57"/>
      <c r="H166" s="57"/>
      <c r="I166" s="59"/>
      <c r="J166" s="59"/>
      <c r="K166" s="57"/>
      <c r="L166" s="57"/>
      <c r="M166" s="57"/>
      <c r="N166" s="57"/>
      <c r="O166" s="36"/>
      <c r="P166" s="38"/>
      <c r="Q166" s="19"/>
      <c r="R166" s="6"/>
      <c r="S166" s="6"/>
      <c r="T166" s="6"/>
      <c r="U166" s="11"/>
      <c r="V166" s="11"/>
    </row>
    <row r="167" spans="1:22" s="9" customFormat="1" ht="12" customHeight="1">
      <c r="A167" s="5"/>
      <c r="B167" s="8"/>
      <c r="C167" s="291"/>
      <c r="E167" s="40"/>
      <c r="F167" s="41"/>
      <c r="G167" s="57"/>
      <c r="H167" s="57"/>
      <c r="I167" s="59"/>
      <c r="J167" s="59"/>
      <c r="K167" s="57"/>
      <c r="L167" s="57"/>
      <c r="M167" s="57"/>
      <c r="N167" s="57"/>
      <c r="O167" s="36"/>
      <c r="P167" s="38"/>
      <c r="Q167" s="19"/>
      <c r="R167" s="6"/>
      <c r="S167" s="6"/>
      <c r="T167" s="6"/>
      <c r="U167" s="11"/>
      <c r="V167" s="11"/>
    </row>
    <row r="168" spans="1:22" s="9" customFormat="1" ht="12" customHeight="1">
      <c r="A168" s="5"/>
      <c r="B168" s="8"/>
      <c r="C168" s="291"/>
      <c r="E168" s="40"/>
      <c r="F168" s="41"/>
      <c r="G168" s="57"/>
      <c r="H168" s="57"/>
      <c r="I168" s="59"/>
      <c r="J168" s="59"/>
      <c r="K168" s="57"/>
      <c r="L168" s="57"/>
      <c r="M168" s="57"/>
      <c r="N168" s="57"/>
      <c r="O168" s="36"/>
      <c r="P168" s="38"/>
      <c r="Q168" s="19"/>
      <c r="R168" s="6"/>
      <c r="S168" s="6"/>
      <c r="T168" s="6"/>
      <c r="U168" s="11"/>
      <c r="V168" s="11"/>
    </row>
    <row r="169" spans="1:22" s="9" customFormat="1" ht="12" customHeight="1">
      <c r="A169" s="5"/>
      <c r="B169" s="8"/>
      <c r="C169" s="291"/>
      <c r="E169" s="40"/>
      <c r="F169" s="41"/>
      <c r="G169" s="57"/>
      <c r="H169" s="57"/>
      <c r="I169" s="59"/>
      <c r="J169" s="59"/>
      <c r="K169" s="57"/>
      <c r="L169" s="57"/>
      <c r="M169" s="57"/>
      <c r="N169" s="57"/>
      <c r="O169" s="36"/>
      <c r="P169" s="38"/>
      <c r="Q169" s="19"/>
      <c r="R169" s="6"/>
      <c r="S169" s="6"/>
      <c r="T169" s="6"/>
      <c r="U169" s="11"/>
      <c r="V169" s="11"/>
    </row>
    <row r="170" spans="1:22" s="45" customFormat="1" ht="29.25" customHeight="1">
      <c r="A170" s="10"/>
      <c r="B170" s="10"/>
      <c r="C170" s="291"/>
      <c r="E170" s="42"/>
      <c r="F170" s="41"/>
      <c r="G170" s="58"/>
      <c r="H170" s="58"/>
      <c r="I170" s="81"/>
      <c r="J170" s="81"/>
      <c r="K170" s="58"/>
      <c r="L170" s="58"/>
      <c r="M170" s="58"/>
      <c r="N170" s="58"/>
      <c r="O170" s="43"/>
      <c r="P170" s="19"/>
      <c r="Q170" s="19"/>
      <c r="R170" s="6"/>
      <c r="S170" s="6"/>
      <c r="T170" s="6"/>
      <c r="U170" s="44"/>
      <c r="V170" s="44"/>
    </row>
    <row r="171" spans="1:22" s="45" customFormat="1" ht="29.25" customHeight="1">
      <c r="A171" s="10"/>
      <c r="B171" s="10"/>
      <c r="C171" s="291"/>
      <c r="E171" s="42"/>
      <c r="F171" s="41"/>
      <c r="G171" s="58"/>
      <c r="H171" s="58"/>
      <c r="I171" s="81"/>
      <c r="J171" s="81"/>
      <c r="K171" s="58"/>
      <c r="L171" s="58"/>
      <c r="M171" s="58"/>
      <c r="N171" s="58"/>
      <c r="O171" s="43"/>
      <c r="P171" s="19"/>
      <c r="Q171" s="19"/>
      <c r="R171" s="6"/>
      <c r="S171" s="6"/>
      <c r="T171" s="6"/>
      <c r="U171" s="44"/>
      <c r="V171" s="44"/>
    </row>
    <row r="172" spans="1:22" s="9" customFormat="1" ht="12" customHeight="1">
      <c r="A172" s="5"/>
      <c r="B172" s="8"/>
      <c r="C172" s="291"/>
      <c r="E172" s="40"/>
      <c r="F172" s="8"/>
      <c r="G172" s="57"/>
      <c r="H172" s="57"/>
      <c r="I172" s="59"/>
      <c r="J172" s="59"/>
      <c r="K172" s="57"/>
      <c r="L172" s="57"/>
      <c r="M172" s="57"/>
      <c r="N172" s="57"/>
      <c r="O172" s="36"/>
      <c r="P172" s="38"/>
      <c r="Q172" s="19"/>
      <c r="R172" s="6"/>
      <c r="S172" s="6"/>
      <c r="T172" s="6"/>
      <c r="U172" s="11"/>
      <c r="V172" s="11"/>
    </row>
    <row r="173" spans="1:22" s="9" customFormat="1" ht="18" customHeight="1">
      <c r="A173" s="5"/>
      <c r="B173" s="8"/>
      <c r="C173" s="291"/>
      <c r="D173" s="5"/>
      <c r="E173" s="40"/>
      <c r="F173" s="8"/>
      <c r="G173" s="57"/>
      <c r="H173" s="57"/>
      <c r="I173" s="59"/>
      <c r="J173" s="59"/>
      <c r="K173" s="57"/>
      <c r="L173" s="57"/>
      <c r="M173" s="57"/>
      <c r="N173" s="57"/>
      <c r="O173" s="36"/>
      <c r="P173" s="38"/>
      <c r="Q173" s="19"/>
      <c r="R173" s="6"/>
      <c r="S173" s="6"/>
      <c r="T173" s="6"/>
      <c r="U173" s="11"/>
      <c r="V173" s="11"/>
    </row>
    <row r="174" spans="1:22" s="9" customFormat="1" ht="12" customHeight="1">
      <c r="A174" s="5"/>
      <c r="B174" s="8"/>
      <c r="C174" s="291"/>
      <c r="D174" s="5"/>
      <c r="E174" s="40"/>
      <c r="F174" s="8"/>
      <c r="G174" s="57"/>
      <c r="H174" s="57"/>
      <c r="I174" s="59"/>
      <c r="J174" s="59"/>
      <c r="K174" s="57"/>
      <c r="L174" s="57"/>
      <c r="M174" s="57"/>
      <c r="N174" s="57"/>
      <c r="O174" s="36"/>
      <c r="P174" s="38"/>
      <c r="Q174" s="19"/>
      <c r="R174" s="6"/>
      <c r="S174" s="6"/>
      <c r="T174" s="6"/>
      <c r="U174" s="11"/>
      <c r="V174" s="11"/>
    </row>
    <row r="175" spans="1:22" s="9" customFormat="1" ht="12" customHeight="1">
      <c r="A175" s="5"/>
      <c r="B175" s="8"/>
      <c r="C175" s="291"/>
      <c r="D175" s="5"/>
      <c r="E175" s="40"/>
      <c r="F175" s="8"/>
      <c r="G175" s="57"/>
      <c r="H175" s="57"/>
      <c r="I175" s="59"/>
      <c r="J175" s="59"/>
      <c r="K175" s="57"/>
      <c r="L175" s="57"/>
      <c r="M175" s="57"/>
      <c r="N175" s="57"/>
      <c r="O175" s="36"/>
      <c r="P175" s="38"/>
      <c r="Q175" s="19"/>
      <c r="R175" s="6"/>
      <c r="S175" s="6"/>
      <c r="T175" s="6"/>
      <c r="U175" s="11"/>
      <c r="V175" s="11"/>
    </row>
    <row r="176" spans="1:22" s="9" customFormat="1" ht="12" customHeight="1">
      <c r="A176" s="5"/>
      <c r="B176" s="8"/>
      <c r="C176" s="291"/>
      <c r="D176" s="5"/>
      <c r="E176" s="40"/>
      <c r="F176" s="8"/>
      <c r="G176" s="57"/>
      <c r="H176" s="57"/>
      <c r="I176" s="59"/>
      <c r="J176" s="59"/>
      <c r="K176" s="57"/>
      <c r="L176" s="57"/>
      <c r="M176" s="57"/>
      <c r="N176" s="57"/>
      <c r="O176" s="36"/>
      <c r="P176" s="38"/>
      <c r="Q176" s="19"/>
      <c r="R176" s="6"/>
      <c r="S176" s="6"/>
      <c r="T176" s="6"/>
      <c r="U176" s="11"/>
      <c r="V176" s="11"/>
    </row>
    <row r="177" spans="1:22" s="9" customFormat="1" ht="12" customHeight="1">
      <c r="A177" s="5"/>
      <c r="B177" s="8"/>
      <c r="C177" s="291"/>
      <c r="D177" s="5"/>
      <c r="E177" s="40"/>
      <c r="F177" s="8"/>
      <c r="G177" s="57"/>
      <c r="H177" s="57"/>
      <c r="I177" s="59"/>
      <c r="J177" s="59"/>
      <c r="K177" s="57"/>
      <c r="L177" s="57"/>
      <c r="M177" s="57"/>
      <c r="N177" s="57"/>
      <c r="O177" s="36"/>
      <c r="P177" s="38"/>
      <c r="Q177" s="19"/>
      <c r="R177" s="6"/>
      <c r="S177" s="6"/>
      <c r="T177" s="6"/>
      <c r="U177" s="11"/>
      <c r="V177" s="11"/>
    </row>
    <row r="178" spans="1:22" s="9" customFormat="1" ht="12" customHeight="1">
      <c r="A178" s="5"/>
      <c r="B178" s="8"/>
      <c r="C178" s="291"/>
      <c r="D178" s="5"/>
      <c r="E178" s="40"/>
      <c r="F178" s="8"/>
      <c r="G178" s="57"/>
      <c r="H178" s="57"/>
      <c r="I178" s="59"/>
      <c r="J178" s="59"/>
      <c r="K178" s="57"/>
      <c r="L178" s="57"/>
      <c r="M178" s="57"/>
      <c r="N178" s="57"/>
      <c r="O178" s="36"/>
      <c r="P178" s="38"/>
      <c r="Q178" s="19"/>
      <c r="R178" s="6"/>
      <c r="S178" s="6"/>
      <c r="T178" s="6"/>
      <c r="U178" s="11"/>
      <c r="V178" s="11"/>
    </row>
    <row r="179" spans="1:22" s="9" customFormat="1" ht="13.5" customHeight="1">
      <c r="A179" s="5"/>
      <c r="B179" s="8"/>
      <c r="C179" s="291"/>
      <c r="D179" s="5"/>
      <c r="E179" s="40"/>
      <c r="F179" s="8"/>
      <c r="G179" s="57"/>
      <c r="H179" s="57"/>
      <c r="I179" s="59"/>
      <c r="J179" s="59"/>
      <c r="K179" s="57"/>
      <c r="L179" s="57"/>
      <c r="M179" s="57"/>
      <c r="N179" s="57"/>
      <c r="O179" s="36"/>
      <c r="P179" s="38"/>
      <c r="Q179" s="19"/>
      <c r="R179" s="6"/>
      <c r="S179" s="6"/>
      <c r="T179" s="6"/>
      <c r="U179" s="11"/>
      <c r="V179" s="11"/>
    </row>
    <row r="180" spans="1:22" s="9" customFormat="1" ht="13.5" customHeight="1">
      <c r="A180" s="5"/>
      <c r="B180" s="8"/>
      <c r="C180" s="291"/>
      <c r="D180" s="5"/>
      <c r="E180" s="40"/>
      <c r="F180" s="8"/>
      <c r="G180" s="57"/>
      <c r="H180" s="57"/>
      <c r="I180" s="59"/>
      <c r="J180" s="59"/>
      <c r="K180" s="57"/>
      <c r="L180" s="57"/>
      <c r="M180" s="57"/>
      <c r="N180" s="57"/>
      <c r="O180" s="36"/>
      <c r="P180" s="38"/>
      <c r="Q180" s="19"/>
      <c r="R180" s="6"/>
      <c r="S180" s="6"/>
      <c r="T180" s="6"/>
      <c r="U180" s="11"/>
      <c r="V180" s="11"/>
    </row>
    <row r="181" spans="1:22" s="9" customFormat="1" ht="13.5" customHeight="1">
      <c r="A181" s="5"/>
      <c r="B181" s="8"/>
      <c r="C181" s="291"/>
      <c r="D181" s="5"/>
      <c r="E181" s="40"/>
      <c r="F181" s="8"/>
      <c r="G181" s="57"/>
      <c r="H181" s="57"/>
      <c r="I181" s="59"/>
      <c r="J181" s="59"/>
      <c r="K181" s="57"/>
      <c r="L181" s="57"/>
      <c r="M181" s="57"/>
      <c r="N181" s="57"/>
      <c r="O181" s="36"/>
      <c r="P181" s="38"/>
      <c r="Q181" s="19"/>
      <c r="R181" s="6"/>
      <c r="S181" s="6"/>
      <c r="T181" s="6"/>
      <c r="U181" s="11"/>
      <c r="V181" s="11"/>
    </row>
    <row r="182" spans="1:22" s="9" customFormat="1" ht="29.25" customHeight="1">
      <c r="A182" s="5"/>
      <c r="B182" s="8"/>
      <c r="C182" s="291"/>
      <c r="D182" s="5"/>
      <c r="E182" s="40"/>
      <c r="F182" s="8"/>
      <c r="G182" s="57"/>
      <c r="H182" s="57"/>
      <c r="I182" s="59"/>
      <c r="J182" s="59"/>
      <c r="K182" s="57"/>
      <c r="L182" s="57"/>
      <c r="M182" s="57"/>
      <c r="N182" s="57"/>
      <c r="O182" s="36"/>
      <c r="P182" s="38"/>
      <c r="Q182" s="19"/>
      <c r="R182" s="6"/>
      <c r="S182" s="6"/>
      <c r="T182" s="6"/>
      <c r="U182" s="11"/>
      <c r="V182" s="11"/>
    </row>
    <row r="183" spans="1:22" s="9" customFormat="1" ht="13.5" customHeight="1">
      <c r="A183" s="5"/>
      <c r="B183" s="8"/>
      <c r="C183" s="291"/>
      <c r="D183" s="5"/>
      <c r="E183" s="40"/>
      <c r="F183" s="8"/>
      <c r="G183" s="57"/>
      <c r="H183" s="57"/>
      <c r="I183" s="59"/>
      <c r="J183" s="59"/>
      <c r="K183" s="57"/>
      <c r="L183" s="57"/>
      <c r="M183" s="57"/>
      <c r="N183" s="57"/>
      <c r="O183" s="36"/>
      <c r="P183" s="38"/>
      <c r="Q183" s="19"/>
      <c r="R183" s="6"/>
      <c r="S183" s="6"/>
      <c r="T183" s="6"/>
      <c r="U183" s="11"/>
      <c r="V183" s="11"/>
    </row>
    <row r="184" spans="1:22" s="9" customFormat="1" ht="13.5" customHeight="1">
      <c r="A184" s="5"/>
      <c r="B184" s="8"/>
      <c r="C184" s="291"/>
      <c r="D184" s="5"/>
      <c r="E184" s="40"/>
      <c r="F184" s="8"/>
      <c r="G184" s="57"/>
      <c r="H184" s="57"/>
      <c r="I184" s="59"/>
      <c r="J184" s="59"/>
      <c r="K184" s="57"/>
      <c r="L184" s="57"/>
      <c r="M184" s="57"/>
      <c r="N184" s="57"/>
      <c r="O184" s="36"/>
      <c r="P184" s="38"/>
      <c r="Q184" s="19"/>
      <c r="R184" s="6"/>
      <c r="S184" s="6"/>
      <c r="T184" s="6"/>
      <c r="U184" s="11"/>
      <c r="V184" s="11"/>
    </row>
    <row r="185" spans="1:22" s="9" customFormat="1" ht="13.5" customHeight="1">
      <c r="A185" s="5"/>
      <c r="B185" s="8"/>
      <c r="C185" s="291"/>
      <c r="D185" s="5"/>
      <c r="E185" s="40"/>
      <c r="F185" s="8"/>
      <c r="G185" s="57"/>
      <c r="H185" s="57"/>
      <c r="I185" s="59"/>
      <c r="J185" s="59"/>
      <c r="K185" s="57"/>
      <c r="L185" s="57"/>
      <c r="M185" s="57"/>
      <c r="N185" s="57"/>
      <c r="O185" s="36"/>
      <c r="P185" s="38"/>
      <c r="Q185" s="19"/>
      <c r="R185" s="6"/>
      <c r="S185" s="6"/>
      <c r="T185" s="6"/>
      <c r="U185" s="11"/>
      <c r="V185" s="11"/>
    </row>
    <row r="186" spans="1:22" s="9" customFormat="1" ht="13.5" customHeight="1">
      <c r="A186" s="5"/>
      <c r="B186" s="8"/>
      <c r="C186" s="291"/>
      <c r="D186" s="5"/>
      <c r="E186" s="40"/>
      <c r="F186" s="8"/>
      <c r="G186" s="57"/>
      <c r="H186" s="57"/>
      <c r="I186" s="59"/>
      <c r="J186" s="59"/>
      <c r="K186" s="57"/>
      <c r="L186" s="57"/>
      <c r="M186" s="57"/>
      <c r="N186" s="57"/>
      <c r="O186" s="36"/>
      <c r="P186" s="38"/>
      <c r="Q186" s="19"/>
      <c r="R186" s="6"/>
      <c r="S186" s="6"/>
      <c r="T186" s="6"/>
      <c r="U186" s="11"/>
      <c r="V186" s="11"/>
    </row>
    <row r="187" spans="1:22" s="9" customFormat="1" ht="13.5" customHeight="1">
      <c r="A187" s="5"/>
      <c r="B187" s="8"/>
      <c r="C187" s="291"/>
      <c r="D187" s="5"/>
      <c r="E187" s="40"/>
      <c r="F187" s="8"/>
      <c r="G187" s="57"/>
      <c r="H187" s="57"/>
      <c r="I187" s="59"/>
      <c r="J187" s="59"/>
      <c r="K187" s="57"/>
      <c r="L187" s="57"/>
      <c r="M187" s="57"/>
      <c r="N187" s="57"/>
      <c r="O187" s="36"/>
      <c r="P187" s="38"/>
      <c r="Q187" s="19"/>
      <c r="R187" s="6"/>
      <c r="S187" s="6"/>
      <c r="T187" s="6"/>
      <c r="U187" s="11"/>
      <c r="V187" s="11"/>
    </row>
    <row r="188" spans="1:22" s="9" customFormat="1" ht="13.5" customHeight="1">
      <c r="A188" s="5"/>
      <c r="B188" s="8"/>
      <c r="C188" s="291"/>
      <c r="D188" s="5"/>
      <c r="E188" s="40"/>
      <c r="F188" s="8"/>
      <c r="G188" s="57"/>
      <c r="H188" s="57"/>
      <c r="I188" s="59"/>
      <c r="J188" s="59"/>
      <c r="K188" s="57"/>
      <c r="L188" s="57"/>
      <c r="M188" s="57"/>
      <c r="N188" s="57"/>
      <c r="O188" s="36"/>
      <c r="P188" s="38"/>
      <c r="Q188" s="19"/>
      <c r="R188" s="6"/>
      <c r="S188" s="6"/>
      <c r="T188" s="6"/>
      <c r="U188" s="11"/>
      <c r="V188" s="11"/>
    </row>
    <row r="189" spans="1:22" s="9" customFormat="1" ht="13.5" customHeight="1">
      <c r="A189" s="5"/>
      <c r="B189" s="8"/>
      <c r="C189" s="291"/>
      <c r="D189" s="5"/>
      <c r="E189" s="40"/>
      <c r="F189" s="8"/>
      <c r="G189" s="57"/>
      <c r="H189" s="57"/>
      <c r="I189" s="59"/>
      <c r="J189" s="59"/>
      <c r="K189" s="57"/>
      <c r="L189" s="57"/>
      <c r="M189" s="57"/>
      <c r="N189" s="57"/>
      <c r="O189" s="36"/>
      <c r="P189" s="38"/>
      <c r="Q189" s="19"/>
      <c r="R189" s="6"/>
      <c r="S189" s="6"/>
      <c r="T189" s="6"/>
      <c r="U189" s="11"/>
      <c r="V189" s="11"/>
    </row>
    <row r="190" spans="1:22" s="9" customFormat="1" ht="13.5" customHeight="1">
      <c r="A190" s="5"/>
      <c r="B190" s="8"/>
      <c r="C190" s="291"/>
      <c r="D190" s="5"/>
      <c r="E190" s="40"/>
      <c r="F190" s="8"/>
      <c r="G190" s="57"/>
      <c r="H190" s="57"/>
      <c r="I190" s="59"/>
      <c r="J190" s="59"/>
      <c r="K190" s="57"/>
      <c r="L190" s="57"/>
      <c r="M190" s="57"/>
      <c r="N190" s="57"/>
      <c r="O190" s="36"/>
      <c r="P190" s="38"/>
      <c r="Q190" s="19"/>
      <c r="R190" s="6"/>
      <c r="S190" s="6"/>
      <c r="T190" s="6"/>
      <c r="U190" s="11"/>
      <c r="V190" s="11"/>
    </row>
    <row r="191" spans="1:22" s="9" customFormat="1" ht="13.5" customHeight="1">
      <c r="A191" s="5"/>
      <c r="B191" s="8"/>
      <c r="C191" s="291"/>
      <c r="D191" s="5"/>
      <c r="E191" s="40"/>
      <c r="F191" s="8"/>
      <c r="G191" s="57"/>
      <c r="H191" s="57"/>
      <c r="I191" s="59"/>
      <c r="J191" s="59"/>
      <c r="K191" s="57"/>
      <c r="L191" s="57"/>
      <c r="M191" s="57"/>
      <c r="N191" s="57"/>
      <c r="O191" s="36"/>
      <c r="P191" s="38"/>
      <c r="Q191" s="19"/>
      <c r="R191" s="6"/>
      <c r="S191" s="6"/>
      <c r="T191" s="6"/>
      <c r="U191" s="11"/>
      <c r="V191" s="11"/>
    </row>
    <row r="192" spans="1:22" s="9" customFormat="1" ht="13.5" customHeight="1">
      <c r="A192" s="5"/>
      <c r="B192" s="8"/>
      <c r="C192" s="291"/>
      <c r="D192" s="5"/>
      <c r="E192" s="40"/>
      <c r="F192" s="8"/>
      <c r="G192" s="57"/>
      <c r="H192" s="57"/>
      <c r="I192" s="59"/>
      <c r="J192" s="59"/>
      <c r="K192" s="57"/>
      <c r="L192" s="57"/>
      <c r="M192" s="57"/>
      <c r="N192" s="57"/>
      <c r="O192" s="36"/>
      <c r="P192" s="38"/>
      <c r="Q192" s="19"/>
      <c r="R192" s="6"/>
      <c r="S192" s="6"/>
      <c r="T192" s="6"/>
      <c r="U192" s="11"/>
      <c r="V192" s="11"/>
    </row>
    <row r="193" spans="1:22" s="9" customFormat="1" ht="13.5" customHeight="1">
      <c r="A193" s="5"/>
      <c r="B193" s="8"/>
      <c r="C193" s="291"/>
      <c r="D193" s="5"/>
      <c r="E193" s="40"/>
      <c r="F193" s="8"/>
      <c r="G193" s="57"/>
      <c r="H193" s="57"/>
      <c r="I193" s="59"/>
      <c r="J193" s="59"/>
      <c r="K193" s="57"/>
      <c r="L193" s="57"/>
      <c r="M193" s="57"/>
      <c r="N193" s="57"/>
      <c r="O193" s="36"/>
      <c r="P193" s="38"/>
      <c r="Q193" s="19"/>
      <c r="R193" s="6"/>
      <c r="S193" s="6"/>
      <c r="T193" s="6"/>
      <c r="U193" s="11"/>
      <c r="V193" s="11"/>
    </row>
    <row r="194" spans="1:22" s="9" customFormat="1" ht="13.5" customHeight="1">
      <c r="A194" s="5"/>
      <c r="B194" s="8"/>
      <c r="C194" s="291"/>
      <c r="D194" s="5"/>
      <c r="E194" s="40"/>
      <c r="F194" s="8"/>
      <c r="G194" s="57"/>
      <c r="H194" s="57"/>
      <c r="I194" s="59"/>
      <c r="J194" s="59"/>
      <c r="K194" s="57"/>
      <c r="L194" s="57"/>
      <c r="M194" s="57"/>
      <c r="N194" s="57"/>
      <c r="O194" s="36"/>
      <c r="P194" s="38"/>
      <c r="Q194" s="19"/>
      <c r="R194" s="6"/>
      <c r="S194" s="6"/>
      <c r="T194" s="6"/>
      <c r="U194" s="11"/>
      <c r="V194" s="11"/>
    </row>
    <row r="195" spans="1:22" s="9" customFormat="1" ht="13.5" customHeight="1">
      <c r="A195" s="5"/>
      <c r="B195" s="8"/>
      <c r="C195" s="291"/>
      <c r="D195" s="5"/>
      <c r="E195" s="40"/>
      <c r="F195" s="8"/>
      <c r="G195" s="57"/>
      <c r="H195" s="57"/>
      <c r="I195" s="59"/>
      <c r="J195" s="59"/>
      <c r="K195" s="57"/>
      <c r="L195" s="57"/>
      <c r="M195" s="57"/>
      <c r="N195" s="57"/>
      <c r="O195" s="36"/>
      <c r="P195" s="38"/>
      <c r="Q195" s="19"/>
      <c r="R195" s="6"/>
      <c r="S195" s="6"/>
      <c r="T195" s="6"/>
      <c r="U195" s="11"/>
      <c r="V195" s="11"/>
    </row>
    <row r="196" spans="1:22" s="9" customFormat="1" ht="13.5" customHeight="1">
      <c r="A196" s="5"/>
      <c r="B196" s="8"/>
      <c r="C196" s="291"/>
      <c r="D196" s="5"/>
      <c r="E196" s="40"/>
      <c r="F196" s="8"/>
      <c r="G196" s="57"/>
      <c r="H196" s="57"/>
      <c r="I196" s="59"/>
      <c r="J196" s="59"/>
      <c r="K196" s="57"/>
      <c r="L196" s="57"/>
      <c r="M196" s="57"/>
      <c r="N196" s="57"/>
      <c r="O196" s="36"/>
      <c r="P196" s="38"/>
      <c r="Q196" s="19"/>
      <c r="R196" s="6"/>
      <c r="S196" s="6"/>
      <c r="T196" s="6"/>
      <c r="U196" s="11"/>
      <c r="V196" s="11"/>
    </row>
    <row r="197" spans="1:22" s="9" customFormat="1" ht="13.5" customHeight="1">
      <c r="A197" s="5"/>
      <c r="B197" s="8"/>
      <c r="C197" s="291"/>
      <c r="D197" s="5"/>
      <c r="E197" s="40"/>
      <c r="F197" s="8"/>
      <c r="G197" s="57"/>
      <c r="H197" s="57"/>
      <c r="I197" s="59"/>
      <c r="J197" s="59"/>
      <c r="K197" s="57"/>
      <c r="L197" s="57"/>
      <c r="M197" s="57"/>
      <c r="N197" s="57"/>
      <c r="O197" s="36"/>
      <c r="P197" s="38"/>
      <c r="Q197" s="19"/>
      <c r="R197" s="12"/>
      <c r="S197" s="12"/>
      <c r="T197" s="12"/>
      <c r="U197" s="11"/>
      <c r="V197" s="11"/>
    </row>
    <row r="198" spans="1:22" s="9" customFormat="1" ht="13.5" customHeight="1">
      <c r="A198" s="5"/>
      <c r="B198" s="8"/>
      <c r="C198" s="291"/>
      <c r="D198" s="5"/>
      <c r="E198" s="40"/>
      <c r="F198" s="8"/>
      <c r="G198" s="57"/>
      <c r="H198" s="57"/>
      <c r="I198" s="59"/>
      <c r="J198" s="59"/>
      <c r="K198" s="57"/>
      <c r="L198" s="57"/>
      <c r="M198" s="57"/>
      <c r="N198" s="57"/>
      <c r="O198" s="36"/>
      <c r="P198" s="38"/>
      <c r="Q198" s="19"/>
      <c r="R198" s="12"/>
      <c r="S198" s="12"/>
      <c r="T198" s="12"/>
      <c r="U198" s="11"/>
      <c r="V198" s="11"/>
    </row>
    <row r="199" spans="1:22" s="9" customFormat="1" ht="13.5" customHeight="1">
      <c r="A199" s="5"/>
      <c r="B199" s="8"/>
      <c r="C199" s="291"/>
      <c r="D199" s="5"/>
      <c r="E199" s="40"/>
      <c r="F199" s="8"/>
      <c r="G199" s="57"/>
      <c r="H199" s="57"/>
      <c r="I199" s="59"/>
      <c r="J199" s="59"/>
      <c r="K199" s="57"/>
      <c r="L199" s="57"/>
      <c r="M199" s="57"/>
      <c r="N199" s="57"/>
      <c r="O199" s="36"/>
      <c r="P199" s="38"/>
      <c r="Q199" s="19"/>
      <c r="R199" s="12"/>
      <c r="S199" s="12"/>
      <c r="T199" s="12"/>
      <c r="U199" s="11"/>
      <c r="V199" s="11"/>
    </row>
    <row r="200" spans="1:22" s="9" customFormat="1" ht="13.5" customHeight="1">
      <c r="A200" s="5"/>
      <c r="B200" s="8"/>
      <c r="C200" s="291"/>
      <c r="D200" s="5"/>
      <c r="E200" s="40"/>
      <c r="F200" s="8"/>
      <c r="G200" s="57"/>
      <c r="H200" s="57"/>
      <c r="I200" s="59"/>
      <c r="J200" s="59"/>
      <c r="K200" s="57"/>
      <c r="L200" s="57"/>
      <c r="M200" s="57"/>
      <c r="N200" s="57"/>
      <c r="O200" s="36"/>
      <c r="P200" s="38"/>
      <c r="Q200" s="19"/>
      <c r="R200" s="12"/>
      <c r="S200" s="12"/>
      <c r="T200" s="12"/>
      <c r="U200" s="11"/>
      <c r="V200" s="11"/>
    </row>
    <row r="201" spans="1:22" s="9" customFormat="1" ht="13.5" customHeight="1">
      <c r="A201" s="5"/>
      <c r="B201" s="8"/>
      <c r="C201" s="291"/>
      <c r="D201" s="5"/>
      <c r="E201" s="40"/>
      <c r="F201" s="8"/>
      <c r="G201" s="57"/>
      <c r="H201" s="57"/>
      <c r="I201" s="59"/>
      <c r="J201" s="59"/>
      <c r="K201" s="57"/>
      <c r="L201" s="57"/>
      <c r="M201" s="57"/>
      <c r="N201" s="57"/>
      <c r="O201" s="36"/>
      <c r="P201" s="38"/>
      <c r="Q201" s="19"/>
      <c r="R201" s="12"/>
      <c r="S201" s="12"/>
      <c r="T201" s="12"/>
      <c r="U201" s="11"/>
      <c r="V201" s="11"/>
    </row>
    <row r="202" spans="1:22" s="9" customFormat="1" ht="13.5" customHeight="1">
      <c r="A202" s="5"/>
      <c r="B202" s="8"/>
      <c r="C202" s="291"/>
      <c r="D202" s="5"/>
      <c r="E202" s="40"/>
      <c r="F202" s="8"/>
      <c r="G202" s="57"/>
      <c r="H202" s="57"/>
      <c r="I202" s="59"/>
      <c r="J202" s="59"/>
      <c r="K202" s="57"/>
      <c r="L202" s="57"/>
      <c r="M202" s="57"/>
      <c r="N202" s="57"/>
      <c r="O202" s="36"/>
      <c r="P202" s="38"/>
      <c r="Q202" s="19"/>
      <c r="R202" s="12"/>
      <c r="S202" s="12"/>
      <c r="T202" s="12"/>
      <c r="U202" s="11"/>
      <c r="V202" s="11"/>
    </row>
    <row r="203" spans="1:22" s="9" customFormat="1" ht="13.5" customHeight="1">
      <c r="A203" s="5"/>
      <c r="B203" s="8"/>
      <c r="C203" s="291"/>
      <c r="D203" s="5"/>
      <c r="E203" s="35"/>
      <c r="F203" s="8"/>
      <c r="G203" s="57"/>
      <c r="H203" s="57"/>
      <c r="I203" s="59"/>
      <c r="J203" s="59"/>
      <c r="K203" s="57"/>
      <c r="L203" s="57"/>
      <c r="M203" s="57"/>
      <c r="N203" s="57"/>
      <c r="O203" s="36"/>
      <c r="P203" s="38"/>
      <c r="Q203" s="19"/>
      <c r="R203" s="12"/>
      <c r="S203" s="12"/>
      <c r="T203" s="12"/>
      <c r="U203" s="11"/>
      <c r="V203" s="11"/>
    </row>
    <row r="204" spans="1:22" s="9" customFormat="1" ht="22.5" customHeight="1">
      <c r="A204" s="5"/>
      <c r="B204" s="434"/>
      <c r="C204" s="434"/>
      <c r="D204" s="434"/>
      <c r="E204" s="35"/>
      <c r="F204" s="8"/>
      <c r="G204" s="59"/>
      <c r="H204" s="59"/>
      <c r="I204" s="59"/>
      <c r="J204" s="82"/>
      <c r="K204" s="59"/>
      <c r="L204" s="59"/>
      <c r="M204" s="59"/>
      <c r="N204" s="59"/>
      <c r="O204" s="37"/>
      <c r="P204" s="46"/>
      <c r="Q204" s="74"/>
      <c r="R204" s="12"/>
      <c r="S204" s="12"/>
      <c r="T204" s="12"/>
      <c r="U204" s="11"/>
      <c r="V204" s="11"/>
    </row>
    <row r="205" spans="1:22">
      <c r="E205" s="48"/>
      <c r="G205" s="60"/>
      <c r="H205" s="60"/>
      <c r="K205" s="60"/>
      <c r="L205" s="60"/>
      <c r="M205" s="60"/>
      <c r="N205" s="60"/>
      <c r="O205" s="50"/>
    </row>
    <row r="206" spans="1:22">
      <c r="E206" s="48"/>
      <c r="G206" s="60"/>
      <c r="H206" s="60"/>
      <c r="K206" s="60"/>
      <c r="L206" s="60"/>
      <c r="M206" s="60"/>
      <c r="N206" s="60"/>
      <c r="O206" s="50"/>
    </row>
    <row r="207" spans="1:22">
      <c r="E207" s="48"/>
      <c r="G207" s="60"/>
      <c r="H207" s="60"/>
      <c r="K207" s="60"/>
      <c r="L207" s="60"/>
      <c r="M207" s="60"/>
      <c r="N207" s="60"/>
      <c r="O207" s="50"/>
    </row>
    <row r="208" spans="1:22">
      <c r="E208" s="48"/>
      <c r="G208" s="60"/>
      <c r="H208" s="60"/>
      <c r="K208" s="60"/>
      <c r="L208" s="60"/>
      <c r="M208" s="60"/>
      <c r="N208" s="60"/>
      <c r="O208" s="50"/>
    </row>
    <row r="209" spans="1:22">
      <c r="E209" s="48"/>
      <c r="G209" s="60"/>
      <c r="H209" s="60"/>
      <c r="K209" s="60"/>
      <c r="L209" s="60"/>
      <c r="M209" s="60"/>
      <c r="N209" s="60"/>
      <c r="O209" s="50"/>
    </row>
    <row r="210" spans="1:22" s="12" customFormat="1">
      <c r="A210" s="47"/>
      <c r="B210" s="47"/>
      <c r="C210" s="291"/>
      <c r="E210" s="48"/>
      <c r="F210" s="49"/>
      <c r="G210" s="60"/>
      <c r="H210" s="60"/>
      <c r="I210" s="61"/>
      <c r="J210" s="61"/>
      <c r="K210" s="60"/>
      <c r="L210" s="60"/>
      <c r="M210" s="60"/>
      <c r="N210" s="60"/>
      <c r="O210" s="50"/>
      <c r="P210" s="51"/>
      <c r="Q210" s="75"/>
      <c r="U210" s="13"/>
      <c r="V210" s="13"/>
    </row>
  </sheetData>
  <protectedRanges>
    <protectedRange sqref="K14:Q16 J14 J15:Q15 J18 J19:K19 J22 J23:K23 J26 J27:K27 J30 J31:K31 J32 J33:K33 J34 J35:K35 J36 J37:K37 J38 J39:K39 J40 J41:K41 J42 J43:K43 J44 J45:K45 J46 J47:K47 J48 J49:K49 J51:K51 J50 J52 J53:K53 J54 J55:K55 J56 J57:K57 J58 J59:K59 J60 J61:K61 J62 J63:K63 J64 J65:K65 J66 J67:K67 J68 J69:K69 J70 J71:K71 J72 J73:K73 J74 J75:K75 J143:K143 J159:K159 J160 J161:K161 J76:J106 C15:C17 D17 E16:E17 C19:D29 D30 C129:H129 J130:J142 C159:H159 E21:E121 D15:H15 C31:D121 J144:J158 J17:Q17 K18:Q20 J21:Q21 K22:Q24 J25:Q25 K26:Q28 J29:Q29 K30:Q106 J107:Q129 K130:Q161 F17:H17 G16:H16 F19:H19 G18:H18 F21:H21 G20:H20 F23:H23 G22:H22 F25:H25 G24:H24 F27:H27 G26:H26 F29:H29 G28:H28 F31:H31 G30:H30 F33:H33 G32:H32 F35:H35 G34:H34 F37:H37 G36:H36 F39:H39 G38:H38 F41:H41 G40:H40 F43:H43 G42:H42 F45:H45 G44:H44 F47:H47 G46:H46 F49:H49 G48:H48 F51:H51 G50:H50 F53:H53 G52:H52 F55:H55 G54:H54 F57:H57 G56:H56 F59:H59 G58:H58 F61:H61 G60:H60 F63:H63 G62:H62 F65:H65 G64:H64 F67:H67 G66:H66 F69:H69 G68:H68 F71:H71 G70:H70 F73:H73 G72:H72 F75:H75 G74:H74 F107:H107 G76:H106 C122:E128 G108:H128 C143:H143 C130:E142 G130:H142 D144:E158 G144:H158 C161:H161 C160:E160 G160:H160" name="범위1_1"/>
    <protectedRange sqref="J16 J24 J28 J20" name="범위1_1_1"/>
    <protectedRange sqref="C14:E14 G14:H14" name="범위1_1_2"/>
    <protectedRange sqref="E19 C18:D18" name="범위1_1_3"/>
    <protectedRange sqref="C30" name="범위1_1_4"/>
    <protectedRange sqref="C144:C156" name="범위1_1_8"/>
    <protectedRange sqref="C157:C158" name="범위1_1_4_1"/>
    <protectedRange sqref="F14" name="범위1_1_5"/>
    <protectedRange sqref="F16" name="범위1_1_6"/>
    <protectedRange sqref="F18" name="범위1_1_7"/>
    <protectedRange sqref="F20" name="범위1_1_9"/>
    <protectedRange sqref="F22" name="범위1_1_10"/>
    <protectedRange sqref="F24" name="범위1_1_11"/>
    <protectedRange sqref="F26" name="범위1_1_12"/>
    <protectedRange sqref="F28" name="범위1_1_13"/>
    <protectedRange sqref="F30" name="범위1_1_14"/>
    <protectedRange sqref="F32" name="범위1_1_15"/>
    <protectedRange sqref="F34" name="범위1_1_16"/>
    <protectedRange sqref="F36" name="범위1_1_17"/>
    <protectedRange sqref="F38" name="범위1_1_18"/>
    <protectedRange sqref="F40" name="범위1_1_19"/>
    <protectedRange sqref="F42" name="범위1_1_20"/>
    <protectedRange sqref="F44" name="범위1_1_21"/>
    <protectedRange sqref="F46" name="범위1_1_22"/>
    <protectedRange sqref="F48" name="범위1_1_24"/>
    <protectedRange sqref="F50" name="범위1_1_25"/>
    <protectedRange sqref="F52" name="범위1_1_26"/>
    <protectedRange sqref="F54" name="범위1_1_27"/>
    <protectedRange sqref="F56" name="범위1_1_28"/>
    <protectedRange sqref="F58" name="범위1_1_29"/>
    <protectedRange sqref="F60" name="범위1_1_30"/>
    <protectedRange sqref="F62" name="범위1_1_31"/>
    <protectedRange sqref="F64" name="범위1_1_32"/>
    <protectedRange sqref="F66" name="범위1_1_33"/>
    <protectedRange sqref="F68" name="범위1_1_34"/>
    <protectedRange sqref="F70" name="범위1_1_35"/>
    <protectedRange sqref="F72" name="범위1_1_36"/>
    <protectedRange sqref="F74" name="범위1_1_37"/>
    <protectedRange sqref="F76:F106 F108:F128 F130:F142 F144:F158 F160" name="범위1_1_38"/>
  </protectedRanges>
  <autoFilter ref="A12:Q162" xr:uid="{5130C8DA-37B6-4ABC-B373-7F648E58E971}">
    <filterColumn colId="4" showButton="0"/>
    <filterColumn colId="6" showButton="0"/>
    <filterColumn colId="7" showButton="0"/>
    <filterColumn colId="8" showButton="0"/>
  </autoFilter>
  <mergeCells count="16">
    <mergeCell ref="Q12:Q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M12:M13"/>
    <mergeCell ref="A162:D162"/>
    <mergeCell ref="B204:D204"/>
    <mergeCell ref="N12:N13"/>
    <mergeCell ref="O12:O13"/>
    <mergeCell ref="P12:P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4" fitToHeight="0" orientation="landscape" horizontalDpi="1200" verticalDpi="1200" r:id="rId1"/>
  <headerFooter alignWithMargins="0">
    <oddFooter xml:space="preserve">&amp;C&amp;"Calibri,보통"&amp;12Doosan Enerbility&amp;R_x000D_&amp;1#&amp;"Aptos"&amp;8&amp;K000000 중요비(Confidential): kichul.jang@doosan.com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dimension ref="A1:AC32"/>
  <sheetViews>
    <sheetView showGridLines="0" view="pageBreakPreview" zoomScale="60" zoomScaleNormal="100" workbookViewId="0">
      <selection activeCell="G26" sqref="G26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PL'!D14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PL'!C14</f>
        <v>PGU-DE-0220-DCS-CBN-001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PGU-DE-0220-DCS-CBN-001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PL'!L14</f>
        <v>1044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1044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PL'!M14</f>
        <v>1269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1269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E31:K32"/>
    <mergeCell ref="P1:AC1"/>
    <mergeCell ref="T31:Z32"/>
    <mergeCell ref="G29:M30"/>
    <mergeCell ref="V29:AC29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D5E0-A62C-4534-98F2-ED9DF15B0CEA}">
  <dimension ref="A1:AC32"/>
  <sheetViews>
    <sheetView showGridLines="0" view="pageBreakPreview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PL'!D15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PL'!C15</f>
        <v>PGU-DE-0220-DCS-CBN-002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PGU-DE-0220-DCS-CBN-002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PL'!L15</f>
        <v>1042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1042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PL'!M15</f>
        <v>1267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1267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2AE0-1DE4-41DB-8FA4-99FF92B5C118}">
  <dimension ref="A1:AC32"/>
  <sheetViews>
    <sheetView showGridLines="0" view="pageBreakPreview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PL'!D16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PL'!C16</f>
        <v>PGU-DE-0220-DCS-CBN-003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PGU-DE-0220-DCS-CBN-003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PL'!L16</f>
        <v>1018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1018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PL'!M16</f>
        <v>1243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1243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9076-2FDD-4724-A19A-5F06E0945F4A}">
  <dimension ref="A1:AC32"/>
  <sheetViews>
    <sheetView showGridLines="0" view="pageBreakPreview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PL'!D17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PL'!C17</f>
        <v>PGU-DE-0220-DCS-CBN-004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PGU-DE-0220-DCS-CBN-004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PL'!L17</f>
        <v>1047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1047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PL'!M17</f>
        <v>1272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1272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23AF-4BFC-4085-823D-B068DD95C74B}">
  <dimension ref="A1:AC32"/>
  <sheetViews>
    <sheetView showGridLines="0" view="pageBreakPreview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PL'!D18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PL'!C18</f>
        <v>PGU-DE-0220-DCS-CBN-005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PGU-DE-0220-DCS-CBN-005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PL'!L18</f>
        <v>1010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1010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PL'!M18</f>
        <v>1235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1235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3F3E-1576-4441-A93D-351CED8FA134}">
  <dimension ref="A1:AC32"/>
  <sheetViews>
    <sheetView showGridLines="0" view="pageBreakPreview" zoomScale="60" zoomScaleNormal="100" workbookViewId="0">
      <selection activeCell="G23" sqref="G23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PL'!D19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PL'!C19</f>
        <v>PGU-DE-0220-DCS-CBN-006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PGU-DE-0220-DCS-CBN-006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PL'!L19</f>
        <v>1014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1014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PL'!M19</f>
        <v>1239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1239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C8D8-C547-4CD5-9BA6-FBE06EBD54E3}">
  <dimension ref="A1:AC32"/>
  <sheetViews>
    <sheetView showGridLines="0" view="pageBreakPreview" zoomScale="60" zoomScaleNormal="100" workbookViewId="0">
      <selection activeCell="G23" sqref="G23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PL'!D20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PL'!C20</f>
        <v>PGU-DE-0220-DCS-CBN-007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PGU-DE-0220-DCS-CBN-007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PL'!L20</f>
        <v>1015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1015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PL'!M20</f>
        <v>1240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1240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39D-2392-4496-B6F5-A49DDA2C4298}">
  <dimension ref="A1:AC32"/>
  <sheetViews>
    <sheetView showGridLines="0" view="pageBreakPreview" zoomScale="60" zoomScaleNormal="100" workbookViewId="0">
      <selection activeCell="G23" sqref="G23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PL'!D21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PL'!C21</f>
        <v>PGU-DE-0220-DCS-CBN-008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PGU-DE-0220-DCS-CBN-008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PL'!L21</f>
        <v>990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990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PL'!M21</f>
        <v>1215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1215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PL'!K14</f>
        <v>7.4640000000000004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7.4640000000000004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85DE-13E1-432D-B57A-D8CFC624605A}">
  <dimension ref="A1:AC32"/>
  <sheetViews>
    <sheetView showGridLines="0" view="pageBreakPreview" topLeftCell="A5" zoomScale="60" zoomScaleNormal="100" workbookViewId="0">
      <selection activeCell="G23" sqref="G23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PL'!D22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PL'!C22</f>
        <v>PGU-DE-0220-DCS-CBN-009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PGU-DE-0220-DCS-CBN-009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PL'!L22</f>
        <v>681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681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PL'!M22</f>
        <v>841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841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PL'!K22</f>
        <v>5.1550000000000002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5.1550000000000002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713E-F7FB-4637-B795-8E174C003011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PL'!D23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PL'!C23</f>
        <v>PGU-DE-0220-DCS-CBN-010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PGU-DE-0220-DCS-CBN-010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PL'!L23</f>
        <v>675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675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PL'!M23</f>
        <v>835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835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PL'!K22</f>
        <v>5.1550000000000002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5.1550000000000002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CFE8-B4A0-4ACF-9EB4-A73A96DC5DB6}">
  <dimension ref="A1:AC32"/>
  <sheetViews>
    <sheetView showGridLines="0" view="pageBreakPreview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PL'!D24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PL'!C24</f>
        <v>PGU-DE-0220-DCS-CBN-011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PGU-DE-0220-DCS-CBN-011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PL'!L24</f>
        <v>707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707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PL'!M24</f>
        <v>867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867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PL'!K22</f>
        <v>5.1550000000000002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5.1550000000000002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9743-7FE5-4D19-96D6-44FB0CAC8D72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PL'!D25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PL'!C25</f>
        <v>PGU-DE-0220-DCS-CBN-012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PGU-DE-0220-DCS-CBN-012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PL'!L25</f>
        <v>687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687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PL'!M25</f>
        <v>847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847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PL'!K22</f>
        <v>5.1550000000000002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5.1550000000000002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E2A2-F418-43B4-996A-8B16BA580CF2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PL'!D26</f>
        <v>Power Distribution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Power Distribution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PL'!C26</f>
        <v>PGU-DE-0220-DCS-CBN-013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PGU-DE-0220-DCS-CBN-013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PL'!L26</f>
        <v>300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300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PL'!M26</f>
        <v>370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370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PL'!K26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DFD3-1933-48B6-9223-0C348E507952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PL'!D27</f>
        <v>Power Distribution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Power Distribution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PL'!C27</f>
        <v>PGU-DE-0220-DCS-CBN-014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PGU-DE-0220-DCS-CBN-014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PL'!L27</f>
        <v>297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297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PL'!M27</f>
        <v>367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367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PL'!K27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9B20-4AB1-43F3-A5F6-CF2644B55A03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PL'!D28</f>
        <v>Power Distribution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Power Distribution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PL'!C28</f>
        <v>PGU-DE-0220-DCS-CBN-015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PGU-DE-0220-DCS-CBN-015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PL'!L28</f>
        <v>306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306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PL'!M28</f>
        <v>376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376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PL'!K28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B626-2274-47F7-8C57-C98E012890A8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PL'!D29</f>
        <v>Power Distribution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Power Distribution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PL'!C29</f>
        <v>PGU-DE-0220-DCS-CBN-016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PGU-DE-0220-DCS-CBN-016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PL'!L29</f>
        <v>295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295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PL'!M29</f>
        <v>365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365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PL'!K29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B74A-791A-4911-A640-0CB7563990B2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PL'!D30</f>
        <v>Power Distribution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Power Distribution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PL'!C30</f>
        <v>PGU-DE-0220-DCS-CBN-017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PGU-DE-0220-DCS-CBN-017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PL'!L30</f>
        <v>306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306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PL'!M30</f>
        <v>376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376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PL'!K30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DE1A-CFA0-4C5F-BB8F-4E7C4AD67FCA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PL'!D31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PL'!C31</f>
        <v>PGU-DE-0220-DCS-CBN-018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PGU-DE-0220-DCS-CBN-018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PL'!L31</f>
        <v>303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303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PL'!M31</f>
        <v>373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373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PL'!K31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3877-C956-465F-A12A-B2D8DC6DB7B9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PL'!D32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PL'!C32</f>
        <v>PGU-DE-0220-DCS-CBN-019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PGU-DE-0220-DCS-CBN-019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PL'!L32</f>
        <v>295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295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PL'!M32</f>
        <v>365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365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PL'!K32</f>
        <v>2.3319999999999999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59B8-7F65-4B07-ADEE-577074625754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PL'!D33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PL'!C33</f>
        <v>PGU-DE-0220-DCS-CBN-020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PGU-DE-0220-DCS-CBN-020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PL'!L33</f>
        <v>350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350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PL'!M33</f>
        <v>440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440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PL'!K33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C04D-F315-478E-B27A-130A03F830EF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PL'!D34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PL'!C34</f>
        <v>PGU-DE-0220-DCS-CBN-021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PGU-DE-0220-DCS-CBN-021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PL'!L34</f>
        <v>345.1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345.1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PL'!M34</f>
        <v>435.1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435.1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PL'!K34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8549-C519-4A6C-B55D-07222277DEA7}">
  <dimension ref="A1:AC32"/>
  <sheetViews>
    <sheetView showGridLines="0" view="pageBreakPreview" topLeftCell="A4" zoomScale="60" zoomScaleNormal="100" workbookViewId="0">
      <selection activeCell="V48" sqref="V48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PL'!D35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PL'!C35</f>
        <v>PGU-DE-0220-DCS-CBN-022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PGU-DE-0220-DCS-CBN-022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PL'!L35</f>
        <v>340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340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PL'!M35</f>
        <v>430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430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PL'!K35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6EB5-96E1-4CD9-8D00-E4BD4CF0D8EC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PL'!D36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PL'!C36</f>
        <v>PGU-DE-0220-DCS-CBN-023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PGU-DE-0220-DCS-CBN-023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PL'!L36</f>
        <v>345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345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PL'!M36</f>
        <v>435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435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PL'!K36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0571-2292-450F-9B1F-2A240055A4C0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PL'!D37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PL'!C37</f>
        <v>PGU-DE-0220-DCS-CBN-024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PGU-DE-0220-DCS-CBN-024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PL'!L37</f>
        <v>342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342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PL'!M37</f>
        <v>432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432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PL'!K37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6BC9-CDF5-417C-8351-BCBD85FE55F7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PL'!D38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PL'!C38</f>
        <v>PGU-DE-0220-DCS-CBN-025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PGU-DE-0220-DCS-CBN-025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PL'!L38</f>
        <v>319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319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PL'!M38</f>
        <v>409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409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PL'!K38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4A64-F456-4272-8DC5-AC8B6D768D24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PL'!D39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PL'!C39</f>
        <v>PGU-DE-0220-DCS-CBN-026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PGU-DE-0220-DCS-CBN-026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PL'!L39</f>
        <v>404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404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PL'!M39</f>
        <v>494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494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PL'!K39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5FBD-E9C0-4C6A-94EA-F26FF50719DF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PL'!D40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PL'!C40</f>
        <v>PGU-DE-0220-DCS-CBN-027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PGU-DE-0220-DCS-CBN-027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PL'!L40</f>
        <v>390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390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PL'!M40</f>
        <v>480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480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PL'!K40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CC44-64FA-4BD0-A6FC-EF133AB51317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PL'!D41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PL'!C41</f>
        <v>PGU-DE-0220-DCS-CBN-028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PGU-DE-0220-DCS-CBN-028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PL'!L41</f>
        <v>386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386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PL'!M41</f>
        <v>476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476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PL'!K41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D404-0FDF-4F16-ABF8-55EE1872DDAB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PL'!D42</f>
        <v>DCS Cabinet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DCS Cabinet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PL'!C42</f>
        <v>PGU-DE-0220-DCS-CBN-029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PGU-DE-0220-DCS-CBN-029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PL'!L42</f>
        <v>373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373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PL'!M42</f>
        <v>463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463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PL'!K42</f>
        <v>2.9039999999999999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2.9039999999999999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3620-8A23-4299-8602-90F987F00FC6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PL'!D43</f>
        <v>Ground Boxes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Ground Boxes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PL'!C43</f>
        <v>PGU-DE-0220-DCS-CBN-030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PGU-DE-0220-DCS-CBN-030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PL'!L43</f>
        <v>150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150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PL'!M43</f>
        <v>200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200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PL'!K43</f>
        <v>1.512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1.512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BE6-87F5-43A5-83A1-6F8CE6332D1F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PL'!D44</f>
        <v>Workstation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Workstation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PL'!C44</f>
        <v>PGU-DE-0220-DCS-CBN-031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PGU-DE-0220-DCS-CBN-031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PL'!L44</f>
        <v>140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140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PL'!M44</f>
        <v>200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200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PL'!K44</f>
        <v>1.6779999999999999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1.6779999999999999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94A3-A49E-4726-A6F7-92BB91BC48A6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PL'!D45</f>
        <v>Spare Part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Spare Part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PL'!C45</f>
        <v>PGU-DE-0220-DCS-CBN-032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PGU-DE-0220-DCS-CBN-032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PL'!L45</f>
        <v>120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120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PL'!M45</f>
        <v>180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180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PL'!K45</f>
        <v>1.7549999999999999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1.7549999999999999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6CB3-8029-40EF-8932-5184BE9EF743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PL'!D46</f>
        <v>Control Equipment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Control Equipment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PL'!C46</f>
        <v>PGU-DE-0220-DCS-CBN-033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PGU-DE-0220-DCS-CBN-033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PL'!L46</f>
        <v>120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120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PL'!M46</f>
        <v>290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290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PL'!K46</f>
        <v>4.3319999999999999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4.3319999999999999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7005-79B0-4944-959D-4F7168BCC979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PL'!D47</f>
        <v>Control Equipment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Control Equipment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PL'!C47</f>
        <v>PGU-DE-0220-DCS-CBN-034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PGU-DE-0220-DCS-CBN-034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PL'!L47</f>
        <v>120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120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PL'!M47</f>
        <v>180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180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PL'!K47</f>
        <v>1.7549999999999999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1.7549999999999999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258A-E831-450C-B11A-32C735E6A226}">
  <dimension ref="A1:AC32"/>
  <sheetViews>
    <sheetView showGridLines="0" view="pageBreakPreview" topLeftCell="A4" zoomScale="60" zoomScaleNormal="100" workbookViewId="0">
      <selection activeCell="V15" sqref="V15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PL'!D48</f>
        <v>Control Equipment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Control Equipment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PL'!C48</f>
        <v>PGU-DE-0220-DCS-CBN-035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PGU-DE-0220-DCS-CBN-035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PL'!L48</f>
        <v>120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120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PL'!M48</f>
        <v>180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180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PL'!K48</f>
        <v>1.7549999999999999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1.7549999999999999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D250-A612-4916-A46B-274F72F2175C}">
  <dimension ref="A1:AC32"/>
  <sheetViews>
    <sheetView showGridLines="0" view="pageBreakPreview" zoomScale="60" zoomScaleNormal="100" workbookViewId="0">
      <selection activeCell="K19" sqref="K19"/>
    </sheetView>
  </sheetViews>
  <sheetFormatPr defaultColWidth="9" defaultRowHeight="21"/>
  <cols>
    <col min="1" max="1" width="12.59765625" style="87" customWidth="1"/>
    <col min="2" max="3" width="9" style="87"/>
    <col min="4" max="4" width="1.8984375" style="87" customWidth="1"/>
    <col min="5" max="5" width="9" style="87"/>
    <col min="6" max="6" width="2.3984375" style="88" customWidth="1"/>
    <col min="7" max="7" width="16.8984375" style="88" customWidth="1"/>
    <col min="8" max="8" width="9" style="88" customWidth="1"/>
    <col min="9" max="9" width="12.09765625" style="88" bestFit="1" customWidth="1"/>
    <col min="10" max="10" width="9" style="88" customWidth="1"/>
    <col min="11" max="11" width="14.5" style="88" bestFit="1" customWidth="1"/>
    <col min="12" max="13" width="9" style="88"/>
    <col min="14" max="14" width="5.8984375" style="88" customWidth="1"/>
    <col min="15" max="15" width="3.59765625" style="2" customWidth="1"/>
    <col min="16" max="16" width="12.59765625" style="87" customWidth="1"/>
    <col min="17" max="18" width="9" style="87"/>
    <col min="19" max="19" width="1.8984375" style="87" customWidth="1"/>
    <col min="20" max="20" width="9" style="87"/>
    <col min="21" max="21" width="2.3984375" style="88" customWidth="1"/>
    <col min="22" max="22" width="16.8984375" style="88" customWidth="1"/>
    <col min="23" max="23" width="9" style="88"/>
    <col min="24" max="24" width="12.09765625" style="88" bestFit="1" customWidth="1"/>
    <col min="25" max="25" width="9" style="88"/>
    <col min="26" max="26" width="14.5" style="88" bestFit="1" customWidth="1"/>
    <col min="27" max="28" width="9" style="88"/>
    <col min="29" max="29" width="2.59765625" style="88" customWidth="1"/>
    <col min="30" max="30" width="3.59765625" style="2" customWidth="1"/>
    <col min="31" max="16384" width="9" style="2"/>
  </cols>
  <sheetData>
    <row r="1" spans="1:29" ht="95.1" customHeight="1" thickBot="1">
      <c r="A1" s="465" t="s">
        <v>327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7"/>
      <c r="O1" s="135"/>
      <c r="P1" s="465" t="s">
        <v>327</v>
      </c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7"/>
    </row>
    <row r="2" spans="1:29" s="3" customFormat="1" ht="37.5" customHeight="1">
      <c r="A2" s="99" t="s">
        <v>328</v>
      </c>
      <c r="B2" s="126"/>
      <c r="C2" s="126"/>
      <c r="D2" s="87"/>
      <c r="E2" s="87"/>
      <c r="F2" s="127" t="s">
        <v>329</v>
      </c>
      <c r="G2" s="127" t="s">
        <v>330</v>
      </c>
      <c r="H2" s="127"/>
      <c r="I2" s="127"/>
      <c r="J2" s="127"/>
      <c r="K2" s="127"/>
      <c r="L2" s="127"/>
      <c r="M2" s="127"/>
      <c r="N2" s="105"/>
      <c r="O2" s="136"/>
      <c r="P2" s="99" t="s">
        <v>328</v>
      </c>
      <c r="Q2" s="126"/>
      <c r="R2" s="126"/>
      <c r="S2" s="87"/>
      <c r="T2" s="87"/>
      <c r="U2" s="127" t="s">
        <v>329</v>
      </c>
      <c r="V2" s="127" t="s">
        <v>330</v>
      </c>
      <c r="W2" s="127"/>
      <c r="X2" s="127"/>
      <c r="Y2" s="127"/>
      <c r="Z2" s="127"/>
      <c r="AA2" s="127"/>
      <c r="AB2" s="127"/>
      <c r="AC2" s="105"/>
    </row>
    <row r="3" spans="1:29" s="4" customFormat="1" ht="25.2">
      <c r="A3" s="89" t="s">
        <v>331</v>
      </c>
      <c r="B3" s="87"/>
      <c r="C3" s="87"/>
      <c r="D3" s="87"/>
      <c r="E3" s="87"/>
      <c r="F3" s="127"/>
      <c r="G3" s="127" t="s">
        <v>332</v>
      </c>
      <c r="H3" s="127"/>
      <c r="I3" s="127"/>
      <c r="J3" s="127"/>
      <c r="K3" s="127"/>
      <c r="L3" s="127"/>
      <c r="M3" s="127"/>
      <c r="N3" s="105"/>
      <c r="P3" s="89" t="s">
        <v>331</v>
      </c>
      <c r="Q3" s="87"/>
      <c r="R3" s="87"/>
      <c r="S3" s="87"/>
      <c r="T3" s="87"/>
      <c r="U3" s="127"/>
      <c r="V3" s="127" t="s">
        <v>332</v>
      </c>
      <c r="W3" s="127"/>
      <c r="X3" s="127"/>
      <c r="Y3" s="127"/>
      <c r="Z3" s="127"/>
      <c r="AA3" s="127"/>
      <c r="AB3" s="127"/>
      <c r="AC3" s="105"/>
    </row>
    <row r="4" spans="1:29" s="3" customFormat="1" ht="10.35" customHeight="1">
      <c r="A4" s="89"/>
      <c r="B4" s="87"/>
      <c r="C4" s="87"/>
      <c r="D4" s="87"/>
      <c r="E4" s="87"/>
      <c r="F4" s="127"/>
      <c r="G4" s="87"/>
      <c r="H4" s="87"/>
      <c r="I4" s="87"/>
      <c r="J4" s="87"/>
      <c r="K4" s="87"/>
      <c r="L4" s="87"/>
      <c r="M4" s="87"/>
      <c r="N4" s="90"/>
      <c r="P4" s="89"/>
      <c r="Q4" s="87"/>
      <c r="R4" s="87"/>
      <c r="S4" s="87"/>
      <c r="T4" s="87"/>
      <c r="U4" s="127"/>
      <c r="V4" s="87"/>
      <c r="W4" s="87"/>
      <c r="X4" s="87"/>
      <c r="Y4" s="87"/>
      <c r="Z4" s="87"/>
      <c r="AA4" s="87"/>
      <c r="AB4" s="87"/>
      <c r="AC4" s="90"/>
    </row>
    <row r="5" spans="1:29" s="213" customFormat="1" ht="42.75" customHeight="1">
      <c r="A5" s="209" t="s">
        <v>333</v>
      </c>
      <c r="B5" s="210"/>
      <c r="C5" s="210"/>
      <c r="D5" s="210"/>
      <c r="E5" s="210"/>
      <c r="F5" s="211" t="s">
        <v>329</v>
      </c>
      <c r="G5" s="211" t="str">
        <f>CI!B13</f>
        <v>Branch of JSC "Doosan Enerbility" in the Turkestan region</v>
      </c>
      <c r="H5" s="210"/>
      <c r="I5" s="210"/>
      <c r="J5" s="210"/>
      <c r="K5" s="210"/>
      <c r="L5" s="210"/>
      <c r="M5" s="210"/>
      <c r="N5" s="212"/>
      <c r="P5" s="209" t="s">
        <v>333</v>
      </c>
      <c r="Q5" s="210"/>
      <c r="R5" s="210"/>
      <c r="S5" s="210"/>
      <c r="T5" s="210"/>
      <c r="U5" s="211" t="s">
        <v>329</v>
      </c>
      <c r="V5" s="211" t="str">
        <f>G5</f>
        <v>Branch of JSC "Doosan Enerbility" in the Turkestan region</v>
      </c>
      <c r="W5" s="210"/>
      <c r="X5" s="210"/>
      <c r="Y5" s="210"/>
      <c r="Z5" s="210"/>
      <c r="AA5" s="210"/>
      <c r="AB5" s="210"/>
      <c r="AC5" s="212"/>
    </row>
    <row r="6" spans="1:29" s="215" customFormat="1" ht="25.2">
      <c r="A6" s="209" t="s">
        <v>334</v>
      </c>
      <c r="B6" s="210"/>
      <c r="C6" s="210"/>
      <c r="D6" s="210"/>
      <c r="E6" s="210"/>
      <c r="F6" s="214"/>
      <c r="G6" s="211"/>
      <c r="H6" s="210"/>
      <c r="I6" s="210"/>
      <c r="J6" s="210"/>
      <c r="K6" s="210"/>
      <c r="L6" s="210"/>
      <c r="M6" s="210"/>
      <c r="N6" s="212"/>
      <c r="P6" s="209" t="s">
        <v>334</v>
      </c>
      <c r="Q6" s="210"/>
      <c r="R6" s="210"/>
      <c r="S6" s="210"/>
      <c r="T6" s="210"/>
      <c r="U6" s="214"/>
      <c r="V6" s="211"/>
      <c r="W6" s="210"/>
      <c r="X6" s="210"/>
      <c r="Y6" s="210"/>
      <c r="Z6" s="210"/>
      <c r="AA6" s="210"/>
      <c r="AB6" s="210"/>
      <c r="AC6" s="212"/>
    </row>
    <row r="7" spans="1:29" s="3" customFormat="1" ht="10.35" customHeight="1">
      <c r="A7" s="89"/>
      <c r="B7" s="87"/>
      <c r="C7" s="87"/>
      <c r="D7" s="87"/>
      <c r="E7" s="87"/>
      <c r="F7" s="128"/>
      <c r="G7" s="128"/>
      <c r="H7" s="87"/>
      <c r="I7" s="87"/>
      <c r="J7" s="87"/>
      <c r="K7" s="87"/>
      <c r="L7" s="87"/>
      <c r="M7" s="87"/>
      <c r="N7" s="90"/>
      <c r="P7" s="89"/>
      <c r="Q7" s="87"/>
      <c r="R7" s="87"/>
      <c r="S7" s="87"/>
      <c r="T7" s="87"/>
      <c r="U7" s="128"/>
      <c r="V7" s="128"/>
      <c r="W7" s="87"/>
      <c r="X7" s="87"/>
      <c r="Y7" s="87"/>
      <c r="Z7" s="87"/>
      <c r="AA7" s="87"/>
      <c r="AB7" s="87"/>
      <c r="AC7" s="90"/>
    </row>
    <row r="8" spans="1:29" s="3" customFormat="1" ht="25.2">
      <c r="A8" s="89" t="s">
        <v>335</v>
      </c>
      <c r="B8" s="87"/>
      <c r="C8" s="87"/>
      <c r="D8" s="87"/>
      <c r="E8" s="87"/>
      <c r="F8" s="127" t="s">
        <v>336</v>
      </c>
      <c r="G8" s="87"/>
      <c r="H8" s="87"/>
      <c r="I8" s="87"/>
      <c r="J8" s="87"/>
      <c r="K8" s="87"/>
      <c r="L8" s="87"/>
      <c r="M8" s="87"/>
      <c r="N8" s="90"/>
      <c r="P8" s="89" t="s">
        <v>335</v>
      </c>
      <c r="Q8" s="87"/>
      <c r="R8" s="87"/>
      <c r="S8" s="87"/>
      <c r="T8" s="87"/>
      <c r="U8" s="127" t="s">
        <v>336</v>
      </c>
      <c r="V8" s="87"/>
      <c r="W8" s="87"/>
      <c r="X8" s="87"/>
      <c r="Y8" s="87"/>
      <c r="Z8" s="87"/>
      <c r="AA8" s="87"/>
      <c r="AB8" s="87"/>
      <c r="AC8" s="90"/>
    </row>
    <row r="9" spans="1:29" s="4" customFormat="1" ht="25.2">
      <c r="A9" s="89" t="s">
        <v>337</v>
      </c>
      <c r="B9" s="87"/>
      <c r="C9" s="87"/>
      <c r="D9" s="87"/>
      <c r="E9" s="87"/>
      <c r="F9" s="127" t="s">
        <v>338</v>
      </c>
      <c r="G9" s="87"/>
      <c r="H9" s="87"/>
      <c r="I9" s="87"/>
      <c r="J9" s="87"/>
      <c r="K9" s="87"/>
      <c r="L9" s="87"/>
      <c r="M9" s="87"/>
      <c r="N9" s="90"/>
      <c r="P9" s="89" t="s">
        <v>337</v>
      </c>
      <c r="Q9" s="87"/>
      <c r="R9" s="87"/>
      <c r="S9" s="87"/>
      <c r="T9" s="87"/>
      <c r="U9" s="127" t="s">
        <v>338</v>
      </c>
      <c r="V9" s="87"/>
      <c r="W9" s="87"/>
      <c r="X9" s="87"/>
      <c r="Y9" s="87"/>
      <c r="Z9" s="87"/>
      <c r="AA9" s="87"/>
      <c r="AB9" s="87"/>
      <c r="AC9" s="90"/>
    </row>
    <row r="10" spans="1:29" s="3" customFormat="1" ht="10.35" customHeight="1">
      <c r="A10" s="89"/>
      <c r="B10" s="87"/>
      <c r="C10" s="87"/>
      <c r="D10" s="87"/>
      <c r="E10" s="87"/>
      <c r="F10" s="127"/>
      <c r="G10" s="87"/>
      <c r="H10" s="87"/>
      <c r="I10" s="87"/>
      <c r="J10" s="87"/>
      <c r="K10" s="87"/>
      <c r="L10" s="87"/>
      <c r="M10" s="87"/>
      <c r="N10" s="90"/>
      <c r="P10" s="89"/>
      <c r="Q10" s="87"/>
      <c r="R10" s="87"/>
      <c r="S10" s="87"/>
      <c r="T10" s="87"/>
      <c r="U10" s="127"/>
      <c r="V10" s="87"/>
      <c r="W10" s="87"/>
      <c r="X10" s="87"/>
      <c r="Y10" s="87"/>
      <c r="Z10" s="87"/>
      <c r="AA10" s="87"/>
      <c r="AB10" s="87"/>
      <c r="AC10" s="90"/>
    </row>
    <row r="11" spans="1:29" s="3" customFormat="1" ht="25.2">
      <c r="A11" s="89" t="s">
        <v>339</v>
      </c>
      <c r="B11" s="87"/>
      <c r="C11" s="87"/>
      <c r="D11" s="87"/>
      <c r="E11" s="87"/>
      <c r="F11" s="127" t="s">
        <v>340</v>
      </c>
      <c r="G11" s="127" t="str">
        <f>CI!V8</f>
        <v>PGU-DE-0220</v>
      </c>
      <c r="H11" s="87"/>
      <c r="I11" s="87"/>
      <c r="J11" s="87"/>
      <c r="K11" s="87"/>
      <c r="L11" s="87"/>
      <c r="M11" s="87"/>
      <c r="N11" s="90"/>
      <c r="P11" s="89" t="s">
        <v>339</v>
      </c>
      <c r="Q11" s="87"/>
      <c r="R11" s="87"/>
      <c r="S11" s="87"/>
      <c r="T11" s="87"/>
      <c r="U11" s="127" t="s">
        <v>340</v>
      </c>
      <c r="V11" s="127" t="str">
        <f>CI!V8</f>
        <v>PGU-DE-0220</v>
      </c>
      <c r="W11" s="87"/>
      <c r="X11" s="87"/>
      <c r="Y11" s="87"/>
      <c r="Z11" s="87"/>
      <c r="AA11" s="87"/>
      <c r="AB11" s="87"/>
      <c r="AC11" s="90"/>
    </row>
    <row r="12" spans="1:29" s="3" customFormat="1" ht="25.2">
      <c r="A12" s="89" t="s">
        <v>341</v>
      </c>
      <c r="B12" s="87"/>
      <c r="C12" s="87"/>
      <c r="D12" s="87"/>
      <c r="E12" s="87"/>
      <c r="F12" s="127"/>
      <c r="G12" s="87"/>
      <c r="H12" s="87"/>
      <c r="I12" s="87"/>
      <c r="J12" s="87"/>
      <c r="K12" s="87"/>
      <c r="L12" s="87"/>
      <c r="M12" s="87"/>
      <c r="N12" s="90"/>
      <c r="P12" s="89" t="s">
        <v>341</v>
      </c>
      <c r="Q12" s="87"/>
      <c r="R12" s="87"/>
      <c r="S12" s="87"/>
      <c r="T12" s="87"/>
      <c r="U12" s="127"/>
      <c r="V12" s="87"/>
      <c r="W12" s="87"/>
      <c r="X12" s="87"/>
      <c r="Y12" s="87"/>
      <c r="Z12" s="87"/>
      <c r="AA12" s="87"/>
      <c r="AB12" s="87"/>
      <c r="AC12" s="90"/>
    </row>
    <row r="13" spans="1:29" s="3" customFormat="1" ht="10.35" customHeight="1">
      <c r="A13" s="89"/>
      <c r="B13" s="87"/>
      <c r="C13" s="87"/>
      <c r="D13" s="87"/>
      <c r="E13" s="87"/>
      <c r="F13" s="127"/>
      <c r="G13" s="87"/>
      <c r="H13" s="87"/>
      <c r="I13" s="87"/>
      <c r="J13" s="87"/>
      <c r="K13" s="87"/>
      <c r="L13" s="87"/>
      <c r="M13" s="87"/>
      <c r="N13" s="90"/>
      <c r="P13" s="89"/>
      <c r="Q13" s="87"/>
      <c r="R13" s="87"/>
      <c r="S13" s="87"/>
      <c r="T13" s="87"/>
      <c r="U13" s="127"/>
      <c r="V13" s="87"/>
      <c r="W13" s="87"/>
      <c r="X13" s="87"/>
      <c r="Y13" s="87"/>
      <c r="Z13" s="87"/>
      <c r="AA13" s="87"/>
      <c r="AB13" s="87"/>
      <c r="AC13" s="90"/>
    </row>
    <row r="14" spans="1:29" s="3" customFormat="1" ht="25.2">
      <c r="A14" s="91" t="s">
        <v>342</v>
      </c>
      <c r="B14" s="129"/>
      <c r="C14" s="129"/>
      <c r="D14" s="129"/>
      <c r="E14" s="129"/>
      <c r="F14" s="130" t="s">
        <v>329</v>
      </c>
      <c r="G14" s="131" t="str">
        <f>'Summary PL'!D49</f>
        <v>UPS</v>
      </c>
      <c r="H14" s="129"/>
      <c r="I14" s="129"/>
      <c r="J14" s="129"/>
      <c r="K14" s="129"/>
      <c r="L14" s="129"/>
      <c r="M14" s="129"/>
      <c r="N14" s="92"/>
      <c r="P14" s="91" t="s">
        <v>342</v>
      </c>
      <c r="Q14" s="129"/>
      <c r="R14" s="129"/>
      <c r="S14" s="129"/>
      <c r="T14" s="129"/>
      <c r="U14" s="130" t="s">
        <v>329</v>
      </c>
      <c r="V14" s="131" t="str">
        <f>G14</f>
        <v>UPS</v>
      </c>
      <c r="W14" s="129"/>
      <c r="X14" s="129"/>
      <c r="Y14" s="129"/>
      <c r="Z14" s="129"/>
      <c r="AA14" s="129"/>
      <c r="AB14" s="129"/>
      <c r="AC14" s="92"/>
    </row>
    <row r="15" spans="1:29" s="3" customFormat="1" ht="25.2">
      <c r="A15" s="91" t="s">
        <v>343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29"/>
      <c r="L15" s="129"/>
      <c r="M15" s="129"/>
      <c r="N15" s="92"/>
      <c r="P15" s="91" t="s">
        <v>343</v>
      </c>
      <c r="Q15" s="129"/>
      <c r="R15" s="129"/>
      <c r="S15" s="129"/>
      <c r="T15" s="129"/>
      <c r="U15" s="130"/>
      <c r="V15" s="129"/>
      <c r="W15" s="129"/>
      <c r="X15" s="129"/>
      <c r="Y15" s="129"/>
      <c r="Z15" s="129"/>
      <c r="AA15" s="129"/>
      <c r="AB15" s="129"/>
      <c r="AC15" s="92"/>
    </row>
    <row r="16" spans="1:29" s="3" customFormat="1" ht="10.35" customHeight="1">
      <c r="A16" s="89"/>
      <c r="B16" s="87"/>
      <c r="C16" s="87"/>
      <c r="D16" s="87"/>
      <c r="E16" s="87"/>
      <c r="F16" s="127"/>
      <c r="G16" s="87"/>
      <c r="H16" s="87"/>
      <c r="I16" s="87"/>
      <c r="J16" s="87"/>
      <c r="K16" s="87"/>
      <c r="L16" s="87"/>
      <c r="M16" s="87"/>
      <c r="N16" s="90"/>
      <c r="P16" s="89"/>
      <c r="Q16" s="87"/>
      <c r="R16" s="87"/>
      <c r="S16" s="87"/>
      <c r="T16" s="87"/>
      <c r="U16" s="127"/>
      <c r="V16" s="87"/>
      <c r="W16" s="87"/>
      <c r="X16" s="87"/>
      <c r="Y16" s="87"/>
      <c r="Z16" s="87"/>
      <c r="AA16" s="87"/>
      <c r="AB16" s="87"/>
      <c r="AC16" s="90"/>
    </row>
    <row r="17" spans="1:29" s="3" customFormat="1" ht="25.2">
      <c r="A17" s="89" t="s">
        <v>344</v>
      </c>
      <c r="B17" s="87"/>
      <c r="C17" s="87"/>
      <c r="D17" s="87"/>
      <c r="E17" s="87"/>
      <c r="F17" s="130" t="s">
        <v>345</v>
      </c>
      <c r="G17" s="127" t="str">
        <f>'Summary PL'!C49</f>
        <v>PGU-DE-0220-DCS-CBN-036</v>
      </c>
      <c r="H17" s="87"/>
      <c r="I17" s="87"/>
      <c r="J17" s="87"/>
      <c r="K17" s="87"/>
      <c r="L17" s="87"/>
      <c r="M17" s="87"/>
      <c r="N17" s="90"/>
      <c r="P17" s="89" t="s">
        <v>344</v>
      </c>
      <c r="Q17" s="87"/>
      <c r="R17" s="87"/>
      <c r="S17" s="87"/>
      <c r="T17" s="87"/>
      <c r="U17" s="130" t="s">
        <v>345</v>
      </c>
      <c r="V17" s="127" t="str">
        <f>G17</f>
        <v>PGU-DE-0220-DCS-CBN-036</v>
      </c>
      <c r="W17" s="87"/>
      <c r="X17" s="87"/>
      <c r="Y17" s="87"/>
      <c r="Z17" s="87"/>
      <c r="AA17" s="87"/>
      <c r="AB17" s="87"/>
      <c r="AC17" s="90"/>
    </row>
    <row r="18" spans="1:29" s="4" customFormat="1" ht="25.2">
      <c r="A18" s="89" t="s">
        <v>346</v>
      </c>
      <c r="B18" s="87"/>
      <c r="C18" s="87"/>
      <c r="D18" s="87"/>
      <c r="E18" s="87"/>
      <c r="F18" s="127"/>
      <c r="G18" s="127"/>
      <c r="H18" s="87"/>
      <c r="I18" s="87"/>
      <c r="J18" s="87"/>
      <c r="K18" s="87"/>
      <c r="L18" s="87"/>
      <c r="M18" s="87"/>
      <c r="N18" s="90"/>
      <c r="P18" s="89" t="s">
        <v>346</v>
      </c>
      <c r="Q18" s="87"/>
      <c r="R18" s="87"/>
      <c r="S18" s="87"/>
      <c r="T18" s="87"/>
      <c r="U18" s="127"/>
      <c r="V18" s="127"/>
      <c r="W18" s="87"/>
      <c r="X18" s="87"/>
      <c r="Y18" s="87"/>
      <c r="Z18" s="87"/>
      <c r="AA18" s="87"/>
      <c r="AB18" s="87"/>
      <c r="AC18" s="90"/>
    </row>
    <row r="19" spans="1:29" s="3" customFormat="1" ht="10.35" customHeight="1">
      <c r="A19" s="89"/>
      <c r="B19" s="87"/>
      <c r="C19" s="87"/>
      <c r="D19" s="87"/>
      <c r="E19" s="87"/>
      <c r="F19" s="127"/>
      <c r="G19" s="127"/>
      <c r="H19" s="87"/>
      <c r="I19" s="87"/>
      <c r="J19" s="87"/>
      <c r="K19" s="87"/>
      <c r="L19" s="87"/>
      <c r="M19" s="87"/>
      <c r="N19" s="90"/>
      <c r="P19" s="89"/>
      <c r="Q19" s="87"/>
      <c r="R19" s="87"/>
      <c r="S19" s="87"/>
      <c r="T19" s="87"/>
      <c r="U19" s="127"/>
      <c r="V19" s="127"/>
      <c r="W19" s="87"/>
      <c r="X19" s="87"/>
      <c r="Y19" s="87"/>
      <c r="Z19" s="87"/>
      <c r="AA19" s="87"/>
      <c r="AB19" s="87"/>
      <c r="AC19" s="90"/>
    </row>
    <row r="20" spans="1:29" s="3" customFormat="1" ht="25.2">
      <c r="A20" s="89" t="s">
        <v>347</v>
      </c>
      <c r="B20" s="87"/>
      <c r="C20" s="87"/>
      <c r="D20" s="87"/>
      <c r="E20" s="87"/>
      <c r="F20" s="127" t="s">
        <v>340</v>
      </c>
      <c r="G20" s="132">
        <f>'Summary PL'!L49</f>
        <v>120</v>
      </c>
      <c r="H20" s="127" t="s">
        <v>348</v>
      </c>
      <c r="I20" s="87"/>
      <c r="J20" s="87"/>
      <c r="K20" s="87"/>
      <c r="L20" s="87"/>
      <c r="M20" s="87"/>
      <c r="N20" s="90"/>
      <c r="P20" s="89" t="s">
        <v>347</v>
      </c>
      <c r="Q20" s="87"/>
      <c r="R20" s="87"/>
      <c r="S20" s="87"/>
      <c r="T20" s="87"/>
      <c r="U20" s="127" t="s">
        <v>340</v>
      </c>
      <c r="V20" s="132">
        <f>G20</f>
        <v>120</v>
      </c>
      <c r="W20" s="127" t="s">
        <v>348</v>
      </c>
      <c r="X20" s="87"/>
      <c r="Y20" s="87"/>
      <c r="Z20" s="87"/>
      <c r="AA20" s="87"/>
      <c r="AB20" s="87"/>
      <c r="AC20" s="90"/>
    </row>
    <row r="21" spans="1:29" s="4" customFormat="1" ht="25.2">
      <c r="A21" s="89" t="s">
        <v>349</v>
      </c>
      <c r="B21" s="87"/>
      <c r="C21" s="87"/>
      <c r="D21" s="87"/>
      <c r="E21" s="87"/>
      <c r="F21" s="127"/>
      <c r="G21" s="127"/>
      <c r="H21" s="127"/>
      <c r="I21" s="87"/>
      <c r="J21" s="87"/>
      <c r="K21" s="87"/>
      <c r="L21" s="87"/>
      <c r="M21" s="87"/>
      <c r="N21" s="90"/>
      <c r="P21" s="89" t="s">
        <v>349</v>
      </c>
      <c r="Q21" s="87"/>
      <c r="R21" s="87"/>
      <c r="S21" s="87"/>
      <c r="T21" s="87"/>
      <c r="U21" s="127"/>
      <c r="V21" s="127"/>
      <c r="W21" s="127"/>
      <c r="X21" s="87"/>
      <c r="Y21" s="87"/>
      <c r="Z21" s="87"/>
      <c r="AA21" s="87"/>
      <c r="AB21" s="87"/>
      <c r="AC21" s="90"/>
    </row>
    <row r="22" spans="1:29" s="3" customFormat="1" ht="10.35" customHeight="1">
      <c r="A22" s="89"/>
      <c r="B22" s="87"/>
      <c r="C22" s="87"/>
      <c r="D22" s="87"/>
      <c r="E22" s="87"/>
      <c r="F22" s="127"/>
      <c r="G22" s="127"/>
      <c r="H22" s="127"/>
      <c r="I22" s="87"/>
      <c r="J22" s="87"/>
      <c r="K22" s="87"/>
      <c r="L22" s="87"/>
      <c r="M22" s="87"/>
      <c r="N22" s="90"/>
      <c r="P22" s="89"/>
      <c r="Q22" s="87"/>
      <c r="R22" s="87"/>
      <c r="S22" s="87"/>
      <c r="T22" s="87"/>
      <c r="U22" s="127"/>
      <c r="V22" s="127"/>
      <c r="W22" s="127"/>
      <c r="X22" s="87"/>
      <c r="Y22" s="87"/>
      <c r="Z22" s="87"/>
      <c r="AA22" s="87"/>
      <c r="AB22" s="87"/>
      <c r="AC22" s="90"/>
    </row>
    <row r="23" spans="1:29" s="3" customFormat="1" ht="25.2">
      <c r="A23" s="89" t="s">
        <v>350</v>
      </c>
      <c r="B23" s="87"/>
      <c r="C23" s="87"/>
      <c r="D23" s="87"/>
      <c r="E23" s="87"/>
      <c r="F23" s="127" t="s">
        <v>340</v>
      </c>
      <c r="G23" s="132">
        <f>'Summary PL'!M49</f>
        <v>180</v>
      </c>
      <c r="H23" s="127" t="s">
        <v>348</v>
      </c>
      <c r="I23" s="87"/>
      <c r="J23" s="87"/>
      <c r="K23" s="87"/>
      <c r="L23" s="87"/>
      <c r="M23" s="87"/>
      <c r="N23" s="90"/>
      <c r="P23" s="89" t="s">
        <v>350</v>
      </c>
      <c r="Q23" s="87"/>
      <c r="R23" s="87"/>
      <c r="S23" s="87"/>
      <c r="T23" s="87"/>
      <c r="U23" s="127" t="s">
        <v>340</v>
      </c>
      <c r="V23" s="132">
        <f>G23</f>
        <v>180</v>
      </c>
      <c r="W23" s="127" t="s">
        <v>348</v>
      </c>
      <c r="X23" s="87"/>
      <c r="Y23" s="87"/>
      <c r="Z23" s="87"/>
      <c r="AA23" s="87"/>
      <c r="AB23" s="87"/>
      <c r="AC23" s="90"/>
    </row>
    <row r="24" spans="1:29" s="4" customFormat="1" ht="25.2">
      <c r="A24" s="89" t="s">
        <v>351</v>
      </c>
      <c r="B24" s="87"/>
      <c r="C24" s="87"/>
      <c r="D24" s="87"/>
      <c r="E24" s="87"/>
      <c r="F24" s="127"/>
      <c r="G24" s="127"/>
      <c r="H24" s="87"/>
      <c r="I24" s="87"/>
      <c r="J24" s="87"/>
      <c r="K24" s="87"/>
      <c r="L24" s="87"/>
      <c r="M24" s="87"/>
      <c r="N24" s="90"/>
      <c r="P24" s="89" t="s">
        <v>351</v>
      </c>
      <c r="Q24" s="87"/>
      <c r="R24" s="87"/>
      <c r="S24" s="87"/>
      <c r="T24" s="87"/>
      <c r="U24" s="127"/>
      <c r="V24" s="127"/>
      <c r="W24" s="87"/>
      <c r="X24" s="87"/>
      <c r="Y24" s="87"/>
      <c r="Z24" s="87"/>
      <c r="AA24" s="87"/>
      <c r="AB24" s="87"/>
      <c r="AC24" s="90"/>
    </row>
    <row r="25" spans="1:29" s="3" customFormat="1" ht="10.35" customHeight="1">
      <c r="A25" s="89"/>
      <c r="B25" s="87"/>
      <c r="C25" s="87"/>
      <c r="D25" s="87"/>
      <c r="E25" s="87"/>
      <c r="F25" s="127"/>
      <c r="G25" s="127"/>
      <c r="H25" s="87"/>
      <c r="I25" s="87"/>
      <c r="J25" s="87"/>
      <c r="K25" s="87"/>
      <c r="L25" s="87"/>
      <c r="M25" s="87"/>
      <c r="N25" s="90"/>
      <c r="P25" s="89"/>
      <c r="Q25" s="87"/>
      <c r="R25" s="87"/>
      <c r="S25" s="87"/>
      <c r="T25" s="87"/>
      <c r="U25" s="127"/>
      <c r="V25" s="127"/>
      <c r="W25" s="87"/>
      <c r="X25" s="87"/>
      <c r="Y25" s="87"/>
      <c r="Z25" s="87"/>
      <c r="AA25" s="87"/>
      <c r="AB25" s="87"/>
      <c r="AC25" s="90"/>
    </row>
    <row r="26" spans="1:29" s="3" customFormat="1" ht="25.2">
      <c r="A26" s="93" t="s">
        <v>352</v>
      </c>
      <c r="B26" s="87"/>
      <c r="C26" s="87"/>
      <c r="D26" s="87"/>
      <c r="E26" s="87"/>
      <c r="F26" s="127" t="s">
        <v>340</v>
      </c>
      <c r="G26" s="133">
        <f>'Summary PL'!K49</f>
        <v>1.7549999999999999</v>
      </c>
      <c r="H26" s="134" t="s">
        <v>353</v>
      </c>
      <c r="I26" s="134"/>
      <c r="J26" s="134"/>
      <c r="K26" s="134"/>
      <c r="L26" s="87"/>
      <c r="M26" s="87"/>
      <c r="N26" s="90"/>
      <c r="P26" s="93" t="s">
        <v>352</v>
      </c>
      <c r="Q26" s="87"/>
      <c r="R26" s="87"/>
      <c r="S26" s="87"/>
      <c r="T26" s="87"/>
      <c r="U26" s="127" t="s">
        <v>340</v>
      </c>
      <c r="V26" s="133">
        <f>G26</f>
        <v>1.7549999999999999</v>
      </c>
      <c r="W26" s="134" t="s">
        <v>353</v>
      </c>
      <c r="X26" s="134"/>
      <c r="Y26" s="134"/>
      <c r="Z26" s="134"/>
      <c r="AA26" s="87"/>
      <c r="AB26" s="87"/>
      <c r="AC26" s="90"/>
    </row>
    <row r="27" spans="1:29" s="4" customFormat="1" ht="25.2">
      <c r="A27" s="89" t="s">
        <v>354</v>
      </c>
      <c r="B27" s="87"/>
      <c r="C27" s="87"/>
      <c r="D27" s="87"/>
      <c r="E27" s="87"/>
      <c r="F27" s="127"/>
      <c r="G27" s="127"/>
      <c r="H27" s="87"/>
      <c r="I27" s="87"/>
      <c r="J27" s="87"/>
      <c r="K27" s="87"/>
      <c r="L27" s="87"/>
      <c r="M27" s="87"/>
      <c r="N27" s="90"/>
      <c r="P27" s="89" t="s">
        <v>354</v>
      </c>
      <c r="Q27" s="87"/>
      <c r="R27" s="87"/>
      <c r="S27" s="87"/>
      <c r="T27" s="87"/>
      <c r="U27" s="127"/>
      <c r="V27" s="127"/>
      <c r="W27" s="87"/>
      <c r="X27" s="87"/>
      <c r="Y27" s="87"/>
      <c r="Z27" s="87"/>
      <c r="AA27" s="87"/>
      <c r="AB27" s="87"/>
      <c r="AC27" s="90"/>
    </row>
    <row r="28" spans="1:29" s="3" customFormat="1" ht="10.35" customHeight="1">
      <c r="A28" s="89"/>
      <c r="B28" s="87"/>
      <c r="C28" s="87"/>
      <c r="D28" s="87"/>
      <c r="E28" s="87"/>
      <c r="F28" s="127"/>
      <c r="G28" s="127"/>
      <c r="H28" s="87"/>
      <c r="I28" s="87"/>
      <c r="J28" s="87"/>
      <c r="K28" s="87"/>
      <c r="L28" s="87"/>
      <c r="M28" s="87"/>
      <c r="N28" s="90"/>
      <c r="P28" s="89"/>
      <c r="Q28" s="87"/>
      <c r="R28" s="87"/>
      <c r="S28" s="87"/>
      <c r="T28" s="87"/>
      <c r="U28" s="127"/>
      <c r="V28" s="127"/>
      <c r="W28" s="87"/>
      <c r="X28" s="87"/>
      <c r="Y28" s="87"/>
      <c r="Z28" s="87"/>
      <c r="AA28" s="87"/>
      <c r="AB28" s="87"/>
      <c r="AC28" s="90"/>
    </row>
    <row r="29" spans="1:29" s="213" customFormat="1" ht="42">
      <c r="A29" s="209" t="s">
        <v>355</v>
      </c>
      <c r="B29" s="210"/>
      <c r="C29" s="210"/>
      <c r="D29" s="210"/>
      <c r="E29" s="210"/>
      <c r="F29" s="216" t="s">
        <v>356</v>
      </c>
      <c r="G29" s="471" t="s">
        <v>357</v>
      </c>
      <c r="H29" s="471"/>
      <c r="I29" s="471"/>
      <c r="J29" s="471"/>
      <c r="K29" s="471"/>
      <c r="L29" s="471"/>
      <c r="M29" s="471"/>
      <c r="N29" s="212"/>
      <c r="P29" s="209" t="s">
        <v>355</v>
      </c>
      <c r="Q29" s="210"/>
      <c r="R29" s="210"/>
      <c r="S29" s="210"/>
      <c r="T29" s="210"/>
      <c r="U29" s="216" t="s">
        <v>356</v>
      </c>
      <c r="V29" s="471" t="str">
        <f>G29</f>
        <v xml:space="preserve">Turkestan Oblast, Sairam district, Karamurt rural district, quarter 171, Republic of Kazakhstan </v>
      </c>
      <c r="W29" s="471"/>
      <c r="X29" s="471"/>
      <c r="Y29" s="471"/>
      <c r="Z29" s="471"/>
      <c r="AA29" s="471"/>
      <c r="AB29" s="471"/>
      <c r="AC29" s="473"/>
    </row>
    <row r="30" spans="1:29" s="215" customFormat="1" ht="25.8" thickBot="1">
      <c r="A30" s="209" t="s">
        <v>358</v>
      </c>
      <c r="B30" s="210"/>
      <c r="C30" s="210"/>
      <c r="D30" s="210"/>
      <c r="E30" s="210"/>
      <c r="F30" s="211"/>
      <c r="G30" s="472"/>
      <c r="H30" s="472"/>
      <c r="I30" s="472"/>
      <c r="J30" s="472"/>
      <c r="K30" s="472"/>
      <c r="L30" s="472"/>
      <c r="M30" s="472"/>
      <c r="N30" s="212"/>
      <c r="P30" s="209" t="s">
        <v>358</v>
      </c>
      <c r="Q30" s="210"/>
      <c r="R30" s="210"/>
      <c r="S30" s="210"/>
      <c r="T30" s="210"/>
      <c r="U30" s="211"/>
      <c r="V30" s="211"/>
      <c r="W30" s="210"/>
      <c r="X30" s="210"/>
      <c r="Y30" s="210"/>
      <c r="Z30" s="210"/>
      <c r="AA30" s="210"/>
      <c r="AB30" s="210"/>
      <c r="AC30" s="212"/>
    </row>
    <row r="31" spans="1:29">
      <c r="A31" s="83"/>
      <c r="B31" s="84"/>
      <c r="C31" s="84"/>
      <c r="D31" s="84"/>
      <c r="E31" s="468" t="s">
        <v>359</v>
      </c>
      <c r="F31" s="469"/>
      <c r="G31" s="469"/>
      <c r="H31" s="469"/>
      <c r="I31" s="469"/>
      <c r="J31" s="469"/>
      <c r="K31" s="469"/>
      <c r="L31" s="85"/>
      <c r="M31" s="85"/>
      <c r="N31" s="86"/>
      <c r="P31" s="83"/>
      <c r="Q31" s="84"/>
      <c r="R31" s="84"/>
      <c r="S31" s="84"/>
      <c r="T31" s="468" t="s">
        <v>359</v>
      </c>
      <c r="U31" s="469"/>
      <c r="V31" s="469"/>
      <c r="W31" s="469"/>
      <c r="X31" s="469"/>
      <c r="Y31" s="469"/>
      <c r="Z31" s="469"/>
      <c r="AA31" s="85"/>
      <c r="AB31" s="85"/>
      <c r="AC31" s="86"/>
    </row>
    <row r="32" spans="1:29" ht="25.5" customHeight="1" thickBot="1">
      <c r="A32" s="94"/>
      <c r="B32" s="95"/>
      <c r="C32" s="95"/>
      <c r="D32" s="95"/>
      <c r="E32" s="470"/>
      <c r="F32" s="470"/>
      <c r="G32" s="470"/>
      <c r="H32" s="470"/>
      <c r="I32" s="470"/>
      <c r="J32" s="470"/>
      <c r="K32" s="470"/>
      <c r="L32" s="96"/>
      <c r="M32" s="96"/>
      <c r="N32" s="97"/>
      <c r="P32" s="94"/>
      <c r="Q32" s="95"/>
      <c r="R32" s="95"/>
      <c r="S32" s="95"/>
      <c r="T32" s="470"/>
      <c r="U32" s="470"/>
      <c r="V32" s="470"/>
      <c r="W32" s="470"/>
      <c r="X32" s="470"/>
      <c r="Y32" s="470"/>
      <c r="Z32" s="470"/>
      <c r="AA32" s="96"/>
      <c r="AB32" s="96"/>
      <c r="AC32" s="97"/>
    </row>
  </sheetData>
  <mergeCells count="6">
    <mergeCell ref="A1:N1"/>
    <mergeCell ref="P1:AC1"/>
    <mergeCell ref="G29:M30"/>
    <mergeCell ref="V29:AC29"/>
    <mergeCell ref="E31:K32"/>
    <mergeCell ref="T31:Z3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headerFooter>
    <oddFooter xml:space="preserve">&amp;R_x000D_&amp;1#&amp;"Aptos"&amp;8&amp;K000000 중요비(Confidential): kichul.jang@doosan.com </oddFooter>
  </headerFooter>
  <colBreaks count="1" manualBreakCount="1">
    <brk id="14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Props1.xml><?xml version="1.0" encoding="utf-8"?>
<ds:datastoreItem xmlns:ds="http://schemas.openxmlformats.org/officeDocument/2006/customXml" ds:itemID="{BC16A882-D9A9-40D2-A8B3-942AE8CAA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fafe03ea-8b69-4947-9101-36aab1225da6"/>
    <ds:schemaRef ds:uri="0fd7f0fd-4562-4143-a7f1-276269a5d384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41</vt:i4>
      </vt:variant>
      <vt:variant>
        <vt:lpstr>이름 지정된 범위</vt:lpstr>
      </vt:variant>
      <vt:variant>
        <vt:i4>43</vt:i4>
      </vt:variant>
    </vt:vector>
  </HeadingPairs>
  <TitlesOfParts>
    <vt:vector size="84" baseType="lpstr">
      <vt:lpstr>CI</vt:lpstr>
      <vt:lpstr>CI_BD</vt:lpstr>
      <vt:lpstr>PL</vt:lpstr>
      <vt:lpstr>Summary PL</vt:lpstr>
      <vt:lpstr>Detail PL</vt:lpstr>
      <vt:lpstr>PGU-DE-0220-DCS-CBN-001</vt:lpstr>
      <vt:lpstr>PGU-DE-0220-DCS-CBN-002</vt:lpstr>
      <vt:lpstr>PGU-DE-0220-DCS-CBN-003</vt:lpstr>
      <vt:lpstr>PGU-DE-0220-DCS-CBN-004</vt:lpstr>
      <vt:lpstr>PGU-DE-0220-DCS-CBN-005</vt:lpstr>
      <vt:lpstr>PGU-DE-0220-DCS-CBN-006</vt:lpstr>
      <vt:lpstr>PGU-DE-0220-DCS-CBN-007</vt:lpstr>
      <vt:lpstr>PGU-DE-0220-DCS-CBN-008</vt:lpstr>
      <vt:lpstr>PGU-DE-0220-DCS-CBN-009</vt:lpstr>
      <vt:lpstr>PGU-DE-0220-DCS-CBN-010</vt:lpstr>
      <vt:lpstr>PGU-DE-0220-DCS-CBN-011</vt:lpstr>
      <vt:lpstr>PGU-DE-0220-DCS-CBN-012</vt:lpstr>
      <vt:lpstr>PGU-DE-0220-DCS-CBN-013</vt:lpstr>
      <vt:lpstr>PGU-DE-0220-DCS-CBN-014</vt:lpstr>
      <vt:lpstr>PGU-DE-0220-DCS-CBN-015</vt:lpstr>
      <vt:lpstr>PGU-DE-0220-DCS-CBN-016</vt:lpstr>
      <vt:lpstr>PGU-DE-0220-DCS-CBN-017</vt:lpstr>
      <vt:lpstr>PGU-DE-0220-DCS-CBN-018</vt:lpstr>
      <vt:lpstr>PGU-DE-0220-DCS-CBN-019</vt:lpstr>
      <vt:lpstr>PGU-DE-0220-DCS-CBN-020</vt:lpstr>
      <vt:lpstr>PGU-DE-0220-DCS-CBN-021</vt:lpstr>
      <vt:lpstr>PGU-DE-0220-DCS-CBN-022</vt:lpstr>
      <vt:lpstr>PGU-DE-0220-DCS-CBN-023</vt:lpstr>
      <vt:lpstr>PGU-DE-0220-DCS-CBN-024</vt:lpstr>
      <vt:lpstr>PGU-DE-0220-DCS-CBN-025</vt:lpstr>
      <vt:lpstr>PGU-DE-0220-DCS-CBN-026</vt:lpstr>
      <vt:lpstr>PGU-DE-0220-DCS-CBN-027</vt:lpstr>
      <vt:lpstr>PGU-DE-0220-DCS-CBN-028</vt:lpstr>
      <vt:lpstr>PGU-DE-0220-DCS-CBN-029</vt:lpstr>
      <vt:lpstr>PGU-DE-0220-DCS-CBN-030</vt:lpstr>
      <vt:lpstr>PGU-DE-0220-DCS-CBN-031</vt:lpstr>
      <vt:lpstr>PGU-DE-0220-DCS-CBN-032</vt:lpstr>
      <vt:lpstr>PGU-DE-0220-DCS-CBN-033</vt:lpstr>
      <vt:lpstr>PGU-DE-0220-DCS-CBN-034</vt:lpstr>
      <vt:lpstr>PGU-DE-0220-DCS-CBN-035</vt:lpstr>
      <vt:lpstr>PGU-DE-0220-DCS-CBN-036</vt:lpstr>
      <vt:lpstr>CI!Print_Area</vt:lpstr>
      <vt:lpstr>CI_BD!Print_Area</vt:lpstr>
      <vt:lpstr>'Detail PL'!Print_Area</vt:lpstr>
      <vt:lpstr>'PGU-DE-0220-DCS-CBN-001'!Print_Area</vt:lpstr>
      <vt:lpstr>'PGU-DE-0220-DCS-CBN-002'!Print_Area</vt:lpstr>
      <vt:lpstr>'PGU-DE-0220-DCS-CBN-003'!Print_Area</vt:lpstr>
      <vt:lpstr>'PGU-DE-0220-DCS-CBN-004'!Print_Area</vt:lpstr>
      <vt:lpstr>'PGU-DE-0220-DCS-CBN-005'!Print_Area</vt:lpstr>
      <vt:lpstr>'PGU-DE-0220-DCS-CBN-006'!Print_Area</vt:lpstr>
      <vt:lpstr>'PGU-DE-0220-DCS-CBN-007'!Print_Area</vt:lpstr>
      <vt:lpstr>'PGU-DE-0220-DCS-CBN-008'!Print_Area</vt:lpstr>
      <vt:lpstr>'PGU-DE-0220-DCS-CBN-009'!Print_Area</vt:lpstr>
      <vt:lpstr>'PGU-DE-0220-DCS-CBN-010'!Print_Area</vt:lpstr>
      <vt:lpstr>'PGU-DE-0220-DCS-CBN-011'!Print_Area</vt:lpstr>
      <vt:lpstr>'PGU-DE-0220-DCS-CBN-012'!Print_Area</vt:lpstr>
      <vt:lpstr>'PGU-DE-0220-DCS-CBN-013'!Print_Area</vt:lpstr>
      <vt:lpstr>'PGU-DE-0220-DCS-CBN-014'!Print_Area</vt:lpstr>
      <vt:lpstr>'PGU-DE-0220-DCS-CBN-015'!Print_Area</vt:lpstr>
      <vt:lpstr>'PGU-DE-0220-DCS-CBN-016'!Print_Area</vt:lpstr>
      <vt:lpstr>'PGU-DE-0220-DCS-CBN-017'!Print_Area</vt:lpstr>
      <vt:lpstr>'PGU-DE-0220-DCS-CBN-018'!Print_Area</vt:lpstr>
      <vt:lpstr>'PGU-DE-0220-DCS-CBN-019'!Print_Area</vt:lpstr>
      <vt:lpstr>'PGU-DE-0220-DCS-CBN-020'!Print_Area</vt:lpstr>
      <vt:lpstr>'PGU-DE-0220-DCS-CBN-021'!Print_Area</vt:lpstr>
      <vt:lpstr>'PGU-DE-0220-DCS-CBN-022'!Print_Area</vt:lpstr>
      <vt:lpstr>'PGU-DE-0220-DCS-CBN-023'!Print_Area</vt:lpstr>
      <vt:lpstr>'PGU-DE-0220-DCS-CBN-024'!Print_Area</vt:lpstr>
      <vt:lpstr>'PGU-DE-0220-DCS-CBN-025'!Print_Area</vt:lpstr>
      <vt:lpstr>'PGU-DE-0220-DCS-CBN-026'!Print_Area</vt:lpstr>
      <vt:lpstr>'PGU-DE-0220-DCS-CBN-027'!Print_Area</vt:lpstr>
      <vt:lpstr>'PGU-DE-0220-DCS-CBN-028'!Print_Area</vt:lpstr>
      <vt:lpstr>'PGU-DE-0220-DCS-CBN-029'!Print_Area</vt:lpstr>
      <vt:lpstr>'PGU-DE-0220-DCS-CBN-030'!Print_Area</vt:lpstr>
      <vt:lpstr>'PGU-DE-0220-DCS-CBN-031'!Print_Area</vt:lpstr>
      <vt:lpstr>'PGU-DE-0220-DCS-CBN-032'!Print_Area</vt:lpstr>
      <vt:lpstr>'PGU-DE-0220-DCS-CBN-033'!Print_Area</vt:lpstr>
      <vt:lpstr>'PGU-DE-0220-DCS-CBN-034'!Print_Area</vt:lpstr>
      <vt:lpstr>'PGU-DE-0220-DCS-CBN-035'!Print_Area</vt:lpstr>
      <vt:lpstr>'PGU-DE-0220-DCS-CBN-036'!Print_Area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dcterms:created xsi:type="dcterms:W3CDTF">2016-03-15T11:01:58Z</dcterms:created>
  <dcterms:modified xsi:type="dcterms:W3CDTF">2026-06-26T06:42:18Z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  <property fmtid="{D5CDD505-2E9C-101B-9397-08002B2CF9AE}" pid="4" name="MSIP_Label_36791f77-3d39-4d72-9277-ac879ec799ed_Enabled">
    <vt:lpwstr>true</vt:lpwstr>
  </property>
  <property fmtid="{D5CDD505-2E9C-101B-9397-08002B2CF9AE}" pid="5" name="MSIP_Label_36791f77-3d39-4d72-9277-ac879ec799ed_SetDate">
    <vt:lpwstr>2025-02-06T06:05:31Z</vt:lpwstr>
  </property>
  <property fmtid="{D5CDD505-2E9C-101B-9397-08002B2CF9AE}" pid="6" name="MSIP_Label_36791f77-3d39-4d72-9277-ac879ec799ed_Method">
    <vt:lpwstr>Standard</vt:lpwstr>
  </property>
  <property fmtid="{D5CDD505-2E9C-101B-9397-08002B2CF9AE}" pid="7" name="MSIP_Label_36791f77-3d39-4d72-9277-ac879ec799ed_Name">
    <vt:lpwstr>restricted-default</vt:lpwstr>
  </property>
  <property fmtid="{D5CDD505-2E9C-101B-9397-08002B2CF9AE}" pid="8" name="MSIP_Label_36791f77-3d39-4d72-9277-ac879ec799ed_SiteId">
    <vt:lpwstr>254ba93e-1f6f-48f3-90e6-e2766664b477</vt:lpwstr>
  </property>
  <property fmtid="{D5CDD505-2E9C-101B-9397-08002B2CF9AE}" pid="9" name="MSIP_Label_36791f77-3d39-4d72-9277-ac879ec799ed_ActionId">
    <vt:lpwstr>10a114e0-d1c8-42ef-8e55-54ebcc41a532</vt:lpwstr>
  </property>
  <property fmtid="{D5CDD505-2E9C-101B-9397-08002B2CF9AE}" pid="10" name="MSIP_Label_36791f77-3d39-4d72-9277-ac879ec799ed_ContentBits">
    <vt:lpwstr>0</vt:lpwstr>
  </property>
</Properties>
</file>