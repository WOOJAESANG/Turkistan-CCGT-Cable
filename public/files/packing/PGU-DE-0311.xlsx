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D:\Turkistan\15. Cable\Packing List\"/>
    </mc:Choice>
  </mc:AlternateContent>
  <xr:revisionPtr revIDLastSave="0" documentId="8_{463D2B11-5DDF-44DD-A628-68ABCAE56432}" xr6:coauthVersionLast="47" xr6:coauthVersionMax="47" xr10:uidLastSave="{00000000-0000-0000-0000-000000000000}"/>
  <bookViews>
    <workbookView xWindow="28680" yWindow="-120" windowWidth="29040" windowHeight="15840" xr2:uid="{00000000-000D-0000-FFFF-FFFF00000000}"/>
  </bookViews>
  <sheets>
    <sheet name="CI" sheetId="24" r:id="rId1"/>
    <sheet name="CI_BD" sheetId="67" r:id="rId2"/>
    <sheet name="PL" sheetId="20" r:id="rId3"/>
    <sheet name="Summary PL" sheetId="28" r:id="rId4"/>
    <sheet name="Detail PL" sheetId="66" r:id="rId5"/>
    <sheet name="PGU-DE-0311-DCS-INS-001" sheetId="21" r:id="rId6"/>
    <sheet name="PGU-DE-0311-DCS-INS-002" sheetId="30" r:id="rId7"/>
    <sheet name="PGU-DE-0311-DCS-INS-003" sheetId="31" r:id="rId8"/>
    <sheet name="PGU-DE-0311-DCS-INS-004" sheetId="32" r:id="rId9"/>
    <sheet name="PGU-DE-0311-DCS-INS-005" sheetId="33" r:id="rId10"/>
    <sheet name="PGU-DE-0311-DCS-INS-006" sheetId="34" r:id="rId11"/>
    <sheet name="PGU-DE-0311-DCS-INS-007" sheetId="35" r:id="rId12"/>
    <sheet name="PGU-DE-0311-DCS-INS-008" sheetId="36" r:id="rId13"/>
    <sheet name="PGU-DE-0311-DCS-INS-009" sheetId="37" r:id="rId14"/>
    <sheet name="PGU-DE-0311-DCS-INS-010" sheetId="38" r:id="rId15"/>
    <sheet name="PGU-DE-0311-DCS-INS-011" sheetId="39" r:id="rId16"/>
    <sheet name="PGU-DE-0311-DCS-INS-012" sheetId="40" r:id="rId17"/>
    <sheet name="PGU-DE-0311-INS-Cable-013" sheetId="41" r:id="rId18"/>
    <sheet name="PGU-DE-0311-DCS-INS-014" sheetId="42" r:id="rId19"/>
    <sheet name="PGU-DE-0311-DCS-INS-015" sheetId="43" r:id="rId20"/>
    <sheet name="PGU-DE-0311-DCS-INS-016" sheetId="44" r:id="rId21"/>
    <sheet name="PGU-DE-0311-DCS-INS-017" sheetId="45" r:id="rId22"/>
    <sheet name="PGU-DE-0311-DCS-INS-018" sheetId="46" r:id="rId23"/>
    <sheet name="PGU-DE-0311-DCS-INS-019" sheetId="47" r:id="rId24"/>
    <sheet name="PGU-DE-0311-DCS-INS-020" sheetId="48" r:id="rId25"/>
    <sheet name="PGU-DE-0311-DCS-INS-021" sheetId="49" r:id="rId26"/>
    <sheet name="PGU-DE-0311-DCS-INS-022" sheetId="50" r:id="rId27"/>
    <sheet name="PGU-DE-0311-DCS-INS-023" sheetId="51" r:id="rId28"/>
    <sheet name="PGU-DE-0311-DCS-INS-024" sheetId="52" r:id="rId29"/>
    <sheet name="PGU-DE-0311-DCS-INS-025" sheetId="53" r:id="rId30"/>
    <sheet name="PGU-DE-0311-DCS-INS-026" sheetId="54" r:id="rId31"/>
    <sheet name="PGU-DE-0311-DCS-INS-027" sheetId="55" r:id="rId32"/>
    <sheet name="PGU-DE-0311-DCS-INS-028" sheetId="56" r:id="rId33"/>
    <sheet name="PGU-DE-0311-DCS-INS-029" sheetId="57" r:id="rId34"/>
    <sheet name="PGU-DE-0311-DCS-INS-030" sheetId="58" r:id="rId35"/>
    <sheet name="PGU-DE-0311-DCS-INS-031" sheetId="59" r:id="rId36"/>
    <sheet name="PGU-DE-0311-DCS-INS-032" sheetId="60" r:id="rId37"/>
    <sheet name="PGU-DE-0311-DCS-INS-033" sheetId="61" r:id="rId38"/>
    <sheet name="PGU-DE-0311-DCS-INS-034" sheetId="62" r:id="rId39"/>
    <sheet name="PGU-DE-0311-DCS-INS-035" sheetId="63" r:id="rId40"/>
    <sheet name="PGU-DE-0311-DCS-INS-036" sheetId="64" r:id="rId41"/>
    <sheet name="PGU-DE-0311-DCS-INS-037" sheetId="65" r:id="rId42"/>
  </sheets>
  <definedNames>
    <definedName name="_xlnm._FilterDatabase" localSheetId="1" hidden="1">CI_BD!$B$8:$J$46</definedName>
    <definedName name="_xlnm._FilterDatabase" localSheetId="4" hidden="1">'Detail PL'!$A$12:$Q$88</definedName>
    <definedName name="_xlnm._FilterDatabase" localSheetId="3" hidden="1">'Summary PL'!$A$14:$P$51</definedName>
    <definedName name="AnnullaInseriscidata" localSheetId="1">#REF!</definedName>
    <definedName name="AnnullaInseriscidata">#REF!</definedName>
    <definedName name="InserisciData" localSheetId="1">#REF!</definedName>
    <definedName name="InserisciData">#REF!</definedName>
    <definedName name="_xlnm.Print_Area" localSheetId="0">CI!$A$1:$AC$58</definedName>
    <definedName name="_xlnm.Print_Area" localSheetId="1">CI_BD!$A$1:$J$46</definedName>
    <definedName name="_xlnm.Print_Area" localSheetId="4">'Detail PL'!$A$1:$Q$89</definedName>
    <definedName name="_xlnm.Print_Area" localSheetId="5">'PGU-DE-0311-DCS-INS-001'!$A$1:$AD$33</definedName>
    <definedName name="_xlnm.Print_Area" localSheetId="6">'PGU-DE-0311-DCS-INS-002'!$A$1:$AD$33</definedName>
    <definedName name="_xlnm.Print_Area" localSheetId="7">'PGU-DE-0311-DCS-INS-003'!$A$1:$AD$33</definedName>
    <definedName name="_xlnm.Print_Area" localSheetId="8">'PGU-DE-0311-DCS-INS-004'!$A$1:$AD$33</definedName>
    <definedName name="_xlnm.Print_Area" localSheetId="9">'PGU-DE-0311-DCS-INS-005'!$A$1:$AD$33</definedName>
    <definedName name="_xlnm.Print_Area" localSheetId="10">'PGU-DE-0311-DCS-INS-006'!$A$1:$AD$33</definedName>
    <definedName name="_xlnm.Print_Area" localSheetId="11">'PGU-DE-0311-DCS-INS-007'!$A$1:$AD$33</definedName>
    <definedName name="_xlnm.Print_Area" localSheetId="12">'PGU-DE-0311-DCS-INS-008'!$A$1:$AD$33</definedName>
    <definedName name="_xlnm.Print_Area" localSheetId="13">'PGU-DE-0311-DCS-INS-009'!$A$1:$AD$33</definedName>
    <definedName name="_xlnm.Print_Area" localSheetId="14">'PGU-DE-0311-DCS-INS-010'!$A$1:$AD$33</definedName>
    <definedName name="_xlnm.Print_Area" localSheetId="15">'PGU-DE-0311-DCS-INS-011'!$A$1:$AD$33</definedName>
    <definedName name="_xlnm.Print_Area" localSheetId="16">'PGU-DE-0311-DCS-INS-012'!$A$1:$AD$33</definedName>
    <definedName name="_xlnm.Print_Area" localSheetId="18">'PGU-DE-0311-DCS-INS-014'!$A$1:$AD$33</definedName>
    <definedName name="_xlnm.Print_Area" localSheetId="19">'PGU-DE-0311-DCS-INS-015'!$A$1:$AD$33</definedName>
    <definedName name="_xlnm.Print_Area" localSheetId="20">'PGU-DE-0311-DCS-INS-016'!$A$1:$AD$33</definedName>
    <definedName name="_xlnm.Print_Area" localSheetId="21">'PGU-DE-0311-DCS-INS-017'!$A$1:$AD$33</definedName>
    <definedName name="_xlnm.Print_Area" localSheetId="22">'PGU-DE-0311-DCS-INS-018'!$A$1:$AD$33</definedName>
    <definedName name="_xlnm.Print_Area" localSheetId="23">'PGU-DE-0311-DCS-INS-019'!$A$1:$AD$33</definedName>
    <definedName name="_xlnm.Print_Area" localSheetId="24">'PGU-DE-0311-DCS-INS-020'!$A$1:$AD$33</definedName>
    <definedName name="_xlnm.Print_Area" localSheetId="25">'PGU-DE-0311-DCS-INS-021'!$A$1:$AD$33</definedName>
    <definedName name="_xlnm.Print_Area" localSheetId="26">'PGU-DE-0311-DCS-INS-022'!$A$1:$AD$33</definedName>
    <definedName name="_xlnm.Print_Area" localSheetId="27">'PGU-DE-0311-DCS-INS-023'!$A$1:$AD$33</definedName>
    <definedName name="_xlnm.Print_Area" localSheetId="28">'PGU-DE-0311-DCS-INS-024'!$A$1:$AD$33</definedName>
    <definedName name="_xlnm.Print_Area" localSheetId="29">'PGU-DE-0311-DCS-INS-025'!$A$1:$AD$33</definedName>
    <definedName name="_xlnm.Print_Area" localSheetId="30">'PGU-DE-0311-DCS-INS-026'!$A$1:$AD$33</definedName>
    <definedName name="_xlnm.Print_Area" localSheetId="17">'PGU-DE-0311-INS-Cable-013'!$A$1:$AD$33</definedName>
    <definedName name="_xlnm.Print_Area" localSheetId="2">PL!$A$1:$AC$58</definedName>
    <definedName name="_xlnm.Print_Area" localSheetId="3">'Summary PL'!$A$1:$P$51</definedName>
    <definedName name="_xlnm.Print_Titles" localSheetId="4">'Detail PL'!$12:$12</definedName>
    <definedName name="_xlnm.Print_Titles" localSheetId="3">'Summary PL'!#REF!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1" i="66" l="1"/>
  <c r="B10" i="66"/>
  <c r="B11" i="28"/>
  <c r="B10" i="28"/>
  <c r="H46" i="67"/>
  <c r="H45" i="67"/>
  <c r="H44" i="67"/>
  <c r="H43" i="67"/>
  <c r="H42" i="67"/>
  <c r="H41" i="67"/>
  <c r="H40" i="67"/>
  <c r="H39" i="67"/>
  <c r="H38" i="67"/>
  <c r="H37" i="67"/>
  <c r="H36" i="67"/>
  <c r="H35" i="67"/>
  <c r="H34" i="67"/>
  <c r="H33" i="67"/>
  <c r="H32" i="67"/>
  <c r="H31" i="67"/>
  <c r="H30" i="67"/>
  <c r="H29" i="67"/>
  <c r="H28" i="67"/>
  <c r="H27" i="67"/>
  <c r="H26" i="67"/>
  <c r="H25" i="67"/>
  <c r="H24" i="67"/>
  <c r="H23" i="67"/>
  <c r="H22" i="67"/>
  <c r="H21" i="67"/>
  <c r="H20" i="67"/>
  <c r="H19" i="67"/>
  <c r="H18" i="67"/>
  <c r="H17" i="67"/>
  <c r="H16" i="67"/>
  <c r="H15" i="67"/>
  <c r="H14" i="67"/>
  <c r="H13" i="67"/>
  <c r="H12" i="67"/>
  <c r="H11" i="67"/>
  <c r="H10" i="67"/>
  <c r="H9" i="67"/>
  <c r="B41" i="20"/>
  <c r="B7" i="67"/>
  <c r="I23" i="66"/>
  <c r="H23" i="66"/>
  <c r="G23" i="66"/>
  <c r="I15" i="66"/>
  <c r="J15" i="66" s="1"/>
  <c r="H15" i="66"/>
  <c r="G15" i="66"/>
  <c r="K50" i="28"/>
  <c r="K49" i="28"/>
  <c r="K48" i="28"/>
  <c r="K47" i="28"/>
  <c r="K46" i="28"/>
  <c r="K45" i="28"/>
  <c r="K44" i="28"/>
  <c r="K43" i="28"/>
  <c r="K42" i="28"/>
  <c r="K41" i="28"/>
  <c r="K40" i="28"/>
  <c r="K39" i="28"/>
  <c r="K38" i="28"/>
  <c r="K37" i="28"/>
  <c r="K36" i="28"/>
  <c r="K35" i="28"/>
  <c r="K34" i="28"/>
  <c r="K33" i="28"/>
  <c r="K32" i="28"/>
  <c r="K31" i="28"/>
  <c r="K30" i="28"/>
  <c r="K29" i="28"/>
  <c r="K28" i="28"/>
  <c r="K27" i="28"/>
  <c r="K26" i="28"/>
  <c r="K25" i="28"/>
  <c r="K24" i="28"/>
  <c r="K23" i="28"/>
  <c r="K22" i="28"/>
  <c r="K21" i="28"/>
  <c r="K20" i="28"/>
  <c r="K19" i="28"/>
  <c r="K18" i="28"/>
  <c r="K17" i="28"/>
  <c r="K16" i="28"/>
  <c r="K15" i="28"/>
  <c r="K14" i="28"/>
  <c r="AC41" i="24" l="1"/>
  <c r="AA44" i="24" s="1"/>
  <c r="Y31" i="20"/>
  <c r="Y31" i="24"/>
  <c r="K88" i="66" l="1"/>
  <c r="L88" i="66"/>
  <c r="L51" i="28"/>
  <c r="M51" i="28"/>
  <c r="K51" i="28"/>
  <c r="AC41" i="20" s="1"/>
  <c r="B9" i="28"/>
  <c r="H21" i="66"/>
  <c r="I21" i="66"/>
  <c r="G21" i="66"/>
  <c r="H19" i="66"/>
  <c r="I19" i="66"/>
  <c r="G19" i="66"/>
  <c r="H17" i="66"/>
  <c r="I17" i="66"/>
  <c r="G17" i="66"/>
  <c r="J83" i="66"/>
  <c r="J81" i="66"/>
  <c r="J79" i="66"/>
  <c r="J77" i="66"/>
  <c r="J75" i="66"/>
  <c r="J73" i="66"/>
  <c r="J63" i="66"/>
  <c r="J61" i="66"/>
  <c r="J59" i="66"/>
  <c r="J57" i="66"/>
  <c r="J55" i="66"/>
  <c r="J53" i="66"/>
  <c r="J37" i="66"/>
  <c r="J35" i="66"/>
  <c r="J33" i="66"/>
  <c r="J31" i="66"/>
  <c r="J29" i="66"/>
  <c r="J27" i="66"/>
  <c r="J87" i="66"/>
  <c r="J85" i="66"/>
  <c r="J71" i="66"/>
  <c r="J69" i="66"/>
  <c r="J67" i="66"/>
  <c r="J65" i="66"/>
  <c r="J51" i="66"/>
  <c r="J49" i="66"/>
  <c r="J47" i="66"/>
  <c r="J45" i="66"/>
  <c r="J43" i="66"/>
  <c r="J41" i="66"/>
  <c r="J25" i="66"/>
  <c r="J23" i="66"/>
  <c r="J39" i="66"/>
  <c r="Y41" i="20" l="1"/>
  <c r="Y33" i="20"/>
  <c r="Y33" i="24"/>
  <c r="U41" i="20"/>
  <c r="Y32" i="20"/>
  <c r="Y32" i="24"/>
  <c r="Y34" i="24"/>
  <c r="Y34" i="20"/>
  <c r="J17" i="66"/>
  <c r="J19" i="66"/>
  <c r="J21" i="66"/>
  <c r="G26" i="65" l="1"/>
  <c r="G23" i="65"/>
  <c r="V23" i="65" s="1"/>
  <c r="G20" i="65"/>
  <c r="V20" i="65" s="1"/>
  <c r="G17" i="65"/>
  <c r="V17" i="65" s="1"/>
  <c r="G14" i="65"/>
  <c r="V14" i="65" s="1"/>
  <c r="V29" i="65"/>
  <c r="V26" i="65"/>
  <c r="V11" i="65"/>
  <c r="G11" i="65"/>
  <c r="G5" i="65"/>
  <c r="V5" i="65" s="1"/>
  <c r="G26" i="64"/>
  <c r="V26" i="64" s="1"/>
  <c r="G23" i="64"/>
  <c r="V23" i="64" s="1"/>
  <c r="G20" i="64"/>
  <c r="V20" i="64" s="1"/>
  <c r="G17" i="64"/>
  <c r="V17" i="64" s="1"/>
  <c r="G14" i="64"/>
  <c r="V14" i="64" s="1"/>
  <c r="V29" i="64"/>
  <c r="V11" i="64"/>
  <c r="G11" i="64"/>
  <c r="G5" i="64"/>
  <c r="V5" i="64" s="1"/>
  <c r="G26" i="63"/>
  <c r="V26" i="63" s="1"/>
  <c r="G23" i="63"/>
  <c r="V23" i="63" s="1"/>
  <c r="G20" i="63"/>
  <c r="V20" i="63" s="1"/>
  <c r="G17" i="63"/>
  <c r="V17" i="63" s="1"/>
  <c r="G14" i="63"/>
  <c r="V14" i="63" s="1"/>
  <c r="V29" i="63"/>
  <c r="V11" i="63"/>
  <c r="G11" i="63"/>
  <c r="G5" i="63"/>
  <c r="V5" i="63" s="1"/>
  <c r="G26" i="62"/>
  <c r="V26" i="62" s="1"/>
  <c r="G23" i="62"/>
  <c r="V23" i="62" s="1"/>
  <c r="G20" i="62"/>
  <c r="V20" i="62" s="1"/>
  <c r="G17" i="62"/>
  <c r="V17" i="62" s="1"/>
  <c r="G14" i="62"/>
  <c r="V14" i="62" s="1"/>
  <c r="V29" i="62"/>
  <c r="V11" i="62"/>
  <c r="G11" i="62"/>
  <c r="G5" i="62"/>
  <c r="V5" i="62" s="1"/>
  <c r="G26" i="61"/>
  <c r="V26" i="61" s="1"/>
  <c r="G23" i="61"/>
  <c r="V23" i="61" s="1"/>
  <c r="G20" i="61"/>
  <c r="V20" i="61" s="1"/>
  <c r="G17" i="61"/>
  <c r="V17" i="61" s="1"/>
  <c r="G14" i="61"/>
  <c r="V14" i="61" s="1"/>
  <c r="V29" i="61"/>
  <c r="V11" i="61"/>
  <c r="G11" i="61"/>
  <c r="G5" i="61"/>
  <c r="V5" i="61" s="1"/>
  <c r="G26" i="60"/>
  <c r="V26" i="60" s="1"/>
  <c r="G23" i="60"/>
  <c r="V23" i="60" s="1"/>
  <c r="G20" i="60"/>
  <c r="V20" i="60" s="1"/>
  <c r="G17" i="60"/>
  <c r="V17" i="60" s="1"/>
  <c r="G14" i="60"/>
  <c r="V14" i="60" s="1"/>
  <c r="V29" i="60"/>
  <c r="V11" i="60"/>
  <c r="G11" i="60"/>
  <c r="G5" i="60"/>
  <c r="V5" i="60" s="1"/>
  <c r="G26" i="59"/>
  <c r="V26" i="59" s="1"/>
  <c r="G23" i="59"/>
  <c r="V23" i="59" s="1"/>
  <c r="G20" i="59"/>
  <c r="V20" i="59" s="1"/>
  <c r="G17" i="59"/>
  <c r="V17" i="59" s="1"/>
  <c r="G14" i="59"/>
  <c r="V14" i="59" s="1"/>
  <c r="V29" i="59"/>
  <c r="V11" i="59"/>
  <c r="G11" i="59"/>
  <c r="G5" i="59"/>
  <c r="V5" i="59" s="1"/>
  <c r="G26" i="58"/>
  <c r="V26" i="58" s="1"/>
  <c r="G23" i="58"/>
  <c r="V23" i="58" s="1"/>
  <c r="G20" i="58"/>
  <c r="V20" i="58" s="1"/>
  <c r="G17" i="58"/>
  <c r="V17" i="58" s="1"/>
  <c r="G14" i="58"/>
  <c r="V14" i="58" s="1"/>
  <c r="V29" i="58"/>
  <c r="V11" i="58"/>
  <c r="G11" i="58"/>
  <c r="G5" i="58"/>
  <c r="V5" i="58" s="1"/>
  <c r="G26" i="57"/>
  <c r="V26" i="57" s="1"/>
  <c r="G23" i="57"/>
  <c r="V23" i="57" s="1"/>
  <c r="G20" i="57"/>
  <c r="V20" i="57" s="1"/>
  <c r="G17" i="57"/>
  <c r="V17" i="57" s="1"/>
  <c r="G14" i="57"/>
  <c r="V14" i="57" s="1"/>
  <c r="V29" i="57"/>
  <c r="V11" i="57"/>
  <c r="G11" i="57"/>
  <c r="G5" i="57"/>
  <c r="V5" i="57" s="1"/>
  <c r="G26" i="56"/>
  <c r="V26" i="56" s="1"/>
  <c r="G23" i="56"/>
  <c r="V23" i="56" s="1"/>
  <c r="G20" i="56"/>
  <c r="V20" i="56" s="1"/>
  <c r="G17" i="56"/>
  <c r="V17" i="56" s="1"/>
  <c r="G14" i="56"/>
  <c r="V14" i="56" s="1"/>
  <c r="V29" i="56"/>
  <c r="V11" i="56"/>
  <c r="G11" i="56"/>
  <c r="G5" i="56"/>
  <c r="V5" i="56" s="1"/>
  <c r="G26" i="55"/>
  <c r="V26" i="55" s="1"/>
  <c r="G23" i="55"/>
  <c r="V23" i="55" s="1"/>
  <c r="G20" i="55"/>
  <c r="V20" i="55" s="1"/>
  <c r="G17" i="55"/>
  <c r="V17" i="55" s="1"/>
  <c r="G14" i="55"/>
  <c r="V14" i="55" s="1"/>
  <c r="G26" i="54"/>
  <c r="V26" i="54" s="1"/>
  <c r="G23" i="54"/>
  <c r="V23" i="54" s="1"/>
  <c r="G20" i="54"/>
  <c r="V20" i="54" s="1"/>
  <c r="G17" i="54"/>
  <c r="V17" i="54" s="1"/>
  <c r="G14" i="54"/>
  <c r="V14" i="54" s="1"/>
  <c r="G26" i="53"/>
  <c r="V26" i="53" s="1"/>
  <c r="G23" i="53"/>
  <c r="V23" i="53" s="1"/>
  <c r="G20" i="53"/>
  <c r="V20" i="53" s="1"/>
  <c r="G17" i="53"/>
  <c r="V17" i="53" s="1"/>
  <c r="G14" i="53"/>
  <c r="V14" i="53" s="1"/>
  <c r="V29" i="55"/>
  <c r="V11" i="55"/>
  <c r="G11" i="55"/>
  <c r="G5" i="55"/>
  <c r="V5" i="55" s="1"/>
  <c r="V29" i="54"/>
  <c r="V11" i="54"/>
  <c r="G11" i="54"/>
  <c r="G5" i="54"/>
  <c r="V5" i="54" s="1"/>
  <c r="V29" i="53"/>
  <c r="V11" i="53"/>
  <c r="G11" i="53"/>
  <c r="G5" i="53"/>
  <c r="V5" i="53" s="1"/>
  <c r="G26" i="52"/>
  <c r="V26" i="52" s="1"/>
  <c r="G23" i="52"/>
  <c r="V23" i="52" s="1"/>
  <c r="G20" i="52"/>
  <c r="V20" i="52" s="1"/>
  <c r="G17" i="52"/>
  <c r="V17" i="52" s="1"/>
  <c r="G14" i="52"/>
  <c r="V14" i="52" s="1"/>
  <c r="V29" i="52"/>
  <c r="V11" i="52"/>
  <c r="G11" i="52"/>
  <c r="G5" i="52"/>
  <c r="V5" i="52" s="1"/>
  <c r="G26" i="51"/>
  <c r="V26" i="51" s="1"/>
  <c r="G23" i="51"/>
  <c r="V23" i="51" s="1"/>
  <c r="G20" i="51"/>
  <c r="V20" i="51" s="1"/>
  <c r="G17" i="51"/>
  <c r="V17" i="51" s="1"/>
  <c r="G14" i="51"/>
  <c r="V14" i="51" s="1"/>
  <c r="V29" i="51"/>
  <c r="V11" i="51"/>
  <c r="G11" i="51"/>
  <c r="G5" i="51"/>
  <c r="V5" i="51" s="1"/>
  <c r="G26" i="50"/>
  <c r="V26" i="50" s="1"/>
  <c r="G23" i="50"/>
  <c r="V23" i="50" s="1"/>
  <c r="G20" i="50"/>
  <c r="V20" i="50" s="1"/>
  <c r="G17" i="50"/>
  <c r="V17" i="50" s="1"/>
  <c r="G14" i="50"/>
  <c r="V14" i="50" s="1"/>
  <c r="V29" i="50"/>
  <c r="V11" i="50"/>
  <c r="G11" i="50"/>
  <c r="G5" i="50"/>
  <c r="V5" i="50" s="1"/>
  <c r="G26" i="49"/>
  <c r="V26" i="49" s="1"/>
  <c r="G23" i="49"/>
  <c r="V23" i="49" s="1"/>
  <c r="G20" i="49"/>
  <c r="V20" i="49" s="1"/>
  <c r="G17" i="49"/>
  <c r="V17" i="49" s="1"/>
  <c r="G14" i="49"/>
  <c r="V14" i="49" s="1"/>
  <c r="V29" i="49"/>
  <c r="V11" i="49"/>
  <c r="G11" i="49"/>
  <c r="G5" i="49"/>
  <c r="V5" i="49" s="1"/>
  <c r="G26" i="48"/>
  <c r="V26" i="48" s="1"/>
  <c r="G23" i="48"/>
  <c r="V23" i="48" s="1"/>
  <c r="G20" i="48"/>
  <c r="V20" i="48" s="1"/>
  <c r="G17" i="48"/>
  <c r="V17" i="48" s="1"/>
  <c r="G14" i="48"/>
  <c r="V14" i="48" s="1"/>
  <c r="V29" i="48"/>
  <c r="V11" i="48"/>
  <c r="G11" i="48"/>
  <c r="G5" i="48"/>
  <c r="V5" i="48" s="1"/>
  <c r="G26" i="47"/>
  <c r="V26" i="47" s="1"/>
  <c r="G23" i="47"/>
  <c r="V23" i="47" s="1"/>
  <c r="G20" i="47"/>
  <c r="V20" i="47" s="1"/>
  <c r="G17" i="47"/>
  <c r="V17" i="47" s="1"/>
  <c r="G14" i="47"/>
  <c r="V29" i="47"/>
  <c r="V14" i="47"/>
  <c r="V11" i="47"/>
  <c r="G11" i="47"/>
  <c r="G5" i="47"/>
  <c r="V5" i="47" s="1"/>
  <c r="G26" i="46"/>
  <c r="G23" i="46"/>
  <c r="G20" i="46"/>
  <c r="G17" i="46"/>
  <c r="G14" i="46"/>
  <c r="G26" i="45"/>
  <c r="G23" i="45"/>
  <c r="G20" i="45"/>
  <c r="G17" i="45"/>
  <c r="G14" i="45"/>
  <c r="G26" i="44"/>
  <c r="G23" i="44"/>
  <c r="G20" i="44"/>
  <c r="G17" i="44"/>
  <c r="G14" i="44"/>
  <c r="G26" i="43"/>
  <c r="G23" i="43"/>
  <c r="G20" i="43"/>
  <c r="G17" i="43"/>
  <c r="G14" i="43"/>
  <c r="G26" i="42"/>
  <c r="G23" i="42"/>
  <c r="G20" i="42"/>
  <c r="G17" i="42"/>
  <c r="G14" i="42"/>
  <c r="G26" i="41"/>
  <c r="G23" i="41"/>
  <c r="G20" i="41"/>
  <c r="G17" i="41"/>
  <c r="G14" i="41"/>
  <c r="G26" i="40"/>
  <c r="G23" i="40"/>
  <c r="G20" i="40"/>
  <c r="G17" i="40"/>
  <c r="G14" i="40"/>
  <c r="G26" i="39"/>
  <c r="G23" i="39"/>
  <c r="G20" i="39"/>
  <c r="G17" i="39"/>
  <c r="G14" i="39"/>
  <c r="G26" i="38"/>
  <c r="G23" i="38"/>
  <c r="G20" i="38"/>
  <c r="G17" i="38"/>
  <c r="G14" i="38"/>
  <c r="G26" i="37"/>
  <c r="G23" i="37"/>
  <c r="G20" i="37"/>
  <c r="G17" i="37"/>
  <c r="G14" i="37"/>
  <c r="G26" i="36"/>
  <c r="G23" i="36"/>
  <c r="G20" i="36"/>
  <c r="G17" i="36"/>
  <c r="G14" i="36"/>
  <c r="G26" i="35"/>
  <c r="G23" i="35"/>
  <c r="G20" i="35"/>
  <c r="G17" i="35"/>
  <c r="G14" i="35"/>
  <c r="G26" i="34"/>
  <c r="G23" i="34"/>
  <c r="G20" i="34"/>
  <c r="G17" i="34"/>
  <c r="G14" i="34"/>
  <c r="G26" i="33"/>
  <c r="G23" i="33"/>
  <c r="G20" i="33"/>
  <c r="G17" i="33"/>
  <c r="G14" i="33"/>
  <c r="G26" i="32"/>
  <c r="G23" i="32"/>
  <c r="G20" i="32"/>
  <c r="G17" i="32"/>
  <c r="G14" i="32"/>
  <c r="G26" i="31"/>
  <c r="G23" i="31"/>
  <c r="G20" i="31"/>
  <c r="G17" i="31"/>
  <c r="G14" i="31"/>
  <c r="G14" i="30"/>
  <c r="G26" i="30"/>
  <c r="G23" i="30"/>
  <c r="G20" i="30"/>
  <c r="V20" i="46" l="1"/>
  <c r="V17" i="46"/>
  <c r="V14" i="46"/>
  <c r="V29" i="46"/>
  <c r="V11" i="46"/>
  <c r="G11" i="46"/>
  <c r="G5" i="46"/>
  <c r="V5" i="46" s="1"/>
  <c r="V20" i="45"/>
  <c r="V17" i="45"/>
  <c r="V14" i="45"/>
  <c r="V29" i="45"/>
  <c r="V11" i="45"/>
  <c r="G11" i="45"/>
  <c r="G5" i="45"/>
  <c r="V5" i="45" s="1"/>
  <c r="V20" i="44"/>
  <c r="V17" i="44"/>
  <c r="V14" i="44"/>
  <c r="V29" i="44"/>
  <c r="V11" i="44"/>
  <c r="G11" i="44"/>
  <c r="G5" i="44"/>
  <c r="V5" i="44" s="1"/>
  <c r="V20" i="43"/>
  <c r="V17" i="43"/>
  <c r="V14" i="43"/>
  <c r="V29" i="43"/>
  <c r="V11" i="43"/>
  <c r="G11" i="43"/>
  <c r="G5" i="43"/>
  <c r="V5" i="43" s="1"/>
  <c r="V20" i="42"/>
  <c r="V17" i="42"/>
  <c r="V14" i="42"/>
  <c r="V29" i="42"/>
  <c r="V11" i="42"/>
  <c r="G11" i="42"/>
  <c r="G5" i="42"/>
  <c r="V5" i="42" s="1"/>
  <c r="V17" i="41"/>
  <c r="V14" i="41"/>
  <c r="V29" i="41"/>
  <c r="V11" i="41"/>
  <c r="G11" i="41"/>
  <c r="G5" i="41"/>
  <c r="V5" i="41" s="1"/>
  <c r="V17" i="40"/>
  <c r="V14" i="40"/>
  <c r="V29" i="40"/>
  <c r="V11" i="40"/>
  <c r="G11" i="40"/>
  <c r="G5" i="40"/>
  <c r="V5" i="40" s="1"/>
  <c r="V17" i="39"/>
  <c r="V14" i="39"/>
  <c r="V29" i="39"/>
  <c r="V11" i="39"/>
  <c r="G11" i="39"/>
  <c r="G5" i="39"/>
  <c r="V5" i="39" s="1"/>
  <c r="V17" i="38"/>
  <c r="V14" i="38"/>
  <c r="V29" i="38"/>
  <c r="V11" i="38"/>
  <c r="G11" i="38"/>
  <c r="G5" i="38"/>
  <c r="V5" i="38" s="1"/>
  <c r="V17" i="37"/>
  <c r="V14" i="37"/>
  <c r="V29" i="37"/>
  <c r="V11" i="37"/>
  <c r="G11" i="37"/>
  <c r="G5" i="37"/>
  <c r="V5" i="37" s="1"/>
  <c r="V17" i="36"/>
  <c r="V14" i="36"/>
  <c r="V29" i="36"/>
  <c r="V11" i="36"/>
  <c r="G11" i="36"/>
  <c r="G5" i="36"/>
  <c r="V5" i="36" s="1"/>
  <c r="V17" i="35"/>
  <c r="V14" i="35"/>
  <c r="V29" i="35"/>
  <c r="V11" i="35"/>
  <c r="G11" i="35"/>
  <c r="G5" i="35"/>
  <c r="V5" i="35" s="1"/>
  <c r="V17" i="34"/>
  <c r="V14" i="34"/>
  <c r="V29" i="34"/>
  <c r="V11" i="34"/>
  <c r="G11" i="34"/>
  <c r="G5" i="34"/>
  <c r="V5" i="34" s="1"/>
  <c r="V17" i="33"/>
  <c r="V14" i="33"/>
  <c r="V29" i="33"/>
  <c r="V11" i="33"/>
  <c r="G11" i="33"/>
  <c r="G5" i="33"/>
  <c r="V5" i="33" s="1"/>
  <c r="V26" i="46"/>
  <c r="V26" i="32" l="1"/>
  <c r="V17" i="32"/>
  <c r="V14" i="32"/>
  <c r="V29" i="32"/>
  <c r="V11" i="32"/>
  <c r="G11" i="32"/>
  <c r="G5" i="32"/>
  <c r="V5" i="32" s="1"/>
  <c r="V17" i="31"/>
  <c r="V14" i="31"/>
  <c r="V29" i="31"/>
  <c r="V11" i="31"/>
  <c r="G11" i="31"/>
  <c r="G5" i="31"/>
  <c r="V5" i="31" s="1"/>
  <c r="V14" i="30"/>
  <c r="G17" i="30"/>
  <c r="V17" i="30" s="1"/>
  <c r="V29" i="30"/>
  <c r="V11" i="30"/>
  <c r="G11" i="30"/>
  <c r="G5" i="30"/>
  <c r="V5" i="30" s="1"/>
  <c r="G14" i="21" l="1"/>
  <c r="V14" i="21" s="1"/>
  <c r="V23" i="46" l="1"/>
  <c r="V23" i="45"/>
  <c r="V23" i="44"/>
  <c r="V23" i="43" l="1"/>
  <c r="V23" i="42"/>
  <c r="G5" i="21"/>
  <c r="V5" i="21" s="1"/>
  <c r="V23" i="30" l="1"/>
  <c r="V20" i="30"/>
  <c r="G23" i="21"/>
  <c r="V23" i="21" s="1"/>
  <c r="G20" i="21"/>
  <c r="V20" i="21" s="1"/>
  <c r="V26" i="42"/>
  <c r="V23" i="41"/>
  <c r="V20" i="41"/>
  <c r="V23" i="40"/>
  <c r="V20" i="40"/>
  <c r="V26" i="40"/>
  <c r="V23" i="39"/>
  <c r="V20" i="39"/>
  <c r="V26" i="39"/>
  <c r="V23" i="38"/>
  <c r="V20" i="38"/>
  <c r="V26" i="38"/>
  <c r="V23" i="37"/>
  <c r="V20" i="37"/>
  <c r="V26" i="37"/>
  <c r="V23" i="36"/>
  <c r="V20" i="36"/>
  <c r="V26" i="36"/>
  <c r="V23" i="35"/>
  <c r="V20" i="35"/>
  <c r="V26" i="35"/>
  <c r="V23" i="34"/>
  <c r="V20" i="34"/>
  <c r="V23" i="33"/>
  <c r="V20" i="33"/>
  <c r="V23" i="32"/>
  <c r="V20" i="32"/>
  <c r="V20" i="31"/>
  <c r="V23" i="31"/>
  <c r="V26" i="30" l="1"/>
  <c r="V26" i="31"/>
  <c r="V26" i="33"/>
  <c r="V26" i="34"/>
  <c r="V26" i="41"/>
  <c r="V26" i="43"/>
  <c r="V26" i="44"/>
  <c r="V26" i="45"/>
  <c r="G26" i="21"/>
  <c r="V26" i="21" s="1"/>
  <c r="Y44" i="20" l="1"/>
  <c r="G17" i="21"/>
  <c r="V17" i="21" s="1"/>
  <c r="V11" i="21"/>
  <c r="V10" i="20"/>
  <c r="V8" i="20"/>
  <c r="B9" i="66" s="1"/>
  <c r="B20" i="20"/>
  <c r="B21" i="20"/>
  <c r="B22" i="20"/>
  <c r="B19" i="20"/>
  <c r="U44" i="20" l="1"/>
  <c r="V29" i="21"/>
  <c r="AC44" i="20" l="1"/>
  <c r="G11" i="21"/>
  <c r="J88" i="66" l="1"/>
</calcChain>
</file>

<file path=xl/sharedStrings.xml><?xml version="1.0" encoding="utf-8"?>
<sst xmlns="http://schemas.openxmlformats.org/spreadsheetml/2006/main" count="3623" uniqueCount="307">
  <si>
    <t>HEAD OFFICE &amp; CHANGWON PLANT</t>
  </si>
  <si>
    <t>22, DoosanVolvo-ro, Seongsan-gu, Changwon-Si,</t>
    <phoneticPr fontId="10" type="noConversion"/>
  </si>
  <si>
    <t>Gyeongsangnam-do, Korea</t>
    <phoneticPr fontId="10" type="noConversion"/>
  </si>
  <si>
    <t>(P.O.BOX 77, Changwon, Korea)</t>
    <phoneticPr fontId="10" type="noConversion"/>
  </si>
  <si>
    <t>TEL:(055)278-6114,7114 FAX:(055)264-5551/2</t>
  </si>
  <si>
    <t>PROFORMA INVOICE
ПРОФОРМА ИНВОЙС</t>
    <phoneticPr fontId="10" type="noConversion"/>
  </si>
  <si>
    <t>1. Shipper / Грузоотправитель</t>
    <phoneticPr fontId="10" type="noConversion"/>
  </si>
  <si>
    <r>
      <t xml:space="preserve">11. Invoice </t>
    </r>
    <r>
      <rPr>
        <b/>
        <sz val="10"/>
        <rFont val="Calibri"/>
        <family val="2"/>
      </rPr>
      <t>№</t>
    </r>
    <r>
      <rPr>
        <b/>
        <sz val="11"/>
        <rFont val="Calibri"/>
        <family val="2"/>
      </rPr>
      <t xml:space="preserve"> :  </t>
    </r>
    <phoneticPr fontId="10" type="noConversion"/>
  </si>
  <si>
    <t>PGU-DE-0311</t>
    <phoneticPr fontId="10" type="noConversion"/>
  </si>
  <si>
    <t>Doosan Enerbility Co., Ltd (DOOSAN)</t>
    <phoneticPr fontId="10" type="noConversion"/>
  </si>
  <si>
    <r>
      <t xml:space="preserve">Инвойс </t>
    </r>
    <r>
      <rPr>
        <b/>
        <sz val="9"/>
        <rFont val="Calibri"/>
        <family val="2"/>
      </rPr>
      <t>№</t>
    </r>
    <phoneticPr fontId="10" type="noConversion"/>
  </si>
  <si>
    <t>22, DoosanVolvo-ro, Seongsan-gu, Changwon-si, Gyeongsangnam-do</t>
    <phoneticPr fontId="10" type="noConversion"/>
  </si>
  <si>
    <t xml:space="preserve">12. Date : </t>
    <phoneticPr fontId="10" type="noConversion"/>
  </si>
  <si>
    <t>Republic of Korea</t>
    <phoneticPr fontId="10" type="noConversion"/>
  </si>
  <si>
    <t xml:space="preserve">Дата </t>
    <phoneticPr fontId="10" type="noConversion"/>
  </si>
  <si>
    <t>2. Consignee / Грузополучатель</t>
    <phoneticPr fontId="10" type="noConversion"/>
  </si>
  <si>
    <t>13. Remarks / Примечания</t>
    <phoneticPr fontId="10" type="noConversion"/>
  </si>
  <si>
    <t>Branch of JSC "Doosan Enerbility" in the Turkestan region</t>
    <phoneticPr fontId="10" type="noConversion"/>
  </si>
  <si>
    <t>321 Tauke Khan Avenue, Turkestan region, Turkestan, Kazakhstan, 161200</t>
    <phoneticPr fontId="10" type="noConversion"/>
  </si>
  <si>
    <t>*Project Name / Название Проекта</t>
    <phoneticPr fontId="10" type="noConversion"/>
  </si>
  <si>
    <t>BIN: 230741006561</t>
    <phoneticPr fontId="10" type="noConversion"/>
  </si>
  <si>
    <t xml:space="preserve">Construction of a 1000 MW CCGT Power Plant in the Sairam District of Turkistan Region, Main Site. Without External Engineering Networks
</t>
    <phoneticPr fontId="10" type="noConversion"/>
  </si>
  <si>
    <t>*MANUFACTURER'S NAME / НАЗВАНИЕ ПРОИЗВОДИТЕЛЯ</t>
    <phoneticPr fontId="10" type="noConversion"/>
  </si>
  <si>
    <t>3. Notify party / Уведомляемая сторона</t>
    <phoneticPr fontId="10" type="noConversion"/>
  </si>
  <si>
    <t>Siemens-energy</t>
    <phoneticPr fontId="10" type="noConversion"/>
  </si>
  <si>
    <t>Wise Logistics</t>
  </si>
  <si>
    <t>*MANUFACTURE YEAR / ГОД ИЗГОТОВЛЕНИЯ</t>
    <phoneticPr fontId="10" type="noConversion"/>
  </si>
  <si>
    <t xml:space="preserve">ATTAN: MS. Aliya </t>
  </si>
  <si>
    <t>(E): a.kipshakbayeva@wiselogistics.kz</t>
  </si>
  <si>
    <t>*COUNTRY OF ORIGIN / СТРАНА ПРОИСХОЖДЕНИЯ</t>
    <phoneticPr fontId="10" type="noConversion"/>
  </si>
  <si>
    <t>(T): +7 701 512 19 69</t>
  </si>
  <si>
    <t>Korea</t>
    <phoneticPr fontId="10" type="noConversion"/>
  </si>
  <si>
    <t>*INCOTERMS / УСЛОВИЯ ПОСТАВКИ СОГЛАСНО ИНКОТЕРМС</t>
    <phoneticPr fontId="10" type="noConversion"/>
  </si>
  <si>
    <t>DDP Turkistan</t>
    <phoneticPr fontId="10" type="noConversion"/>
  </si>
  <si>
    <t>4. Port of Loading / Порт погрузки</t>
    <phoneticPr fontId="10" type="noConversion"/>
  </si>
  <si>
    <t>5. Carrier / Перевозчик</t>
    <phoneticPr fontId="10" type="noConversion"/>
  </si>
  <si>
    <t>Busan, Korea</t>
    <phoneticPr fontId="4" type="noConversion"/>
  </si>
  <si>
    <t>Later</t>
    <phoneticPr fontId="4" type="noConversion"/>
  </si>
  <si>
    <t>6. Port of Unloading / Порт разгрузки</t>
    <phoneticPr fontId="10" type="noConversion"/>
  </si>
  <si>
    <t>7. Final Destination / Конечный пункт 
назначения</t>
    <phoneticPr fontId="10" type="noConversion"/>
  </si>
  <si>
    <t>14. Mark and Numbers of PKGS / Маркировка и количество упаковок</t>
    <phoneticPr fontId="10" type="noConversion"/>
  </si>
  <si>
    <t>Turkestan Oblast, Sairam district</t>
    <phoneticPr fontId="10" type="noConversion"/>
  </si>
  <si>
    <t>PKG No.</t>
    <phoneticPr fontId="10" type="noConversion"/>
  </si>
  <si>
    <t>:</t>
    <phoneticPr fontId="10" type="noConversion"/>
  </si>
  <si>
    <t>PGU-DE-0311-DCS-INS-001~037</t>
    <phoneticPr fontId="10" type="noConversion"/>
  </si>
  <si>
    <t>Q-ty of Package</t>
    <phoneticPr fontId="10" type="noConversion"/>
  </si>
  <si>
    <t>PKGS</t>
    <phoneticPr fontId="10" type="noConversion"/>
  </si>
  <si>
    <t>8. Voyage No / Рейс №</t>
    <phoneticPr fontId="10" type="noConversion"/>
  </si>
  <si>
    <t>9. Sailing on or about / Дата или
ожидаемая дата</t>
    <phoneticPr fontId="10" type="noConversion"/>
  </si>
  <si>
    <t>Net Weight (kg)</t>
    <phoneticPr fontId="10" type="noConversion"/>
  </si>
  <si>
    <t>KG</t>
    <phoneticPr fontId="10" type="noConversion"/>
  </si>
  <si>
    <t>Gross Weight (kg)</t>
    <phoneticPr fontId="10" type="noConversion"/>
  </si>
  <si>
    <t>Dimension (m3)</t>
    <phoneticPr fontId="10" type="noConversion"/>
  </si>
  <si>
    <r>
      <t>m</t>
    </r>
    <r>
      <rPr>
        <vertAlign val="superscript"/>
        <sz val="11"/>
        <rFont val="Calibri"/>
        <family val="2"/>
      </rPr>
      <t>3</t>
    </r>
    <phoneticPr fontId="10" type="noConversion"/>
  </si>
  <si>
    <t>10. Customs Place / Место таможенного оформления</t>
    <phoneticPr fontId="4" type="noConversion"/>
  </si>
  <si>
    <r>
      <t xml:space="preserve">15. Description of Goods / Описание товара
   </t>
    </r>
    <r>
      <rPr>
        <sz val="11"/>
        <rFont val="Calibri"/>
        <family val="2"/>
      </rPr>
      <t xml:space="preserve">    </t>
    </r>
    <phoneticPr fontId="10" type="noConversion"/>
  </si>
  <si>
    <t>16. HS CODE /</t>
    <phoneticPr fontId="10" type="noConversion"/>
  </si>
  <si>
    <t>17. Quantity /</t>
    <phoneticPr fontId="10" type="noConversion"/>
  </si>
  <si>
    <t>18. Total Price (USD)</t>
    <phoneticPr fontId="10" type="noConversion"/>
  </si>
  <si>
    <t>Код ТН ВЭД</t>
    <phoneticPr fontId="10" type="noConversion"/>
  </si>
  <si>
    <t>Количество</t>
    <phoneticPr fontId="10" type="noConversion"/>
  </si>
  <si>
    <t>Общая сумма (Дол. США)</t>
    <phoneticPr fontId="10" type="noConversion"/>
  </si>
  <si>
    <t>DCS_Installation Material</t>
  </si>
  <si>
    <t>8544.20-0000</t>
    <phoneticPr fontId="10" type="noConversion"/>
  </si>
  <si>
    <t>1 SET</t>
    <phoneticPr fontId="10" type="noConversion"/>
  </si>
  <si>
    <t>BOM 9.1 - Распределённая автоматизированная система управления</t>
    <phoneticPr fontId="10" type="noConversion"/>
  </si>
  <si>
    <t>Распределённая автоматизированная система управления</t>
    <phoneticPr fontId="10" type="noConversion"/>
  </si>
  <si>
    <t>Total (DDP Value)</t>
    <phoneticPr fontId="10" type="noConversion"/>
  </si>
  <si>
    <t>Signed by</t>
  </si>
  <si>
    <t>Doosan Enerbility Co., Ltd</t>
    <phoneticPr fontId="10" type="noConversion"/>
  </si>
  <si>
    <t>155, Jeongjail-ro, Bundang-gu, Seongnam-si, Gyeonggi-do, Korea</t>
    <phoneticPr fontId="10" type="noConversion"/>
  </si>
  <si>
    <t>Tel. +82 31 5179 2045</t>
    <phoneticPr fontId="10" type="noConversion"/>
  </si>
  <si>
    <t xml:space="preserve"> Gihun Bek / Project Director</t>
    <phoneticPr fontId="36" type="noConversion"/>
  </si>
  <si>
    <t>Fax. +82 31 5179 2197</t>
    <phoneticPr fontId="10" type="noConversion"/>
  </si>
  <si>
    <t>Doosan Enerbility Co., Ltd.</t>
    <phoneticPr fontId="10" type="noConversion"/>
  </si>
  <si>
    <t>INVOICE (Break-down)</t>
    <phoneticPr fontId="10" type="noConversion"/>
  </si>
  <si>
    <t xml:space="preserve">Invoice № :  </t>
    <phoneticPr fontId="10" type="noConversion"/>
  </si>
  <si>
    <t>№</t>
    <phoneticPr fontId="10" type="noConversion"/>
  </si>
  <si>
    <t>№ Package</t>
    <phoneticPr fontId="10" type="noConversion"/>
  </si>
  <si>
    <t>Description of Goods Specification</t>
    <phoneticPr fontId="10" type="noConversion"/>
  </si>
  <si>
    <t>HS CODE</t>
    <phoneticPr fontId="10" type="noConversion"/>
  </si>
  <si>
    <t>Quantity</t>
    <phoneticPr fontId="10" type="noConversion"/>
  </si>
  <si>
    <t>Unit</t>
    <phoneticPr fontId="10" type="noConversion"/>
  </si>
  <si>
    <t>U/Price
(USD)</t>
    <phoneticPr fontId="4" type="noConversion"/>
  </si>
  <si>
    <t>Amount
(USD)</t>
    <phoneticPr fontId="4" type="noConversion"/>
  </si>
  <si>
    <t>Country of
Origin</t>
    <phoneticPr fontId="10" type="noConversion"/>
  </si>
  <si>
    <t>Remark</t>
    <phoneticPr fontId="10" type="noConversion"/>
  </si>
  <si>
    <t>PGU-DE-0311-DCS-INS-001</t>
  </si>
  <si>
    <t xml:space="preserve">Power cable </t>
  </si>
  <si>
    <t>EA / ШТ.</t>
  </si>
  <si>
    <t>Korea</t>
    <phoneticPr fontId="4" type="noConversion"/>
  </si>
  <si>
    <t>PGU-DE-0311-DCS-INS-002</t>
  </si>
  <si>
    <t>FO Cable Drum</t>
  </si>
  <si>
    <t>PGU-DE-0311-DCS-INS-003</t>
  </si>
  <si>
    <t>PGU-DE-0311-DCS-INS-004</t>
  </si>
  <si>
    <t>PGU-DE-0311-DCS-INS-005</t>
  </si>
  <si>
    <t>PGU-DE-0311-DCS-INS-006</t>
  </si>
  <si>
    <t>PGU-DE-0311-DCS-INS-007</t>
  </si>
  <si>
    <t>PGU-DE-0311-DCS-INS-008</t>
  </si>
  <si>
    <t>PGU-DE-0311-DCS-INS-009</t>
  </si>
  <si>
    <t>PGU-DE-0311-DCS-INS-010</t>
  </si>
  <si>
    <t>PGU-DE-0311-DCS-INS-011</t>
  </si>
  <si>
    <t>PGU-DE-0311-DCS-INS-012</t>
  </si>
  <si>
    <t>PGU-DE-0311-DCS-INS-013</t>
  </si>
  <si>
    <t>PGU-DE-0311-DCS-INS-014</t>
  </si>
  <si>
    <t>PGU-DE-0311-DCS-INS-015</t>
  </si>
  <si>
    <t>PGU-DE-0311-DCS-INS-016</t>
  </si>
  <si>
    <t>PGU-DE-0311-DCS-INS-017</t>
  </si>
  <si>
    <t>PGU-DE-0311-DCS-INS-018</t>
  </si>
  <si>
    <t>PGU-DE-0311-DCS-INS-019</t>
  </si>
  <si>
    <t>PGU-DE-0311-DCS-INS-020</t>
  </si>
  <si>
    <t>PGU-DE-0311-DCS-INS-021</t>
  </si>
  <si>
    <t>PGU-DE-0311-DCS-INS-022</t>
  </si>
  <si>
    <t>PGU-DE-0311-DCS-INS-023</t>
  </si>
  <si>
    <t>PGU-DE-0311-DCS-INS-024</t>
  </si>
  <si>
    <t>PGU-DE-0311-DCS-INS-025</t>
  </si>
  <si>
    <t>PGU-DE-0311-DCS-INS-026</t>
  </si>
  <si>
    <t>PGU-DE-0311-DCS-INS-027</t>
  </si>
  <si>
    <t>PGU-DE-0311-DCS-INS-028</t>
  </si>
  <si>
    <t>PGU-DE-0311-DCS-INS-029</t>
  </si>
  <si>
    <t>PGU-DE-0311-DCS-INS-030</t>
  </si>
  <si>
    <t>PGU-DE-0311-DCS-INS-031</t>
  </si>
  <si>
    <t>PGU-DE-0311-DCS-INS-032</t>
  </si>
  <si>
    <t>PGU-DE-0311-DCS-INS-033</t>
  </si>
  <si>
    <t>PGU-DE-0311-DCS-INS-034</t>
  </si>
  <si>
    <t>PGU-DE-0311-DCS-INS-035</t>
  </si>
  <si>
    <t>PGU-DE-0311-DCS-INS-036</t>
  </si>
  <si>
    <t>PGU-DE-0311-DCS-INS-037</t>
  </si>
  <si>
    <t>TOTAL</t>
    <phoneticPr fontId="10" type="noConversion"/>
  </si>
  <si>
    <t>PACKING LIST
УПАКОВОЧНЫЙ ЛИСТ</t>
    <phoneticPr fontId="10" type="noConversion"/>
  </si>
  <si>
    <r>
      <t xml:space="preserve">11. Invoice </t>
    </r>
    <r>
      <rPr>
        <b/>
        <sz val="10"/>
        <rFont val="Calibri"/>
        <family val="2"/>
      </rPr>
      <t xml:space="preserve">№ :  </t>
    </r>
    <phoneticPr fontId="10" type="noConversion"/>
  </si>
  <si>
    <t xml:space="preserve">22, DoosanVolvo-ro, Seongsan-gu, Changwon-si, Gyeongsangnam-do, </t>
    <phoneticPr fontId="10" type="noConversion"/>
  </si>
  <si>
    <t xml:space="preserve">Construction of a 1000 MW CCGT Power Plant in the Sairam District of 
</t>
    <phoneticPr fontId="10" type="noConversion"/>
  </si>
  <si>
    <t>Turkistan Region, Main Site. Without External Engineering Networks</t>
    <phoneticPr fontId="10" type="noConversion"/>
  </si>
  <si>
    <t>7. Final Destination / Конечный пункт назначения</t>
    <phoneticPr fontId="10" type="noConversion"/>
  </si>
  <si>
    <r>
      <t xml:space="preserve">8. Voyage No / Рейс </t>
    </r>
    <r>
      <rPr>
        <b/>
        <sz val="10"/>
        <rFont val="Calibri"/>
        <family val="2"/>
      </rPr>
      <t>№</t>
    </r>
    <phoneticPr fontId="10" type="noConversion"/>
  </si>
  <si>
    <r>
      <t xml:space="preserve">15. Description of Goods / Описание товара
 </t>
    </r>
    <r>
      <rPr>
        <sz val="11"/>
        <rFont val="Calibri"/>
        <family val="2"/>
      </rPr>
      <t xml:space="preserve">      </t>
    </r>
    <phoneticPr fontId="10" type="noConversion"/>
  </si>
  <si>
    <t>16. Q-ty</t>
    <phoneticPr fontId="4" type="noConversion"/>
  </si>
  <si>
    <t>17. Net Weight</t>
    <phoneticPr fontId="4" type="noConversion"/>
  </si>
  <si>
    <t>18. Gross Weight</t>
    <phoneticPr fontId="4" type="noConversion"/>
  </si>
  <si>
    <t>19. Measurement</t>
    <phoneticPr fontId="4" type="noConversion"/>
  </si>
  <si>
    <t>(EA)</t>
    <phoneticPr fontId="4" type="noConversion"/>
  </si>
  <si>
    <t>(kg)</t>
    <phoneticPr fontId="4" type="noConversion"/>
  </si>
  <si>
    <t>(CBM)</t>
    <phoneticPr fontId="4" type="noConversion"/>
  </si>
  <si>
    <t>Tel. +82 31 5179 2041</t>
    <phoneticPr fontId="10" type="noConversion"/>
  </si>
  <si>
    <t>Note&gt;</t>
    <phoneticPr fontId="4" type="noConversion"/>
  </si>
  <si>
    <t>Storage Classification "A" :</t>
    <phoneticPr fontId="10" type="noConversion"/>
  </si>
  <si>
    <t>Indoor with Air-conditioning</t>
    <phoneticPr fontId="10" type="noConversion"/>
  </si>
  <si>
    <t>Storage Classification "B" :</t>
    <phoneticPr fontId="10" type="noConversion"/>
  </si>
  <si>
    <t>Indoor without Air-conditioning</t>
    <phoneticPr fontId="10" type="noConversion"/>
  </si>
  <si>
    <t>Storage Classification "C" :</t>
    <phoneticPr fontId="10" type="noConversion"/>
  </si>
  <si>
    <t>Outdoor with Waterproofing</t>
    <phoneticPr fontId="10" type="noConversion"/>
  </si>
  <si>
    <t>Storage Classification "D" :</t>
    <phoneticPr fontId="10" type="noConversion"/>
  </si>
  <si>
    <t>Outdoor without Waterproofing</t>
    <phoneticPr fontId="10" type="noConversion"/>
  </si>
  <si>
    <t>SUMMARY PACKING LIST
CВОДНЫЙ УПАКОВОЧНЫЙ ЛИСТ</t>
    <phoneticPr fontId="10" type="noConversion"/>
  </si>
  <si>
    <t>Project Name:</t>
    <phoneticPr fontId="10" type="noConversion"/>
  </si>
  <si>
    <t>Construction of a 1000 MW CCGT Power Plant in the Sairam District of the Turkistan Region</t>
    <phoneticPr fontId="4" type="noConversion"/>
  </si>
  <si>
    <t>Main Site. Without External Engineering Networks</t>
    <phoneticPr fontId="4" type="noConversion"/>
  </si>
  <si>
    <t xml:space="preserve">Invoice №: </t>
    <phoneticPr fontId="10" type="noConversion"/>
  </si>
  <si>
    <t xml:space="preserve">Name of Consignee: </t>
    <phoneticPr fontId="4" type="noConversion"/>
  </si>
  <si>
    <t xml:space="preserve">Consignee address: </t>
    <phoneticPr fontId="4" type="noConversion"/>
  </si>
  <si>
    <t>№</t>
  </si>
  <si>
    <r>
      <t xml:space="preserve">CNTR No. / Seal No. / 
</t>
    </r>
    <r>
      <rPr>
        <sz val="12"/>
        <rFont val="Segoe UI Symbol"/>
        <family val="2"/>
      </rPr>
      <t xml:space="preserve">№ </t>
    </r>
    <r>
      <rPr>
        <sz val="12"/>
        <rFont val="Calibri"/>
        <family val="2"/>
      </rPr>
      <t xml:space="preserve">контейнера / 
</t>
    </r>
    <r>
      <rPr>
        <sz val="12"/>
        <rFont val="Segoe UI Symbol"/>
        <family val="2"/>
      </rPr>
      <t xml:space="preserve">№ </t>
    </r>
    <r>
      <rPr>
        <sz val="12"/>
        <rFont val="Calibri"/>
        <family val="2"/>
      </rPr>
      <t>пломбы</t>
    </r>
    <phoneticPr fontId="4" type="noConversion"/>
  </si>
  <si>
    <r>
      <t xml:space="preserve">Package No. / 
</t>
    </r>
    <r>
      <rPr>
        <sz val="12"/>
        <rFont val="Segoe UI Symbol"/>
        <family val="2"/>
      </rPr>
      <t>№</t>
    </r>
    <r>
      <rPr>
        <sz val="12"/>
        <rFont val="Calibri"/>
        <family val="2"/>
      </rPr>
      <t xml:space="preserve"> упаковки</t>
    </r>
    <phoneticPr fontId="10" type="noConversion"/>
  </si>
  <si>
    <t>Description / Описание</t>
    <phoneticPr fontId="10" type="noConversion"/>
  </si>
  <si>
    <t>Packing Style / 
Вид упаковки</t>
    <phoneticPr fontId="10" type="noConversion"/>
  </si>
  <si>
    <t>Quantity / Количество</t>
    <phoneticPr fontId="10" type="noConversion"/>
  </si>
  <si>
    <t>Shipping Dimension / Отгрузочные параметры</t>
    <phoneticPr fontId="4" type="noConversion"/>
  </si>
  <si>
    <t>Net Weight (kg) / 
Вес нетто (кг)</t>
    <phoneticPr fontId="10" type="noConversion"/>
  </si>
  <si>
    <t>Gross Weight (kg) / 
Вес брутто (кг)</t>
    <phoneticPr fontId="10" type="noConversion"/>
  </si>
  <si>
    <t xml:space="preserve">Hazardous Material 
(UN Number) </t>
    <phoneticPr fontId="10" type="noConversion"/>
  </si>
  <si>
    <t>Storage Class /
Класс хранения</t>
    <phoneticPr fontId="10" type="noConversion"/>
  </si>
  <si>
    <t>Stackable / 
Штабелируемый</t>
    <phoneticPr fontId="10" type="noConversion"/>
  </si>
  <si>
    <t>Q'ty / 
Количество</t>
    <phoneticPr fontId="10" type="noConversion"/>
  </si>
  <si>
    <t>Unit / 
Ед.изм.</t>
    <phoneticPr fontId="10" type="noConversion"/>
  </si>
  <si>
    <t>L (cm) /
Д (см)</t>
    <phoneticPr fontId="4" type="noConversion"/>
  </si>
  <si>
    <t>W (cm) / 
Ш (см)</t>
    <phoneticPr fontId="10" type="noConversion"/>
  </si>
  <si>
    <t>H (cm) / 
В (см)</t>
    <phoneticPr fontId="10" type="noConversion"/>
  </si>
  <si>
    <t>CBM (m3) /
Объем (м3)</t>
    <phoneticPr fontId="10" type="noConversion"/>
  </si>
  <si>
    <t>PGU-DE-0311-DCS-INS-001</t>
    <phoneticPr fontId="4" type="noConversion"/>
  </si>
  <si>
    <t xml:space="preserve">Power cable </t>
    <phoneticPr fontId="4" type="noConversion"/>
  </si>
  <si>
    <t>Drum</t>
  </si>
  <si>
    <t>N/A</t>
    <phoneticPr fontId="4" type="noConversion"/>
  </si>
  <si>
    <t>B</t>
  </si>
  <si>
    <t>N</t>
  </si>
  <si>
    <t>Drum</t>
    <phoneticPr fontId="4" type="noConversion"/>
  </si>
  <si>
    <t>TOTAL / ИТОГО</t>
    <phoneticPr fontId="10" type="noConversion"/>
  </si>
  <si>
    <t>HEAD OFFICE &amp; CHANGWON PLANT</t>
    <phoneticPr fontId="4" type="noConversion"/>
  </si>
  <si>
    <t>DETAILED PACKING LIST 
ПОДРОБНЫЙ УПАКОВОЧНЫЙ ЛИСТ</t>
    <phoneticPr fontId="10" type="noConversion"/>
  </si>
  <si>
    <r>
      <t>Package No./ 
Номер</t>
    </r>
    <r>
      <rPr>
        <sz val="12"/>
        <rFont val="맑은 고딕"/>
        <family val="2"/>
        <charset val="129"/>
      </rPr>
      <t xml:space="preserve"> </t>
    </r>
    <r>
      <rPr>
        <sz val="12"/>
        <rFont val="Calibri"/>
        <family val="2"/>
      </rPr>
      <t>упаковки</t>
    </r>
    <phoneticPr fontId="10" type="noConversion"/>
  </si>
  <si>
    <t>Description / 
Описание</t>
    <phoneticPr fontId="10" type="noConversion"/>
  </si>
  <si>
    <t>HS Code / 
Код ТН ВЭД</t>
    <phoneticPr fontId="4" type="noConversion"/>
  </si>
  <si>
    <t>Drawing No. / 
№ чертежа</t>
    <phoneticPr fontId="4" type="noConversion"/>
  </si>
  <si>
    <t>Tag No. / 
№ Тег</t>
    <phoneticPr fontId="4" type="noConversion"/>
  </si>
  <si>
    <t>Unit Price (US$) / 
Цена за единицу</t>
    <phoneticPr fontId="10" type="noConversion"/>
  </si>
  <si>
    <t>Total Price (US$) / 
Общая цена</t>
    <phoneticPr fontId="10" type="noConversion"/>
  </si>
  <si>
    <t>Remark / 
Примечания</t>
    <phoneticPr fontId="10" type="noConversion"/>
  </si>
  <si>
    <t>Q'ty / 
Кол-во</t>
    <phoneticPr fontId="10" type="noConversion"/>
  </si>
  <si>
    <t>Unit / 
Ед. изм.</t>
    <phoneticPr fontId="10" type="noConversion"/>
  </si>
  <si>
    <t>Power cable - CLASSIC 100 450/750V 3G4-10210 115060721 
(4 nos. each have 500 mtr.) Mtr.2000</t>
    <phoneticPr fontId="4" type="noConversion"/>
  </si>
  <si>
    <t>EA/ШТ.</t>
    <phoneticPr fontId="4" type="noConversion"/>
  </si>
  <si>
    <t>PGU-DE-0311-DCS-INS-002</t>
    <phoneticPr fontId="4" type="noConversion"/>
  </si>
  <si>
    <t>FO Cable drum -  Cable No.25005190 Mtr.2100</t>
  </si>
  <si>
    <t>PGU-DE-0311-DCS-INS-003</t>
    <phoneticPr fontId="4" type="noConversion"/>
  </si>
  <si>
    <t>FO Cable drum -  Cable No.25005191 Mtr.2100</t>
  </si>
  <si>
    <t>PGU-DE-0311-DCS-INS-004</t>
    <phoneticPr fontId="4" type="noConversion"/>
  </si>
  <si>
    <t>FO Cable drum -  Cable No.25005192 Mtr.2100</t>
  </si>
  <si>
    <t>PGU-DE-0311-DCS-INS-005</t>
    <phoneticPr fontId="4" type="noConversion"/>
  </si>
  <si>
    <t>FO Cable drum -  Cable No.25005193Mtr.2100</t>
  </si>
  <si>
    <t>PGU-DE-0311-DCS-INS-006</t>
    <phoneticPr fontId="4" type="noConversion"/>
  </si>
  <si>
    <t>FO Cable drum -  Cable No.25005194Mtr.2100</t>
  </si>
  <si>
    <t>PGU-DE-0311-DCS-INS-007</t>
    <phoneticPr fontId="4" type="noConversion"/>
  </si>
  <si>
    <t>FO Cable drum -  Cable No.25005195Mtr.2100</t>
  </si>
  <si>
    <t>PGU-DE-0311-DCS-INS-008</t>
    <phoneticPr fontId="4" type="noConversion"/>
  </si>
  <si>
    <t>FO Cable drum -  Cable No.25005196Mtr.2052</t>
  </si>
  <si>
    <t>PGU-DE-0311-DCS-INS-009</t>
    <phoneticPr fontId="4" type="noConversion"/>
  </si>
  <si>
    <t>FO Cable drum -  Cable No.25005197Mtr.2079</t>
  </si>
  <si>
    <t>PGU-DE-0311-DCS-INS-010</t>
    <phoneticPr fontId="4" type="noConversion"/>
  </si>
  <si>
    <t>FO Cable drum -  Cable No.25005198Mtr.2049</t>
  </si>
  <si>
    <t>PGU-DE-0311-DCS-INS-011</t>
    <phoneticPr fontId="4" type="noConversion"/>
  </si>
  <si>
    <t>FO Cable drum -  Cable No.25005199Mtr.2074</t>
  </si>
  <si>
    <t>PGU-DE-0311-DCS-INS-012</t>
    <phoneticPr fontId="4" type="noConversion"/>
  </si>
  <si>
    <t>FO Cable drum -  Cable No.25005200Mtr.2065</t>
  </si>
  <si>
    <t>PGU-DE-0311-DCS-INS-013</t>
    <phoneticPr fontId="4" type="noConversion"/>
  </si>
  <si>
    <t>FO Cable drum -  Cable No.25005201Mtr.2100</t>
  </si>
  <si>
    <t>PGU-DE-0311-DCS-INS-014</t>
    <phoneticPr fontId="4" type="noConversion"/>
  </si>
  <si>
    <t>FO Cable drum -  Cable No.25005202Mtr.2100</t>
  </si>
  <si>
    <t>PGU-DE-0311-DCS-INS-015</t>
    <phoneticPr fontId="4" type="noConversion"/>
  </si>
  <si>
    <t>FO Cable drum -  Cable No.25005203Mtr.2081</t>
  </si>
  <si>
    <t>PGU-DE-0311-DCS-INS-016</t>
    <phoneticPr fontId="4" type="noConversion"/>
  </si>
  <si>
    <t>FO Cable drum -  Cable No.25005204Mtr.2100</t>
  </si>
  <si>
    <t>PGU-DE-0311-DCS-INS-017</t>
    <phoneticPr fontId="4" type="noConversion"/>
  </si>
  <si>
    <t>FO Cable drum -  Cable No.25005205Mtr.2100</t>
  </si>
  <si>
    <t>PGU-DE-0311-DCS-INS-018</t>
    <phoneticPr fontId="4" type="noConversion"/>
  </si>
  <si>
    <t>FO Cable drum -  Cable No.25005206Mtr.2100</t>
  </si>
  <si>
    <t>PGU-DE-0311-DCS-INS-019</t>
    <phoneticPr fontId="4" type="noConversion"/>
  </si>
  <si>
    <t>FO Cable drum -  Cable No.25005207Mtr.2100</t>
  </si>
  <si>
    <t>PGU-DE-0311-DCS-INS-020</t>
    <phoneticPr fontId="4" type="noConversion"/>
  </si>
  <si>
    <t>FO Cable drum -  Cable No.25005208Mtr.2012</t>
  </si>
  <si>
    <t>PGU-DE-0311-DCS-INS-021</t>
    <phoneticPr fontId="4" type="noConversion"/>
  </si>
  <si>
    <t>FO Cable drum -  Cable No.25005209Mtr.2100</t>
  </si>
  <si>
    <t>PGU-DE-0311-DCS-INS-022</t>
    <phoneticPr fontId="4" type="noConversion"/>
  </si>
  <si>
    <t>FO Cable drum -  Cable No.25005210Mtr.2006</t>
  </si>
  <si>
    <t>PGU-DE-0311-DCS-INS-023</t>
    <phoneticPr fontId="4" type="noConversion"/>
  </si>
  <si>
    <t>FO Cable drum -  Cable No.25005211Mtr.2030</t>
  </si>
  <si>
    <t>PGU-DE-0311-DCS-INS-024</t>
    <phoneticPr fontId="4" type="noConversion"/>
  </si>
  <si>
    <t>FO Cable drum -  Cable No.25005212Mtr.2078</t>
  </si>
  <si>
    <t>PGU-DE-0311-DCS-INS-025</t>
    <phoneticPr fontId="4" type="noConversion"/>
  </si>
  <si>
    <t>FO Cable drum -  Cable No.25005213Mtr.2100</t>
  </si>
  <si>
    <t>PGU-DE-0311-DCS-INS-026</t>
    <phoneticPr fontId="4" type="noConversion"/>
  </si>
  <si>
    <t>FO Cable drum -  Cable No.25005214Mtr.2070</t>
  </si>
  <si>
    <t>PGU-DE-0311-DCS-INS-027</t>
    <phoneticPr fontId="4" type="noConversion"/>
  </si>
  <si>
    <t>FO Cable drum -  Cable No.25005215Mtr.2073</t>
  </si>
  <si>
    <t>PGU-DE-0311-DCS-INS-028</t>
    <phoneticPr fontId="4" type="noConversion"/>
  </si>
  <si>
    <t>FO Cable drum -  Cable No.25005216Mtr.2093</t>
  </si>
  <si>
    <t>PGU-DE-0311-DCS-INS-029</t>
    <phoneticPr fontId="4" type="noConversion"/>
  </si>
  <si>
    <t>FO Cable drum -  Cable No.25005217Mtr.2059</t>
  </si>
  <si>
    <t>PGU-DE-0311-DCS-INS-030</t>
    <phoneticPr fontId="4" type="noConversion"/>
  </si>
  <si>
    <t>FO Cable drum -  Cable No.25005218Mtr.2100</t>
  </si>
  <si>
    <t>PGU-DE-0311-DCS-INS-031</t>
    <phoneticPr fontId="4" type="noConversion"/>
  </si>
  <si>
    <t>FO Cable drum -  Cable No.25005219Mtr.2061</t>
  </si>
  <si>
    <t>PGU-DE-0311-DCS-INS-032</t>
    <phoneticPr fontId="4" type="noConversion"/>
  </si>
  <si>
    <t>FO Cable drum -  Cable No.25005220Mtr.2055</t>
  </si>
  <si>
    <t>PGU-DE-0311-DCS-INS-033</t>
    <phoneticPr fontId="4" type="noConversion"/>
  </si>
  <si>
    <t>FO Cable drum -  Cable No.25005221Mtr.2090</t>
  </si>
  <si>
    <t>PGU-DE-0311-DCS-INS-034</t>
    <phoneticPr fontId="4" type="noConversion"/>
  </si>
  <si>
    <t>FO Cable drum -  Cable No.25005222Mtr.2100</t>
  </si>
  <si>
    <t>PGU-DE-0311-DCS-INS-035</t>
    <phoneticPr fontId="4" type="noConversion"/>
  </si>
  <si>
    <t>FO Cable drum -  Cable No.25005223Mtr.2075</t>
  </si>
  <si>
    <t>PGU-DE-0311-DCS-INS-036</t>
    <phoneticPr fontId="4" type="noConversion"/>
  </si>
  <si>
    <t>FO Cable drum -  Cable No.25005224Mtr.2100</t>
  </si>
  <si>
    <t>PGU-DE-0311-DCS-INS-037</t>
    <phoneticPr fontId="4" type="noConversion"/>
  </si>
  <si>
    <t>FO Cable drum -  Cable No.25005225Mtr.2100</t>
  </si>
  <si>
    <t>TOTAL/ ИТОГО</t>
    <phoneticPr fontId="10" type="noConversion"/>
  </si>
  <si>
    <t>SHIPPING MARK
ГРУЗОВАЯ МАРКИРОВКА</t>
    <phoneticPr fontId="6" type="noConversion"/>
  </si>
  <si>
    <r>
      <rPr>
        <b/>
        <sz val="16"/>
        <rFont val="Segoe UI Symbol"/>
        <family val="3"/>
      </rPr>
      <t>●</t>
    </r>
    <r>
      <rPr>
        <b/>
        <sz val="16"/>
        <rFont val="Calibri"/>
        <family val="2"/>
      </rPr>
      <t xml:space="preserve"> NAME OF THE PROJECT</t>
    </r>
    <phoneticPr fontId="6" type="noConversion"/>
  </si>
  <si>
    <t xml:space="preserve">: </t>
    <phoneticPr fontId="6" type="noConversion"/>
  </si>
  <si>
    <t xml:space="preserve">Construction of a 1000 MW CCGT Power Plant in the Sairam District of the </t>
    <phoneticPr fontId="4" type="noConversion"/>
  </si>
  <si>
    <t xml:space="preserve">    НАЗВАНИЕ ПРОЕКТА</t>
    <phoneticPr fontId="6" type="noConversion"/>
  </si>
  <si>
    <t>Turkistan Region, Main Site. Without External Engineering Networks</t>
    <phoneticPr fontId="4" type="noConversion"/>
  </si>
  <si>
    <r>
      <rPr>
        <b/>
        <sz val="16"/>
        <rFont val="맑은 고딕"/>
        <family val="3"/>
        <charset val="129"/>
      </rPr>
      <t>●</t>
    </r>
    <r>
      <rPr>
        <b/>
        <sz val="16"/>
        <rFont val="Calibri"/>
        <family val="2"/>
      </rPr>
      <t xml:space="preserve"> CONSIGNEE</t>
    </r>
    <phoneticPr fontId="6" type="noConversion"/>
  </si>
  <si>
    <t xml:space="preserve">    ГРУЗОПОЛУЧАТЕЛЬ</t>
    <phoneticPr fontId="6" type="noConversion"/>
  </si>
  <si>
    <r>
      <rPr>
        <b/>
        <sz val="16"/>
        <rFont val="맑은 고딕"/>
        <family val="3"/>
        <charset val="129"/>
      </rPr>
      <t>●</t>
    </r>
    <r>
      <rPr>
        <b/>
        <sz val="16"/>
        <rFont val="Calibri"/>
        <family val="2"/>
      </rPr>
      <t xml:space="preserve"> Shipper/Exporter</t>
    </r>
    <phoneticPr fontId="6" type="noConversion"/>
  </si>
  <si>
    <t>: Doosan Enerbility Co., LTD</t>
    <phoneticPr fontId="6" type="noConversion"/>
  </si>
  <si>
    <t xml:space="preserve">     Грузоотправитель/Экспортер</t>
    <phoneticPr fontId="6" type="noConversion"/>
  </si>
  <si>
    <t xml:space="preserve">  22, Doosan Volvo-ro, Sengsan-gu, Changwon, Gyeongnam, South Korea</t>
    <phoneticPr fontId="6" type="noConversion"/>
  </si>
  <si>
    <r>
      <rPr>
        <b/>
        <sz val="16"/>
        <rFont val="맑은 고딕"/>
        <family val="3"/>
        <charset val="129"/>
      </rPr>
      <t>●</t>
    </r>
    <r>
      <rPr>
        <b/>
        <sz val="16"/>
        <rFont val="Calibri"/>
        <family val="2"/>
      </rPr>
      <t xml:space="preserve"> Number of Invoice</t>
    </r>
    <phoneticPr fontId="6" type="noConversion"/>
  </si>
  <si>
    <t>:</t>
    <phoneticPr fontId="6" type="noConversion"/>
  </si>
  <si>
    <t xml:space="preserve">    № инвойса</t>
    <phoneticPr fontId="6" type="noConversion"/>
  </si>
  <si>
    <r>
      <rPr>
        <b/>
        <sz val="16"/>
        <rFont val="맑은 고딕"/>
        <family val="3"/>
        <charset val="129"/>
      </rPr>
      <t>●</t>
    </r>
    <r>
      <rPr>
        <b/>
        <sz val="16"/>
        <rFont val="Calibri"/>
        <family val="2"/>
      </rPr>
      <t xml:space="preserve"> CARGO DESCRIPTION</t>
    </r>
    <phoneticPr fontId="4" type="noConversion"/>
  </si>
  <si>
    <t xml:space="preserve">    ОПИСАНИЕ ГРУЗА</t>
  </si>
  <si>
    <r>
      <rPr>
        <b/>
        <sz val="16"/>
        <rFont val="맑은 고딕"/>
        <family val="3"/>
        <charset val="129"/>
      </rPr>
      <t>●</t>
    </r>
    <r>
      <rPr>
        <b/>
        <sz val="16"/>
        <rFont val="Calibri"/>
        <family val="2"/>
      </rPr>
      <t xml:space="preserve"> PACKAGE NO.</t>
    </r>
  </si>
  <si>
    <t>:</t>
    <phoneticPr fontId="4" type="noConversion"/>
  </si>
  <si>
    <t xml:space="preserve">    УПАКОВОЧНЫЙ НОМЕР </t>
  </si>
  <si>
    <r>
      <rPr>
        <b/>
        <sz val="16"/>
        <rFont val="맑은 고딕"/>
        <family val="3"/>
        <charset val="129"/>
      </rPr>
      <t>●</t>
    </r>
    <r>
      <rPr>
        <b/>
        <sz val="16"/>
        <rFont val="Calibri"/>
        <family val="2"/>
      </rPr>
      <t xml:space="preserve"> NET WEIGHT</t>
    </r>
    <phoneticPr fontId="6" type="noConversion"/>
  </si>
  <si>
    <t>Kg</t>
    <phoneticPr fontId="6" type="noConversion"/>
  </si>
  <si>
    <t xml:space="preserve">    ВЕС НЕТТО</t>
    <phoneticPr fontId="6" type="noConversion"/>
  </si>
  <si>
    <r>
      <rPr>
        <b/>
        <sz val="16"/>
        <rFont val="맑은 고딕"/>
        <family val="3"/>
        <charset val="129"/>
      </rPr>
      <t>●</t>
    </r>
    <r>
      <rPr>
        <b/>
        <sz val="16"/>
        <rFont val="Calibri"/>
        <family val="2"/>
      </rPr>
      <t xml:space="preserve"> GROSS WEIGHT</t>
    </r>
    <phoneticPr fontId="6" type="noConversion"/>
  </si>
  <si>
    <t xml:space="preserve">    ВЕС БРУТТО</t>
    <phoneticPr fontId="6" type="noConversion"/>
  </si>
  <si>
    <r>
      <rPr>
        <b/>
        <sz val="16"/>
        <rFont val="Segoe UI Symbol"/>
        <family val="3"/>
      </rPr>
      <t>●</t>
    </r>
    <r>
      <rPr>
        <b/>
        <sz val="16"/>
        <rFont val="Calibri"/>
        <family val="2"/>
      </rPr>
      <t xml:space="preserve">  CBM(m3)</t>
    </r>
    <phoneticPr fontId="6" type="noConversion"/>
  </si>
  <si>
    <t>m3</t>
    <phoneticPr fontId="4" type="noConversion"/>
  </si>
  <si>
    <t xml:space="preserve">    РАЗМЕРЫ</t>
    <phoneticPr fontId="6" type="noConversion"/>
  </si>
  <si>
    <r>
      <rPr>
        <b/>
        <sz val="16"/>
        <rFont val="맑은 고딕"/>
        <family val="3"/>
        <charset val="129"/>
      </rPr>
      <t>●</t>
    </r>
    <r>
      <rPr>
        <b/>
        <sz val="16"/>
        <rFont val="Calibri"/>
        <family val="2"/>
      </rPr>
      <t xml:space="preserve"> FINAL DESTINATION</t>
    </r>
  </si>
  <si>
    <t xml:space="preserve">:
</t>
    <phoneticPr fontId="6" type="noConversion"/>
  </si>
  <si>
    <t xml:space="preserve">Turkestan Oblast, Sairam district, Karamurt rural district, quarter 171, Republic of Kazakhstan </t>
    <phoneticPr fontId="4" type="noConversion"/>
  </si>
  <si>
    <t xml:space="preserve">    КОНЕЧНЫЙ ПУНКТ НАЗНАЧЕНИЯ</t>
  </si>
  <si>
    <t>Doosan Enerbility</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</si>
</sst>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1" formatCode="_-* #,##0_-;\-* #,##0_-;_-* &quot;-&quot;_-;_-@_-"/>
    <numFmt numFmtId="43" formatCode="_-* #,##0.00_-;\-* #,##0.00_-;_-* &quot;-&quot;??_-;_-@_-"/>
    <numFmt numFmtId="176" formatCode="_(&quot;$&quot;* #,##0.00_);_(&quot;$&quot;* \(#,##0.00\);_(&quot;$&quot;* &quot;-&quot;??_);_(@_)"/>
    <numFmt numFmtId="177" formatCode="_(* #,##0.00_);_(* \(#,##0.00\);_(* &quot;-&quot;??_);_(@_)"/>
    <numFmt numFmtId="178" formatCode="_-* #,##0.00_-;\-* #,##0.00_-;_-* &quot;-&quot;_-;_-@_-"/>
    <numFmt numFmtId="179" formatCode="0_);[Red]\(0\)"/>
    <numFmt numFmtId="180" formatCode="0.000_);[Red]\(0.000\)"/>
    <numFmt numFmtId="181" formatCode="#,##0.00_ "/>
    <numFmt numFmtId="182" formatCode="#,##0_ "/>
    <numFmt numFmtId="183" formatCode="_(* #,##0_);_(* \(#,##0\);_(* &quot;-&quot;??_);_(@_)"/>
    <numFmt numFmtId="184" formatCode="#,##0\ &quot;EA&quot;"/>
    <numFmt numFmtId="185" formatCode="#,##0.000;[Red]\-#,##0.000"/>
    <numFmt numFmtId="186" formatCode="#,##0\ &quot;SET&quot;"/>
  </numFmts>
  <fonts count="70">
    <font>
      <sz val="11"/>
      <color theme="1"/>
      <name val="맑은 고딕"/>
      <family val="2"/>
      <charset val="129"/>
      <scheme val="minor"/>
    </font>
    <font>
      <sz val="11"/>
      <color theme="1"/>
      <name val="맑은 고딕"/>
      <family val="2"/>
      <scheme val="minor"/>
    </font>
    <font>
      <sz val="11"/>
      <color theme="1"/>
      <name val="맑은 고딕"/>
      <family val="2"/>
      <charset val="129"/>
      <scheme val="minor"/>
    </font>
    <font>
      <sz val="11"/>
      <name val="돋움"/>
      <family val="3"/>
      <charset val="129"/>
    </font>
    <font>
      <sz val="8"/>
      <name val="맑은 고딕"/>
      <family val="2"/>
      <charset val="129"/>
      <scheme val="minor"/>
    </font>
    <font>
      <sz val="10"/>
      <name val="Arial"/>
      <family val="2"/>
    </font>
    <font>
      <sz val="8"/>
      <name val="맑은 고딕"/>
      <family val="3"/>
      <charset val="129"/>
    </font>
    <font>
      <sz val="11"/>
      <color indexed="8"/>
      <name val="맑은 고딕"/>
      <family val="3"/>
      <charset val="129"/>
    </font>
    <font>
      <sz val="9"/>
      <name val="ＭＳ Ｐゴシック"/>
      <family val="2"/>
      <charset val="128"/>
    </font>
    <font>
      <sz val="10.5"/>
      <color theme="1"/>
      <name val="Calibri"/>
      <family val="2"/>
    </font>
    <font>
      <sz val="8"/>
      <name val="돋움"/>
      <family val="3"/>
      <charset val="129"/>
    </font>
    <font>
      <sz val="11"/>
      <name val="Calibri"/>
      <family val="2"/>
    </font>
    <font>
      <sz val="16"/>
      <color theme="1"/>
      <name val="맑은 고딕"/>
      <family val="2"/>
      <charset val="129"/>
      <scheme val="minor"/>
    </font>
    <font>
      <sz val="16"/>
      <color theme="1"/>
      <name val="맑은 고딕"/>
      <family val="3"/>
      <charset val="129"/>
      <scheme val="minor"/>
    </font>
    <font>
      <b/>
      <sz val="16"/>
      <name val="Calibri"/>
      <family val="2"/>
    </font>
    <font>
      <sz val="9"/>
      <name val="Calibri"/>
      <family val="2"/>
    </font>
    <font>
      <sz val="8"/>
      <name val="Calibri"/>
      <family val="2"/>
    </font>
    <font>
      <sz val="9"/>
      <name val="Arial"/>
      <family val="2"/>
    </font>
    <font>
      <sz val="10"/>
      <name val="Calibri"/>
      <family val="2"/>
    </font>
    <font>
      <sz val="11"/>
      <name val="Arial"/>
      <family val="2"/>
    </font>
    <font>
      <sz val="13"/>
      <name val="Calibri"/>
      <family val="2"/>
    </font>
    <font>
      <b/>
      <sz val="13"/>
      <color theme="0"/>
      <name val="Calibri"/>
      <family val="2"/>
    </font>
    <font>
      <sz val="12"/>
      <name val="Calibri"/>
      <family val="2"/>
    </font>
    <font>
      <sz val="11"/>
      <name val="굴림체"/>
      <family val="3"/>
      <charset val="129"/>
    </font>
    <font>
      <i/>
      <sz val="12"/>
      <name val="Calibri"/>
      <family val="2"/>
    </font>
    <font>
      <b/>
      <sz val="12"/>
      <color theme="0"/>
      <name val="Calibri"/>
      <family val="2"/>
    </font>
    <font>
      <b/>
      <sz val="9"/>
      <name val="Calibri"/>
      <family val="2"/>
    </font>
    <font>
      <b/>
      <sz val="10"/>
      <name val="Arial"/>
      <family val="2"/>
    </font>
    <font>
      <sz val="9"/>
      <color indexed="8"/>
      <name val="Calibri"/>
      <family val="2"/>
    </font>
    <font>
      <sz val="1"/>
      <color indexed="8"/>
      <name val="Courier"/>
      <family val="3"/>
    </font>
    <font>
      <b/>
      <i/>
      <sz val="9"/>
      <name val="Calibri"/>
      <family val="2"/>
    </font>
    <font>
      <b/>
      <sz val="10"/>
      <name val="Calibri"/>
      <family val="2"/>
    </font>
    <font>
      <b/>
      <sz val="11"/>
      <name val="Calibri"/>
      <family val="2"/>
    </font>
    <font>
      <strike/>
      <sz val="11"/>
      <name val="Calibri"/>
      <family val="2"/>
    </font>
    <font>
      <sz val="11"/>
      <color rgb="FF0000CC"/>
      <name val="Calibri"/>
      <family val="2"/>
    </font>
    <font>
      <sz val="11"/>
      <color rgb="FF0000CC"/>
      <name val="Arial"/>
      <family val="2"/>
    </font>
    <font>
      <sz val="8"/>
      <name val="돋움"/>
      <family val="3"/>
    </font>
    <font>
      <b/>
      <sz val="12"/>
      <name val="Calibri"/>
      <family val="2"/>
    </font>
    <font>
      <sz val="10"/>
      <name val="Arial"/>
      <family val="2"/>
    </font>
    <font>
      <sz val="14"/>
      <name val="Calibri"/>
      <family val="2"/>
    </font>
    <font>
      <sz val="16"/>
      <name val="Calibri"/>
      <family val="2"/>
    </font>
    <font>
      <b/>
      <sz val="24"/>
      <name val="Calibri"/>
      <family val="2"/>
    </font>
    <font>
      <b/>
      <sz val="16"/>
      <name val="맑은 고딕"/>
      <family val="3"/>
      <charset val="129"/>
    </font>
    <font>
      <sz val="16"/>
      <name val="맑은 고딕"/>
      <family val="3"/>
      <charset val="129"/>
      <scheme val="minor"/>
    </font>
    <font>
      <sz val="16"/>
      <name val="맑은 고딕"/>
      <family val="2"/>
      <charset val="129"/>
      <scheme val="minor"/>
    </font>
    <font>
      <b/>
      <sz val="16"/>
      <name val="Calibri"/>
      <family val="3"/>
    </font>
    <font>
      <b/>
      <sz val="16"/>
      <name val="Segoe UI Symbol"/>
      <family val="3"/>
    </font>
    <font>
      <sz val="11"/>
      <color theme="1"/>
      <name val="Calibri"/>
      <family val="2"/>
    </font>
    <font>
      <sz val="12"/>
      <name val="Segoe UI Symbol"/>
      <family val="2"/>
    </font>
    <font>
      <vertAlign val="superscript"/>
      <sz val="11"/>
      <name val="Calibri"/>
      <family val="2"/>
    </font>
    <font>
      <sz val="9"/>
      <name val="맑은 고딕"/>
      <family val="3"/>
      <charset val="129"/>
      <scheme val="minor"/>
    </font>
    <font>
      <b/>
      <sz val="11"/>
      <color theme="1"/>
      <name val="Calibri"/>
      <family val="2"/>
    </font>
    <font>
      <sz val="12"/>
      <color theme="0"/>
      <name val="Calibri"/>
      <family val="2"/>
    </font>
    <font>
      <b/>
      <i/>
      <sz val="12"/>
      <color rgb="FF0000CC"/>
      <name val="Calibri"/>
      <family val="2"/>
    </font>
    <font>
      <u/>
      <sz val="11"/>
      <color theme="10"/>
      <name val="맑은 고딕"/>
      <family val="2"/>
      <charset val="129"/>
      <scheme val="minor"/>
    </font>
    <font>
      <u/>
      <sz val="11"/>
      <name val="Calibri"/>
      <family val="2"/>
    </font>
    <font>
      <b/>
      <sz val="11.5"/>
      <name val="Calibri"/>
      <family val="2"/>
    </font>
    <font>
      <b/>
      <i/>
      <sz val="11.5"/>
      <color rgb="FF0000CC"/>
      <name val="Calibri"/>
      <family val="2"/>
    </font>
    <font>
      <sz val="11.5"/>
      <name val="Calibri"/>
      <family val="2"/>
    </font>
    <font>
      <sz val="11.5"/>
      <color theme="0"/>
      <name val="Calibri"/>
      <family val="2"/>
    </font>
    <font>
      <sz val="11.5"/>
      <name val="Arial"/>
      <family val="2"/>
    </font>
    <font>
      <sz val="11"/>
      <color rgb="FF0000FF"/>
      <name val="Calibri"/>
      <family val="2"/>
    </font>
    <font>
      <u/>
      <sz val="7.5"/>
      <color indexed="12"/>
      <name val="Arial"/>
      <family val="2"/>
    </font>
    <font>
      <sz val="11"/>
      <name val="돋움"/>
      <family val="2"/>
    </font>
    <font>
      <sz val="8"/>
      <name val="Arial"/>
      <family val="2"/>
    </font>
    <font>
      <sz val="12"/>
      <name val="맑은 고딕"/>
      <family val="2"/>
      <charset val="129"/>
    </font>
    <font>
      <sz val="12"/>
      <color theme="1"/>
      <name val="Calibri"/>
      <family val="2"/>
    </font>
    <font>
      <b/>
      <i/>
      <sz val="12"/>
      <name val="Calibri"/>
      <family val="2"/>
    </font>
    <font>
      <b/>
      <sz val="14"/>
      <name val="Calibri"/>
      <family val="2"/>
    </font>
    <font>
      <sz val="14"/>
      <name val="Arial"/>
      <family val="2"/>
    </font>
  </fonts>
  <fills count="6">
    <fill>
      <patternFill patternType="none"/>
    </fill>
    <fill>
      <patternFill patternType="gray125"/>
    </fill>
    <fill>
      <patternFill patternType="solid">
        <fgColor theme="0"/>
        <bgColor indexed="64"/>
      </patternFill>
    </fill>
    <fill>
      <patternFill patternType="solid">
        <fgColor rgb="FFFFFFCC"/>
        <bgColor indexed="64"/>
      </patternFill>
    </fill>
    <fill>
      <patternFill patternType="solid">
        <fgColor theme="4" tint="0.79998168889431442"/>
        <bgColor indexed="64"/>
      </patternFill>
    </fill>
    <fill>
      <patternFill patternType="solid">
        <fgColor rgb="FFFFFF00"/>
        <bgColor indexed="64"/>
      </patternFill>
    </fill>
  </fills>
  <borders count="3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right style="thin">
        <color indexed="64"/>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bottom/>
      <diagonal/>
    </border>
    <border>
      <left style="thin">
        <color indexed="64"/>
      </left>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48">
    <xf numFmtId="0" fontId="0" fillId="0" borderId="0">
      <alignment vertical="center"/>
    </xf>
    <xf numFmtId="41" fontId="2" fillId="0" borderId="0" applyFont="0" applyFill="0" applyBorder="0" applyAlignment="0" applyProtection="0">
      <alignment vertical="center"/>
    </xf>
    <xf numFmtId="0" fontId="3" fillId="0" borderId="0"/>
    <xf numFmtId="0" fontId="3" fillId="0" borderId="0"/>
    <xf numFmtId="0" fontId="3" fillId="0" borderId="0">
      <alignment vertical="center"/>
    </xf>
    <xf numFmtId="41" fontId="3" fillId="0" borderId="0" applyFont="0" applyFill="0" applyBorder="0" applyAlignment="0" applyProtection="0"/>
    <xf numFmtId="0" fontId="5" fillId="0" borderId="0"/>
    <xf numFmtId="43" fontId="3" fillId="0" borderId="0" applyFont="0" applyFill="0" applyBorder="0" applyAlignment="0" applyProtection="0"/>
    <xf numFmtId="41" fontId="7" fillId="0" borderId="0" applyFont="0" applyFill="0" applyBorder="0" applyAlignment="0" applyProtection="0">
      <alignment vertical="center"/>
    </xf>
    <xf numFmtId="0" fontId="3" fillId="0" borderId="0">
      <alignment vertical="center"/>
    </xf>
    <xf numFmtId="0" fontId="8" fillId="0" borderId="0"/>
    <xf numFmtId="41" fontId="2" fillId="0" borderId="0" applyFont="0" applyFill="0" applyBorder="0" applyAlignment="0" applyProtection="0">
      <alignment vertical="center"/>
    </xf>
    <xf numFmtId="0" fontId="3" fillId="0" borderId="0">
      <alignment vertical="center"/>
    </xf>
    <xf numFmtId="41" fontId="3" fillId="0" borderId="0" applyFont="0" applyFill="0" applyBorder="0" applyAlignment="0" applyProtection="0">
      <alignment vertical="center"/>
    </xf>
    <xf numFmtId="0" fontId="23" fillId="0" borderId="0"/>
    <xf numFmtId="4" fontId="29" fillId="0" borderId="0">
      <protection locked="0"/>
    </xf>
    <xf numFmtId="0" fontId="38" fillId="0" borderId="0"/>
    <xf numFmtId="41" fontId="5" fillId="0" borderId="0" applyFont="0" applyFill="0" applyBorder="0" applyAlignment="0" applyProtection="0">
      <alignment vertical="center"/>
    </xf>
    <xf numFmtId="0" fontId="2" fillId="0" borderId="0">
      <alignment vertical="center"/>
    </xf>
    <xf numFmtId="0" fontId="5" fillId="0" borderId="0"/>
    <xf numFmtId="0" fontId="54" fillId="0" borderId="0" applyNumberFormat="0" applyFill="0" applyBorder="0" applyAlignment="0" applyProtection="0">
      <alignment vertical="center"/>
    </xf>
    <xf numFmtId="41" fontId="2" fillId="0" borderId="0" applyFont="0" applyFill="0" applyBorder="0" applyAlignment="0" applyProtection="0">
      <alignment vertical="center"/>
    </xf>
    <xf numFmtId="41" fontId="3" fillId="0" borderId="0" applyFont="0" applyFill="0" applyBorder="0" applyAlignment="0" applyProtection="0"/>
    <xf numFmtId="43" fontId="3" fillId="0" borderId="0" applyFont="0" applyFill="0" applyBorder="0" applyAlignment="0" applyProtection="0"/>
    <xf numFmtId="41" fontId="7" fillId="0" borderId="0" applyFont="0" applyFill="0" applyBorder="0" applyAlignment="0" applyProtection="0">
      <alignment vertical="center"/>
    </xf>
    <xf numFmtId="41" fontId="2" fillId="0" borderId="0" applyFont="0" applyFill="0" applyBorder="0" applyAlignment="0" applyProtection="0">
      <alignment vertical="center"/>
    </xf>
    <xf numFmtId="41" fontId="3" fillId="0" borderId="0" applyFont="0" applyFill="0" applyBorder="0" applyAlignment="0" applyProtection="0">
      <alignment vertical="center"/>
    </xf>
    <xf numFmtId="41" fontId="5" fillId="0" borderId="0" applyFont="0" applyFill="0" applyBorder="0" applyAlignment="0" applyProtection="0">
      <alignment vertical="center"/>
    </xf>
    <xf numFmtId="41" fontId="2" fillId="0" borderId="0" applyFont="0" applyFill="0" applyBorder="0" applyAlignment="0" applyProtection="0">
      <alignment vertical="center"/>
    </xf>
    <xf numFmtId="0" fontId="5" fillId="0" borderId="0"/>
    <xf numFmtId="177" fontId="5" fillId="0" borderId="0" applyFont="0" applyFill="0" applyBorder="0" applyAlignment="0" applyProtection="0"/>
    <xf numFmtId="176" fontId="5" fillId="0" borderId="0" applyFont="0" applyFill="0" applyBorder="0" applyAlignment="0" applyProtection="0"/>
    <xf numFmtId="0" fontId="5" fillId="0" borderId="0"/>
    <xf numFmtId="0" fontId="5" fillId="0" borderId="0"/>
    <xf numFmtId="0" fontId="63" fillId="0" borderId="0"/>
    <xf numFmtId="0" fontId="62" fillId="0" borderId="0" applyNumberFormat="0" applyFill="0" applyBorder="0" applyAlignment="0" applyProtection="0">
      <alignment vertical="top"/>
      <protection locked="0"/>
    </xf>
    <xf numFmtId="0" fontId="5" fillId="0" borderId="0"/>
    <xf numFmtId="0" fontId="5" fillId="0" borderId="0"/>
    <xf numFmtId="0" fontId="5" fillId="0" borderId="0"/>
    <xf numFmtId="0" fontId="1" fillId="0" borderId="0"/>
    <xf numFmtId="177" fontId="5" fillId="0" borderId="0" applyFont="0" applyFill="0" applyBorder="0" applyAlignment="0" applyProtection="0"/>
    <xf numFmtId="0" fontId="1" fillId="0" borderId="0"/>
    <xf numFmtId="0" fontId="5" fillId="0" borderId="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177" fontId="5" fillId="0" borderId="0" applyFont="0" applyFill="0" applyBorder="0" applyAlignment="0" applyProtection="0"/>
    <xf numFmtId="41" fontId="2" fillId="0" borderId="0" applyFont="0" applyFill="0" applyBorder="0" applyAlignment="0" applyProtection="0">
      <alignment vertical="center"/>
    </xf>
  </cellStyleXfs>
  <cellXfs count="459">
    <xf numFmtId="0" fontId="0" fillId="0" borderId="0" xfId="0">
      <alignment vertical="center"/>
    </xf>
    <xf numFmtId="0" fontId="9" fillId="0" borderId="0" xfId="0" applyFont="1">
      <alignment vertical="center"/>
    </xf>
    <xf numFmtId="0" fontId="0" fillId="2" borderId="0" xfId="0" applyFill="1">
      <alignment vertical="center"/>
    </xf>
    <xf numFmtId="0" fontId="12" fillId="2" borderId="0" xfId="0" applyFont="1" applyFill="1">
      <alignment vertical="center"/>
    </xf>
    <xf numFmtId="0" fontId="13" fillId="2" borderId="0" xfId="0" applyFont="1" applyFill="1">
      <alignment vertical="center"/>
    </xf>
    <xf numFmtId="0" fontId="15" fillId="0" borderId="0" xfId="12" applyFont="1">
      <alignment vertical="center"/>
    </xf>
    <xf numFmtId="0" fontId="15" fillId="0" borderId="0" xfId="12" applyFont="1" applyAlignment="1">
      <alignment vertical="center" wrapText="1"/>
    </xf>
    <xf numFmtId="0" fontId="15" fillId="0" borderId="0" xfId="12" applyFont="1" applyAlignment="1">
      <alignment horizontal="center" vertical="center"/>
    </xf>
    <xf numFmtId="0" fontId="17" fillId="0" borderId="0" xfId="12" applyFont="1">
      <alignment vertical="center"/>
    </xf>
    <xf numFmtId="0" fontId="15" fillId="0" borderId="0" xfId="12" applyFont="1" applyAlignment="1">
      <alignment horizontal="left" vertical="center"/>
    </xf>
    <xf numFmtId="0" fontId="17" fillId="0" borderId="0" xfId="12" applyFont="1" applyAlignment="1">
      <alignment vertical="center" wrapText="1"/>
    </xf>
    <xf numFmtId="0" fontId="18" fillId="0" borderId="0" xfId="12" applyFont="1" applyAlignment="1">
      <alignment vertical="center" wrapText="1"/>
    </xf>
    <xf numFmtId="0" fontId="5" fillId="0" borderId="0" xfId="12" applyFont="1" applyAlignment="1">
      <alignment vertical="center" wrapText="1"/>
    </xf>
    <xf numFmtId="0" fontId="5" fillId="0" borderId="0" xfId="12" applyFont="1">
      <alignment vertical="center"/>
    </xf>
    <xf numFmtId="0" fontId="11" fillId="0" borderId="0" xfId="12" applyFont="1" applyAlignment="1">
      <alignment horizontal="center" vertical="center"/>
    </xf>
    <xf numFmtId="178" fontId="11" fillId="0" borderId="0" xfId="13" applyNumberFormat="1" applyFont="1">
      <alignment vertical="center"/>
    </xf>
    <xf numFmtId="0" fontId="11" fillId="0" borderId="0" xfId="12" applyFont="1">
      <alignment vertical="center"/>
    </xf>
    <xf numFmtId="180" fontId="15" fillId="0" borderId="0" xfId="12" applyNumberFormat="1" applyFont="1" applyAlignment="1">
      <alignment horizontal="left" vertical="center"/>
    </xf>
    <xf numFmtId="0" fontId="19" fillId="0" borderId="0" xfId="12" applyFont="1">
      <alignment vertical="center"/>
    </xf>
    <xf numFmtId="0" fontId="21" fillId="0" borderId="0" xfId="12" applyFont="1">
      <alignment vertical="center"/>
    </xf>
    <xf numFmtId="0" fontId="20" fillId="0" borderId="0" xfId="12" applyFont="1" applyAlignment="1">
      <alignment vertical="center" wrapText="1"/>
    </xf>
    <xf numFmtId="0" fontId="20" fillId="0" borderId="0" xfId="12" applyFont="1">
      <alignment vertical="center"/>
    </xf>
    <xf numFmtId="40" fontId="22" fillId="0" borderId="1" xfId="13" applyNumberFormat="1" applyFont="1" applyFill="1" applyBorder="1" applyAlignment="1">
      <alignment horizontal="center" vertical="center"/>
    </xf>
    <xf numFmtId="0" fontId="25" fillId="0" borderId="0" xfId="12" applyFont="1">
      <alignment vertical="center"/>
    </xf>
    <xf numFmtId="0" fontId="22" fillId="0" borderId="0" xfId="12" applyFont="1" applyAlignment="1">
      <alignment vertical="center" wrapText="1"/>
    </xf>
    <xf numFmtId="0" fontId="26" fillId="0" borderId="0" xfId="12" applyFont="1" applyAlignment="1">
      <alignment horizontal="left" vertical="center" wrapText="1"/>
    </xf>
    <xf numFmtId="0" fontId="27" fillId="0" borderId="0" xfId="12" applyFont="1" applyAlignment="1">
      <alignment vertical="center" wrapText="1"/>
    </xf>
    <xf numFmtId="0" fontId="27" fillId="0" borderId="0" xfId="12" applyFont="1">
      <alignment vertical="center"/>
    </xf>
    <xf numFmtId="0" fontId="28" fillId="0" borderId="0" xfId="12" applyFont="1" applyAlignment="1">
      <alignment horizontal="left" vertical="center" wrapText="1"/>
    </xf>
    <xf numFmtId="38" fontId="15" fillId="0" borderId="0" xfId="13" applyNumberFormat="1" applyFont="1" applyBorder="1" applyAlignment="1">
      <alignment horizontal="center" vertical="center"/>
    </xf>
    <xf numFmtId="182" fontId="15" fillId="0" borderId="0" xfId="12" applyNumberFormat="1" applyFont="1" applyAlignment="1">
      <alignment horizontal="center" vertical="center"/>
    </xf>
    <xf numFmtId="180" fontId="15" fillId="0" borderId="0" xfId="12" applyNumberFormat="1" applyFont="1" applyAlignment="1">
      <alignment horizontal="center" vertical="center"/>
    </xf>
    <xf numFmtId="0" fontId="15" fillId="0" borderId="0" xfId="12" applyFont="1" applyAlignment="1">
      <alignment horizontal="left" vertical="center" wrapText="1"/>
    </xf>
    <xf numFmtId="183" fontId="15" fillId="0" borderId="0" xfId="15" applyNumberFormat="1" applyFont="1" applyAlignment="1">
      <alignment horizontal="center" vertical="center"/>
      <protection locked="0"/>
    </xf>
    <xf numFmtId="38" fontId="15" fillId="0" borderId="0" xfId="13" applyNumberFormat="1" applyFont="1" applyBorder="1" applyAlignment="1">
      <alignment horizontal="left" vertical="center"/>
    </xf>
    <xf numFmtId="0" fontId="17" fillId="0" borderId="0" xfId="12" applyFont="1" applyAlignment="1">
      <alignment horizontal="left" vertical="center" wrapText="1"/>
    </xf>
    <xf numFmtId="0" fontId="17" fillId="0" borderId="0" xfId="12" applyFont="1" applyAlignment="1">
      <alignment horizontal="left" vertical="center"/>
    </xf>
    <xf numFmtId="180" fontId="30" fillId="0" borderId="0" xfId="12" applyNumberFormat="1" applyFont="1" applyAlignment="1">
      <alignment horizontal="center" vertical="center"/>
    </xf>
    <xf numFmtId="0" fontId="18" fillId="0" borderId="0" xfId="12" applyFont="1">
      <alignment vertical="center"/>
    </xf>
    <xf numFmtId="0" fontId="18" fillId="0" borderId="0" xfId="12" applyFont="1" applyAlignment="1">
      <alignment horizontal="center" vertical="center"/>
    </xf>
    <xf numFmtId="178" fontId="18" fillId="0" borderId="0" xfId="13" applyNumberFormat="1" applyFont="1" applyBorder="1">
      <alignment vertical="center"/>
    </xf>
    <xf numFmtId="180" fontId="18" fillId="0" borderId="0" xfId="12" applyNumberFormat="1" applyFont="1">
      <alignment vertical="center"/>
    </xf>
    <xf numFmtId="178" fontId="18" fillId="0" borderId="0" xfId="13" applyNumberFormat="1" applyFont="1">
      <alignment vertical="center"/>
    </xf>
    <xf numFmtId="178" fontId="15" fillId="0" borderId="0" xfId="1" applyNumberFormat="1" applyFont="1" applyBorder="1" applyAlignment="1">
      <alignment horizontal="center" vertical="center"/>
    </xf>
    <xf numFmtId="178" fontId="15" fillId="0" borderId="0" xfId="1" applyNumberFormat="1" applyFont="1" applyBorder="1" applyAlignment="1">
      <alignment horizontal="left" vertical="center"/>
    </xf>
    <xf numFmtId="178" fontId="15" fillId="0" borderId="0" xfId="1" applyNumberFormat="1" applyFont="1" applyAlignment="1">
      <alignment horizontal="center" vertical="center"/>
    </xf>
    <xf numFmtId="178" fontId="18" fillId="0" borderId="0" xfId="1" applyNumberFormat="1" applyFont="1" applyBorder="1">
      <alignment vertical="center"/>
    </xf>
    <xf numFmtId="178" fontId="18" fillId="0" borderId="0" xfId="1" applyNumberFormat="1" applyFont="1">
      <alignment vertical="center"/>
    </xf>
    <xf numFmtId="0" fontId="34" fillId="0" borderId="0" xfId="12" applyFont="1">
      <alignment vertical="center"/>
    </xf>
    <xf numFmtId="0" fontId="35" fillId="0" borderId="0" xfId="12" applyFont="1">
      <alignment vertical="center"/>
    </xf>
    <xf numFmtId="181" fontId="11" fillId="0" borderId="26" xfId="13" applyNumberFormat="1" applyFont="1" applyFill="1" applyBorder="1" applyAlignment="1">
      <alignment vertical="center"/>
    </xf>
    <xf numFmtId="181" fontId="11" fillId="0" borderId="0" xfId="13" applyNumberFormat="1" applyFont="1" applyFill="1" applyBorder="1" applyAlignment="1">
      <alignment vertical="center"/>
    </xf>
    <xf numFmtId="181" fontId="11" fillId="0" borderId="9" xfId="13" applyNumberFormat="1" applyFont="1" applyFill="1" applyBorder="1" applyAlignment="1">
      <alignment vertical="center"/>
    </xf>
    <xf numFmtId="178" fontId="11" fillId="0" borderId="26" xfId="13" applyNumberFormat="1" applyFont="1" applyFill="1" applyBorder="1" applyAlignment="1">
      <alignment vertical="center"/>
    </xf>
    <xf numFmtId="178" fontId="11" fillId="0" borderId="0" xfId="13" applyNumberFormat="1" applyFont="1" applyFill="1" applyBorder="1" applyAlignment="1">
      <alignment vertical="center"/>
    </xf>
    <xf numFmtId="178" fontId="11" fillId="0" borderId="9" xfId="13" applyNumberFormat="1" applyFont="1" applyFill="1" applyBorder="1" applyAlignment="1">
      <alignment vertical="center"/>
    </xf>
    <xf numFmtId="178" fontId="19" fillId="0" borderId="0" xfId="1" applyNumberFormat="1" applyFont="1">
      <alignment vertical="center"/>
    </xf>
    <xf numFmtId="43" fontId="19" fillId="0" borderId="0" xfId="12" applyNumberFormat="1" applyFont="1">
      <alignment vertical="center"/>
    </xf>
    <xf numFmtId="180" fontId="30" fillId="0" borderId="0" xfId="12" applyNumberFormat="1" applyFont="1" applyAlignment="1">
      <alignment horizontal="left" vertical="center"/>
    </xf>
    <xf numFmtId="180" fontId="18" fillId="0" borderId="0" xfId="12" applyNumberFormat="1" applyFont="1" applyAlignment="1">
      <alignment horizontal="left" vertical="center"/>
    </xf>
    <xf numFmtId="0" fontId="24" fillId="0" borderId="0" xfId="12" applyFont="1" applyAlignment="1">
      <alignment vertical="center" wrapText="1"/>
    </xf>
    <xf numFmtId="0" fontId="24" fillId="0" borderId="0" xfId="12" applyFont="1">
      <alignment vertical="center"/>
    </xf>
    <xf numFmtId="178" fontId="15" fillId="0" borderId="0" xfId="1" applyNumberFormat="1" applyFont="1" applyAlignment="1">
      <alignment horizontal="left" vertical="center"/>
    </xf>
    <xf numFmtId="0" fontId="40" fillId="2" borderId="6" xfId="0" applyFont="1" applyFill="1" applyBorder="1">
      <alignment vertical="center"/>
    </xf>
    <xf numFmtId="0" fontId="40" fillId="2" borderId="5" xfId="0" applyFont="1" applyFill="1" applyBorder="1">
      <alignment vertical="center"/>
    </xf>
    <xf numFmtId="0" fontId="39" fillId="2" borderId="5" xfId="0" applyFont="1" applyFill="1" applyBorder="1">
      <alignment vertical="center"/>
    </xf>
    <xf numFmtId="0" fontId="39" fillId="2" borderId="7" xfId="0" applyFont="1" applyFill="1" applyBorder="1">
      <alignment vertical="center"/>
    </xf>
    <xf numFmtId="0" fontId="40" fillId="2" borderId="0" xfId="0" applyFont="1" applyFill="1">
      <alignment vertical="center"/>
    </xf>
    <xf numFmtId="0" fontId="39" fillId="2" borderId="0" xfId="0" applyFont="1" applyFill="1">
      <alignment vertical="center"/>
    </xf>
    <xf numFmtId="0" fontId="14" fillId="2" borderId="8" xfId="0" applyFont="1" applyFill="1" applyBorder="1">
      <alignment vertical="center"/>
    </xf>
    <xf numFmtId="0" fontId="40" fillId="2" borderId="9" xfId="0" applyFont="1" applyFill="1" applyBorder="1">
      <alignment vertical="center"/>
    </xf>
    <xf numFmtId="0" fontId="14" fillId="0" borderId="8" xfId="0" applyFont="1" applyBorder="1">
      <alignment vertical="center"/>
    </xf>
    <xf numFmtId="0" fontId="40" fillId="0" borderId="9" xfId="0" applyFont="1" applyBorder="1">
      <alignment vertical="center"/>
    </xf>
    <xf numFmtId="0" fontId="45" fillId="2" borderId="8" xfId="0" applyFont="1" applyFill="1" applyBorder="1">
      <alignment vertical="center"/>
    </xf>
    <xf numFmtId="0" fontId="40" fillId="2" borderId="12" xfId="0" applyFont="1" applyFill="1" applyBorder="1">
      <alignment vertical="center"/>
    </xf>
    <xf numFmtId="0" fontId="40" fillId="2" borderId="4" xfId="0" applyFont="1" applyFill="1" applyBorder="1">
      <alignment vertical="center"/>
    </xf>
    <xf numFmtId="0" fontId="39" fillId="2" borderId="4" xfId="0" applyFont="1" applyFill="1" applyBorder="1">
      <alignment vertical="center"/>
    </xf>
    <xf numFmtId="0" fontId="39" fillId="2" borderId="18" xfId="0" applyFont="1" applyFill="1" applyBorder="1">
      <alignment vertical="center"/>
    </xf>
    <xf numFmtId="179" fontId="32" fillId="0" borderId="25" xfId="12" applyNumberFormat="1" applyFont="1" applyBorder="1">
      <alignment vertical="center"/>
    </xf>
    <xf numFmtId="0" fontId="45" fillId="2" borderId="8" xfId="0" applyFont="1" applyFill="1" applyBorder="1" applyAlignment="1">
      <alignment horizontal="left" vertical="center"/>
    </xf>
    <xf numFmtId="0" fontId="14" fillId="2" borderId="9" xfId="0" applyFont="1" applyFill="1" applyBorder="1">
      <alignment vertical="center"/>
    </xf>
    <xf numFmtId="0" fontId="50" fillId="0" borderId="0" xfId="12" applyFont="1">
      <alignment vertical="center"/>
    </xf>
    <xf numFmtId="0" fontId="52" fillId="0" borderId="0" xfId="12" applyFont="1" applyAlignment="1">
      <alignment vertical="center" wrapText="1"/>
    </xf>
    <xf numFmtId="0" fontId="52" fillId="0" borderId="0" xfId="12" applyFont="1">
      <alignment vertical="center"/>
    </xf>
    <xf numFmtId="0" fontId="37" fillId="0" borderId="0" xfId="12" applyFont="1">
      <alignment vertical="center"/>
    </xf>
    <xf numFmtId="0" fontId="37" fillId="0" borderId="0" xfId="12" applyFont="1" applyAlignment="1">
      <alignment horizontal="center" vertical="center"/>
    </xf>
    <xf numFmtId="0" fontId="53" fillId="0" borderId="0" xfId="12" applyFont="1">
      <alignment vertical="center"/>
    </xf>
    <xf numFmtId="0" fontId="14" fillId="2" borderId="0" xfId="0" applyFont="1" applyFill="1" applyAlignment="1">
      <alignment vertical="center" wrapText="1"/>
    </xf>
    <xf numFmtId="0" fontId="14" fillId="2" borderId="0" xfId="0" applyFont="1" applyFill="1">
      <alignment vertical="center"/>
    </xf>
    <xf numFmtId="0" fontId="44" fillId="2" borderId="0" xfId="0" applyFont="1" applyFill="1">
      <alignment vertical="center"/>
    </xf>
    <xf numFmtId="0" fontId="40" fillId="0" borderId="0" xfId="0" applyFont="1">
      <alignment vertical="center"/>
    </xf>
    <xf numFmtId="0" fontId="14" fillId="0" borderId="0" xfId="0" applyFont="1">
      <alignment vertical="center"/>
    </xf>
    <xf numFmtId="40" fontId="14" fillId="0" borderId="0" xfId="0" applyNumberFormat="1" applyFont="1">
      <alignment vertical="center"/>
    </xf>
    <xf numFmtId="178" fontId="14" fillId="2" borderId="0" xfId="1" applyNumberFormat="1" applyFont="1" applyFill="1" applyBorder="1">
      <alignment vertical="center"/>
    </xf>
    <xf numFmtId="178" fontId="14" fillId="2" borderId="0" xfId="1" applyNumberFormat="1" applyFont="1" applyFill="1" applyBorder="1" applyAlignment="1">
      <alignment horizontal="center" vertical="center"/>
    </xf>
    <xf numFmtId="0" fontId="0" fillId="2" borderId="5" xfId="0" applyFill="1" applyBorder="1">
      <alignment vertical="center"/>
    </xf>
    <xf numFmtId="0" fontId="12" fillId="2" borderId="35" xfId="0" applyFont="1" applyFill="1" applyBorder="1">
      <alignment vertical="center"/>
    </xf>
    <xf numFmtId="0" fontId="11" fillId="0" borderId="8" xfId="12" applyFont="1" applyBorder="1" applyAlignment="1">
      <alignment vertical="top"/>
    </xf>
    <xf numFmtId="0" fontId="19" fillId="0" borderId="0" xfId="12" applyFont="1" applyAlignment="1">
      <alignment vertical="top"/>
    </xf>
    <xf numFmtId="0" fontId="32" fillId="0" borderId="8" xfId="12" applyFont="1" applyBorder="1" applyAlignment="1">
      <alignment vertical="top"/>
    </xf>
    <xf numFmtId="0" fontId="11" fillId="0" borderId="25" xfId="12" applyFont="1" applyBorder="1" applyAlignment="1">
      <alignment vertical="top"/>
    </xf>
    <xf numFmtId="0" fontId="11" fillId="0" borderId="25" xfId="12" applyFont="1" applyBorder="1">
      <alignment vertical="center"/>
    </xf>
    <xf numFmtId="0" fontId="11" fillId="0" borderId="10" xfId="12" applyFont="1" applyBorder="1">
      <alignment vertical="center"/>
    </xf>
    <xf numFmtId="0" fontId="11" fillId="0" borderId="3" xfId="12" applyFont="1" applyBorder="1">
      <alignment vertical="center"/>
    </xf>
    <xf numFmtId="0" fontId="11" fillId="0" borderId="22" xfId="12" applyFont="1" applyBorder="1">
      <alignment vertical="center"/>
    </xf>
    <xf numFmtId="0" fontId="32" fillId="0" borderId="3" xfId="12" applyFont="1" applyBorder="1" applyAlignment="1">
      <alignment vertical="top" wrapText="1"/>
    </xf>
    <xf numFmtId="0" fontId="19" fillId="0" borderId="9" xfId="12" applyFont="1" applyBorder="1" applyAlignment="1">
      <alignment vertical="top"/>
    </xf>
    <xf numFmtId="0" fontId="22" fillId="2" borderId="15" xfId="12" applyFont="1" applyFill="1" applyBorder="1" applyAlignment="1">
      <alignment horizontal="center" vertical="center"/>
    </xf>
    <xf numFmtId="0" fontId="22" fillId="2" borderId="1" xfId="12" applyFont="1" applyFill="1" applyBorder="1" applyAlignment="1">
      <alignment horizontal="center" vertical="center"/>
    </xf>
    <xf numFmtId="0" fontId="15" fillId="0" borderId="6" xfId="12" applyFont="1" applyBorder="1">
      <alignment vertical="center"/>
    </xf>
    <xf numFmtId="0" fontId="15" fillId="0" borderId="5" xfId="12" applyFont="1" applyBorder="1">
      <alignment vertical="center"/>
    </xf>
    <xf numFmtId="0" fontId="15" fillId="0" borderId="7" xfId="12" applyFont="1" applyBorder="1">
      <alignment vertical="center"/>
    </xf>
    <xf numFmtId="0" fontId="15" fillId="0" borderId="8" xfId="12" applyFont="1" applyBorder="1">
      <alignment vertical="center"/>
    </xf>
    <xf numFmtId="0" fontId="15" fillId="0" borderId="9" xfId="12" applyFont="1" applyBorder="1">
      <alignment vertical="center"/>
    </xf>
    <xf numFmtId="0" fontId="31" fillId="0" borderId="12" xfId="12" applyFont="1" applyBorder="1">
      <alignment vertical="center"/>
    </xf>
    <xf numFmtId="0" fontId="15" fillId="0" borderId="4" xfId="12" applyFont="1" applyBorder="1">
      <alignment vertical="center"/>
    </xf>
    <xf numFmtId="0" fontId="15" fillId="0" borderId="18" xfId="12" applyFont="1" applyBorder="1">
      <alignment vertical="center"/>
    </xf>
    <xf numFmtId="0" fontId="32" fillId="0" borderId="6" xfId="12" applyFont="1" applyBorder="1">
      <alignment vertical="center"/>
    </xf>
    <xf numFmtId="0" fontId="11" fillId="0" borderId="5" xfId="12" applyFont="1" applyBorder="1">
      <alignment vertical="center"/>
    </xf>
    <xf numFmtId="0" fontId="11" fillId="0" borderId="30" xfId="12" applyFont="1" applyBorder="1">
      <alignment vertical="center"/>
    </xf>
    <xf numFmtId="0" fontId="32" fillId="0" borderId="5" xfId="12" applyFont="1" applyBorder="1">
      <alignment vertical="center"/>
    </xf>
    <xf numFmtId="0" fontId="11" fillId="0" borderId="8" xfId="12" applyFont="1" applyBorder="1">
      <alignment vertical="center"/>
    </xf>
    <xf numFmtId="0" fontId="11" fillId="0" borderId="9" xfId="12" applyFont="1" applyBorder="1">
      <alignment vertical="center"/>
    </xf>
    <xf numFmtId="0" fontId="32" fillId="0" borderId="8" xfId="12" applyFont="1" applyBorder="1">
      <alignment vertical="center"/>
    </xf>
    <xf numFmtId="0" fontId="33" fillId="0" borderId="26" xfId="12" applyFont="1" applyBorder="1" applyAlignment="1"/>
    <xf numFmtId="0" fontId="33" fillId="0" borderId="26" xfId="12" applyFont="1" applyBorder="1">
      <alignment vertical="center"/>
    </xf>
    <xf numFmtId="0" fontId="32" fillId="0" borderId="19" xfId="12" applyFont="1" applyBorder="1">
      <alignment vertical="center"/>
    </xf>
    <xf numFmtId="0" fontId="11" fillId="0" borderId="20" xfId="12" applyFont="1" applyBorder="1">
      <alignment vertical="center"/>
    </xf>
    <xf numFmtId="0" fontId="11" fillId="0" borderId="23" xfId="12" applyFont="1" applyBorder="1">
      <alignment vertical="center"/>
    </xf>
    <xf numFmtId="0" fontId="32" fillId="0" borderId="3" xfId="12" applyFont="1" applyBorder="1">
      <alignment vertical="center"/>
    </xf>
    <xf numFmtId="0" fontId="32" fillId="0" borderId="2" xfId="12" applyFont="1" applyBorder="1">
      <alignment vertical="center"/>
    </xf>
    <xf numFmtId="0" fontId="32" fillId="0" borderId="25" xfId="12" applyFont="1" applyBorder="1">
      <alignment vertical="center"/>
    </xf>
    <xf numFmtId="0" fontId="11" fillId="0" borderId="17" xfId="12" applyFont="1" applyBorder="1">
      <alignment vertical="center"/>
    </xf>
    <xf numFmtId="0" fontId="11" fillId="0" borderId="13" xfId="12" applyFont="1" applyBorder="1">
      <alignment vertical="center"/>
    </xf>
    <xf numFmtId="0" fontId="15" fillId="0" borderId="3" xfId="12" applyFont="1" applyBorder="1">
      <alignment vertical="center"/>
    </xf>
    <xf numFmtId="0" fontId="15" fillId="0" borderId="12" xfId="12" applyFont="1" applyBorder="1">
      <alignment vertical="center"/>
    </xf>
    <xf numFmtId="0" fontId="32" fillId="0" borderId="12" xfId="12" applyFont="1" applyBorder="1" applyAlignment="1">
      <alignment horizontal="centerContinuous" vertical="center"/>
    </xf>
    <xf numFmtId="0" fontId="15" fillId="0" borderId="4" xfId="12" applyFont="1" applyBorder="1" applyAlignment="1">
      <alignment horizontal="centerContinuous" vertical="center"/>
    </xf>
    <xf numFmtId="0" fontId="15" fillId="0" borderId="18" xfId="12" applyFont="1" applyBorder="1" applyAlignment="1">
      <alignment horizontal="centerContinuous" vertical="center"/>
    </xf>
    <xf numFmtId="0" fontId="32" fillId="0" borderId="22" xfId="12" applyFont="1" applyBorder="1">
      <alignment vertical="center"/>
    </xf>
    <xf numFmtId="0" fontId="32" fillId="0" borderId="13" xfId="12" applyFont="1" applyBorder="1">
      <alignment vertical="center"/>
    </xf>
    <xf numFmtId="0" fontId="11" fillId="0" borderId="7" xfId="12" applyFont="1" applyBorder="1">
      <alignment vertical="center"/>
    </xf>
    <xf numFmtId="0" fontId="11" fillId="0" borderId="11" xfId="12" applyFont="1" applyBorder="1">
      <alignment vertical="center"/>
    </xf>
    <xf numFmtId="0" fontId="32" fillId="0" borderId="20" xfId="12" applyFont="1" applyBorder="1">
      <alignment vertical="center"/>
    </xf>
    <xf numFmtId="0" fontId="32" fillId="0" borderId="4" xfId="12" applyFont="1" applyBorder="1">
      <alignment vertical="center"/>
    </xf>
    <xf numFmtId="0" fontId="32" fillId="0" borderId="26" xfId="12" applyFont="1" applyBorder="1" applyAlignment="1">
      <alignment vertical="top"/>
    </xf>
    <xf numFmtId="0" fontId="32" fillId="0" borderId="9" xfId="12" applyFont="1" applyBorder="1" applyAlignment="1">
      <alignment vertical="top"/>
    </xf>
    <xf numFmtId="0" fontId="19" fillId="0" borderId="3" xfId="12" applyFont="1" applyBorder="1">
      <alignment vertical="center"/>
    </xf>
    <xf numFmtId="40" fontId="11" fillId="0" borderId="8" xfId="12" applyNumberFormat="1" applyFont="1" applyBorder="1">
      <alignment vertical="center"/>
    </xf>
    <xf numFmtId="0" fontId="19" fillId="0" borderId="8" xfId="12" applyFont="1" applyBorder="1">
      <alignment vertical="center"/>
    </xf>
    <xf numFmtId="0" fontId="32" fillId="0" borderId="11" xfId="12" applyFont="1" applyBorder="1" applyAlignment="1">
      <alignment vertical="top" wrapText="1"/>
    </xf>
    <xf numFmtId="0" fontId="32" fillId="0" borderId="9" xfId="12" applyFont="1" applyBorder="1" applyAlignment="1">
      <alignment vertical="center" wrapText="1"/>
    </xf>
    <xf numFmtId="0" fontId="11" fillId="0" borderId="0" xfId="20" applyFont="1" applyBorder="1">
      <alignment vertical="center"/>
    </xf>
    <xf numFmtId="0" fontId="55" fillId="0" borderId="0" xfId="20" applyFont="1" applyBorder="1">
      <alignment vertical="center"/>
    </xf>
    <xf numFmtId="0" fontId="37" fillId="0" borderId="6" xfId="12" applyFont="1" applyBorder="1">
      <alignment vertical="center"/>
    </xf>
    <xf numFmtId="0" fontId="37" fillId="0" borderId="5" xfId="12" applyFont="1" applyBorder="1">
      <alignment vertical="center"/>
    </xf>
    <xf numFmtId="40" fontId="37" fillId="0" borderId="29" xfId="13" applyNumberFormat="1" applyFont="1" applyFill="1" applyBorder="1" applyAlignment="1">
      <alignment horizontal="right" vertical="center"/>
    </xf>
    <xf numFmtId="180" fontId="37" fillId="0" borderId="29" xfId="13" applyNumberFormat="1" applyFont="1" applyBorder="1" applyAlignment="1">
      <alignment horizontal="right" vertical="center"/>
    </xf>
    <xf numFmtId="180" fontId="37" fillId="0" borderId="32" xfId="13" applyNumberFormat="1" applyFont="1" applyBorder="1" applyAlignment="1">
      <alignment horizontal="left" vertical="center"/>
    </xf>
    <xf numFmtId="0" fontId="59" fillId="0" borderId="0" xfId="12" applyFont="1" applyAlignment="1">
      <alignment horizontal="right" vertical="center" wrapText="1"/>
    </xf>
    <xf numFmtId="0" fontId="59" fillId="0" borderId="0" xfId="0" applyFont="1" applyAlignment="1">
      <alignment horizontal="left" vertical="center"/>
    </xf>
    <xf numFmtId="0" fontId="60" fillId="0" borderId="0" xfId="12" applyFont="1" applyAlignment="1">
      <alignment vertical="center" wrapText="1"/>
    </xf>
    <xf numFmtId="0" fontId="60" fillId="0" borderId="0" xfId="12" applyFont="1">
      <alignment vertical="center"/>
    </xf>
    <xf numFmtId="0" fontId="59" fillId="0" borderId="0" xfId="12" applyFont="1" applyAlignment="1">
      <alignment vertical="center" wrapText="1"/>
    </xf>
    <xf numFmtId="0" fontId="53" fillId="0" borderId="7" xfId="12" applyFont="1" applyBorder="1">
      <alignment vertical="center"/>
    </xf>
    <xf numFmtId="0" fontId="14" fillId="5" borderId="8" xfId="0" applyFont="1" applyFill="1" applyBorder="1">
      <alignment vertical="center"/>
    </xf>
    <xf numFmtId="0" fontId="40" fillId="5" borderId="0" xfId="0" applyFont="1" applyFill="1">
      <alignment vertical="center"/>
    </xf>
    <xf numFmtId="0" fontId="14" fillId="5" borderId="0" xfId="0" applyFont="1" applyFill="1">
      <alignment vertical="center"/>
    </xf>
    <xf numFmtId="0" fontId="40" fillId="5" borderId="9" xfId="0" applyFont="1" applyFill="1" applyBorder="1">
      <alignment vertical="center"/>
    </xf>
    <xf numFmtId="0" fontId="12" fillId="5" borderId="0" xfId="0" applyFont="1" applyFill="1">
      <alignment vertical="center"/>
    </xf>
    <xf numFmtId="0" fontId="43" fillId="5" borderId="0" xfId="0" applyFont="1" applyFill="1">
      <alignment vertical="center"/>
    </xf>
    <xf numFmtId="0" fontId="13" fillId="5" borderId="0" xfId="0" applyFont="1" applyFill="1">
      <alignment vertical="center"/>
    </xf>
    <xf numFmtId="0" fontId="14" fillId="5" borderId="0" xfId="0" applyFont="1" applyFill="1" applyAlignment="1">
      <alignment vertical="center" wrapText="1"/>
    </xf>
    <xf numFmtId="40" fontId="22" fillId="0" borderId="1" xfId="13" applyNumberFormat="1" applyFont="1" applyFill="1" applyBorder="1" applyAlignment="1">
      <alignment horizontal="left" vertical="center"/>
    </xf>
    <xf numFmtId="178" fontId="22" fillId="0" borderId="1" xfId="1" applyNumberFormat="1" applyFont="1" applyFill="1" applyBorder="1" applyAlignment="1">
      <alignment horizontal="right" vertical="center"/>
    </xf>
    <xf numFmtId="178" fontId="15" fillId="0" borderId="0" xfId="1" applyNumberFormat="1" applyFont="1" applyFill="1" applyBorder="1" applyAlignment="1">
      <alignment horizontal="center" vertical="center"/>
    </xf>
    <xf numFmtId="178" fontId="15" fillId="0" borderId="0" xfId="1" applyNumberFormat="1" applyFont="1" applyFill="1" applyBorder="1" applyAlignment="1">
      <alignment horizontal="left" vertical="center"/>
    </xf>
    <xf numFmtId="178" fontId="15" fillId="0" borderId="0" xfId="1" applyNumberFormat="1" applyFont="1" applyFill="1" applyAlignment="1">
      <alignment horizontal="center" vertical="center"/>
    </xf>
    <xf numFmtId="178" fontId="18" fillId="0" borderId="0" xfId="1" applyNumberFormat="1" applyFont="1" applyFill="1" applyBorder="1">
      <alignment vertical="center"/>
    </xf>
    <xf numFmtId="178" fontId="18" fillId="0" borderId="0" xfId="1" applyNumberFormat="1" applyFont="1" applyFill="1">
      <alignment vertical="center"/>
    </xf>
    <xf numFmtId="179" fontId="15" fillId="0" borderId="0" xfId="13" applyNumberFormat="1" applyFont="1" applyBorder="1" applyAlignment="1">
      <alignment horizontal="center" vertical="center"/>
    </xf>
    <xf numFmtId="179" fontId="15" fillId="0" borderId="0" xfId="13" applyNumberFormat="1" applyFont="1" applyFill="1" applyBorder="1" applyAlignment="1">
      <alignment horizontal="center" vertical="center"/>
    </xf>
    <xf numFmtId="0" fontId="61" fillId="0" borderId="0" xfId="12" quotePrefix="1" applyFont="1">
      <alignment vertical="center"/>
    </xf>
    <xf numFmtId="0" fontId="61" fillId="0" borderId="0" xfId="12" applyFont="1">
      <alignment vertical="center"/>
    </xf>
    <xf numFmtId="0" fontId="37" fillId="2" borderId="1" xfId="14" applyFont="1" applyFill="1" applyBorder="1" applyAlignment="1">
      <alignment horizontal="center" vertical="center" wrapText="1"/>
    </xf>
    <xf numFmtId="38" fontId="15" fillId="0" borderId="0" xfId="13" applyNumberFormat="1" applyFont="1" applyFill="1" applyBorder="1" applyAlignment="1">
      <alignment horizontal="center" vertical="center"/>
    </xf>
    <xf numFmtId="38" fontId="15" fillId="0" borderId="0" xfId="13" applyNumberFormat="1" applyFont="1" applyFill="1" applyBorder="1" applyAlignment="1">
      <alignment horizontal="left" vertical="center"/>
    </xf>
    <xf numFmtId="178" fontId="18" fillId="0" borderId="0" xfId="13" applyNumberFormat="1" applyFont="1" applyFill="1" applyBorder="1">
      <alignment vertical="center"/>
    </xf>
    <xf numFmtId="178" fontId="18" fillId="0" borderId="0" xfId="13" applyNumberFormat="1" applyFont="1" applyFill="1">
      <alignment vertical="center"/>
    </xf>
    <xf numFmtId="0" fontId="22" fillId="2" borderId="1" xfId="12" applyFont="1" applyFill="1" applyBorder="1" applyAlignment="1">
      <alignment horizontal="center" vertical="center" wrapText="1"/>
    </xf>
    <xf numFmtId="178" fontId="22" fillId="0" borderId="1" xfId="1" applyNumberFormat="1" applyFont="1" applyFill="1" applyBorder="1" applyAlignment="1">
      <alignment horizontal="center" vertical="center"/>
    </xf>
    <xf numFmtId="178" fontId="22" fillId="2" borderId="1" xfId="1" applyNumberFormat="1" applyFont="1" applyFill="1" applyBorder="1" applyAlignment="1">
      <alignment horizontal="center" vertical="center"/>
    </xf>
    <xf numFmtId="178" fontId="22" fillId="2" borderId="1" xfId="13" applyNumberFormat="1" applyFont="1" applyFill="1" applyBorder="1" applyAlignment="1">
      <alignment horizontal="center" vertical="center"/>
    </xf>
    <xf numFmtId="178" fontId="14" fillId="2" borderId="0" xfId="1" applyNumberFormat="1" applyFont="1" applyFill="1" applyBorder="1" applyAlignment="1">
      <alignment horizontal="left" vertical="center"/>
    </xf>
    <xf numFmtId="0" fontId="14" fillId="0" borderId="0" xfId="12" applyFont="1" applyAlignment="1">
      <alignment horizontal="center" vertical="center"/>
    </xf>
    <xf numFmtId="0" fontId="22" fillId="0" borderId="1" xfId="12" applyFont="1" applyBorder="1" applyAlignment="1">
      <alignment horizontal="center" vertical="center" wrapText="1"/>
    </xf>
    <xf numFmtId="0" fontId="37" fillId="0" borderId="8" xfId="12" applyFont="1" applyBorder="1">
      <alignment vertical="center"/>
    </xf>
    <xf numFmtId="0" fontId="57" fillId="0" borderId="9" xfId="12" applyFont="1" applyBorder="1">
      <alignment vertical="center"/>
    </xf>
    <xf numFmtId="178" fontId="16" fillId="0" borderId="0" xfId="47" applyNumberFormat="1" applyFont="1">
      <alignment vertical="center"/>
    </xf>
    <xf numFmtId="178" fontId="15" fillId="0" borderId="0" xfId="47" applyNumberFormat="1" applyFont="1">
      <alignment vertical="center"/>
    </xf>
    <xf numFmtId="0" fontId="15" fillId="0" borderId="0" xfId="12" applyFont="1" applyAlignment="1">
      <alignment horizontal="right" vertical="center" wrapText="1"/>
    </xf>
    <xf numFmtId="0" fontId="17" fillId="0" borderId="0" xfId="0" applyFont="1" applyAlignment="1">
      <alignment horizontal="center" vertical="center"/>
    </xf>
    <xf numFmtId="0" fontId="64" fillId="0" borderId="0" xfId="0" applyFont="1" applyAlignment="1">
      <alignment horizontal="left" vertical="center"/>
    </xf>
    <xf numFmtId="41" fontId="22" fillId="0" borderId="0" xfId="13" applyFont="1">
      <alignment vertical="center"/>
    </xf>
    <xf numFmtId="178" fontId="11" fillId="0" borderId="0" xfId="47" applyNumberFormat="1" applyFont="1">
      <alignment vertical="center"/>
    </xf>
    <xf numFmtId="178" fontId="11" fillId="0" borderId="0" xfId="47" applyNumberFormat="1" applyFont="1" applyAlignment="1">
      <alignment horizontal="center" vertical="center"/>
    </xf>
    <xf numFmtId="0" fontId="11" fillId="0" borderId="0" xfId="12" applyFont="1" applyAlignment="1">
      <alignment vertical="center" wrapText="1"/>
    </xf>
    <xf numFmtId="0" fontId="19" fillId="0" borderId="0" xfId="12" applyFont="1" applyAlignment="1">
      <alignment vertical="center" wrapText="1"/>
    </xf>
    <xf numFmtId="0" fontId="56" fillId="0" borderId="6" xfId="12" applyFont="1" applyBorder="1">
      <alignment vertical="center"/>
    </xf>
    <xf numFmtId="41" fontId="22" fillId="0" borderId="0" xfId="13" applyFont="1" applyFill="1" applyBorder="1">
      <alignment vertical="center"/>
    </xf>
    <xf numFmtId="0" fontId="56" fillId="0" borderId="12" xfId="12" applyFont="1" applyBorder="1">
      <alignment vertical="center"/>
    </xf>
    <xf numFmtId="0" fontId="56" fillId="0" borderId="0" xfId="12" applyFont="1">
      <alignment vertical="center"/>
    </xf>
    <xf numFmtId="41" fontId="58" fillId="0" borderId="0" xfId="13" applyFont="1" applyFill="1" applyBorder="1">
      <alignment vertical="center"/>
    </xf>
    <xf numFmtId="41" fontId="22" fillId="0" borderId="1" xfId="13" applyFont="1" applyFill="1" applyBorder="1" applyAlignment="1">
      <alignment horizontal="center" vertical="center" wrapText="1"/>
    </xf>
    <xf numFmtId="178" fontId="22" fillId="0" borderId="1" xfId="47" applyNumberFormat="1" applyFont="1" applyBorder="1" applyAlignment="1">
      <alignment horizontal="center" vertical="center" wrapText="1"/>
    </xf>
    <xf numFmtId="0" fontId="22" fillId="2" borderId="1" xfId="14" applyFont="1" applyFill="1" applyBorder="1" applyAlignment="1">
      <alignment horizontal="center" vertical="center"/>
    </xf>
    <xf numFmtId="178" fontId="22" fillId="2" borderId="1" xfId="47" applyNumberFormat="1" applyFont="1" applyFill="1" applyBorder="1" applyAlignment="1">
      <alignment horizontal="right" vertical="center"/>
    </xf>
    <xf numFmtId="178" fontId="22" fillId="0" borderId="1" xfId="47" applyNumberFormat="1" applyFont="1" applyBorder="1">
      <alignment vertical="center"/>
    </xf>
    <xf numFmtId="178" fontId="18" fillId="2" borderId="1" xfId="47" applyNumberFormat="1" applyFont="1" applyFill="1" applyBorder="1" applyAlignment="1">
      <alignment horizontal="center" vertical="center"/>
    </xf>
    <xf numFmtId="178" fontId="22" fillId="2" borderId="16" xfId="13" applyNumberFormat="1" applyFont="1" applyFill="1" applyBorder="1" applyAlignment="1">
      <alignment horizontal="left" vertical="center"/>
    </xf>
    <xf numFmtId="0" fontId="22" fillId="0" borderId="0" xfId="12" applyFont="1" applyAlignment="1">
      <alignment horizontal="left" vertical="center" wrapText="1"/>
    </xf>
    <xf numFmtId="178" fontId="22" fillId="2" borderId="1" xfId="47" applyNumberFormat="1" applyFont="1" applyFill="1" applyBorder="1" applyAlignment="1">
      <alignment horizontal="center" vertical="center"/>
    </xf>
    <xf numFmtId="0" fontId="37" fillId="4" borderId="15" xfId="12" applyFont="1" applyFill="1" applyBorder="1" applyAlignment="1">
      <alignment horizontal="center" vertical="center"/>
    </xf>
    <xf numFmtId="0" fontId="37" fillId="4" borderId="1" xfId="14" applyFont="1" applyFill="1" applyBorder="1" applyAlignment="1">
      <alignment horizontal="center" vertical="center"/>
    </xf>
    <xf numFmtId="40" fontId="37" fillId="4" borderId="1" xfId="13" applyNumberFormat="1" applyFont="1" applyFill="1" applyBorder="1" applyAlignment="1">
      <alignment horizontal="left" vertical="center"/>
    </xf>
    <xf numFmtId="0" fontId="37" fillId="4" borderId="1" xfId="12" applyFont="1" applyFill="1" applyBorder="1" applyAlignment="1">
      <alignment horizontal="left" vertical="center"/>
    </xf>
    <xf numFmtId="41" fontId="37" fillId="4" borderId="1" xfId="13" applyFont="1" applyFill="1" applyBorder="1" applyAlignment="1">
      <alignment horizontal="center" vertical="center"/>
    </xf>
    <xf numFmtId="0" fontId="37" fillId="4" borderId="1" xfId="12" applyFont="1" applyFill="1" applyBorder="1" applyAlignment="1">
      <alignment horizontal="center" vertical="center"/>
    </xf>
    <xf numFmtId="178" fontId="37" fillId="4" borderId="1" xfId="47" applyNumberFormat="1" applyFont="1" applyFill="1" applyBorder="1" applyAlignment="1">
      <alignment horizontal="center" vertical="center"/>
    </xf>
    <xf numFmtId="178" fontId="37" fillId="4" borderId="1" xfId="13" applyNumberFormat="1" applyFont="1" applyFill="1" applyBorder="1" applyAlignment="1">
      <alignment horizontal="center" vertical="center"/>
    </xf>
    <xf numFmtId="178" fontId="31" fillId="4" borderId="1" xfId="13" applyNumberFormat="1" applyFont="1" applyFill="1" applyBorder="1" applyAlignment="1">
      <alignment horizontal="center" vertical="center"/>
    </xf>
    <xf numFmtId="40" fontId="37" fillId="4" borderId="1" xfId="13" applyNumberFormat="1" applyFont="1" applyFill="1" applyBorder="1" applyAlignment="1">
      <alignment horizontal="center" vertical="center"/>
    </xf>
    <xf numFmtId="178" fontId="37" fillId="4" borderId="16" xfId="13" applyNumberFormat="1" applyFont="1" applyFill="1" applyBorder="1" applyAlignment="1">
      <alignment horizontal="left" vertical="center"/>
    </xf>
    <xf numFmtId="0" fontId="37" fillId="0" borderId="0" xfId="12" applyFont="1" applyAlignment="1">
      <alignment vertical="center" wrapText="1"/>
    </xf>
    <xf numFmtId="0" fontId="37" fillId="0" borderId="0" xfId="12" applyFont="1" applyAlignment="1">
      <alignment horizontal="left" vertical="center" wrapText="1"/>
    </xf>
    <xf numFmtId="0" fontId="67" fillId="0" borderId="0" xfId="12" applyFont="1" applyAlignment="1">
      <alignment vertical="center" wrapText="1"/>
    </xf>
    <xf numFmtId="0" fontId="67" fillId="0" borderId="0" xfId="12" applyFont="1">
      <alignment vertical="center"/>
    </xf>
    <xf numFmtId="41" fontId="37" fillId="0" borderId="29" xfId="13" applyFont="1" applyBorder="1" applyAlignment="1">
      <alignment horizontal="center" vertical="center"/>
    </xf>
    <xf numFmtId="0" fontId="37" fillId="0" borderId="29" xfId="12" applyFont="1" applyBorder="1" applyAlignment="1">
      <alignment horizontal="center" vertical="center"/>
    </xf>
    <xf numFmtId="178" fontId="37" fillId="0" borderId="29" xfId="47" applyNumberFormat="1" applyFont="1" applyBorder="1" applyAlignment="1">
      <alignment horizontal="right" vertical="center"/>
    </xf>
    <xf numFmtId="178" fontId="37" fillId="0" borderId="29" xfId="13" applyNumberFormat="1" applyFont="1" applyBorder="1" applyAlignment="1">
      <alignment horizontal="center" vertical="center"/>
    </xf>
    <xf numFmtId="178" fontId="15" fillId="0" borderId="0" xfId="47" applyNumberFormat="1" applyFont="1" applyBorder="1" applyAlignment="1">
      <alignment horizontal="center" vertical="center"/>
    </xf>
    <xf numFmtId="178" fontId="15" fillId="0" borderId="0" xfId="47" applyNumberFormat="1" applyFont="1" applyAlignment="1">
      <alignment horizontal="center" vertical="center"/>
    </xf>
    <xf numFmtId="178" fontId="15" fillId="0" borderId="0" xfId="47" applyNumberFormat="1" applyFont="1" applyBorder="1" applyAlignment="1">
      <alignment horizontal="left" vertical="center"/>
    </xf>
    <xf numFmtId="178" fontId="15" fillId="0" borderId="0" xfId="47" applyNumberFormat="1" applyFont="1" applyAlignment="1">
      <alignment horizontal="left" vertical="center"/>
    </xf>
    <xf numFmtId="178" fontId="18" fillId="0" borderId="0" xfId="47" applyNumberFormat="1" applyFont="1" applyBorder="1">
      <alignment vertical="center"/>
    </xf>
    <xf numFmtId="178" fontId="18" fillId="0" borderId="0" xfId="47" applyNumberFormat="1" applyFont="1">
      <alignment vertical="center"/>
    </xf>
    <xf numFmtId="0" fontId="22" fillId="2" borderId="1" xfId="12" applyFont="1" applyFill="1" applyBorder="1">
      <alignment vertical="center"/>
    </xf>
    <xf numFmtId="0" fontId="26" fillId="0" borderId="0" xfId="12" applyFont="1">
      <alignment vertical="center"/>
    </xf>
    <xf numFmtId="179" fontId="15" fillId="0" borderId="0" xfId="13" applyNumberFormat="1" applyFont="1">
      <alignment vertical="center"/>
    </xf>
    <xf numFmtId="179" fontId="37" fillId="0" borderId="0" xfId="12" applyNumberFormat="1" applyFont="1" applyAlignment="1">
      <alignment horizontal="center" vertical="center"/>
    </xf>
    <xf numFmtId="179" fontId="22" fillId="0" borderId="0" xfId="12" applyNumberFormat="1" applyFont="1" applyAlignment="1">
      <alignment vertical="center" wrapText="1"/>
    </xf>
    <xf numFmtId="179" fontId="22" fillId="0" borderId="8" xfId="12" applyNumberFormat="1" applyFont="1" applyBorder="1" applyAlignment="1">
      <alignment vertical="center" wrapText="1"/>
    </xf>
    <xf numFmtId="179" fontId="58" fillId="0" borderId="12" xfId="12" applyNumberFormat="1" applyFont="1" applyBorder="1" applyAlignment="1">
      <alignment vertical="center" wrapText="1"/>
    </xf>
    <xf numFmtId="179" fontId="15" fillId="0" borderId="0" xfId="13" applyNumberFormat="1" applyFont="1" applyFill="1" applyBorder="1" applyAlignment="1">
      <alignment horizontal="left" vertical="center"/>
    </xf>
    <xf numFmtId="179" fontId="18" fillId="0" borderId="0" xfId="13" applyNumberFormat="1" applyFont="1" applyBorder="1">
      <alignment vertical="center"/>
    </xf>
    <xf numFmtId="179" fontId="18" fillId="0" borderId="0" xfId="13" applyNumberFormat="1" applyFont="1">
      <alignment vertical="center"/>
    </xf>
    <xf numFmtId="179" fontId="22" fillId="0" borderId="1" xfId="13" applyNumberFormat="1" applyFont="1" applyFill="1" applyBorder="1" applyAlignment="1">
      <alignment horizontal="center" vertical="center"/>
    </xf>
    <xf numFmtId="0" fontId="53" fillId="0" borderId="5" xfId="12" applyFont="1" applyBorder="1">
      <alignment vertical="center"/>
    </xf>
    <xf numFmtId="0" fontId="22" fillId="0" borderId="7" xfId="12" applyFont="1" applyBorder="1" applyAlignment="1">
      <alignment vertical="center" wrapText="1"/>
    </xf>
    <xf numFmtId="0" fontId="57" fillId="0" borderId="0" xfId="12" applyFont="1">
      <alignment vertical="center"/>
    </xf>
    <xf numFmtId="0" fontId="58" fillId="0" borderId="9" xfId="12" applyFont="1" applyBorder="1" applyAlignment="1">
      <alignment vertical="center" wrapText="1"/>
    </xf>
    <xf numFmtId="178" fontId="37" fillId="4" borderId="29" xfId="47" applyNumberFormat="1" applyFont="1" applyFill="1" applyBorder="1" applyAlignment="1">
      <alignment horizontal="right" vertical="center"/>
    </xf>
    <xf numFmtId="0" fontId="15" fillId="0" borderId="0" xfId="13" applyNumberFormat="1" applyFont="1">
      <alignment vertical="center"/>
    </xf>
    <xf numFmtId="0" fontId="11" fillId="0" borderId="0" xfId="13" applyNumberFormat="1" applyFont="1">
      <alignment vertical="center"/>
    </xf>
    <xf numFmtId="0" fontId="22" fillId="2" borderId="1" xfId="13" applyNumberFormat="1" applyFont="1" applyFill="1" applyBorder="1" applyAlignment="1">
      <alignment horizontal="center" vertical="center"/>
    </xf>
    <xf numFmtId="0" fontId="37" fillId="4" borderId="29" xfId="13" applyNumberFormat="1" applyFont="1" applyFill="1" applyBorder="1" applyAlignment="1">
      <alignment horizontal="center" vertical="center"/>
    </xf>
    <xf numFmtId="0" fontId="15" fillId="0" borderId="0" xfId="13" applyNumberFormat="1" applyFont="1" applyBorder="1" applyAlignment="1">
      <alignment horizontal="center" vertical="center"/>
    </xf>
    <xf numFmtId="0" fontId="15" fillId="0" borderId="0" xfId="13" applyNumberFormat="1" applyFont="1" applyFill="1" applyBorder="1" applyAlignment="1">
      <alignment horizontal="center" vertical="center"/>
    </xf>
    <xf numFmtId="0" fontId="18" fillId="0" borderId="0" xfId="13" applyNumberFormat="1" applyFont="1" applyBorder="1" applyAlignment="1">
      <alignment horizontal="center" vertical="center"/>
    </xf>
    <xf numFmtId="0" fontId="18" fillId="0" borderId="0" xfId="13" applyNumberFormat="1" applyFont="1" applyAlignment="1">
      <alignment horizontal="center" vertical="center"/>
    </xf>
    <xf numFmtId="178" fontId="37" fillId="4" borderId="29" xfId="47" applyNumberFormat="1" applyFont="1" applyFill="1" applyBorder="1" applyAlignment="1">
      <alignment horizontal="center" vertical="center"/>
    </xf>
    <xf numFmtId="178" fontId="14" fillId="0" borderId="0" xfId="47" applyNumberFormat="1" applyFont="1" applyAlignment="1">
      <alignment horizontal="center" vertical="center"/>
    </xf>
    <xf numFmtId="178" fontId="30" fillId="0" borderId="0" xfId="47" applyNumberFormat="1" applyFont="1" applyAlignment="1">
      <alignment horizontal="center" vertical="center"/>
    </xf>
    <xf numFmtId="40" fontId="22" fillId="0" borderId="1" xfId="13" applyNumberFormat="1" applyFont="1" applyFill="1" applyBorder="1" applyAlignment="1">
      <alignment horizontal="left" vertical="top" wrapText="1"/>
    </xf>
    <xf numFmtId="0" fontId="24" fillId="0" borderId="1" xfId="12" applyFont="1" applyBorder="1">
      <alignment vertical="center"/>
    </xf>
    <xf numFmtId="40" fontId="22" fillId="0" borderId="16" xfId="13" applyNumberFormat="1" applyFont="1" applyFill="1" applyBorder="1" applyAlignment="1">
      <alignment horizontal="left" vertical="center"/>
    </xf>
    <xf numFmtId="40" fontId="18" fillId="0" borderId="16" xfId="13" applyNumberFormat="1" applyFont="1" applyFill="1" applyBorder="1" applyAlignment="1">
      <alignment horizontal="left" vertical="center"/>
    </xf>
    <xf numFmtId="0" fontId="32" fillId="0" borderId="9" xfId="12" applyFont="1" applyBorder="1" applyAlignment="1">
      <alignment vertical="top" wrapText="1"/>
    </xf>
    <xf numFmtId="0" fontId="19" fillId="0" borderId="9" xfId="12" applyFont="1" applyBorder="1">
      <alignment vertical="center"/>
    </xf>
    <xf numFmtId="0" fontId="11" fillId="0" borderId="2" xfId="12" applyFont="1" applyBorder="1">
      <alignment vertical="center"/>
    </xf>
    <xf numFmtId="0" fontId="32" fillId="0" borderId="3" xfId="12" applyFont="1" applyBorder="1" applyAlignment="1">
      <alignment horizontal="left" vertical="center"/>
    </xf>
    <xf numFmtId="178" fontId="66" fillId="0" borderId="1" xfId="47" applyNumberFormat="1" applyFont="1" applyFill="1" applyBorder="1" applyAlignment="1">
      <alignment horizontal="center" vertical="center"/>
    </xf>
    <xf numFmtId="178" fontId="14" fillId="2" borderId="0" xfId="1" applyNumberFormat="1" applyFont="1" applyFill="1" applyBorder="1" applyAlignment="1">
      <alignment horizontal="right" vertical="center"/>
    </xf>
    <xf numFmtId="178" fontId="14" fillId="2" borderId="0" xfId="1" applyNumberFormat="1" applyFont="1" applyFill="1" applyBorder="1" applyAlignment="1">
      <alignment horizontal="right" vertical="center" indent="1"/>
    </xf>
    <xf numFmtId="178" fontId="14" fillId="2" borderId="0" xfId="0" applyNumberFormat="1" applyFont="1" applyFill="1">
      <alignment vertical="center"/>
    </xf>
    <xf numFmtId="0" fontId="32" fillId="0" borderId="11" xfId="12" applyFont="1" applyBorder="1" applyAlignment="1">
      <alignment horizontal="center" vertical="center"/>
    </xf>
    <xf numFmtId="0" fontId="32" fillId="0" borderId="21" xfId="12" applyFont="1" applyBorder="1" applyAlignment="1">
      <alignment horizontal="center" vertical="center"/>
    </xf>
    <xf numFmtId="0" fontId="37" fillId="4" borderId="29" xfId="12" applyFont="1" applyFill="1" applyBorder="1" applyAlignment="1">
      <alignment horizontal="center" vertical="center"/>
    </xf>
    <xf numFmtId="0" fontId="47" fillId="0" borderId="3" xfId="0" applyFont="1" applyBorder="1">
      <alignment vertical="center"/>
    </xf>
    <xf numFmtId="0" fontId="33" fillId="0" borderId="0" xfId="12" applyFont="1">
      <alignment vertical="center"/>
    </xf>
    <xf numFmtId="0" fontId="19" fillId="0" borderId="22" xfId="12" applyFont="1" applyBorder="1">
      <alignment vertical="center"/>
    </xf>
    <xf numFmtId="41" fontId="15" fillId="0" borderId="0" xfId="47" applyFont="1">
      <alignment vertical="center"/>
    </xf>
    <xf numFmtId="0" fontId="68" fillId="0" borderId="0" xfId="12" applyFont="1">
      <alignment vertical="center"/>
    </xf>
    <xf numFmtId="0" fontId="31" fillId="0" borderId="0" xfId="12" applyFont="1">
      <alignment vertical="center"/>
    </xf>
    <xf numFmtId="41" fontId="31" fillId="0" borderId="0" xfId="47" applyFont="1">
      <alignment vertical="center"/>
    </xf>
    <xf numFmtId="0" fontId="31" fillId="0" borderId="0" xfId="12" applyFont="1" applyAlignment="1">
      <alignment horizontal="right" vertical="center"/>
    </xf>
    <xf numFmtId="0" fontId="18" fillId="0" borderId="0" xfId="12" applyFont="1" applyAlignment="1">
      <alignment horizontal="right" vertical="center"/>
    </xf>
    <xf numFmtId="0" fontId="39" fillId="0" borderId="27" xfId="12" applyFont="1" applyBorder="1" applyAlignment="1">
      <alignment horizontal="center" vertical="center"/>
    </xf>
    <xf numFmtId="0" fontId="39" fillId="0" borderId="28" xfId="12" applyFont="1" applyBorder="1" applyAlignment="1">
      <alignment horizontal="center" vertical="center" wrapText="1"/>
    </xf>
    <xf numFmtId="41" fontId="39" fillId="0" borderId="28" xfId="47" applyFont="1" applyBorder="1" applyAlignment="1">
      <alignment horizontal="center" vertical="center" wrapText="1"/>
    </xf>
    <xf numFmtId="9" fontId="39" fillId="0" borderId="28" xfId="12" applyNumberFormat="1" applyFont="1" applyBorder="1" applyAlignment="1">
      <alignment horizontal="center" vertical="center" wrapText="1"/>
    </xf>
    <xf numFmtId="0" fontId="39" fillId="0" borderId="31" xfId="12" applyFont="1" applyBorder="1" applyAlignment="1">
      <alignment horizontal="center" vertical="center" wrapText="1"/>
    </xf>
    <xf numFmtId="0" fontId="69" fillId="0" borderId="0" xfId="12" applyFont="1">
      <alignment vertical="center"/>
    </xf>
    <xf numFmtId="0" fontId="39" fillId="0" borderId="15" xfId="12" applyFont="1" applyBorder="1" applyAlignment="1">
      <alignment horizontal="center" vertical="center"/>
    </xf>
    <xf numFmtId="0" fontId="39" fillId="0" borderId="1" xfId="12" applyFont="1" applyBorder="1" applyAlignment="1">
      <alignment horizontal="center" vertical="center"/>
    </xf>
    <xf numFmtId="40" fontId="39" fillId="0" borderId="1" xfId="12" applyNumberFormat="1" applyFont="1" applyBorder="1" applyAlignment="1">
      <alignment horizontal="center" vertical="center" wrapText="1"/>
    </xf>
    <xf numFmtId="41" fontId="39" fillId="0" borderId="1" xfId="12" quotePrefix="1" applyNumberFormat="1" applyFont="1" applyBorder="1" applyAlignment="1">
      <alignment horizontal="center" vertical="center" wrapText="1"/>
    </xf>
    <xf numFmtId="179" fontId="39" fillId="0" borderId="1" xfId="47" applyNumberFormat="1" applyFont="1" applyFill="1" applyBorder="1" applyAlignment="1">
      <alignment horizontal="center" vertical="center" wrapText="1"/>
    </xf>
    <xf numFmtId="0" fontId="39" fillId="0" borderId="1" xfId="12" applyFont="1" applyBorder="1" applyAlignment="1">
      <alignment horizontal="center" vertical="center" wrapText="1"/>
    </xf>
    <xf numFmtId="178" fontId="39" fillId="0" borderId="1" xfId="13" applyNumberFormat="1" applyFont="1" applyFill="1" applyBorder="1" applyAlignment="1">
      <alignment horizontal="center" vertical="center" wrapText="1"/>
    </xf>
    <xf numFmtId="40" fontId="39" fillId="0" borderId="1" xfId="13" applyNumberFormat="1" applyFont="1" applyBorder="1" applyAlignment="1">
      <alignment horizontal="center" vertical="center"/>
    </xf>
    <xf numFmtId="185" fontId="39" fillId="0" borderId="16" xfId="13" applyNumberFormat="1" applyFont="1" applyBorder="1" applyAlignment="1">
      <alignment horizontal="center" vertical="center"/>
    </xf>
    <xf numFmtId="0" fontId="39" fillId="0" borderId="37" xfId="12" applyFont="1" applyBorder="1" applyAlignment="1">
      <alignment horizontal="center" vertical="center"/>
    </xf>
    <xf numFmtId="40" fontId="39" fillId="0" borderId="37" xfId="12" applyNumberFormat="1" applyFont="1" applyBorder="1" applyAlignment="1">
      <alignment horizontal="center" vertical="center" wrapText="1"/>
    </xf>
    <xf numFmtId="41" fontId="39" fillId="0" borderId="37" xfId="12" quotePrefix="1" applyNumberFormat="1" applyFont="1" applyBorder="1" applyAlignment="1">
      <alignment horizontal="center" vertical="center" wrapText="1"/>
    </xf>
    <xf numFmtId="178" fontId="39" fillId="0" borderId="37" xfId="13" applyNumberFormat="1" applyFont="1" applyFill="1" applyBorder="1" applyAlignment="1">
      <alignment horizontal="center" vertical="center" wrapText="1"/>
    </xf>
    <xf numFmtId="185" fontId="39" fillId="0" borderId="38" xfId="13" applyNumberFormat="1" applyFont="1" applyBorder="1" applyAlignment="1">
      <alignment horizontal="center" vertical="center"/>
    </xf>
    <xf numFmtId="0" fontId="5" fillId="0" borderId="36" xfId="12" applyFont="1" applyBorder="1">
      <alignment vertical="center"/>
    </xf>
    <xf numFmtId="0" fontId="5" fillId="0" borderId="29" xfId="12" applyFont="1" applyBorder="1">
      <alignment vertical="center"/>
    </xf>
    <xf numFmtId="178" fontId="68" fillId="0" borderId="29" xfId="12" applyNumberFormat="1" applyFont="1" applyBorder="1" applyAlignment="1">
      <alignment horizontal="center" vertical="center"/>
    </xf>
    <xf numFmtId="178" fontId="68" fillId="0" borderId="29" xfId="13" applyNumberFormat="1" applyFont="1" applyFill="1" applyBorder="1" applyAlignment="1">
      <alignment horizontal="center" vertical="center"/>
    </xf>
    <xf numFmtId="40" fontId="39" fillId="0" borderId="29" xfId="13" applyNumberFormat="1" applyFont="1" applyBorder="1">
      <alignment vertical="center"/>
    </xf>
    <xf numFmtId="38" fontId="39" fillId="0" borderId="32" xfId="13" applyNumberFormat="1" applyFont="1" applyBorder="1" applyAlignment="1">
      <alignment horizontal="center" vertical="center"/>
    </xf>
    <xf numFmtId="41" fontId="18" fillId="0" borderId="0" xfId="47" applyFont="1">
      <alignment vertical="center"/>
    </xf>
    <xf numFmtId="40" fontId="11" fillId="0" borderId="0" xfId="13" applyNumberFormat="1" applyFont="1" applyBorder="1">
      <alignment vertical="center"/>
    </xf>
    <xf numFmtId="40" fontId="11" fillId="0" borderId="0" xfId="13" applyNumberFormat="1" applyFont="1">
      <alignment vertical="center"/>
    </xf>
    <xf numFmtId="0" fontId="32" fillId="0" borderId="0" xfId="12" applyFont="1">
      <alignment vertical="center"/>
    </xf>
    <xf numFmtId="0" fontId="32" fillId="0" borderId="0" xfId="12" applyFont="1" applyAlignment="1">
      <alignment vertical="center" wrapText="1"/>
    </xf>
    <xf numFmtId="0" fontId="32" fillId="0" borderId="0" xfId="12" applyFont="1" applyAlignment="1">
      <alignment horizontal="left" vertical="center"/>
    </xf>
    <xf numFmtId="0" fontId="32" fillId="0" borderId="0" xfId="12" applyFont="1" applyAlignment="1">
      <alignment vertical="top" wrapText="1"/>
    </xf>
    <xf numFmtId="0" fontId="47" fillId="0" borderId="0" xfId="0" applyFont="1">
      <alignment vertical="center"/>
    </xf>
    <xf numFmtId="0" fontId="32" fillId="0" borderId="0" xfId="12" applyFont="1" applyAlignment="1">
      <alignment vertical="top"/>
    </xf>
    <xf numFmtId="15" fontId="11" fillId="0" borderId="0" xfId="12" applyNumberFormat="1" applyFont="1">
      <alignment vertical="center"/>
    </xf>
    <xf numFmtId="0" fontId="15" fillId="0" borderId="0" xfId="12" applyFont="1" applyAlignment="1">
      <alignment horizontal="centerContinuous" vertical="center"/>
    </xf>
    <xf numFmtId="0" fontId="11" fillId="0" borderId="0" xfId="12" applyFont="1" applyAlignment="1">
      <alignment vertical="top"/>
    </xf>
    <xf numFmtId="0" fontId="51" fillId="0" borderId="0" xfId="0" applyFont="1">
      <alignment vertical="center"/>
    </xf>
    <xf numFmtId="179" fontId="32" fillId="0" borderId="0" xfId="12" applyNumberFormat="1" applyFont="1">
      <alignment vertical="center"/>
    </xf>
    <xf numFmtId="0" fontId="32" fillId="3" borderId="0" xfId="12" applyFont="1" applyFill="1" applyAlignment="1">
      <alignment vertical="top" wrapText="1"/>
    </xf>
    <xf numFmtId="0" fontId="32" fillId="3" borderId="9" xfId="12" applyFont="1" applyFill="1" applyBorder="1" applyAlignment="1">
      <alignment vertical="top" wrapText="1"/>
    </xf>
    <xf numFmtId="0" fontId="32" fillId="3" borderId="0" xfId="12" applyFont="1" applyFill="1" applyAlignment="1">
      <alignment vertical="top"/>
    </xf>
    <xf numFmtId="178" fontId="11" fillId="0" borderId="9" xfId="47" applyNumberFormat="1" applyFont="1" applyFill="1" applyBorder="1" applyAlignment="1">
      <alignment vertical="center"/>
    </xf>
    <xf numFmtId="178" fontId="32" fillId="0" borderId="0" xfId="47" applyNumberFormat="1" applyFont="1" applyBorder="1">
      <alignment vertical="center"/>
    </xf>
    <xf numFmtId="178" fontId="11" fillId="0" borderId="25" xfId="47" applyNumberFormat="1" applyFont="1" applyFill="1" applyBorder="1" applyAlignment="1">
      <alignment vertical="center"/>
    </xf>
    <xf numFmtId="178" fontId="11" fillId="0" borderId="0" xfId="47" applyNumberFormat="1" applyFont="1" applyFill="1" applyBorder="1" applyAlignment="1">
      <alignment vertical="center"/>
    </xf>
    <xf numFmtId="178" fontId="32" fillId="0" borderId="14" xfId="47" applyNumberFormat="1" applyFont="1" applyFill="1" applyBorder="1" applyAlignment="1">
      <alignment vertical="center"/>
    </xf>
    <xf numFmtId="178" fontId="22" fillId="0" borderId="16" xfId="13" applyNumberFormat="1" applyFont="1" applyFill="1" applyBorder="1" applyAlignment="1">
      <alignment horizontal="center" vertical="center"/>
    </xf>
    <xf numFmtId="0" fontId="32" fillId="3" borderId="0" xfId="12" applyFont="1" applyFill="1" applyAlignment="1">
      <alignment horizontal="center" vertical="center"/>
    </xf>
    <xf numFmtId="0" fontId="32" fillId="3" borderId="9" xfId="12" applyFont="1" applyFill="1" applyBorder="1" applyAlignment="1">
      <alignment horizontal="center" vertical="center"/>
    </xf>
    <xf numFmtId="0" fontId="14" fillId="0" borderId="8" xfId="12" applyFont="1" applyBorder="1" applyAlignment="1">
      <alignment horizontal="center" vertical="center" wrapText="1"/>
    </xf>
    <xf numFmtId="0" fontId="14" fillId="0" borderId="0" xfId="12" applyFont="1" applyAlignment="1">
      <alignment horizontal="center" vertical="center"/>
    </xf>
    <xf numFmtId="0" fontId="14" fillId="0" borderId="9" xfId="12" applyFont="1" applyBorder="1" applyAlignment="1">
      <alignment horizontal="center" vertical="center"/>
    </xf>
    <xf numFmtId="0" fontId="32" fillId="3" borderId="5" xfId="12" applyFont="1" applyFill="1" applyBorder="1" applyAlignment="1">
      <alignment horizontal="center" vertical="center"/>
    </xf>
    <xf numFmtId="14" fontId="32" fillId="3" borderId="20" xfId="12" applyNumberFormat="1" applyFont="1" applyFill="1" applyBorder="1" applyAlignment="1">
      <alignment horizontal="center" vertical="center"/>
    </xf>
    <xf numFmtId="0" fontId="32" fillId="3" borderId="0" xfId="12" applyFont="1" applyFill="1" applyAlignment="1">
      <alignment horizontal="left" vertical="top" wrapText="1"/>
    </xf>
    <xf numFmtId="0" fontId="32" fillId="3" borderId="9" xfId="12" applyFont="1" applyFill="1" applyBorder="1" applyAlignment="1">
      <alignment horizontal="left" vertical="top" wrapText="1"/>
    </xf>
    <xf numFmtId="15" fontId="11" fillId="0" borderId="0" xfId="12" applyNumberFormat="1" applyFont="1" applyAlignment="1">
      <alignment horizontal="center" vertical="center"/>
    </xf>
    <xf numFmtId="0" fontId="32" fillId="0" borderId="24" xfId="12" applyFont="1" applyBorder="1" applyAlignment="1">
      <alignment horizontal="left" vertical="center" wrapText="1"/>
    </xf>
    <xf numFmtId="0" fontId="32" fillId="0" borderId="20" xfId="12" applyFont="1" applyBorder="1" applyAlignment="1">
      <alignment horizontal="left" vertical="center" wrapText="1"/>
    </xf>
    <xf numFmtId="0" fontId="32" fillId="0" borderId="23" xfId="12" applyFont="1" applyBorder="1" applyAlignment="1">
      <alignment horizontal="left" vertical="center" wrapText="1"/>
    </xf>
    <xf numFmtId="0" fontId="32" fillId="0" borderId="0" xfId="12" applyFont="1" applyAlignment="1">
      <alignment horizontal="left" vertical="center" wrapText="1"/>
    </xf>
    <xf numFmtId="0" fontId="32" fillId="0" borderId="25" xfId="12" applyFont="1" applyBorder="1" applyAlignment="1">
      <alignment horizontal="left" vertical="center" wrapText="1"/>
    </xf>
    <xf numFmtId="0" fontId="32" fillId="0" borderId="26" xfId="12" applyFont="1" applyBorder="1" applyAlignment="1">
      <alignment horizontal="left" vertical="center" wrapText="1"/>
    </xf>
    <xf numFmtId="178" fontId="11" fillId="0" borderId="0" xfId="47" applyNumberFormat="1" applyFont="1" applyBorder="1" applyAlignment="1">
      <alignment horizontal="center" vertical="center"/>
    </xf>
    <xf numFmtId="15" fontId="11" fillId="0" borderId="26" xfId="12" applyNumberFormat="1" applyFont="1" applyBorder="1" applyAlignment="1">
      <alignment horizontal="center" vertical="center" wrapText="1"/>
    </xf>
    <xf numFmtId="15" fontId="11" fillId="0" borderId="0" xfId="12" applyNumberFormat="1" applyFont="1" applyAlignment="1">
      <alignment horizontal="center" vertical="center" wrapText="1"/>
    </xf>
    <xf numFmtId="15" fontId="11" fillId="0" borderId="25" xfId="12" applyNumberFormat="1" applyFont="1" applyBorder="1" applyAlignment="1">
      <alignment horizontal="center" vertical="center" wrapText="1"/>
    </xf>
    <xf numFmtId="15" fontId="11" fillId="0" borderId="2" xfId="12" applyNumberFormat="1" applyFont="1" applyBorder="1" applyAlignment="1">
      <alignment horizontal="center" vertical="center" wrapText="1"/>
    </xf>
    <xf numFmtId="15" fontId="11" fillId="0" borderId="3" xfId="12" applyNumberFormat="1" applyFont="1" applyBorder="1" applyAlignment="1">
      <alignment horizontal="center" vertical="center" wrapText="1"/>
    </xf>
    <xf numFmtId="15" fontId="11" fillId="0" borderId="22" xfId="12" applyNumberFormat="1" applyFont="1" applyBorder="1" applyAlignment="1">
      <alignment horizontal="center" vertical="center" wrapText="1"/>
    </xf>
    <xf numFmtId="41" fontId="11" fillId="0" borderId="0" xfId="47" applyFont="1" applyBorder="1" applyAlignment="1">
      <alignment horizontal="center" vertical="center"/>
    </xf>
    <xf numFmtId="0" fontId="31" fillId="0" borderId="20" xfId="12" applyFont="1" applyBorder="1" applyAlignment="1">
      <alignment horizontal="center" vertical="center"/>
    </xf>
    <xf numFmtId="0" fontId="31" fillId="0" borderId="21" xfId="12" applyFont="1" applyBorder="1" applyAlignment="1">
      <alignment horizontal="center" vertical="center"/>
    </xf>
    <xf numFmtId="0" fontId="32" fillId="0" borderId="13" xfId="12" applyFont="1" applyBorder="1" applyAlignment="1">
      <alignment horizontal="center" vertical="center"/>
    </xf>
    <xf numFmtId="178" fontId="32" fillId="0" borderId="13" xfId="12" applyNumberFormat="1" applyFont="1" applyBorder="1" applyAlignment="1">
      <alignment horizontal="center" vertical="center"/>
    </xf>
    <xf numFmtId="178" fontId="32" fillId="0" borderId="14" xfId="12" applyNumberFormat="1" applyFont="1" applyBorder="1" applyAlignment="1">
      <alignment horizontal="center" vertical="center"/>
    </xf>
    <xf numFmtId="0" fontId="32" fillId="0" borderId="2" xfId="12" applyFont="1" applyBorder="1" applyAlignment="1">
      <alignment horizontal="center" vertical="center"/>
    </xf>
    <xf numFmtId="0" fontId="32" fillId="0" borderId="3" xfId="12" applyFont="1" applyBorder="1" applyAlignment="1">
      <alignment horizontal="center" vertical="center"/>
    </xf>
    <xf numFmtId="0" fontId="32" fillId="0" borderId="22" xfId="12" applyFont="1" applyBorder="1" applyAlignment="1">
      <alignment horizontal="center" vertical="center"/>
    </xf>
    <xf numFmtId="0" fontId="32" fillId="0" borderId="11" xfId="12" applyFont="1" applyBorder="1" applyAlignment="1">
      <alignment horizontal="center" vertical="center"/>
    </xf>
    <xf numFmtId="41" fontId="11" fillId="0" borderId="24" xfId="13" quotePrefix="1" applyFont="1" applyFill="1" applyBorder="1" applyAlignment="1">
      <alignment horizontal="center" vertical="center"/>
    </xf>
    <xf numFmtId="41" fontId="11" fillId="0" borderId="20" xfId="13" quotePrefix="1" applyFont="1" applyFill="1" applyBorder="1" applyAlignment="1">
      <alignment horizontal="center" vertical="center"/>
    </xf>
    <xf numFmtId="41" fontId="11" fillId="0" borderId="23" xfId="13" quotePrefix="1" applyFont="1" applyFill="1" applyBorder="1" applyAlignment="1">
      <alignment horizontal="center" vertical="center"/>
    </xf>
    <xf numFmtId="184" fontId="11" fillId="0" borderId="24" xfId="13" applyNumberFormat="1" applyFont="1" applyFill="1" applyBorder="1" applyAlignment="1">
      <alignment horizontal="center" vertical="center"/>
    </xf>
    <xf numFmtId="184" fontId="11" fillId="0" borderId="20" xfId="13" applyNumberFormat="1" applyFont="1" applyFill="1" applyBorder="1" applyAlignment="1">
      <alignment horizontal="center" vertical="center"/>
    </xf>
    <xf numFmtId="184" fontId="11" fillId="0" borderId="23" xfId="13" applyNumberFormat="1" applyFont="1" applyFill="1" applyBorder="1" applyAlignment="1">
      <alignment horizontal="center" vertical="center"/>
    </xf>
    <xf numFmtId="41" fontId="11" fillId="0" borderId="26" xfId="13" quotePrefix="1" applyFont="1" applyFill="1" applyBorder="1" applyAlignment="1">
      <alignment horizontal="center" vertical="center"/>
    </xf>
    <xf numFmtId="41" fontId="11" fillId="0" borderId="0" xfId="13" quotePrefix="1" applyFont="1" applyFill="1" applyBorder="1" applyAlignment="1">
      <alignment horizontal="center" vertical="center"/>
    </xf>
    <xf numFmtId="41" fontId="11" fillId="0" borderId="25" xfId="13" quotePrefix="1" applyFont="1" applyFill="1" applyBorder="1" applyAlignment="1">
      <alignment horizontal="center" vertical="center"/>
    </xf>
    <xf numFmtId="184" fontId="11" fillId="0" borderId="26" xfId="13" applyNumberFormat="1" applyFont="1" applyFill="1" applyBorder="1" applyAlignment="1">
      <alignment horizontal="center" vertical="center"/>
    </xf>
    <xf numFmtId="184" fontId="11" fillId="0" borderId="0" xfId="13" applyNumberFormat="1" applyFont="1" applyFill="1" applyBorder="1" applyAlignment="1">
      <alignment horizontal="center" vertical="center"/>
    </xf>
    <xf numFmtId="184" fontId="11" fillId="0" borderId="25" xfId="13" applyNumberFormat="1" applyFont="1" applyFill="1" applyBorder="1" applyAlignment="1">
      <alignment horizontal="center" vertical="center"/>
    </xf>
    <xf numFmtId="0" fontId="32" fillId="0" borderId="17" xfId="12" applyFont="1" applyBorder="1" applyAlignment="1">
      <alignment horizontal="center" vertical="center"/>
    </xf>
    <xf numFmtId="0" fontId="32" fillId="0" borderId="14" xfId="12" applyFont="1" applyBorder="1" applyAlignment="1">
      <alignment horizontal="center" vertical="center"/>
    </xf>
    <xf numFmtId="0" fontId="32" fillId="0" borderId="19" xfId="12" applyFont="1" applyBorder="1" applyAlignment="1">
      <alignment horizontal="left" vertical="top" wrapText="1"/>
    </xf>
    <xf numFmtId="0" fontId="32" fillId="0" borderId="20" xfId="12" applyFont="1" applyBorder="1" applyAlignment="1">
      <alignment horizontal="left" vertical="top"/>
    </xf>
    <xf numFmtId="0" fontId="32" fillId="0" borderId="23" xfId="12" applyFont="1" applyBorder="1" applyAlignment="1">
      <alignment horizontal="left" vertical="top"/>
    </xf>
    <xf numFmtId="0" fontId="32" fillId="0" borderId="10" xfId="12" applyFont="1" applyBorder="1" applyAlignment="1">
      <alignment horizontal="left" vertical="top"/>
    </xf>
    <xf numFmtId="0" fontId="32" fillId="0" borderId="3" xfId="12" applyFont="1" applyBorder="1" applyAlignment="1">
      <alignment horizontal="left" vertical="top"/>
    </xf>
    <xf numFmtId="0" fontId="32" fillId="0" borderId="22" xfId="12" applyFont="1" applyBorder="1" applyAlignment="1">
      <alignment horizontal="left" vertical="top"/>
    </xf>
    <xf numFmtId="0" fontId="32" fillId="0" borderId="24" xfId="12" applyFont="1" applyBorder="1" applyAlignment="1">
      <alignment horizontal="center" vertical="center"/>
    </xf>
    <xf numFmtId="0" fontId="32" fillId="0" borderId="20" xfId="12" applyFont="1" applyBorder="1" applyAlignment="1">
      <alignment horizontal="center" vertical="center"/>
    </xf>
    <xf numFmtId="0" fontId="32" fillId="0" borderId="21" xfId="12" applyFont="1" applyBorder="1" applyAlignment="1">
      <alignment horizontal="center" vertical="center"/>
    </xf>
    <xf numFmtId="0" fontId="32" fillId="0" borderId="23" xfId="12" applyFont="1" applyBorder="1" applyAlignment="1">
      <alignment horizontal="center" vertical="center"/>
    </xf>
    <xf numFmtId="0" fontId="14" fillId="0" borderId="0" xfId="12" applyFont="1" applyAlignment="1">
      <alignment horizontal="center" vertical="center" wrapText="1"/>
    </xf>
    <xf numFmtId="0" fontId="68" fillId="3" borderId="29" xfId="12" applyFont="1" applyFill="1" applyBorder="1" applyAlignment="1">
      <alignment horizontal="center" vertical="center"/>
    </xf>
    <xf numFmtId="0" fontId="32" fillId="0" borderId="34" xfId="12" applyFont="1" applyBorder="1" applyAlignment="1">
      <alignment horizontal="center" vertical="center"/>
    </xf>
    <xf numFmtId="178" fontId="11" fillId="0" borderId="26" xfId="47" applyNumberFormat="1" applyFont="1" applyFill="1" applyBorder="1" applyAlignment="1">
      <alignment horizontal="center" vertical="center"/>
    </xf>
    <xf numFmtId="178" fontId="11" fillId="0" borderId="0" xfId="47" applyNumberFormat="1" applyFont="1" applyFill="1" applyBorder="1" applyAlignment="1">
      <alignment horizontal="center" vertical="center"/>
    </xf>
    <xf numFmtId="178" fontId="11" fillId="0" borderId="25" xfId="47" applyNumberFormat="1" applyFont="1" applyFill="1" applyBorder="1" applyAlignment="1">
      <alignment horizontal="center" vertical="center"/>
    </xf>
    <xf numFmtId="0" fontId="11" fillId="0" borderId="0" xfId="0" applyFont="1" applyAlignment="1">
      <alignment horizontal="center" vertical="center"/>
    </xf>
    <xf numFmtId="186" fontId="11" fillId="0" borderId="26" xfId="13" applyNumberFormat="1" applyFont="1" applyFill="1" applyBorder="1" applyAlignment="1">
      <alignment horizontal="center" vertical="center"/>
    </xf>
    <xf numFmtId="186" fontId="11" fillId="0" borderId="0" xfId="13" applyNumberFormat="1" applyFont="1" applyFill="1" applyBorder="1" applyAlignment="1">
      <alignment horizontal="center" vertical="center"/>
    </xf>
    <xf numFmtId="186" fontId="11" fillId="0" borderId="25" xfId="13" applyNumberFormat="1" applyFont="1" applyFill="1" applyBorder="1" applyAlignment="1">
      <alignment horizontal="center" vertical="center"/>
    </xf>
    <xf numFmtId="179" fontId="11" fillId="0" borderId="26" xfId="13" applyNumberFormat="1" applyFont="1" applyFill="1" applyBorder="1" applyAlignment="1">
      <alignment horizontal="center" vertical="center"/>
    </xf>
    <xf numFmtId="179" fontId="11" fillId="0" borderId="0" xfId="13" applyNumberFormat="1" applyFont="1" applyFill="1" applyBorder="1" applyAlignment="1">
      <alignment horizontal="center" vertical="center"/>
    </xf>
    <xf numFmtId="179" fontId="11" fillId="0" borderId="25" xfId="13" applyNumberFormat="1" applyFont="1" applyFill="1" applyBorder="1" applyAlignment="1">
      <alignment horizontal="center" vertical="center"/>
    </xf>
    <xf numFmtId="178" fontId="11" fillId="0" borderId="24" xfId="47" applyNumberFormat="1" applyFont="1" applyFill="1" applyBorder="1" applyAlignment="1">
      <alignment horizontal="center" vertical="center"/>
    </xf>
    <xf numFmtId="178" fontId="11" fillId="0" borderId="20" xfId="47" applyNumberFormat="1" applyFont="1" applyFill="1" applyBorder="1" applyAlignment="1">
      <alignment horizontal="center" vertical="center"/>
    </xf>
    <xf numFmtId="178" fontId="11" fillId="0" borderId="23" xfId="47" applyNumberFormat="1" applyFont="1" applyFill="1" applyBorder="1" applyAlignment="1">
      <alignment horizontal="center" vertical="center"/>
    </xf>
    <xf numFmtId="178" fontId="32" fillId="0" borderId="33" xfId="47" applyNumberFormat="1" applyFont="1" applyBorder="1" applyAlignment="1">
      <alignment horizontal="center" vertical="center"/>
    </xf>
    <xf numFmtId="178" fontId="32" fillId="0" borderId="13" xfId="47" applyNumberFormat="1" applyFont="1" applyBorder="1" applyAlignment="1">
      <alignment horizontal="center" vertical="center"/>
    </xf>
    <xf numFmtId="178" fontId="32" fillId="0" borderId="34" xfId="47" applyNumberFormat="1" applyFont="1" applyBorder="1" applyAlignment="1">
      <alignment horizontal="center" vertical="center"/>
    </xf>
    <xf numFmtId="178" fontId="32" fillId="0" borderId="33" xfId="47" applyNumberFormat="1" applyFont="1" applyFill="1" applyBorder="1" applyAlignment="1">
      <alignment horizontal="center" vertical="center"/>
    </xf>
    <xf numFmtId="178" fontId="32" fillId="0" borderId="13" xfId="47" applyNumberFormat="1" applyFont="1" applyFill="1" applyBorder="1" applyAlignment="1">
      <alignment horizontal="center" vertical="center"/>
    </xf>
    <xf numFmtId="178" fontId="32" fillId="0" borderId="34" xfId="47" applyNumberFormat="1" applyFont="1" applyFill="1" applyBorder="1" applyAlignment="1">
      <alignment horizontal="center" vertical="center"/>
    </xf>
    <xf numFmtId="179" fontId="32" fillId="0" borderId="33" xfId="12" applyNumberFormat="1" applyFont="1" applyBorder="1" applyAlignment="1">
      <alignment horizontal="center" vertical="center"/>
    </xf>
    <xf numFmtId="179" fontId="32" fillId="0" borderId="13" xfId="12" applyNumberFormat="1" applyFont="1" applyBorder="1" applyAlignment="1">
      <alignment horizontal="center" vertical="center"/>
    </xf>
    <xf numFmtId="179" fontId="32" fillId="0" borderId="34" xfId="12" applyNumberFormat="1" applyFont="1" applyBorder="1" applyAlignment="1">
      <alignment horizontal="center" vertical="center"/>
    </xf>
    <xf numFmtId="0" fontId="37" fillId="4" borderId="36" xfId="12" applyFont="1" applyFill="1" applyBorder="1" applyAlignment="1">
      <alignment horizontal="center" vertical="center"/>
    </xf>
    <xf numFmtId="0" fontId="37" fillId="4" borderId="29" xfId="12" applyFont="1" applyFill="1" applyBorder="1" applyAlignment="1">
      <alignment horizontal="center" vertical="center"/>
    </xf>
    <xf numFmtId="0" fontId="22" fillId="0" borderId="27" xfId="12" applyFont="1" applyBorder="1" applyAlignment="1">
      <alignment horizontal="center" vertical="center"/>
    </xf>
    <xf numFmtId="0" fontId="22" fillId="0" borderId="15" xfId="12" applyFont="1" applyBorder="1" applyAlignment="1">
      <alignment horizontal="center" vertical="center"/>
    </xf>
    <xf numFmtId="0" fontId="22" fillId="0" borderId="28" xfId="12" applyFont="1" applyBorder="1" applyAlignment="1">
      <alignment horizontal="center" vertical="center" wrapText="1"/>
    </xf>
    <xf numFmtId="0" fontId="22" fillId="0" borderId="1" xfId="12" applyFont="1" applyBorder="1" applyAlignment="1">
      <alignment horizontal="center" vertical="center" wrapText="1"/>
    </xf>
    <xf numFmtId="180" fontId="22" fillId="0" borderId="28" xfId="12" applyNumberFormat="1" applyFont="1" applyBorder="1" applyAlignment="1">
      <alignment horizontal="center" vertical="center" wrapText="1"/>
    </xf>
    <xf numFmtId="180" fontId="22" fillId="0" borderId="1" xfId="12" applyNumberFormat="1" applyFont="1" applyBorder="1" applyAlignment="1">
      <alignment horizontal="center" vertical="center" wrapText="1"/>
    </xf>
    <xf numFmtId="180" fontId="22" fillId="0" borderId="31" xfId="12" applyNumberFormat="1" applyFont="1" applyBorder="1" applyAlignment="1">
      <alignment horizontal="center" vertical="center" wrapText="1"/>
    </xf>
    <xf numFmtId="180" fontId="22" fillId="0" borderId="16" xfId="12" applyNumberFormat="1" applyFont="1" applyBorder="1" applyAlignment="1">
      <alignment horizontal="center" vertical="center" wrapText="1"/>
    </xf>
    <xf numFmtId="41" fontId="22" fillId="0" borderId="28" xfId="13" applyFont="1" applyFill="1" applyBorder="1" applyAlignment="1">
      <alignment horizontal="center" vertical="center" wrapText="1"/>
    </xf>
    <xf numFmtId="178" fontId="22" fillId="0" borderId="28" xfId="47" applyNumberFormat="1" applyFont="1" applyBorder="1" applyAlignment="1">
      <alignment horizontal="center" vertical="center" wrapText="1"/>
    </xf>
    <xf numFmtId="178" fontId="22" fillId="0" borderId="28" xfId="13" applyNumberFormat="1" applyFont="1" applyFill="1" applyBorder="1" applyAlignment="1">
      <alignment horizontal="center" vertical="center" wrapText="1"/>
    </xf>
    <xf numFmtId="178" fontId="22" fillId="0" borderId="1" xfId="13" applyNumberFormat="1" applyFont="1" applyFill="1" applyBorder="1" applyAlignment="1">
      <alignment horizontal="center" vertical="center" wrapText="1"/>
    </xf>
    <xf numFmtId="178" fontId="22" fillId="0" borderId="28" xfId="47" applyNumberFormat="1" applyFont="1" applyFill="1" applyBorder="1" applyAlignment="1">
      <alignment horizontal="center" vertical="center" wrapText="1"/>
    </xf>
    <xf numFmtId="178" fontId="22" fillId="0" borderId="1" xfId="47" applyNumberFormat="1" applyFont="1" applyFill="1" applyBorder="1" applyAlignment="1">
      <alignment horizontal="center" vertical="center" wrapText="1"/>
    </xf>
    <xf numFmtId="0" fontId="26" fillId="0" borderId="0" xfId="12" applyFont="1" applyAlignment="1">
      <alignment horizontal="center" vertical="center"/>
    </xf>
    <xf numFmtId="179" fontId="14" fillId="0" borderId="0" xfId="12" applyNumberFormat="1" applyFont="1" applyAlignment="1">
      <alignment horizontal="center" vertical="center"/>
    </xf>
    <xf numFmtId="179" fontId="22" fillId="0" borderId="28" xfId="13" applyNumberFormat="1" applyFont="1" applyFill="1" applyBorder="1" applyAlignment="1">
      <alignment horizontal="center" vertical="center" wrapText="1"/>
    </xf>
    <xf numFmtId="0" fontId="37" fillId="0" borderId="36" xfId="12" applyFont="1" applyBorder="1" applyAlignment="1">
      <alignment horizontal="center" vertical="center"/>
    </xf>
    <xf numFmtId="0" fontId="37" fillId="0" borderId="29" xfId="12" applyFont="1" applyBorder="1" applyAlignment="1">
      <alignment horizontal="center" vertical="center"/>
    </xf>
    <xf numFmtId="0" fontId="41" fillId="2" borderId="17" xfId="0" applyFont="1" applyFill="1" applyBorder="1" applyAlignment="1">
      <alignment horizontal="center" vertical="center" wrapText="1"/>
    </xf>
    <xf numFmtId="0" fontId="41" fillId="2" borderId="13" xfId="0" applyFont="1" applyFill="1" applyBorder="1" applyAlignment="1">
      <alignment horizontal="center" vertical="center" wrapText="1"/>
    </xf>
    <xf numFmtId="0" fontId="41" fillId="2" borderId="14" xfId="0" applyFont="1" applyFill="1" applyBorder="1" applyAlignment="1">
      <alignment horizontal="center" vertical="center" wrapText="1"/>
    </xf>
    <xf numFmtId="0" fontId="41" fillId="2" borderId="5" xfId="0" applyFont="1" applyFill="1" applyBorder="1" applyAlignment="1">
      <alignment horizontal="center" vertical="center" wrapText="1"/>
    </xf>
    <xf numFmtId="0" fontId="41" fillId="2" borderId="5" xfId="0" applyFont="1" applyFill="1" applyBorder="1" applyAlignment="1">
      <alignment horizontal="center" vertical="center"/>
    </xf>
    <xf numFmtId="0" fontId="41" fillId="2" borderId="4" xfId="0" applyFont="1" applyFill="1" applyBorder="1" applyAlignment="1">
      <alignment horizontal="center" vertical="center"/>
    </xf>
    <xf numFmtId="0" fontId="14" fillId="5" borderId="0" xfId="0" applyFont="1" applyFill="1" applyAlignment="1">
      <alignment horizontal="left" vertical="center" wrapText="1"/>
    </xf>
    <xf numFmtId="0" fontId="14" fillId="5" borderId="4" xfId="0" applyFont="1" applyFill="1" applyBorder="1" applyAlignment="1">
      <alignment horizontal="left" vertical="center" wrapText="1"/>
    </xf>
    <xf numFmtId="0" fontId="14" fillId="5" borderId="9" xfId="0" applyFont="1" applyFill="1" applyBorder="1" applyAlignment="1">
      <alignment horizontal="left" vertical="center" wrapText="1"/>
    </xf>
  </cellXfs>
  <cellStyles count="48">
    <cellStyle name="Comma" xfId="15" xr:uid="{48FE13E0-BB85-44EE-BFC9-2E50576CDEA3}"/>
    <cellStyle name="Comma [0]" xfId="1" xr:uid="{DF041988-E041-453A-A8AE-3C157737AB24}"/>
    <cellStyle name="Comma [0] 2" xfId="21" xr:uid="{D178E479-D40F-4620-914E-BC4BB3C4B840}"/>
    <cellStyle name="Comma 2" xfId="40" xr:uid="{4D8F27F6-6BFF-40FA-B086-004A14F77065}"/>
    <cellStyle name="Comma 3" xfId="30" xr:uid="{0ED7C425-7A93-4E68-A53B-6E82D7F0FDF5}"/>
    <cellStyle name="Comma 4" xfId="43" xr:uid="{6CC8C01D-B692-4D09-A352-4FABFE28F856}"/>
    <cellStyle name="Comma 5" xfId="44" xr:uid="{8E0E6F72-AA92-4401-B3B4-EF10B39C4796}"/>
    <cellStyle name="Comma 6" xfId="45" xr:uid="{9652627E-2A58-4BD0-B914-171B56354C0B}"/>
    <cellStyle name="Comma 7" xfId="46" xr:uid="{201C5E93-08E5-4540-98CA-D81A9D94F89A}"/>
    <cellStyle name="Currency 2" xfId="31" xr:uid="{DC62A82F-2780-4981-8843-2E5E3C538826}"/>
    <cellStyle name="Hyperlink 2" xfId="35" xr:uid="{9677ABEF-85E0-469A-A753-F74269DD68A0}"/>
    <cellStyle name="Normal 12" xfId="42" xr:uid="{9ED29DDB-86AB-4CA9-9596-6F13A9732959}"/>
    <cellStyle name="Normal 2" xfId="9" xr:uid="{00000000-0005-0000-0000-000001000000}"/>
    <cellStyle name="Normal 2 2" xfId="36" xr:uid="{3D8069CE-E70A-4922-BEEE-D183A896713F}"/>
    <cellStyle name="Normal 2 3" xfId="34" xr:uid="{1C16B16E-1FF0-4166-AD4B-918B9513FB45}"/>
    <cellStyle name="Normal 3" xfId="37" xr:uid="{3B21D348-2726-4E64-92A2-35336A1FB5ED}"/>
    <cellStyle name="Normal 4" xfId="38" xr:uid="{84C34C86-EA63-4138-A8F8-DE1987C1DF22}"/>
    <cellStyle name="Normal 5" xfId="39" xr:uid="{C939D400-2251-4B2C-9FC2-CAB3FBDFD538}"/>
    <cellStyle name="Normal 6" xfId="41" xr:uid="{B99BAF97-12DD-44C0-8554-C1A6AB86C7CB}"/>
    <cellStyle name="Normal 7" xfId="29" xr:uid="{3771E7B1-29E3-40BD-AFC1-82DA9B30C3C6}"/>
    <cellStyle name="Standaard_Packing List(Sample for Hadjret HRSG)" xfId="4" xr:uid="{00000000-0005-0000-0000-000003000000}"/>
    <cellStyle name="Standard_IT Roadmap CoC Worli_29.10.2011" xfId="33" xr:uid="{FE3EA506-1707-4838-821A-44784845F261}"/>
    <cellStyle name="쉼표 [0]" xfId="47" builtinId="6"/>
    <cellStyle name="쉼표 [0] 2" xfId="5" xr:uid="{00000000-0005-0000-0000-000004000000}"/>
    <cellStyle name="쉼표 [0] 2 2" xfId="11" xr:uid="{0E42C55F-1058-45EC-815D-B457C183F6BB}"/>
    <cellStyle name="쉼표 [0] 2 2 2" xfId="25" xr:uid="{85DDA3EC-264B-457B-BD96-4E9328BEDEAF}"/>
    <cellStyle name="쉼표 [0] 2 3" xfId="22" xr:uid="{3EA4F832-D2DA-492A-A7DB-ACBF76260DB0}"/>
    <cellStyle name="쉼표 [0] 3" xfId="13" xr:uid="{3C09C07A-4643-4949-9916-7078E6C34789}"/>
    <cellStyle name="쉼표 [0] 3 2" xfId="26" xr:uid="{EDC8AE31-E8AD-4739-AE8A-62EFE7B7FBD3}"/>
    <cellStyle name="쉼표 [0] 4" xfId="17" xr:uid="{4152EF58-1602-4F99-881C-10298C8EB8A9}"/>
    <cellStyle name="쉼표 [0] 4 2" xfId="8" xr:uid="{00000000-0005-0000-0000-000005000000}"/>
    <cellStyle name="쉼표 [0] 4 2 2" xfId="24" xr:uid="{8265607A-AFE4-4F12-9E0A-41DAEFB6412B}"/>
    <cellStyle name="쉼표 [0] 4 3" xfId="27" xr:uid="{B32CEEBC-D1A6-4658-A58B-B65EF7439747}"/>
    <cellStyle name="쉼표 [0] 5" xfId="28" xr:uid="{5190E6DF-24AE-4E76-98E2-09D4C9EEAA0F}"/>
    <cellStyle name="쉼표 2" xfId="7" xr:uid="{00000000-0005-0000-0000-000006000000}"/>
    <cellStyle name="쉼표 2 2" xfId="23" xr:uid="{A5EC79DB-3F37-49D7-B2FD-1741989777C0}"/>
    <cellStyle name="표준" xfId="0" builtinId="0"/>
    <cellStyle name="표준 2" xfId="2" xr:uid="{00000000-0005-0000-0000-000007000000}"/>
    <cellStyle name="표준 2 2" xfId="6" xr:uid="{00000000-0005-0000-0000-000008000000}"/>
    <cellStyle name="표준 2 3" xfId="3" xr:uid="{00000000-0005-0000-0000-000009000000}"/>
    <cellStyle name="표준 2 4" xfId="18" xr:uid="{C75AE464-5571-4553-8FCE-2C5CC6A417B1}"/>
    <cellStyle name="표준 3" xfId="12" xr:uid="{6854AB22-7CAE-4A6C-A66B-7A905DB545A4}"/>
    <cellStyle name="표준 4" xfId="16" xr:uid="{234C1612-CB5E-4938-B502-427D5E60166D}"/>
    <cellStyle name="표준 4 2" xfId="19" xr:uid="{4CED8403-DA1C-46D4-A129-BDCDE0B257FD}"/>
    <cellStyle name="표준 54" xfId="32" xr:uid="{2E21CF75-66C8-44D3-9BA7-F16494EC91DD}"/>
    <cellStyle name="표준_080407 3항차 final packing List(r3)통합" xfId="14" xr:uid="{76496DC4-684C-4D0E-9683-BB9BBEC43D78}"/>
    <cellStyle name="標準_SpecSheet1" xfId="10" xr:uid="{00000000-0005-0000-0000-00000B000000}"/>
    <cellStyle name="하이퍼링크" xfId="20" builtinId="8"/>
  </cellStyles>
  <dxfs count="0"/>
  <tableStyles count="0" defaultTableStyle="TableStyleMedium2" defaultPivotStyle="PivotStyleLight16"/>
  <colors>
    <mruColors>
      <color rgb="FF0000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customXml" Target="../customXml/item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theme" Target="theme/theme1.xml"/><Relationship Id="rId48" Type="http://schemas.openxmlformats.org/officeDocument/2006/relationships/customXml" Target="../customXml/item2.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5.png"/></Relationships>
</file>

<file path=xl/drawings/_rels/drawing5.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133931</xdr:colOff>
      <xdr:row>2</xdr:row>
      <xdr:rowOff>57334</xdr:rowOff>
    </xdr:to>
    <xdr:pic>
      <xdr:nvPicPr>
        <xdr:cNvPr id="2" name="그림 2">
          <a:extLst>
            <a:ext uri="{FF2B5EF4-FFF2-40B4-BE49-F238E27FC236}">
              <a16:creationId xmlns:a16="http://schemas.microsoft.com/office/drawing/2014/main" id="{00000000-0008-0000-0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0847"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22</xdr:col>
      <xdr:colOff>25400</xdr:colOff>
      <xdr:row>49</xdr:row>
      <xdr:rowOff>12700</xdr:rowOff>
    </xdr:from>
    <xdr:to>
      <xdr:col>28</xdr:col>
      <xdr:colOff>285828</xdr:colOff>
      <xdr:row>53</xdr:row>
      <xdr:rowOff>57614</xdr:rowOff>
    </xdr:to>
    <xdr:pic>
      <xdr:nvPicPr>
        <xdr:cNvPr id="3" name="그림 2">
          <a:extLst>
            <a:ext uri="{FF2B5EF4-FFF2-40B4-BE49-F238E27FC236}">
              <a16:creationId xmlns:a16="http://schemas.microsoft.com/office/drawing/2014/main" id="{E043964A-DDD4-4096-A7FD-0C7B1781C9BF}"/>
            </a:ext>
          </a:extLst>
        </xdr:cNvPr>
        <xdr:cNvPicPr>
          <a:picLocks noChangeAspect="1"/>
        </xdr:cNvPicPr>
      </xdr:nvPicPr>
      <xdr:blipFill>
        <a:blip xmlns:r="http://schemas.openxmlformats.org/officeDocument/2006/relationships" r:embed="rId2"/>
        <a:stretch>
          <a:fillRect/>
        </a:stretch>
      </xdr:blipFill>
      <xdr:spPr>
        <a:xfrm>
          <a:off x="5969000" y="10337800"/>
          <a:ext cx="1913965" cy="733707"/>
        </a:xfrm>
        <a:prstGeom prst="rect">
          <a:avLst/>
        </a:prstGeom>
      </xdr:spPr>
    </xdr:pic>
    <xdr:clientData/>
  </xdr:twoCellAnchor>
  <xdr:twoCellAnchor editAs="oneCell">
    <xdr:from>
      <xdr:col>28</xdr:col>
      <xdr:colOff>349250</xdr:colOff>
      <xdr:row>46</xdr:row>
      <xdr:rowOff>120650</xdr:rowOff>
    </xdr:from>
    <xdr:to>
      <xdr:col>28</xdr:col>
      <xdr:colOff>1428480</xdr:colOff>
      <xdr:row>53</xdr:row>
      <xdr:rowOff>132909</xdr:rowOff>
    </xdr:to>
    <xdr:pic>
      <xdr:nvPicPr>
        <xdr:cNvPr id="4" name="그림 3">
          <a:extLst>
            <a:ext uri="{FF2B5EF4-FFF2-40B4-BE49-F238E27FC236}">
              <a16:creationId xmlns:a16="http://schemas.microsoft.com/office/drawing/2014/main" id="{5A959A1C-E119-4146-9539-9BD521810105}"/>
            </a:ext>
          </a:extLst>
        </xdr:cNvPr>
        <xdr:cNvPicPr>
          <a:picLocks noChangeAspect="1"/>
        </xdr:cNvPicPr>
      </xdr:nvPicPr>
      <xdr:blipFill>
        <a:blip xmlns:r="http://schemas.openxmlformats.org/officeDocument/2006/relationships" r:embed="rId3"/>
        <a:stretch>
          <a:fillRect/>
        </a:stretch>
      </xdr:blipFill>
      <xdr:spPr>
        <a:xfrm>
          <a:off x="7931150" y="9988550"/>
          <a:ext cx="1085850" cy="1138296"/>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2</xdr:col>
      <xdr:colOff>2406015</xdr:colOff>
      <xdr:row>0</xdr:row>
      <xdr:rowOff>0</xdr:rowOff>
    </xdr:from>
    <xdr:to>
      <xdr:col>8</xdr:col>
      <xdr:colOff>2375</xdr:colOff>
      <xdr:row>0</xdr:row>
      <xdr:rowOff>0</xdr:rowOff>
    </xdr:to>
    <xdr:sp macro="" textlink="">
      <xdr:nvSpPr>
        <xdr:cNvPr id="2" name="Text Box 1">
          <a:extLst>
            <a:ext uri="{FF2B5EF4-FFF2-40B4-BE49-F238E27FC236}">
              <a16:creationId xmlns:a16="http://schemas.microsoft.com/office/drawing/2014/main" id="{5D363EE6-1CF3-4C30-ABC3-D7A598309ECE}"/>
            </a:ext>
          </a:extLst>
        </xdr:cNvPr>
        <xdr:cNvSpPr txBox="1">
          <a:spLocks noChangeArrowheads="1"/>
        </xdr:cNvSpPr>
      </xdr:nvSpPr>
      <xdr:spPr bwMode="auto">
        <a:xfrm>
          <a:off x="6377124" y="0"/>
          <a:ext cx="7085437"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2</xdr:col>
      <xdr:colOff>2406015</xdr:colOff>
      <xdr:row>0</xdr:row>
      <xdr:rowOff>0</xdr:rowOff>
    </xdr:from>
    <xdr:to>
      <xdr:col>8</xdr:col>
      <xdr:colOff>2375</xdr:colOff>
      <xdr:row>0</xdr:row>
      <xdr:rowOff>0</xdr:rowOff>
    </xdr:to>
    <xdr:sp macro="" textlink="">
      <xdr:nvSpPr>
        <xdr:cNvPr id="3" name="Text Box 3">
          <a:extLst>
            <a:ext uri="{FF2B5EF4-FFF2-40B4-BE49-F238E27FC236}">
              <a16:creationId xmlns:a16="http://schemas.microsoft.com/office/drawing/2014/main" id="{D79C5C26-DBB5-4F8B-91DF-A76B35713C4E}"/>
            </a:ext>
          </a:extLst>
        </xdr:cNvPr>
        <xdr:cNvSpPr txBox="1">
          <a:spLocks noChangeArrowheads="1"/>
        </xdr:cNvSpPr>
      </xdr:nvSpPr>
      <xdr:spPr bwMode="auto">
        <a:xfrm>
          <a:off x="6377124" y="0"/>
          <a:ext cx="7085437"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28575</xdr:rowOff>
    </xdr:from>
    <xdr:to>
      <xdr:col>1</xdr:col>
      <xdr:colOff>551481</xdr:colOff>
      <xdr:row>2</xdr:row>
      <xdr:rowOff>94707</xdr:rowOff>
    </xdr:to>
    <xdr:pic>
      <xdr:nvPicPr>
        <xdr:cNvPr id="4" name="그림 4">
          <a:extLst>
            <a:ext uri="{FF2B5EF4-FFF2-40B4-BE49-F238E27FC236}">
              <a16:creationId xmlns:a16="http://schemas.microsoft.com/office/drawing/2014/main" id="{EB3A25F0-EBBC-458D-BAEA-125B658D2E0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30752"/>
          <a:ext cx="1483299" cy="4351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57150</xdr:rowOff>
    </xdr:from>
    <xdr:to>
      <xdr:col>4</xdr:col>
      <xdr:colOff>132842</xdr:colOff>
      <xdr:row>2</xdr:row>
      <xdr:rowOff>56245</xdr:rowOff>
    </xdr:to>
    <xdr:pic>
      <xdr:nvPicPr>
        <xdr:cNvPr id="2" name="그림 2">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57150"/>
          <a:ext cx="1060847"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21</xdr:col>
      <xdr:colOff>153680</xdr:colOff>
      <xdr:row>48</xdr:row>
      <xdr:rowOff>100191</xdr:rowOff>
    </xdr:from>
    <xdr:to>
      <xdr:col>27</xdr:col>
      <xdr:colOff>209947</xdr:colOff>
      <xdr:row>53</xdr:row>
      <xdr:rowOff>18373</xdr:rowOff>
    </xdr:to>
    <xdr:pic>
      <xdr:nvPicPr>
        <xdr:cNvPr id="3" name="그림 2">
          <a:extLst>
            <a:ext uri="{FF2B5EF4-FFF2-40B4-BE49-F238E27FC236}">
              <a16:creationId xmlns:a16="http://schemas.microsoft.com/office/drawing/2014/main" id="{5216EC03-E54E-4675-A689-6DDD581ED2C5}"/>
            </a:ext>
          </a:extLst>
        </xdr:cNvPr>
        <xdr:cNvPicPr>
          <a:picLocks noChangeAspect="1"/>
        </xdr:cNvPicPr>
      </xdr:nvPicPr>
      <xdr:blipFill>
        <a:blip xmlns:r="http://schemas.openxmlformats.org/officeDocument/2006/relationships" r:embed="rId2"/>
        <a:stretch>
          <a:fillRect/>
        </a:stretch>
      </xdr:blipFill>
      <xdr:spPr>
        <a:xfrm>
          <a:off x="6038369" y="9583569"/>
          <a:ext cx="1939945" cy="751709"/>
        </a:xfrm>
        <a:prstGeom prst="rect">
          <a:avLst/>
        </a:prstGeom>
      </xdr:spPr>
    </xdr:pic>
    <xdr:clientData/>
  </xdr:twoCellAnchor>
  <xdr:twoCellAnchor editAs="oneCell">
    <xdr:from>
      <xdr:col>27</xdr:col>
      <xdr:colOff>282056</xdr:colOff>
      <xdr:row>46</xdr:row>
      <xdr:rowOff>120042</xdr:rowOff>
    </xdr:from>
    <xdr:to>
      <xdr:col>28</xdr:col>
      <xdr:colOff>1030797</xdr:colOff>
      <xdr:row>53</xdr:row>
      <xdr:rowOff>114704</xdr:rowOff>
    </xdr:to>
    <xdr:pic>
      <xdr:nvPicPr>
        <xdr:cNvPr id="4" name="그림 3">
          <a:extLst>
            <a:ext uri="{FF2B5EF4-FFF2-40B4-BE49-F238E27FC236}">
              <a16:creationId xmlns:a16="http://schemas.microsoft.com/office/drawing/2014/main" id="{4881A518-C2EC-4E6C-9669-BD5603C5C939}"/>
            </a:ext>
          </a:extLst>
        </xdr:cNvPr>
        <xdr:cNvPicPr>
          <a:picLocks noChangeAspect="1"/>
        </xdr:cNvPicPr>
      </xdr:nvPicPr>
      <xdr:blipFill>
        <a:blip xmlns:r="http://schemas.openxmlformats.org/officeDocument/2006/relationships" r:embed="rId3"/>
        <a:stretch>
          <a:fillRect/>
        </a:stretch>
      </xdr:blipFill>
      <xdr:spPr>
        <a:xfrm>
          <a:off x="8049334" y="9296058"/>
          <a:ext cx="1092472" cy="1134461"/>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4</xdr:col>
      <xdr:colOff>0</xdr:colOff>
      <xdr:row>89</xdr:row>
      <xdr:rowOff>0</xdr:rowOff>
    </xdr:from>
    <xdr:to>
      <xdr:col>11</xdr:col>
      <xdr:colOff>24779</xdr:colOff>
      <xdr:row>89</xdr:row>
      <xdr:rowOff>0</xdr:rowOff>
    </xdr:to>
    <xdr:sp macro="" textlink="">
      <xdr:nvSpPr>
        <xdr:cNvPr id="2" name="Text Box 3">
          <a:extLst>
            <a:ext uri="{FF2B5EF4-FFF2-40B4-BE49-F238E27FC236}">
              <a16:creationId xmlns:a16="http://schemas.microsoft.com/office/drawing/2014/main" id="{4DFC49A0-C097-4C84-9165-B7F9609ED7C7}"/>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89</xdr:row>
      <xdr:rowOff>0</xdr:rowOff>
    </xdr:from>
    <xdr:to>
      <xdr:col>11</xdr:col>
      <xdr:colOff>24779</xdr:colOff>
      <xdr:row>89</xdr:row>
      <xdr:rowOff>0</xdr:rowOff>
    </xdr:to>
    <xdr:sp macro="" textlink="">
      <xdr:nvSpPr>
        <xdr:cNvPr id="3" name="Text Box 4">
          <a:extLst>
            <a:ext uri="{FF2B5EF4-FFF2-40B4-BE49-F238E27FC236}">
              <a16:creationId xmlns:a16="http://schemas.microsoft.com/office/drawing/2014/main" id="{121D8B76-0F16-4707-9F42-A1F32AA596CA}"/>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4</xdr:col>
      <xdr:colOff>0</xdr:colOff>
      <xdr:row>89</xdr:row>
      <xdr:rowOff>0</xdr:rowOff>
    </xdr:from>
    <xdr:to>
      <xdr:col>11</xdr:col>
      <xdr:colOff>24779</xdr:colOff>
      <xdr:row>89</xdr:row>
      <xdr:rowOff>0</xdr:rowOff>
    </xdr:to>
    <xdr:sp macro="" textlink="">
      <xdr:nvSpPr>
        <xdr:cNvPr id="4" name="Text Box 5">
          <a:extLst>
            <a:ext uri="{FF2B5EF4-FFF2-40B4-BE49-F238E27FC236}">
              <a16:creationId xmlns:a16="http://schemas.microsoft.com/office/drawing/2014/main" id="{019A9522-0C22-462C-BD71-B0C4E8376C6B}"/>
            </a:ext>
          </a:extLst>
        </xdr:cNvPr>
        <xdr:cNvSpPr txBox="1">
          <a:spLocks noChangeArrowheads="1"/>
        </xdr:cNvSpPr>
      </xdr:nvSpPr>
      <xdr:spPr bwMode="auto">
        <a:xfrm>
          <a:off x="3898900" y="10109200"/>
          <a:ext cx="7514604"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16</xdr:col>
      <xdr:colOff>250646</xdr:colOff>
      <xdr:row>4</xdr:row>
      <xdr:rowOff>138545</xdr:rowOff>
    </xdr:from>
    <xdr:to>
      <xdr:col>22</xdr:col>
      <xdr:colOff>591503</xdr:colOff>
      <xdr:row>8</xdr:row>
      <xdr:rowOff>114424</xdr:rowOff>
    </xdr:to>
    <xdr:pic>
      <xdr:nvPicPr>
        <xdr:cNvPr id="7" name="그림 6">
          <a:extLst>
            <a:ext uri="{FF2B5EF4-FFF2-40B4-BE49-F238E27FC236}">
              <a16:creationId xmlns:a16="http://schemas.microsoft.com/office/drawing/2014/main" id="{514A15B5-C74B-985B-8A98-89A32B9296C3}"/>
            </a:ext>
          </a:extLst>
        </xdr:cNvPr>
        <xdr:cNvPicPr>
          <a:picLocks noChangeAspect="1"/>
        </xdr:cNvPicPr>
      </xdr:nvPicPr>
      <xdr:blipFill>
        <a:blip xmlns:r="http://schemas.openxmlformats.org/officeDocument/2006/relationships" r:embed="rId1"/>
        <a:stretch>
          <a:fillRect/>
        </a:stretch>
      </xdr:blipFill>
      <xdr:spPr>
        <a:xfrm>
          <a:off x="26862919" y="831272"/>
          <a:ext cx="5794055" cy="1245879"/>
        </a:xfrm>
        <a:prstGeom prst="rect">
          <a:avLst/>
        </a:prstGeom>
      </xdr:spPr>
    </xdr:pic>
    <xdr:clientData/>
  </xdr:twoCellAnchor>
  <xdr:twoCellAnchor editAs="oneCell">
    <xdr:from>
      <xdr:col>0</xdr:col>
      <xdr:colOff>0</xdr:colOff>
      <xdr:row>0</xdr:row>
      <xdr:rowOff>1</xdr:rowOff>
    </xdr:from>
    <xdr:to>
      <xdr:col>1</xdr:col>
      <xdr:colOff>58108</xdr:colOff>
      <xdr:row>2</xdr:row>
      <xdr:rowOff>94339</xdr:rowOff>
    </xdr:to>
    <xdr:pic>
      <xdr:nvPicPr>
        <xdr:cNvPr id="5" name="그림 6">
          <a:extLst>
            <a:ext uri="{FF2B5EF4-FFF2-40B4-BE49-F238E27FC236}">
              <a16:creationId xmlns:a16="http://schemas.microsoft.com/office/drawing/2014/main" id="{6DE97437-6FEF-47A0-BFB2-83214C8A8B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0" y="1"/>
          <a:ext cx="1443497" cy="412022"/>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126</xdr:row>
      <xdr:rowOff>0</xdr:rowOff>
    </xdr:from>
    <xdr:to>
      <xdr:col>10</xdr:col>
      <xdr:colOff>24779</xdr:colOff>
      <xdr:row>126</xdr:row>
      <xdr:rowOff>0</xdr:rowOff>
    </xdr:to>
    <xdr:sp macro="" textlink="">
      <xdr:nvSpPr>
        <xdr:cNvPr id="2" name="Text Box 3">
          <a:extLst>
            <a:ext uri="{FF2B5EF4-FFF2-40B4-BE49-F238E27FC236}">
              <a16:creationId xmlns:a16="http://schemas.microsoft.com/office/drawing/2014/main" id="{C4441587-3A1A-4A93-8BBE-D522ED889E3B}"/>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126</xdr:row>
      <xdr:rowOff>0</xdr:rowOff>
    </xdr:from>
    <xdr:to>
      <xdr:col>10</xdr:col>
      <xdr:colOff>24779</xdr:colOff>
      <xdr:row>126</xdr:row>
      <xdr:rowOff>0</xdr:rowOff>
    </xdr:to>
    <xdr:sp macro="" textlink="">
      <xdr:nvSpPr>
        <xdr:cNvPr id="3" name="Text Box 4">
          <a:extLst>
            <a:ext uri="{FF2B5EF4-FFF2-40B4-BE49-F238E27FC236}">
              <a16:creationId xmlns:a16="http://schemas.microsoft.com/office/drawing/2014/main" id="{8640FA7D-49F8-4F8E-951C-556710F95464}"/>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xdr:from>
      <xdr:col>3</xdr:col>
      <xdr:colOff>0</xdr:colOff>
      <xdr:row>126</xdr:row>
      <xdr:rowOff>0</xdr:rowOff>
    </xdr:from>
    <xdr:to>
      <xdr:col>10</xdr:col>
      <xdr:colOff>24779</xdr:colOff>
      <xdr:row>126</xdr:row>
      <xdr:rowOff>0</xdr:rowOff>
    </xdr:to>
    <xdr:sp macro="" textlink="">
      <xdr:nvSpPr>
        <xdr:cNvPr id="4" name="Text Box 5">
          <a:extLst>
            <a:ext uri="{FF2B5EF4-FFF2-40B4-BE49-F238E27FC236}">
              <a16:creationId xmlns:a16="http://schemas.microsoft.com/office/drawing/2014/main" id="{2241F00F-8C6F-41C3-986B-4EDB2A852668}"/>
            </a:ext>
          </a:extLst>
        </xdr:cNvPr>
        <xdr:cNvSpPr txBox="1">
          <a:spLocks noChangeArrowheads="1"/>
        </xdr:cNvSpPr>
      </xdr:nvSpPr>
      <xdr:spPr bwMode="auto">
        <a:xfrm>
          <a:off x="8445500" y="15792450"/>
          <a:ext cx="6830165" cy="0"/>
        </a:xfrm>
        <a:prstGeom prst="rect">
          <a:avLst/>
        </a:prstGeom>
        <a:solidFill>
          <a:srgbClr val="FFFFFF"/>
        </a:solidFill>
        <a:ln w="9525">
          <a:noFill/>
          <a:miter lim="800000"/>
          <a:headEnd/>
          <a:tailEnd/>
        </a:ln>
      </xdr:spPr>
      <xdr:txBody>
        <a:bodyPr vertOverflow="clip" wrap="square" lIns="36576" tIns="32004" rIns="36576" bIns="32004" anchor="ctr" upright="1"/>
        <a:lstStyle/>
        <a:p>
          <a:pPr algn="ctr" rtl="0">
            <a:defRPr sz="1000"/>
          </a:pPr>
          <a:r>
            <a:rPr lang="en-US" altLang="ko-KR" sz="1000" b="1" i="0" u="none" strike="noStrike" baseline="0">
              <a:solidFill>
                <a:srgbClr val="000000"/>
              </a:solidFill>
              <a:latin typeface="Arial Black"/>
            </a:rPr>
            <a:t>DOOSAN HEAVY INDUSTRIES &amp;</a:t>
          </a:r>
        </a:p>
        <a:p>
          <a:pPr algn="ctr" rtl="0">
            <a:defRPr sz="1000"/>
          </a:pPr>
          <a:r>
            <a:rPr lang="en-US" altLang="ko-KR" sz="1000" b="1" i="0" u="none" strike="noStrike" baseline="0">
              <a:solidFill>
                <a:srgbClr val="000000"/>
              </a:solidFill>
              <a:latin typeface="Arial Black"/>
            </a:rPr>
            <a:t>CONSTRUCTION CO., LTD</a:t>
          </a:r>
        </a:p>
      </xdr:txBody>
    </xdr:sp>
    <xdr:clientData/>
  </xdr:twoCellAnchor>
  <xdr:twoCellAnchor editAs="oneCell">
    <xdr:from>
      <xdr:col>0</xdr:col>
      <xdr:colOff>0</xdr:colOff>
      <xdr:row>0</xdr:row>
      <xdr:rowOff>1</xdr:rowOff>
    </xdr:from>
    <xdr:to>
      <xdr:col>1</xdr:col>
      <xdr:colOff>150407</xdr:colOff>
      <xdr:row>2</xdr:row>
      <xdr:rowOff>112060</xdr:rowOff>
    </xdr:to>
    <xdr:pic>
      <xdr:nvPicPr>
        <xdr:cNvPr id="5" name="그림 6">
          <a:extLst>
            <a:ext uri="{FF2B5EF4-FFF2-40B4-BE49-F238E27FC236}">
              <a16:creationId xmlns:a16="http://schemas.microsoft.com/office/drawing/2014/main" id="{5D2D25AB-DA08-42A9-9DBC-A03B5DA62DC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0" y="1"/>
          <a:ext cx="1445807" cy="41685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17</xdr:col>
      <xdr:colOff>159227</xdr:colOff>
      <xdr:row>5</xdr:row>
      <xdr:rowOff>85497</xdr:rowOff>
    </xdr:from>
    <xdr:to>
      <xdr:col>20</xdr:col>
      <xdr:colOff>133785</xdr:colOff>
      <xdr:row>7</xdr:row>
      <xdr:rowOff>169962</xdr:rowOff>
    </xdr:to>
    <xdr:pic>
      <xdr:nvPicPr>
        <xdr:cNvPr id="6" name="그림 5">
          <a:extLst>
            <a:ext uri="{FF2B5EF4-FFF2-40B4-BE49-F238E27FC236}">
              <a16:creationId xmlns:a16="http://schemas.microsoft.com/office/drawing/2014/main" id="{96EEE878-5CA2-4950-A6C4-ABFECBBF5A57}"/>
            </a:ext>
          </a:extLst>
        </xdr:cNvPr>
        <xdr:cNvPicPr>
          <a:picLocks noChangeAspect="1"/>
        </xdr:cNvPicPr>
      </xdr:nvPicPr>
      <xdr:blipFill>
        <a:blip xmlns:r="http://schemas.openxmlformats.org/officeDocument/2006/relationships" r:embed="rId2"/>
        <a:stretch>
          <a:fillRect/>
        </a:stretch>
      </xdr:blipFill>
      <xdr:spPr>
        <a:xfrm>
          <a:off x="25699834" y="849311"/>
          <a:ext cx="4390530" cy="955322"/>
        </a:xfrm>
        <a:prstGeom prst="rect">
          <a:avLst/>
        </a:prstGeom>
      </xdr:spPr>
    </xdr:pic>
    <xdr:clientData/>
  </xdr:twoCellAnchor>
</xdr:wsDr>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a.kipshakbayeva@wiselogistics.kz"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31.bin"/></Relationships>
</file>

<file path=xl/worksheets/_rels/sheet32.xml.rels><?xml version="1.0" encoding="UTF-8" standalone="yes"?>
<Relationships xmlns="http://schemas.openxmlformats.org/package/2006/relationships"><Relationship Id="rId1" Type="http://schemas.openxmlformats.org/officeDocument/2006/relationships/printerSettings" Target="../printerSettings/printerSettings32.bin"/></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34.bin"/></Relationships>
</file>

<file path=xl/worksheets/_rels/sheet35.xml.rels><?xml version="1.0" encoding="UTF-8" standalone="yes"?>
<Relationships xmlns="http://schemas.openxmlformats.org/package/2006/relationships"><Relationship Id="rId1" Type="http://schemas.openxmlformats.org/officeDocument/2006/relationships/printerSettings" Target="../printerSettings/printerSettings35.bin"/></Relationships>
</file>

<file path=xl/worksheets/_rels/sheet36.xml.rels><?xml version="1.0" encoding="UTF-8" standalone="yes"?>
<Relationships xmlns="http://schemas.openxmlformats.org/package/2006/relationships"><Relationship Id="rId1" Type="http://schemas.openxmlformats.org/officeDocument/2006/relationships/printerSettings" Target="../printerSettings/printerSettings36.bin"/></Relationships>
</file>

<file path=xl/worksheets/_rels/sheet37.xml.rels><?xml version="1.0" encoding="UTF-8" standalone="yes"?>
<Relationships xmlns="http://schemas.openxmlformats.org/package/2006/relationships"><Relationship Id="rId1" Type="http://schemas.openxmlformats.org/officeDocument/2006/relationships/printerSettings" Target="../printerSettings/printerSettings37.bin"/></Relationships>
</file>

<file path=xl/worksheets/_rels/sheet38.xml.rels><?xml version="1.0" encoding="UTF-8" standalone="yes"?>
<Relationships xmlns="http://schemas.openxmlformats.org/package/2006/relationships"><Relationship Id="rId1"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 Type="http://schemas.openxmlformats.org/officeDocument/2006/relationships/printerSettings" Target="../printerSettings/printerSettings39.bin"/></Relationships>
</file>

<file path=xl/worksheets/_rels/sheet40.xml.rels><?xml version="1.0" encoding="UTF-8" standalone="yes"?>
<Relationships xmlns="http://schemas.openxmlformats.org/package/2006/relationships"><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1"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1" Type="http://schemas.openxmlformats.org/officeDocument/2006/relationships/printerSettings" Target="../printerSettings/printerSettings4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99B162-F88D-482F-B221-0537376F6871}">
  <sheetPr>
    <tabColor rgb="FF00B0F0"/>
  </sheetPr>
  <dimension ref="A1:AV58"/>
  <sheetViews>
    <sheetView showGridLines="0" tabSelected="1" view="pageBreakPreview" zoomScale="85" zoomScaleNormal="100" zoomScaleSheetLayoutView="85" workbookViewId="0">
      <selection activeCell="B41" sqref="B41"/>
    </sheetView>
  </sheetViews>
  <sheetFormatPr defaultColWidth="3" defaultRowHeight="12"/>
  <cols>
    <col min="1" max="6" width="3" style="5" customWidth="1"/>
    <col min="7" max="7" width="4" style="5" customWidth="1"/>
    <col min="8" max="8" width="9.09765625" style="5" customWidth="1"/>
    <col min="9" max="10" width="3" style="5" customWidth="1"/>
    <col min="11" max="11" width="2.8984375" style="5" customWidth="1"/>
    <col min="12" max="16" width="3" style="5" customWidth="1"/>
    <col min="17" max="17" width="7.59765625" style="5" customWidth="1"/>
    <col min="18" max="18" width="3.3984375" style="5" customWidth="1"/>
    <col min="19" max="21" width="3.59765625" style="5" customWidth="1"/>
    <col min="22" max="22" width="3.3984375" style="5" customWidth="1"/>
    <col min="23" max="25" width="3.8984375" style="5" customWidth="1"/>
    <col min="26" max="28" width="3.3984375" style="5" customWidth="1"/>
    <col min="29" max="29" width="20.8984375" style="5" customWidth="1"/>
    <col min="30" max="30" width="11.8984375" style="8" bestFit="1" customWidth="1"/>
    <col min="31" max="31" width="10.8984375" style="8" bestFit="1" customWidth="1"/>
    <col min="32" max="32" width="12.59765625" style="8" customWidth="1"/>
    <col min="33" max="16384" width="3" style="8"/>
  </cols>
  <sheetData>
    <row r="1" spans="1:30">
      <c r="A1" s="109"/>
      <c r="B1" s="110"/>
      <c r="C1" s="110"/>
      <c r="D1" s="110"/>
      <c r="E1" s="110"/>
      <c r="F1" s="110"/>
      <c r="G1" s="110"/>
      <c r="H1" s="110"/>
      <c r="I1" s="110"/>
      <c r="J1" s="110"/>
      <c r="K1" s="110"/>
      <c r="L1" s="110"/>
      <c r="M1" s="110"/>
      <c r="N1" s="110"/>
      <c r="O1" s="110"/>
      <c r="P1" s="110"/>
      <c r="Q1" s="110"/>
      <c r="R1" s="110"/>
      <c r="S1" s="110"/>
      <c r="T1" s="110"/>
      <c r="U1" s="110"/>
      <c r="V1" s="110"/>
      <c r="W1" s="110" t="s">
        <v>0</v>
      </c>
      <c r="X1" s="110"/>
      <c r="Y1" s="110"/>
      <c r="Z1" s="110"/>
      <c r="AA1" s="110"/>
      <c r="AB1" s="110"/>
      <c r="AC1" s="111"/>
    </row>
    <row r="2" spans="1:30">
      <c r="A2" s="112"/>
      <c r="W2" s="5" t="s">
        <v>1</v>
      </c>
      <c r="AC2" s="113"/>
    </row>
    <row r="3" spans="1:30">
      <c r="A3" s="112"/>
      <c r="W3" s="5" t="s">
        <v>2</v>
      </c>
      <c r="AC3" s="113"/>
    </row>
    <row r="4" spans="1:30">
      <c r="A4" s="112"/>
      <c r="W4" s="5" t="s">
        <v>3</v>
      </c>
      <c r="AC4" s="113"/>
    </row>
    <row r="5" spans="1:30">
      <c r="A5" s="112"/>
      <c r="W5" s="5" t="s">
        <v>4</v>
      </c>
      <c r="AC5" s="113"/>
    </row>
    <row r="6" spans="1:30" ht="40.200000000000003" customHeight="1">
      <c r="A6" s="349" t="s">
        <v>5</v>
      </c>
      <c r="B6" s="350"/>
      <c r="C6" s="350"/>
      <c r="D6" s="350"/>
      <c r="E6" s="350"/>
      <c r="F6" s="350"/>
      <c r="G6" s="350"/>
      <c r="H6" s="350"/>
      <c r="I6" s="350"/>
      <c r="J6" s="350"/>
      <c r="K6" s="350"/>
      <c r="L6" s="350"/>
      <c r="M6" s="350"/>
      <c r="N6" s="350"/>
      <c r="O6" s="350"/>
      <c r="P6" s="350"/>
      <c r="Q6" s="350"/>
      <c r="R6" s="350"/>
      <c r="S6" s="350"/>
      <c r="T6" s="350"/>
      <c r="U6" s="350"/>
      <c r="V6" s="350"/>
      <c r="W6" s="350"/>
      <c r="X6" s="350"/>
      <c r="Y6" s="350"/>
      <c r="Z6" s="350"/>
      <c r="AA6" s="350"/>
      <c r="AB6" s="350"/>
      <c r="AC6" s="351"/>
    </row>
    <row r="7" spans="1:30" ht="14.4" thickBot="1">
      <c r="A7" s="114"/>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5"/>
      <c r="AB7" s="115"/>
      <c r="AC7" s="116"/>
      <c r="AD7" s="81"/>
    </row>
    <row r="8" spans="1:30" s="18" customFormat="1" ht="15.6" customHeight="1">
      <c r="A8" s="117" t="s">
        <v>6</v>
      </c>
      <c r="B8" s="118"/>
      <c r="C8" s="118"/>
      <c r="D8" s="118"/>
      <c r="E8" s="118"/>
      <c r="F8" s="118"/>
      <c r="G8" s="118"/>
      <c r="H8" s="118"/>
      <c r="I8" s="118"/>
      <c r="J8" s="118"/>
      <c r="K8" s="118"/>
      <c r="L8" s="118"/>
      <c r="M8" s="118"/>
      <c r="N8" s="118"/>
      <c r="O8" s="118"/>
      <c r="P8" s="118"/>
      <c r="Q8" s="119"/>
      <c r="R8" s="120" t="s">
        <v>7</v>
      </c>
      <c r="S8" s="118"/>
      <c r="T8" s="118"/>
      <c r="U8" s="120"/>
      <c r="V8" s="352" t="s">
        <v>8</v>
      </c>
      <c r="W8" s="352"/>
      <c r="X8" s="352"/>
      <c r="Y8" s="352"/>
      <c r="Z8" s="352"/>
      <c r="AA8" s="118"/>
      <c r="AB8" s="118"/>
      <c r="AC8" s="141"/>
      <c r="AD8" s="81"/>
    </row>
    <row r="9" spans="1:30" s="18" customFormat="1" ht="15.6" customHeight="1">
      <c r="A9" s="121"/>
      <c r="B9" s="327" t="s">
        <v>9</v>
      </c>
      <c r="C9" s="16"/>
      <c r="D9" s="16"/>
      <c r="E9" s="16"/>
      <c r="F9" s="16"/>
      <c r="G9" s="16"/>
      <c r="H9" s="16"/>
      <c r="I9" s="16"/>
      <c r="J9" s="16"/>
      <c r="K9" s="16"/>
      <c r="L9" s="16"/>
      <c r="M9" s="16"/>
      <c r="N9" s="16"/>
      <c r="O9" s="16"/>
      <c r="P9" s="16"/>
      <c r="Q9" s="131"/>
      <c r="R9" s="130" t="s">
        <v>10</v>
      </c>
      <c r="S9" s="103"/>
      <c r="T9" s="103"/>
      <c r="U9" s="103"/>
      <c r="V9" s="103"/>
      <c r="W9" s="103"/>
      <c r="X9" s="103"/>
      <c r="Y9" s="103"/>
      <c r="Z9" s="103"/>
      <c r="AA9" s="103"/>
      <c r="AB9" s="103"/>
      <c r="AC9" s="142"/>
    </row>
    <row r="10" spans="1:30" s="18" customFormat="1" ht="15.6" customHeight="1">
      <c r="A10" s="121"/>
      <c r="B10" s="16" t="s">
        <v>11</v>
      </c>
      <c r="C10" s="16"/>
      <c r="D10" s="16"/>
      <c r="E10" s="16"/>
      <c r="F10" s="16"/>
      <c r="G10" s="16"/>
      <c r="H10" s="16"/>
      <c r="I10" s="16"/>
      <c r="J10" s="16"/>
      <c r="K10" s="16"/>
      <c r="L10" s="16"/>
      <c r="M10" s="16"/>
      <c r="N10" s="16"/>
      <c r="O10" s="16"/>
      <c r="P10" s="16"/>
      <c r="Q10" s="101"/>
      <c r="R10" s="327" t="s">
        <v>12</v>
      </c>
      <c r="S10" s="16"/>
      <c r="T10" s="16"/>
      <c r="U10" s="16"/>
      <c r="V10" s="353">
        <v>45693</v>
      </c>
      <c r="W10" s="353"/>
      <c r="X10" s="353"/>
      <c r="Y10" s="353"/>
      <c r="Z10" s="353"/>
      <c r="AA10" s="16"/>
      <c r="AB10" s="16"/>
      <c r="AC10" s="122"/>
    </row>
    <row r="11" spans="1:30" s="18" customFormat="1" ht="15.6" customHeight="1">
      <c r="A11" s="102"/>
      <c r="B11" s="103" t="s">
        <v>13</v>
      </c>
      <c r="C11" s="103"/>
      <c r="D11" s="103"/>
      <c r="E11" s="103"/>
      <c r="F11" s="103"/>
      <c r="G11" s="103"/>
      <c r="H11" s="103"/>
      <c r="I11" s="103"/>
      <c r="J11" s="103"/>
      <c r="K11" s="103"/>
      <c r="L11" s="103"/>
      <c r="M11" s="103"/>
      <c r="N11" s="103"/>
      <c r="O11" s="103"/>
      <c r="P11" s="103"/>
      <c r="Q11" s="104"/>
      <c r="R11" s="130" t="s">
        <v>14</v>
      </c>
      <c r="S11" s="103"/>
      <c r="T11" s="103"/>
      <c r="U11" s="103"/>
      <c r="V11" s="103"/>
      <c r="W11" s="103"/>
      <c r="X11" s="103"/>
      <c r="Y11" s="103"/>
      <c r="Z11" s="103"/>
      <c r="AA11" s="103"/>
      <c r="AB11" s="103"/>
      <c r="AC11" s="142"/>
    </row>
    <row r="12" spans="1:30" s="18" customFormat="1" ht="15.6" customHeight="1">
      <c r="A12" s="123" t="s">
        <v>15</v>
      </c>
      <c r="B12" s="16"/>
      <c r="C12" s="16"/>
      <c r="D12" s="16"/>
      <c r="E12" s="16"/>
      <c r="F12" s="16"/>
      <c r="G12" s="16"/>
      <c r="H12" s="16"/>
      <c r="I12" s="16"/>
      <c r="J12" s="16"/>
      <c r="K12" s="16"/>
      <c r="L12" s="16"/>
      <c r="M12" s="16"/>
      <c r="N12" s="16"/>
      <c r="O12" s="16"/>
      <c r="P12" s="16"/>
      <c r="Q12" s="101"/>
      <c r="R12" s="327" t="s">
        <v>16</v>
      </c>
      <c r="S12" s="16"/>
      <c r="T12" s="16"/>
      <c r="U12" s="16"/>
      <c r="V12" s="16"/>
      <c r="W12" s="16"/>
      <c r="X12" s="16"/>
      <c r="Y12" s="16"/>
      <c r="Z12" s="16"/>
      <c r="AA12" s="16"/>
      <c r="AB12" s="16"/>
      <c r="AC12" s="122"/>
    </row>
    <row r="13" spans="1:30" s="18" customFormat="1" ht="15.6" customHeight="1">
      <c r="A13" s="121"/>
      <c r="B13" s="327" t="s">
        <v>17</v>
      </c>
      <c r="C13" s="16"/>
      <c r="D13" s="16"/>
      <c r="E13" s="16"/>
      <c r="F13" s="16"/>
      <c r="G13" s="16"/>
      <c r="H13" s="16"/>
      <c r="I13" s="16"/>
      <c r="J13" s="16"/>
      <c r="K13" s="16"/>
      <c r="L13" s="16"/>
      <c r="M13" s="16"/>
      <c r="N13" s="16"/>
      <c r="O13" s="16"/>
      <c r="P13" s="16"/>
      <c r="Q13" s="101"/>
      <c r="R13" s="16"/>
      <c r="S13" s="328"/>
      <c r="T13" s="328"/>
      <c r="U13" s="328"/>
      <c r="V13" s="328"/>
      <c r="W13" s="328"/>
      <c r="X13" s="328"/>
      <c r="Y13" s="328"/>
      <c r="Z13" s="328"/>
      <c r="AA13" s="328"/>
      <c r="AB13" s="328"/>
      <c r="AC13" s="151"/>
    </row>
    <row r="14" spans="1:30" s="18" customFormat="1" ht="15.6" customHeight="1">
      <c r="A14" s="123"/>
      <c r="B14" s="16" t="s">
        <v>18</v>
      </c>
      <c r="C14" s="16"/>
      <c r="D14" s="16"/>
      <c r="E14" s="16"/>
      <c r="F14" s="16"/>
      <c r="G14" s="16"/>
      <c r="H14" s="16"/>
      <c r="I14" s="16"/>
      <c r="J14" s="16"/>
      <c r="K14" s="16"/>
      <c r="L14" s="16"/>
      <c r="M14" s="16"/>
      <c r="N14" s="16"/>
      <c r="O14" s="16"/>
      <c r="P14" s="16"/>
      <c r="Q14" s="101"/>
      <c r="R14" s="327"/>
      <c r="S14" s="329" t="s">
        <v>19</v>
      </c>
      <c r="T14" s="16"/>
      <c r="U14" s="16"/>
      <c r="V14" s="16"/>
      <c r="W14" s="16"/>
      <c r="X14" s="16"/>
      <c r="Y14" s="16"/>
      <c r="Z14" s="16"/>
      <c r="AA14" s="16"/>
      <c r="AB14" s="16"/>
      <c r="AC14" s="122"/>
    </row>
    <row r="15" spans="1:30" s="18" customFormat="1" ht="15.6" customHeight="1">
      <c r="A15" s="121"/>
      <c r="B15" s="16" t="s">
        <v>20</v>
      </c>
      <c r="C15" s="16"/>
      <c r="D15" s="16"/>
      <c r="E15" s="16"/>
      <c r="F15" s="16"/>
      <c r="G15" s="16"/>
      <c r="H15" s="16"/>
      <c r="I15" s="16"/>
      <c r="J15" s="16"/>
      <c r="K15" s="16"/>
      <c r="L15" s="16"/>
      <c r="M15" s="16"/>
      <c r="N15" s="16"/>
      <c r="O15" s="16"/>
      <c r="P15" s="16"/>
      <c r="Q15" s="101"/>
      <c r="R15" s="327"/>
      <c r="S15" s="354" t="s">
        <v>21</v>
      </c>
      <c r="T15" s="354"/>
      <c r="U15" s="354"/>
      <c r="V15" s="354"/>
      <c r="W15" s="354"/>
      <c r="X15" s="354"/>
      <c r="Y15" s="354"/>
      <c r="Z15" s="354"/>
      <c r="AA15" s="354"/>
      <c r="AB15" s="354"/>
      <c r="AC15" s="355"/>
    </row>
    <row r="16" spans="1:30" s="18" customFormat="1" ht="15.6" customHeight="1">
      <c r="A16" s="121"/>
      <c r="B16" s="16"/>
      <c r="C16" s="16"/>
      <c r="D16" s="16"/>
      <c r="E16" s="16"/>
      <c r="F16" s="16"/>
      <c r="G16" s="16"/>
      <c r="H16" s="16"/>
      <c r="I16" s="16"/>
      <c r="J16" s="16"/>
      <c r="K16" s="16"/>
      <c r="L16" s="16"/>
      <c r="M16" s="16"/>
      <c r="N16" s="16"/>
      <c r="O16" s="16"/>
      <c r="P16" s="16"/>
      <c r="Q16" s="101"/>
      <c r="R16" s="327"/>
      <c r="S16" s="354"/>
      <c r="T16" s="354"/>
      <c r="U16" s="354"/>
      <c r="V16" s="354"/>
      <c r="W16" s="354"/>
      <c r="X16" s="354"/>
      <c r="Y16" s="354"/>
      <c r="Z16" s="354"/>
      <c r="AA16" s="354"/>
      <c r="AB16" s="354"/>
      <c r="AC16" s="355"/>
    </row>
    <row r="17" spans="1:48" s="18" customFormat="1" ht="15.6" customHeight="1">
      <c r="A17" s="102"/>
      <c r="B17" s="289"/>
      <c r="C17" s="103"/>
      <c r="D17" s="103"/>
      <c r="E17" s="103"/>
      <c r="F17" s="103"/>
      <c r="G17" s="103"/>
      <c r="H17" s="103"/>
      <c r="I17" s="103"/>
      <c r="J17" s="103"/>
      <c r="K17" s="103"/>
      <c r="L17" s="103"/>
      <c r="M17" s="103"/>
      <c r="N17" s="103"/>
      <c r="O17" s="103"/>
      <c r="P17" s="103"/>
      <c r="Q17" s="104"/>
      <c r="R17" s="327"/>
      <c r="S17" s="329" t="s">
        <v>22</v>
      </c>
      <c r="T17" s="330"/>
      <c r="U17" s="330"/>
      <c r="V17" s="330"/>
      <c r="W17" s="330"/>
      <c r="X17" s="330"/>
      <c r="Y17" s="330"/>
      <c r="Z17" s="330"/>
      <c r="AA17" s="330"/>
      <c r="AB17" s="330"/>
      <c r="AC17" s="278"/>
    </row>
    <row r="18" spans="1:48" s="18" customFormat="1" ht="15.6" customHeight="1">
      <c r="A18" s="123" t="s">
        <v>23</v>
      </c>
      <c r="B18" s="1"/>
      <c r="C18" s="16"/>
      <c r="D18" s="16"/>
      <c r="E18" s="16"/>
      <c r="F18" s="16"/>
      <c r="G18" s="16"/>
      <c r="H18" s="16"/>
      <c r="I18" s="16"/>
      <c r="J18" s="16"/>
      <c r="K18" s="16"/>
      <c r="L18" s="16"/>
      <c r="M18" s="16"/>
      <c r="N18" s="16"/>
      <c r="O18" s="16"/>
      <c r="P18" s="16"/>
      <c r="Q18" s="101"/>
      <c r="R18" s="327"/>
      <c r="S18" s="347" t="s">
        <v>24</v>
      </c>
      <c r="T18" s="347"/>
      <c r="U18" s="347"/>
      <c r="V18" s="347"/>
      <c r="W18" s="347"/>
      <c r="X18" s="347"/>
      <c r="Y18" s="347"/>
      <c r="Z18" s="347"/>
      <c r="AA18" s="347"/>
      <c r="AB18" s="347"/>
      <c r="AC18" s="348"/>
    </row>
    <row r="19" spans="1:48" s="18" customFormat="1" ht="15.6" customHeight="1">
      <c r="A19" s="121"/>
      <c r="B19" s="327" t="s">
        <v>25</v>
      </c>
      <c r="C19" s="16"/>
      <c r="D19" s="16"/>
      <c r="E19" s="16"/>
      <c r="F19" s="16"/>
      <c r="G19" s="16"/>
      <c r="H19" s="16"/>
      <c r="I19" s="16"/>
      <c r="J19" s="16"/>
      <c r="K19" s="16"/>
      <c r="L19" s="16"/>
      <c r="M19" s="16"/>
      <c r="N19" s="16"/>
      <c r="O19" s="16"/>
      <c r="P19" s="16"/>
      <c r="Q19" s="101"/>
      <c r="R19" s="327"/>
      <c r="S19" s="329" t="s">
        <v>26</v>
      </c>
      <c r="AC19" s="279"/>
    </row>
    <row r="20" spans="1:48" s="18" customFormat="1" ht="15.6" customHeight="1">
      <c r="A20" s="121"/>
      <c r="B20" s="152" t="s">
        <v>27</v>
      </c>
      <c r="C20" s="16"/>
      <c r="D20" s="16"/>
      <c r="E20" s="16"/>
      <c r="F20" s="16"/>
      <c r="G20" s="16"/>
      <c r="H20" s="16"/>
      <c r="I20" s="16"/>
      <c r="J20" s="16"/>
      <c r="K20" s="16"/>
      <c r="L20" s="16"/>
      <c r="M20" s="16"/>
      <c r="N20" s="16"/>
      <c r="O20" s="16"/>
      <c r="P20" s="16"/>
      <c r="Q20" s="101"/>
      <c r="R20" s="327"/>
      <c r="S20" s="347">
        <v>2024</v>
      </c>
      <c r="T20" s="347"/>
      <c r="U20" s="347"/>
      <c r="V20" s="347"/>
      <c r="W20" s="347"/>
      <c r="X20" s="347"/>
      <c r="Y20" s="347"/>
      <c r="Z20" s="347"/>
      <c r="AA20" s="347"/>
      <c r="AB20" s="347"/>
      <c r="AC20" s="348"/>
    </row>
    <row r="21" spans="1:48" s="18" customFormat="1" ht="15.6" customHeight="1">
      <c r="A21" s="149"/>
      <c r="B21" s="153" t="s">
        <v>28</v>
      </c>
      <c r="C21" s="16"/>
      <c r="D21" s="16"/>
      <c r="E21" s="16"/>
      <c r="F21" s="16"/>
      <c r="G21" s="16"/>
      <c r="H21" s="16"/>
      <c r="I21" s="16"/>
      <c r="J21" s="16"/>
      <c r="K21" s="16"/>
      <c r="L21" s="16"/>
      <c r="M21" s="16"/>
      <c r="N21" s="16"/>
      <c r="O21" s="16"/>
      <c r="P21" s="16"/>
      <c r="Q21" s="101"/>
      <c r="R21" s="16"/>
      <c r="S21" s="329" t="s">
        <v>29</v>
      </c>
      <c r="AC21" s="279"/>
      <c r="AV21" s="1"/>
    </row>
    <row r="22" spans="1:48" s="18" customFormat="1" ht="15.6" customHeight="1">
      <c r="A22" s="121"/>
      <c r="B22" s="331" t="s">
        <v>30</v>
      </c>
      <c r="C22" s="16"/>
      <c r="D22" s="16"/>
      <c r="E22" s="16"/>
      <c r="F22" s="16"/>
      <c r="G22" s="16"/>
      <c r="H22" s="16"/>
      <c r="I22" s="16"/>
      <c r="J22" s="16"/>
      <c r="K22" s="16"/>
      <c r="L22" s="16"/>
      <c r="M22" s="16"/>
      <c r="N22" s="16"/>
      <c r="O22" s="16"/>
      <c r="P22" s="16"/>
      <c r="Q22" s="101"/>
      <c r="R22" s="124"/>
      <c r="S22" s="347" t="s">
        <v>31</v>
      </c>
      <c r="T22" s="347"/>
      <c r="U22" s="347"/>
      <c r="V22" s="347"/>
      <c r="W22" s="347"/>
      <c r="X22" s="347"/>
      <c r="Y22" s="347"/>
      <c r="Z22" s="347"/>
      <c r="AA22" s="347"/>
      <c r="AB22" s="347"/>
      <c r="AC22" s="348"/>
    </row>
    <row r="23" spans="1:48" s="18" customFormat="1" ht="15.6" customHeight="1">
      <c r="A23" s="121"/>
      <c r="B23" s="1"/>
      <c r="C23" s="16"/>
      <c r="D23" s="16"/>
      <c r="E23" s="16"/>
      <c r="F23" s="16"/>
      <c r="G23" s="16"/>
      <c r="H23" s="16"/>
      <c r="I23" s="16"/>
      <c r="J23" s="16"/>
      <c r="K23" s="16"/>
      <c r="L23" s="16"/>
      <c r="M23" s="16"/>
      <c r="N23" s="16"/>
      <c r="O23" s="16"/>
      <c r="P23" s="16"/>
      <c r="Q23" s="101"/>
      <c r="R23" s="290"/>
      <c r="S23" s="329" t="s">
        <v>32</v>
      </c>
      <c r="AC23" s="279"/>
    </row>
    <row r="24" spans="1:48" s="18" customFormat="1" ht="15.6" customHeight="1">
      <c r="A24" s="149"/>
      <c r="Q24" s="291"/>
      <c r="R24" s="290"/>
      <c r="S24" s="347" t="s">
        <v>33</v>
      </c>
      <c r="T24" s="347"/>
      <c r="U24" s="347"/>
      <c r="V24" s="347"/>
      <c r="W24" s="347"/>
      <c r="X24" s="347"/>
      <c r="Y24" s="347"/>
      <c r="Z24" s="347"/>
      <c r="AA24" s="347"/>
      <c r="AB24" s="347"/>
      <c r="AC24" s="348"/>
    </row>
    <row r="25" spans="1:48" s="18" customFormat="1" ht="15" customHeight="1">
      <c r="A25" s="126" t="s">
        <v>34</v>
      </c>
      <c r="B25" s="127"/>
      <c r="C25" s="127"/>
      <c r="D25" s="127"/>
      <c r="E25" s="127"/>
      <c r="F25" s="127"/>
      <c r="G25" s="127"/>
      <c r="H25" s="128"/>
      <c r="I25" s="357" t="s">
        <v>35</v>
      </c>
      <c r="J25" s="358"/>
      <c r="K25" s="358"/>
      <c r="L25" s="358"/>
      <c r="M25" s="358"/>
      <c r="N25" s="358"/>
      <c r="O25" s="358"/>
      <c r="P25" s="358"/>
      <c r="Q25" s="359"/>
      <c r="R25" s="328"/>
      <c r="S25" s="328"/>
      <c r="T25" s="328"/>
      <c r="U25" s="328"/>
      <c r="V25" s="328"/>
      <c r="W25" s="328"/>
      <c r="X25" s="328"/>
      <c r="Y25" s="328"/>
      <c r="Z25" s="328"/>
      <c r="AA25" s="328"/>
      <c r="AB25" s="328"/>
      <c r="AC25" s="151"/>
    </row>
    <row r="26" spans="1:48" s="18" customFormat="1" ht="14.4">
      <c r="A26" s="121"/>
      <c r="B26" s="16" t="s">
        <v>36</v>
      </c>
      <c r="C26" s="16"/>
      <c r="D26" s="16"/>
      <c r="E26" s="16"/>
      <c r="F26" s="16"/>
      <c r="G26" s="16"/>
      <c r="H26" s="101"/>
      <c r="I26" s="16"/>
      <c r="J26" s="16" t="s">
        <v>37</v>
      </c>
      <c r="K26" s="16"/>
      <c r="L26" s="16"/>
      <c r="M26" s="16"/>
      <c r="N26" s="16"/>
      <c r="O26" s="16"/>
      <c r="P26" s="16"/>
      <c r="Q26" s="101"/>
      <c r="R26" s="16"/>
      <c r="AA26" s="16"/>
      <c r="AB26" s="16"/>
      <c r="AC26" s="122"/>
    </row>
    <row r="27" spans="1:48" s="18" customFormat="1" ht="14.4">
      <c r="A27" s="102"/>
      <c r="B27" s="129"/>
      <c r="C27" s="103"/>
      <c r="D27" s="103"/>
      <c r="E27" s="103"/>
      <c r="F27" s="103"/>
      <c r="G27" s="103"/>
      <c r="H27" s="104"/>
      <c r="I27" s="103"/>
      <c r="J27" s="129"/>
      <c r="K27" s="103"/>
      <c r="L27" s="103"/>
      <c r="M27" s="103"/>
      <c r="N27" s="103"/>
      <c r="O27" s="103"/>
      <c r="P27" s="103"/>
      <c r="Q27" s="104"/>
      <c r="R27" s="280"/>
      <c r="S27" s="281"/>
      <c r="T27" s="147"/>
      <c r="U27" s="103"/>
      <c r="V27" s="103"/>
      <c r="W27" s="147"/>
      <c r="X27" s="103"/>
      <c r="Y27" s="103"/>
      <c r="Z27" s="147"/>
      <c r="AA27" s="103"/>
      <c r="AB27" s="103"/>
      <c r="AC27" s="142"/>
    </row>
    <row r="28" spans="1:48" s="18" customFormat="1" ht="14.4">
      <c r="A28" s="123" t="s">
        <v>38</v>
      </c>
      <c r="B28" s="16"/>
      <c r="C28" s="16"/>
      <c r="D28" s="16"/>
      <c r="E28" s="16"/>
      <c r="F28" s="16"/>
      <c r="G28" s="16"/>
      <c r="H28" s="101"/>
      <c r="I28" s="357" t="s">
        <v>39</v>
      </c>
      <c r="J28" s="358"/>
      <c r="K28" s="358"/>
      <c r="L28" s="358"/>
      <c r="M28" s="358"/>
      <c r="N28" s="358"/>
      <c r="O28" s="358"/>
      <c r="P28" s="358"/>
      <c r="Q28" s="359"/>
      <c r="R28" s="145" t="s">
        <v>40</v>
      </c>
      <c r="S28" s="332"/>
      <c r="T28" s="332"/>
      <c r="U28" s="332"/>
      <c r="V28" s="332"/>
      <c r="W28" s="332"/>
      <c r="X28" s="332"/>
      <c r="Y28" s="332"/>
      <c r="Z28" s="332"/>
      <c r="AA28" s="332"/>
      <c r="AB28" s="332"/>
      <c r="AC28" s="146"/>
    </row>
    <row r="29" spans="1:48" s="18" customFormat="1" ht="14.4">
      <c r="A29" s="123"/>
      <c r="B29" s="16"/>
      <c r="C29" s="16"/>
      <c r="D29" s="16"/>
      <c r="E29" s="16"/>
      <c r="F29" s="16"/>
      <c r="G29" s="16"/>
      <c r="H29" s="101"/>
      <c r="I29" s="362"/>
      <c r="J29" s="360"/>
      <c r="K29" s="360"/>
      <c r="L29" s="360"/>
      <c r="M29" s="360"/>
      <c r="N29" s="360"/>
      <c r="O29" s="360"/>
      <c r="P29" s="360"/>
      <c r="Q29" s="361"/>
      <c r="R29" s="16"/>
      <c r="AA29" s="16"/>
      <c r="AB29" s="16"/>
      <c r="AC29" s="122"/>
    </row>
    <row r="30" spans="1:48" s="18" customFormat="1" ht="17.7" customHeight="1">
      <c r="A30" s="121"/>
      <c r="B30" s="16" t="s">
        <v>37</v>
      </c>
      <c r="C30" s="16"/>
      <c r="D30" s="16"/>
      <c r="E30" s="16"/>
      <c r="F30" s="16"/>
      <c r="G30" s="16"/>
      <c r="H30" s="101"/>
      <c r="I30" s="364" t="s">
        <v>41</v>
      </c>
      <c r="J30" s="365"/>
      <c r="K30" s="365"/>
      <c r="L30" s="365"/>
      <c r="M30" s="365"/>
      <c r="N30" s="365"/>
      <c r="O30" s="365"/>
      <c r="P30" s="365"/>
      <c r="Q30" s="366"/>
      <c r="R30" s="16"/>
      <c r="S30" s="329" t="s">
        <v>42</v>
      </c>
      <c r="U30" s="16"/>
      <c r="V30" s="16"/>
      <c r="X30" s="16" t="s">
        <v>43</v>
      </c>
      <c r="Y30" s="16" t="s">
        <v>44</v>
      </c>
      <c r="AA30" s="16"/>
      <c r="AB30" s="16"/>
      <c r="AC30" s="122"/>
    </row>
    <row r="31" spans="1:48" s="18" customFormat="1" ht="14.4">
      <c r="A31" s="102"/>
      <c r="B31" s="103"/>
      <c r="C31" s="103"/>
      <c r="D31" s="103"/>
      <c r="E31" s="103"/>
      <c r="F31" s="103"/>
      <c r="G31" s="103"/>
      <c r="H31" s="104"/>
      <c r="I31" s="367"/>
      <c r="J31" s="368"/>
      <c r="K31" s="368"/>
      <c r="L31" s="368"/>
      <c r="M31" s="368"/>
      <c r="N31" s="368"/>
      <c r="O31" s="368"/>
      <c r="P31" s="368"/>
      <c r="Q31" s="369"/>
      <c r="R31" s="16"/>
      <c r="S31" s="329" t="s">
        <v>45</v>
      </c>
      <c r="T31" s="16"/>
      <c r="X31" s="16" t="s">
        <v>43</v>
      </c>
      <c r="Y31" s="370">
        <f>COUNT('Summary PL'!A14:A50)</f>
        <v>37</v>
      </c>
      <c r="Z31" s="370"/>
      <c r="AA31" s="370"/>
      <c r="AB31" s="370"/>
      <c r="AC31" s="122" t="s">
        <v>46</v>
      </c>
    </row>
    <row r="32" spans="1:48" s="16" customFormat="1" ht="16.5" customHeight="1">
      <c r="A32" s="126" t="s">
        <v>47</v>
      </c>
      <c r="B32" s="127"/>
      <c r="C32" s="127"/>
      <c r="D32" s="127"/>
      <c r="E32" s="127"/>
      <c r="F32" s="127"/>
      <c r="G32" s="127"/>
      <c r="H32" s="128"/>
      <c r="I32" s="357" t="s">
        <v>48</v>
      </c>
      <c r="J32" s="358"/>
      <c r="K32" s="358"/>
      <c r="L32" s="358"/>
      <c r="M32" s="358"/>
      <c r="N32" s="358"/>
      <c r="O32" s="358"/>
      <c r="P32" s="358"/>
      <c r="Q32" s="359"/>
      <c r="S32" s="329" t="s">
        <v>49</v>
      </c>
      <c r="T32" s="18"/>
      <c r="U32" s="18"/>
      <c r="V32" s="18"/>
      <c r="W32" s="18"/>
      <c r="X32" s="16" t="s">
        <v>43</v>
      </c>
      <c r="Y32" s="363">
        <f>'Summary PL'!L51</f>
        <v>6102</v>
      </c>
      <c r="Z32" s="363"/>
      <c r="AA32" s="363"/>
      <c r="AB32" s="363"/>
      <c r="AC32" s="122" t="s">
        <v>50</v>
      </c>
    </row>
    <row r="33" spans="1:38" s="18" customFormat="1" ht="14.4">
      <c r="A33" s="123"/>
      <c r="B33" s="16"/>
      <c r="C33" s="16"/>
      <c r="D33" s="16"/>
      <c r="E33" s="16"/>
      <c r="F33" s="16"/>
      <c r="G33" s="16"/>
      <c r="H33" s="101"/>
      <c r="I33" s="360"/>
      <c r="J33" s="360"/>
      <c r="K33" s="360"/>
      <c r="L33" s="360"/>
      <c r="M33" s="360"/>
      <c r="N33" s="360"/>
      <c r="O33" s="360"/>
      <c r="P33" s="360"/>
      <c r="Q33" s="361"/>
      <c r="R33" s="16"/>
      <c r="S33" s="329" t="s">
        <v>51</v>
      </c>
      <c r="X33" s="16" t="s">
        <v>43</v>
      </c>
      <c r="Y33" s="363">
        <f>'Summary PL'!M51</f>
        <v>8009</v>
      </c>
      <c r="Z33" s="363"/>
      <c r="AA33" s="363"/>
      <c r="AB33" s="363"/>
      <c r="AC33" s="122" t="s">
        <v>50</v>
      </c>
    </row>
    <row r="34" spans="1:38" s="18" customFormat="1" ht="14.7" customHeight="1">
      <c r="A34" s="121"/>
      <c r="B34" s="16" t="s">
        <v>37</v>
      </c>
      <c r="C34" s="16"/>
      <c r="D34" s="16"/>
      <c r="E34" s="16"/>
      <c r="F34" s="16"/>
      <c r="G34" s="16"/>
      <c r="H34" s="101"/>
      <c r="I34" s="16"/>
      <c r="J34" s="356">
        <v>45917</v>
      </c>
      <c r="K34" s="356"/>
      <c r="L34" s="356"/>
      <c r="M34" s="356"/>
      <c r="N34" s="356"/>
      <c r="O34" s="356"/>
      <c r="P34" s="356"/>
      <c r="Q34" s="101"/>
      <c r="R34" s="16"/>
      <c r="S34" s="329" t="s">
        <v>52</v>
      </c>
      <c r="U34" s="16"/>
      <c r="V34" s="16"/>
      <c r="W34" s="16"/>
      <c r="X34" s="16" t="s">
        <v>43</v>
      </c>
      <c r="Y34" s="363">
        <f>'Summary PL'!K51</f>
        <v>18.301999999999996</v>
      </c>
      <c r="Z34" s="363"/>
      <c r="AA34" s="363"/>
      <c r="AB34" s="363"/>
      <c r="AC34" s="122" t="s">
        <v>53</v>
      </c>
    </row>
    <row r="35" spans="1:38" s="18" customFormat="1" ht="14.4">
      <c r="A35" s="102"/>
      <c r="B35" s="103"/>
      <c r="C35" s="103"/>
      <c r="D35" s="103"/>
      <c r="E35" s="103"/>
      <c r="F35" s="103"/>
      <c r="G35" s="103"/>
      <c r="H35" s="104"/>
      <c r="I35" s="103"/>
      <c r="J35" s="103"/>
      <c r="K35" s="103"/>
      <c r="L35" s="103"/>
      <c r="M35" s="103"/>
      <c r="N35" s="103"/>
      <c r="O35" s="103"/>
      <c r="P35" s="103"/>
      <c r="Q35" s="104"/>
      <c r="R35" s="16"/>
      <c r="S35" s="16"/>
      <c r="T35" s="16"/>
      <c r="U35" s="16"/>
      <c r="V35" s="16"/>
      <c r="W35" s="16"/>
      <c r="X35" s="16"/>
      <c r="Y35" s="16"/>
      <c r="Z35" s="16"/>
      <c r="AA35" s="16"/>
      <c r="AB35" s="16"/>
      <c r="AC35" s="122"/>
    </row>
    <row r="36" spans="1:38" s="18" customFormat="1" ht="14.4">
      <c r="A36" s="126" t="s">
        <v>54</v>
      </c>
      <c r="B36" s="127"/>
      <c r="C36" s="127"/>
      <c r="D36" s="127"/>
      <c r="E36" s="127"/>
      <c r="F36" s="127"/>
      <c r="G36" s="127"/>
      <c r="H36" s="127"/>
      <c r="I36" s="143"/>
      <c r="J36" s="127"/>
      <c r="K36" s="127"/>
      <c r="L36" s="127"/>
      <c r="M36" s="127"/>
      <c r="N36" s="127"/>
      <c r="O36" s="127"/>
      <c r="P36" s="127"/>
      <c r="Q36" s="128"/>
      <c r="R36" s="16"/>
      <c r="S36" s="16"/>
      <c r="T36" s="16"/>
      <c r="U36" s="16"/>
      <c r="V36" s="16"/>
      <c r="W36" s="16"/>
      <c r="X36" s="16"/>
      <c r="Y36" s="16"/>
      <c r="Z36" s="16"/>
      <c r="AA36" s="16"/>
      <c r="AB36" s="16"/>
      <c r="AC36" s="122"/>
    </row>
    <row r="37" spans="1:38" s="18" customFormat="1" ht="14.4">
      <c r="A37" s="121"/>
      <c r="B37" s="16"/>
      <c r="C37" s="16"/>
      <c r="D37" s="16"/>
      <c r="E37" s="16"/>
      <c r="F37" s="16"/>
      <c r="G37" s="16"/>
      <c r="H37" s="16"/>
      <c r="I37" s="16"/>
      <c r="J37" s="333"/>
      <c r="K37" s="333"/>
      <c r="L37" s="333"/>
      <c r="M37" s="333"/>
      <c r="N37" s="333"/>
      <c r="O37" s="333"/>
      <c r="P37" s="333"/>
      <c r="Q37" s="101"/>
      <c r="R37" s="16"/>
      <c r="S37" s="16"/>
      <c r="T37" s="16"/>
      <c r="U37" s="16"/>
      <c r="V37" s="16"/>
      <c r="W37" s="16"/>
      <c r="X37" s="16"/>
      <c r="Y37" s="16"/>
      <c r="Z37" s="16"/>
      <c r="AA37" s="16"/>
      <c r="AB37" s="16"/>
      <c r="AC37" s="122"/>
    </row>
    <row r="38" spans="1:38" s="18" customFormat="1" ht="14.4">
      <c r="A38" s="102"/>
      <c r="B38" s="103"/>
      <c r="C38" s="103"/>
      <c r="D38" s="103"/>
      <c r="E38" s="103"/>
      <c r="F38" s="103"/>
      <c r="G38" s="103"/>
      <c r="H38" s="103"/>
      <c r="I38" s="103"/>
      <c r="J38" s="103"/>
      <c r="K38" s="103"/>
      <c r="L38" s="103"/>
      <c r="M38" s="103"/>
      <c r="N38" s="103"/>
      <c r="O38" s="103"/>
      <c r="P38" s="103"/>
      <c r="Q38" s="104"/>
      <c r="R38" s="16"/>
      <c r="S38" s="16"/>
      <c r="T38" s="16"/>
      <c r="U38" s="16"/>
      <c r="V38" s="16"/>
      <c r="W38" s="16"/>
      <c r="X38" s="16"/>
      <c r="Y38" s="16"/>
      <c r="Z38" s="16"/>
      <c r="AA38" s="16"/>
      <c r="AB38" s="16"/>
      <c r="AC38" s="122"/>
    </row>
    <row r="39" spans="1:38" s="18" customFormat="1" ht="16.5" customHeight="1">
      <c r="A39" s="394" t="s">
        <v>55</v>
      </c>
      <c r="B39" s="395"/>
      <c r="C39" s="395"/>
      <c r="D39" s="395"/>
      <c r="E39" s="395"/>
      <c r="F39" s="395"/>
      <c r="G39" s="395"/>
      <c r="H39" s="395"/>
      <c r="I39" s="395"/>
      <c r="J39" s="395"/>
      <c r="K39" s="395"/>
      <c r="L39" s="395"/>
      <c r="M39" s="395"/>
      <c r="N39" s="395"/>
      <c r="O39" s="395"/>
      <c r="P39" s="395"/>
      <c r="Q39" s="396"/>
      <c r="R39" s="400" t="s">
        <v>56</v>
      </c>
      <c r="S39" s="401"/>
      <c r="T39" s="401"/>
      <c r="U39" s="401"/>
      <c r="V39" s="403"/>
      <c r="W39" s="400" t="s">
        <v>57</v>
      </c>
      <c r="X39" s="401"/>
      <c r="Y39" s="401"/>
      <c r="Z39" s="403"/>
      <c r="AA39" s="400" t="s">
        <v>58</v>
      </c>
      <c r="AB39" s="401"/>
      <c r="AC39" s="402"/>
    </row>
    <row r="40" spans="1:38" s="18" customFormat="1" ht="16.5" customHeight="1">
      <c r="A40" s="397"/>
      <c r="B40" s="398"/>
      <c r="C40" s="398"/>
      <c r="D40" s="398"/>
      <c r="E40" s="398"/>
      <c r="F40" s="398"/>
      <c r="G40" s="398"/>
      <c r="H40" s="398"/>
      <c r="I40" s="398"/>
      <c r="J40" s="398"/>
      <c r="K40" s="398"/>
      <c r="L40" s="398"/>
      <c r="M40" s="398"/>
      <c r="N40" s="398"/>
      <c r="O40" s="398"/>
      <c r="P40" s="398"/>
      <c r="Q40" s="399"/>
      <c r="R40" s="376" t="s">
        <v>59</v>
      </c>
      <c r="S40" s="377"/>
      <c r="T40" s="377"/>
      <c r="U40" s="377"/>
      <c r="V40" s="378"/>
      <c r="W40" s="376" t="s">
        <v>60</v>
      </c>
      <c r="X40" s="377"/>
      <c r="Y40" s="377"/>
      <c r="Z40" s="378"/>
      <c r="AA40" s="376" t="s">
        <v>61</v>
      </c>
      <c r="AB40" s="377"/>
      <c r="AC40" s="379"/>
    </row>
    <row r="41" spans="1:38" s="49" customFormat="1" ht="18" customHeight="1">
      <c r="A41" s="121"/>
      <c r="B41" s="16" t="s">
        <v>62</v>
      </c>
      <c r="C41" s="48"/>
      <c r="D41" s="48"/>
      <c r="E41" s="48"/>
      <c r="F41" s="48"/>
      <c r="G41" s="48"/>
      <c r="H41" s="48"/>
      <c r="I41" s="127"/>
      <c r="J41" s="127"/>
      <c r="K41" s="127"/>
      <c r="L41" s="127"/>
      <c r="M41" s="127"/>
      <c r="N41" s="127"/>
      <c r="O41" s="127"/>
      <c r="P41" s="127"/>
      <c r="Q41" s="101"/>
      <c r="R41" s="380" t="s">
        <v>63</v>
      </c>
      <c r="S41" s="381"/>
      <c r="T41" s="381"/>
      <c r="U41" s="381"/>
      <c r="V41" s="382"/>
      <c r="W41" s="383" t="s">
        <v>64</v>
      </c>
      <c r="X41" s="384"/>
      <c r="Y41" s="384"/>
      <c r="Z41" s="385"/>
      <c r="AA41" s="53"/>
      <c r="AB41" s="54"/>
      <c r="AC41" s="55">
        <f>CI_BD!H46</f>
        <v>490515.56000000011</v>
      </c>
      <c r="AD41" s="182" t="s">
        <v>65</v>
      </c>
      <c r="AE41" s="48"/>
      <c r="AF41" s="48"/>
      <c r="AG41" s="48"/>
      <c r="AH41" s="48"/>
      <c r="AI41" s="48"/>
      <c r="AJ41" s="48"/>
      <c r="AK41" s="48"/>
      <c r="AL41" s="48"/>
    </row>
    <row r="42" spans="1:38" s="18" customFormat="1" ht="18" customHeight="1">
      <c r="A42" s="148"/>
      <c r="B42" s="16" t="s">
        <v>66</v>
      </c>
      <c r="C42" s="16"/>
      <c r="D42" s="16"/>
      <c r="E42" s="16"/>
      <c r="F42" s="16"/>
      <c r="G42" s="16"/>
      <c r="H42" s="16"/>
      <c r="I42" s="16"/>
      <c r="J42" s="16"/>
      <c r="K42" s="16"/>
      <c r="L42" s="16"/>
      <c r="M42" s="16"/>
      <c r="N42" s="16"/>
      <c r="O42" s="16"/>
      <c r="P42" s="16"/>
      <c r="Q42" s="101"/>
      <c r="R42" s="386"/>
      <c r="S42" s="387"/>
      <c r="T42" s="387"/>
      <c r="U42" s="387"/>
      <c r="V42" s="388"/>
      <c r="W42" s="389"/>
      <c r="X42" s="390"/>
      <c r="Y42" s="390"/>
      <c r="Z42" s="391"/>
      <c r="AA42" s="53"/>
      <c r="AB42" s="54"/>
      <c r="AC42" s="55"/>
      <c r="AD42" s="183"/>
      <c r="AE42" s="16"/>
      <c r="AF42" s="16"/>
      <c r="AG42" s="16"/>
      <c r="AH42" s="16"/>
      <c r="AI42" s="16"/>
      <c r="AJ42" s="16"/>
      <c r="AK42" s="16"/>
      <c r="AL42" s="16"/>
    </row>
    <row r="43" spans="1:38" s="18" customFormat="1" ht="18" customHeight="1" thickBot="1">
      <c r="A43" s="123"/>
      <c r="B43" s="327"/>
      <c r="C43" s="327"/>
      <c r="D43" s="327"/>
      <c r="E43" s="327"/>
      <c r="F43" s="327"/>
      <c r="G43" s="327"/>
      <c r="H43" s="327"/>
      <c r="I43" s="144"/>
      <c r="J43" s="144"/>
      <c r="K43" s="144"/>
      <c r="L43" s="144"/>
      <c r="M43" s="144"/>
      <c r="N43" s="144"/>
      <c r="O43" s="144"/>
      <c r="P43" s="144"/>
      <c r="Q43" s="139"/>
      <c r="R43" s="327"/>
      <c r="S43" s="327"/>
      <c r="T43" s="327"/>
      <c r="U43" s="327"/>
      <c r="V43" s="139"/>
      <c r="W43" s="327"/>
      <c r="X43" s="51"/>
      <c r="Y43" s="51"/>
      <c r="Z43" s="51"/>
      <c r="AA43" s="50"/>
      <c r="AB43" s="51"/>
      <c r="AC43" s="52"/>
    </row>
    <row r="44" spans="1:38" s="18" customFormat="1" ht="18" customHeight="1" thickBot="1">
      <c r="A44" s="132"/>
      <c r="B44" s="140"/>
      <c r="C44" s="133"/>
      <c r="D44" s="133"/>
      <c r="E44" s="133"/>
      <c r="F44" s="133"/>
      <c r="G44" s="133"/>
      <c r="H44" s="133"/>
      <c r="I44" s="373" t="s">
        <v>67</v>
      </c>
      <c r="J44" s="373"/>
      <c r="K44" s="373"/>
      <c r="L44" s="373"/>
      <c r="M44" s="373"/>
      <c r="N44" s="373"/>
      <c r="O44" s="373"/>
      <c r="P44" s="373"/>
      <c r="Q44" s="373"/>
      <c r="R44" s="392"/>
      <c r="S44" s="373"/>
      <c r="T44" s="373"/>
      <c r="U44" s="373"/>
      <c r="V44" s="373"/>
      <c r="W44" s="373"/>
      <c r="X44" s="373"/>
      <c r="Y44" s="373"/>
      <c r="Z44" s="393"/>
      <c r="AA44" s="374">
        <f>SUM(AC41:AC43)</f>
        <v>490515.56000000011</v>
      </c>
      <c r="AB44" s="374"/>
      <c r="AC44" s="375"/>
      <c r="AD44" s="56"/>
      <c r="AE44" s="56"/>
      <c r="AF44" s="57"/>
    </row>
    <row r="45" spans="1:38">
      <c r="A45" s="109"/>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1"/>
    </row>
    <row r="46" spans="1:38">
      <c r="A46" s="112"/>
      <c r="AC46" s="113"/>
    </row>
    <row r="47" spans="1:38">
      <c r="A47" s="112"/>
      <c r="AC47" s="113"/>
    </row>
    <row r="48" spans="1:38">
      <c r="A48" s="112"/>
      <c r="AC48" s="113"/>
    </row>
    <row r="49" spans="1:29">
      <c r="A49" s="112"/>
      <c r="AC49" s="113"/>
    </row>
    <row r="50" spans="1:29">
      <c r="A50" s="112"/>
      <c r="AC50" s="113"/>
    </row>
    <row r="51" spans="1:29">
      <c r="A51" s="112"/>
      <c r="AC51" s="113"/>
    </row>
    <row r="52" spans="1:29" ht="14.4">
      <c r="A52" s="121"/>
      <c r="B52" s="16"/>
      <c r="C52" s="16"/>
      <c r="D52" s="16"/>
      <c r="E52" s="16"/>
      <c r="F52" s="16"/>
      <c r="G52" s="16"/>
      <c r="H52" s="16"/>
      <c r="I52" s="16"/>
      <c r="J52" s="16"/>
      <c r="K52" s="16"/>
      <c r="L52" s="16"/>
      <c r="M52" s="16"/>
      <c r="N52" s="16"/>
      <c r="S52" s="16" t="s">
        <v>68</v>
      </c>
      <c r="AC52" s="113"/>
    </row>
    <row r="53" spans="1:29" ht="14.4">
      <c r="A53" s="121" t="s">
        <v>69</v>
      </c>
      <c r="B53" s="16"/>
      <c r="C53" s="16"/>
      <c r="D53" s="16"/>
      <c r="E53" s="16"/>
      <c r="F53" s="16"/>
      <c r="G53" s="16"/>
      <c r="H53" s="16"/>
      <c r="I53" s="16"/>
      <c r="J53" s="16"/>
      <c r="K53" s="16"/>
      <c r="L53" s="16"/>
      <c r="M53" s="16"/>
      <c r="N53" s="16"/>
      <c r="AC53" s="113"/>
    </row>
    <row r="54" spans="1:29" ht="14.4">
      <c r="A54" s="121" t="s">
        <v>70</v>
      </c>
      <c r="B54" s="16"/>
      <c r="C54" s="16"/>
      <c r="D54" s="16"/>
      <c r="E54" s="16"/>
      <c r="F54" s="16"/>
      <c r="G54" s="16"/>
      <c r="H54" s="16"/>
      <c r="I54" s="16"/>
      <c r="J54" s="16"/>
      <c r="K54" s="16"/>
      <c r="L54" s="16"/>
      <c r="M54" s="16"/>
      <c r="N54" s="16"/>
      <c r="W54" s="134"/>
      <c r="X54" s="134"/>
      <c r="AC54" s="113"/>
    </row>
    <row r="55" spans="1:29" ht="14.4">
      <c r="A55" s="121" t="s">
        <v>71</v>
      </c>
      <c r="B55" s="16"/>
      <c r="C55" s="16"/>
      <c r="D55" s="16"/>
      <c r="E55" s="16"/>
      <c r="F55" s="16"/>
      <c r="G55" s="16"/>
      <c r="H55" s="16"/>
      <c r="I55" s="16"/>
      <c r="J55" s="16"/>
      <c r="K55" s="16"/>
      <c r="L55" s="16"/>
      <c r="M55" s="16"/>
      <c r="N55" s="16"/>
      <c r="V55" s="371" t="s">
        <v>72</v>
      </c>
      <c r="W55" s="371"/>
      <c r="X55" s="371"/>
      <c r="Y55" s="371"/>
      <c r="Z55" s="371"/>
      <c r="AA55" s="371"/>
      <c r="AB55" s="371"/>
      <c r="AC55" s="372"/>
    </row>
    <row r="56" spans="1:29" ht="14.4">
      <c r="A56" s="121" t="s">
        <v>73</v>
      </c>
      <c r="B56" s="16"/>
      <c r="C56" s="16"/>
      <c r="D56" s="16"/>
      <c r="E56" s="16"/>
      <c r="F56" s="16"/>
      <c r="G56" s="16"/>
      <c r="H56" s="16"/>
      <c r="I56" s="16"/>
      <c r="J56" s="16"/>
      <c r="K56" s="16"/>
      <c r="L56" s="16"/>
      <c r="M56" s="16"/>
      <c r="N56" s="16"/>
      <c r="S56" s="329"/>
      <c r="U56" s="334"/>
      <c r="V56" s="334"/>
      <c r="W56" s="334"/>
      <c r="X56" s="334"/>
      <c r="Y56" s="334"/>
      <c r="Z56" s="334"/>
      <c r="AA56" s="334"/>
      <c r="AB56" s="334"/>
      <c r="AC56" s="113"/>
    </row>
    <row r="57" spans="1:29" ht="12.6" thickBot="1">
      <c r="A57" s="13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6"/>
    </row>
    <row r="58" spans="1:29" ht="15" thickBot="1">
      <c r="A58" s="136" t="s">
        <v>74</v>
      </c>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8"/>
    </row>
  </sheetData>
  <mergeCells count="32">
    <mergeCell ref="V55:AC55"/>
    <mergeCell ref="I44:Q44"/>
    <mergeCell ref="AA44:AC44"/>
    <mergeCell ref="R40:V40"/>
    <mergeCell ref="W40:Z40"/>
    <mergeCell ref="AA40:AC40"/>
    <mergeCell ref="R41:V41"/>
    <mergeCell ref="W41:Z41"/>
    <mergeCell ref="R42:V42"/>
    <mergeCell ref="W42:Z42"/>
    <mergeCell ref="R44:Z44"/>
    <mergeCell ref="A39:Q40"/>
    <mergeCell ref="AA39:AC39"/>
    <mergeCell ref="R39:V39"/>
    <mergeCell ref="W39:Z39"/>
    <mergeCell ref="S22:AC22"/>
    <mergeCell ref="S24:AC24"/>
    <mergeCell ref="J34:P34"/>
    <mergeCell ref="I32:Q33"/>
    <mergeCell ref="I28:Q29"/>
    <mergeCell ref="I25:Q25"/>
    <mergeCell ref="Y33:AB33"/>
    <mergeCell ref="Y34:AB34"/>
    <mergeCell ref="I30:Q31"/>
    <mergeCell ref="Y31:AB31"/>
    <mergeCell ref="Y32:AB32"/>
    <mergeCell ref="S20:AC20"/>
    <mergeCell ref="A6:AC6"/>
    <mergeCell ref="V8:Z8"/>
    <mergeCell ref="V10:Z10"/>
    <mergeCell ref="S15:AC16"/>
    <mergeCell ref="S18:AC18"/>
  </mergeCells>
  <phoneticPr fontId="10" type="noConversion"/>
  <hyperlinks>
    <hyperlink ref="B21" r:id="rId1" xr:uid="{ED1A2E9E-E31C-4DCD-8372-5559B7AE01BE}"/>
  </hyperlinks>
  <pageMargins left="0.39370078740157483" right="0.39370078740157483" top="0.59055118110236227" bottom="0.39370078740157483" header="0.31496062992125984" footer="0.23622047244094491"/>
  <pageSetup paperSize="9" scale="71" orientation="portrait" horizontalDpi="1200" verticalDpi="1200" r:id="rId2"/>
  <headerFooter alignWithMargins="0"/>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BCCEF-29D9-44A1-A304-85482442D9CD}">
  <sheetPr>
    <tabColor rgb="FF00B0F0"/>
  </sheetPr>
  <dimension ref="A1:J48"/>
  <sheetViews>
    <sheetView showGridLines="0" topLeftCell="A16" zoomScale="70" zoomScaleNormal="70" zoomScaleSheetLayoutView="70" workbookViewId="0">
      <selection activeCell="G46" sqref="G46"/>
    </sheetView>
  </sheetViews>
  <sheetFormatPr defaultColWidth="10" defaultRowHeight="14.4"/>
  <cols>
    <col min="1" max="1" width="12.19921875" style="13" customWidth="1"/>
    <col min="2" max="2" width="39.8984375" style="38" customWidth="1"/>
    <col min="3" max="3" width="48.69921875" style="38" bestFit="1" customWidth="1"/>
    <col min="4" max="4" width="18.69921875" style="38" customWidth="1"/>
    <col min="5" max="5" width="14.19921875" style="324" customWidth="1"/>
    <col min="6" max="6" width="10.3984375" style="38" customWidth="1"/>
    <col min="7" max="8" width="16.19921875" style="38" customWidth="1"/>
    <col min="9" max="9" width="17.5" style="326" customWidth="1"/>
    <col min="10" max="10" width="20.09765625" style="16" customWidth="1"/>
    <col min="11" max="16384" width="10" style="13"/>
  </cols>
  <sheetData>
    <row r="1" spans="1:10" s="8" customFormat="1">
      <c r="B1" s="5"/>
      <c r="C1" s="5"/>
      <c r="D1" s="5"/>
      <c r="E1" s="292"/>
      <c r="F1" s="5"/>
      <c r="G1" s="5"/>
      <c r="H1" s="5"/>
      <c r="I1" s="5" t="s">
        <v>0</v>
      </c>
      <c r="J1" s="16"/>
    </row>
    <row r="2" spans="1:10" s="8" customFormat="1">
      <c r="B2" s="5"/>
      <c r="C2" s="5"/>
      <c r="D2" s="5"/>
      <c r="E2" s="292"/>
      <c r="F2" s="5"/>
      <c r="G2" s="5"/>
      <c r="H2" s="5"/>
      <c r="I2" s="5" t="s">
        <v>1</v>
      </c>
      <c r="J2" s="16"/>
    </row>
    <row r="3" spans="1:10" s="8" customFormat="1">
      <c r="B3" s="5"/>
      <c r="C3" s="5"/>
      <c r="D3" s="5"/>
      <c r="E3" s="292"/>
      <c r="F3" s="5"/>
      <c r="G3" s="5"/>
      <c r="H3" s="5"/>
      <c r="I3" s="5" t="s">
        <v>2</v>
      </c>
      <c r="J3" s="16"/>
    </row>
    <row r="4" spans="1:10" s="8" customFormat="1">
      <c r="B4" s="5"/>
      <c r="C4" s="5"/>
      <c r="D4" s="5"/>
      <c r="E4" s="292"/>
      <c r="F4" s="5"/>
      <c r="G4" s="5"/>
      <c r="H4" s="5"/>
      <c r="I4" s="5" t="s">
        <v>3</v>
      </c>
      <c r="J4" s="16"/>
    </row>
    <row r="5" spans="1:10" s="8" customFormat="1">
      <c r="B5" s="5"/>
      <c r="C5" s="5"/>
      <c r="D5" s="5"/>
      <c r="E5" s="292"/>
      <c r="F5" s="5"/>
      <c r="G5" s="5"/>
      <c r="H5" s="5"/>
      <c r="I5" s="5" t="s">
        <v>4</v>
      </c>
      <c r="J5" s="16"/>
    </row>
    <row r="6" spans="1:10" ht="21">
      <c r="A6" s="404" t="s">
        <v>75</v>
      </c>
      <c r="B6" s="350"/>
      <c r="C6" s="350"/>
      <c r="D6" s="350"/>
      <c r="E6" s="350"/>
      <c r="F6" s="350"/>
      <c r="G6" s="350"/>
      <c r="H6" s="350"/>
      <c r="I6" s="350"/>
      <c r="J6" s="350"/>
    </row>
    <row r="7" spans="1:10" ht="33" customHeight="1" thickBot="1">
      <c r="A7" s="293" t="s">
        <v>76</v>
      </c>
      <c r="B7" s="293" t="str">
        <f>CI!V8</f>
        <v>PGU-DE-0311</v>
      </c>
      <c r="C7" s="293"/>
      <c r="D7" s="294"/>
      <c r="E7" s="295"/>
      <c r="F7" s="294"/>
      <c r="G7" s="294"/>
      <c r="H7" s="294"/>
      <c r="I7" s="296"/>
      <c r="J7" s="297"/>
    </row>
    <row r="8" spans="1:10" s="303" customFormat="1" ht="39.75" customHeight="1">
      <c r="A8" s="298" t="s">
        <v>77</v>
      </c>
      <c r="B8" s="299" t="s">
        <v>78</v>
      </c>
      <c r="C8" s="299" t="s">
        <v>79</v>
      </c>
      <c r="D8" s="299" t="s">
        <v>80</v>
      </c>
      <c r="E8" s="300" t="s">
        <v>81</v>
      </c>
      <c r="F8" s="299" t="s">
        <v>82</v>
      </c>
      <c r="G8" s="301" t="s">
        <v>83</v>
      </c>
      <c r="H8" s="301" t="s">
        <v>84</v>
      </c>
      <c r="I8" s="299" t="s">
        <v>85</v>
      </c>
      <c r="J8" s="302" t="s">
        <v>86</v>
      </c>
    </row>
    <row r="9" spans="1:10" ht="30" customHeight="1">
      <c r="A9" s="304">
        <v>1</v>
      </c>
      <c r="B9" s="305" t="s">
        <v>87</v>
      </c>
      <c r="C9" s="306" t="s">
        <v>88</v>
      </c>
      <c r="D9" s="307"/>
      <c r="E9" s="308">
        <v>1</v>
      </c>
      <c r="F9" s="309" t="s">
        <v>89</v>
      </c>
      <c r="G9" s="310">
        <v>36977.57</v>
      </c>
      <c r="H9" s="310">
        <f>E9*G9</f>
        <v>36977.57</v>
      </c>
      <c r="I9" s="311" t="s">
        <v>90</v>
      </c>
      <c r="J9" s="312"/>
    </row>
    <row r="10" spans="1:10" ht="30" customHeight="1">
      <c r="A10" s="304">
        <v>2</v>
      </c>
      <c r="B10" s="305" t="s">
        <v>91</v>
      </c>
      <c r="C10" s="306" t="s">
        <v>92</v>
      </c>
      <c r="D10" s="307"/>
      <c r="E10" s="308">
        <v>1</v>
      </c>
      <c r="F10" s="309" t="s">
        <v>89</v>
      </c>
      <c r="G10" s="310">
        <v>12700.99</v>
      </c>
      <c r="H10" s="310">
        <f t="shared" ref="H10:H45" si="0">E10*G10</f>
        <v>12700.99</v>
      </c>
      <c r="I10" s="311" t="s">
        <v>90</v>
      </c>
      <c r="J10" s="312"/>
    </row>
    <row r="11" spans="1:10" ht="30" customHeight="1">
      <c r="A11" s="304">
        <v>3</v>
      </c>
      <c r="B11" s="305" t="s">
        <v>93</v>
      </c>
      <c r="C11" s="306" t="s">
        <v>92</v>
      </c>
      <c r="D11" s="307"/>
      <c r="E11" s="308">
        <v>1</v>
      </c>
      <c r="F11" s="309" t="s">
        <v>89</v>
      </c>
      <c r="G11" s="310">
        <v>12459.83</v>
      </c>
      <c r="H11" s="310">
        <f t="shared" si="0"/>
        <v>12459.83</v>
      </c>
      <c r="I11" s="311" t="s">
        <v>90</v>
      </c>
      <c r="J11" s="312"/>
    </row>
    <row r="12" spans="1:10" ht="30" customHeight="1">
      <c r="A12" s="304">
        <v>4</v>
      </c>
      <c r="B12" s="305" t="s">
        <v>94</v>
      </c>
      <c r="C12" s="306" t="s">
        <v>92</v>
      </c>
      <c r="D12" s="307"/>
      <c r="E12" s="308">
        <v>1</v>
      </c>
      <c r="F12" s="309" t="s">
        <v>89</v>
      </c>
      <c r="G12" s="310">
        <v>12861.76</v>
      </c>
      <c r="H12" s="310">
        <f t="shared" si="0"/>
        <v>12861.76</v>
      </c>
      <c r="I12" s="311" t="s">
        <v>90</v>
      </c>
      <c r="J12" s="312"/>
    </row>
    <row r="13" spans="1:10" ht="30" customHeight="1">
      <c r="A13" s="304">
        <v>5</v>
      </c>
      <c r="B13" s="313" t="s">
        <v>95</v>
      </c>
      <c r="C13" s="314" t="s">
        <v>92</v>
      </c>
      <c r="D13" s="315"/>
      <c r="E13" s="308">
        <v>1</v>
      </c>
      <c r="F13" s="309" t="s">
        <v>89</v>
      </c>
      <c r="G13" s="316">
        <v>12459.83</v>
      </c>
      <c r="H13" s="310">
        <f t="shared" si="0"/>
        <v>12459.83</v>
      </c>
      <c r="I13" s="311" t="s">
        <v>90</v>
      </c>
      <c r="J13" s="317"/>
    </row>
    <row r="14" spans="1:10" ht="30" customHeight="1">
      <c r="A14" s="304">
        <v>6</v>
      </c>
      <c r="B14" s="313" t="s">
        <v>96</v>
      </c>
      <c r="C14" s="314" t="s">
        <v>92</v>
      </c>
      <c r="D14" s="315"/>
      <c r="E14" s="308">
        <v>1</v>
      </c>
      <c r="F14" s="309" t="s">
        <v>89</v>
      </c>
      <c r="G14" s="316">
        <v>12459.83</v>
      </c>
      <c r="H14" s="310">
        <f t="shared" si="0"/>
        <v>12459.83</v>
      </c>
      <c r="I14" s="311" t="s">
        <v>90</v>
      </c>
      <c r="J14" s="317"/>
    </row>
    <row r="15" spans="1:10" ht="30" customHeight="1">
      <c r="A15" s="304">
        <v>7</v>
      </c>
      <c r="B15" s="313" t="s">
        <v>97</v>
      </c>
      <c r="C15" s="314" t="s">
        <v>92</v>
      </c>
      <c r="D15" s="315"/>
      <c r="E15" s="308">
        <v>1</v>
      </c>
      <c r="F15" s="309" t="s">
        <v>89</v>
      </c>
      <c r="G15" s="316">
        <v>12700.99</v>
      </c>
      <c r="H15" s="310">
        <f t="shared" si="0"/>
        <v>12700.99</v>
      </c>
      <c r="I15" s="311" t="s">
        <v>90</v>
      </c>
      <c r="J15" s="317"/>
    </row>
    <row r="16" spans="1:10" ht="30" customHeight="1">
      <c r="A16" s="304">
        <v>8</v>
      </c>
      <c r="B16" s="313" t="s">
        <v>98</v>
      </c>
      <c r="C16" s="314" t="s">
        <v>92</v>
      </c>
      <c r="D16" s="315"/>
      <c r="E16" s="308">
        <v>1</v>
      </c>
      <c r="F16" s="309" t="s">
        <v>89</v>
      </c>
      <c r="G16" s="316">
        <v>12379.45</v>
      </c>
      <c r="H16" s="310">
        <f t="shared" si="0"/>
        <v>12379.45</v>
      </c>
      <c r="I16" s="311" t="s">
        <v>90</v>
      </c>
      <c r="J16" s="317"/>
    </row>
    <row r="17" spans="1:10" ht="30" customHeight="1">
      <c r="A17" s="304">
        <v>9</v>
      </c>
      <c r="B17" s="313" t="s">
        <v>99</v>
      </c>
      <c r="C17" s="314" t="s">
        <v>92</v>
      </c>
      <c r="D17" s="315"/>
      <c r="E17" s="308">
        <v>1</v>
      </c>
      <c r="F17" s="309" t="s">
        <v>89</v>
      </c>
      <c r="G17" s="316">
        <v>12540.22</v>
      </c>
      <c r="H17" s="310">
        <f t="shared" si="0"/>
        <v>12540.22</v>
      </c>
      <c r="I17" s="311" t="s">
        <v>90</v>
      </c>
      <c r="J17" s="317"/>
    </row>
    <row r="18" spans="1:10" ht="30" customHeight="1">
      <c r="A18" s="304">
        <v>10</v>
      </c>
      <c r="B18" s="313" t="s">
        <v>100</v>
      </c>
      <c r="C18" s="314" t="s">
        <v>92</v>
      </c>
      <c r="D18" s="315"/>
      <c r="E18" s="308">
        <v>1</v>
      </c>
      <c r="F18" s="309" t="s">
        <v>89</v>
      </c>
      <c r="G18" s="316">
        <v>12379.45</v>
      </c>
      <c r="H18" s="310">
        <f t="shared" si="0"/>
        <v>12379.45</v>
      </c>
      <c r="I18" s="311" t="s">
        <v>90</v>
      </c>
      <c r="J18" s="317"/>
    </row>
    <row r="19" spans="1:10" ht="30" customHeight="1">
      <c r="A19" s="304">
        <v>11</v>
      </c>
      <c r="B19" s="313" t="s">
        <v>101</v>
      </c>
      <c r="C19" s="314" t="s">
        <v>92</v>
      </c>
      <c r="D19" s="315"/>
      <c r="E19" s="308">
        <v>1</v>
      </c>
      <c r="F19" s="309" t="s">
        <v>89</v>
      </c>
      <c r="G19" s="316">
        <v>12540.22</v>
      </c>
      <c r="H19" s="310">
        <f t="shared" si="0"/>
        <v>12540.22</v>
      </c>
      <c r="I19" s="311" t="s">
        <v>90</v>
      </c>
      <c r="J19" s="317"/>
    </row>
    <row r="20" spans="1:10" ht="30" customHeight="1">
      <c r="A20" s="304">
        <v>12</v>
      </c>
      <c r="B20" s="313" t="s">
        <v>102</v>
      </c>
      <c r="C20" s="314" t="s">
        <v>92</v>
      </c>
      <c r="D20" s="315"/>
      <c r="E20" s="308">
        <v>1</v>
      </c>
      <c r="F20" s="309" t="s">
        <v>89</v>
      </c>
      <c r="G20" s="316">
        <v>12299.06</v>
      </c>
      <c r="H20" s="310">
        <f t="shared" si="0"/>
        <v>12299.06</v>
      </c>
      <c r="I20" s="311" t="s">
        <v>90</v>
      </c>
      <c r="J20" s="317"/>
    </row>
    <row r="21" spans="1:10" ht="30" customHeight="1">
      <c r="A21" s="304">
        <v>13</v>
      </c>
      <c r="B21" s="313" t="s">
        <v>103</v>
      </c>
      <c r="C21" s="314" t="s">
        <v>92</v>
      </c>
      <c r="D21" s="315"/>
      <c r="E21" s="308">
        <v>1</v>
      </c>
      <c r="F21" s="309" t="s">
        <v>89</v>
      </c>
      <c r="G21" s="316">
        <v>12700.99</v>
      </c>
      <c r="H21" s="310">
        <f t="shared" si="0"/>
        <v>12700.99</v>
      </c>
      <c r="I21" s="311" t="s">
        <v>90</v>
      </c>
      <c r="J21" s="317"/>
    </row>
    <row r="22" spans="1:10" ht="30" customHeight="1">
      <c r="A22" s="304">
        <v>14</v>
      </c>
      <c r="B22" s="313" t="s">
        <v>104</v>
      </c>
      <c r="C22" s="314" t="s">
        <v>92</v>
      </c>
      <c r="D22" s="315"/>
      <c r="E22" s="308">
        <v>1</v>
      </c>
      <c r="F22" s="309" t="s">
        <v>89</v>
      </c>
      <c r="G22" s="316">
        <v>12861.76</v>
      </c>
      <c r="H22" s="310">
        <f t="shared" si="0"/>
        <v>12861.76</v>
      </c>
      <c r="I22" s="311" t="s">
        <v>90</v>
      </c>
      <c r="J22" s="317"/>
    </row>
    <row r="23" spans="1:10" ht="30" customHeight="1">
      <c r="A23" s="304">
        <v>15</v>
      </c>
      <c r="B23" s="313" t="s">
        <v>105</v>
      </c>
      <c r="C23" s="314" t="s">
        <v>92</v>
      </c>
      <c r="D23" s="315"/>
      <c r="E23" s="308">
        <v>1</v>
      </c>
      <c r="F23" s="309" t="s">
        <v>89</v>
      </c>
      <c r="G23" s="316">
        <v>12540.22</v>
      </c>
      <c r="H23" s="310">
        <f t="shared" si="0"/>
        <v>12540.22</v>
      </c>
      <c r="I23" s="311" t="s">
        <v>90</v>
      </c>
      <c r="J23" s="317"/>
    </row>
    <row r="24" spans="1:10" ht="30" customHeight="1">
      <c r="A24" s="304">
        <v>16</v>
      </c>
      <c r="B24" s="313" t="s">
        <v>106</v>
      </c>
      <c r="C24" s="314" t="s">
        <v>92</v>
      </c>
      <c r="D24" s="315"/>
      <c r="E24" s="308">
        <v>1</v>
      </c>
      <c r="F24" s="309" t="s">
        <v>89</v>
      </c>
      <c r="G24" s="316">
        <v>12700.99</v>
      </c>
      <c r="H24" s="310">
        <f t="shared" si="0"/>
        <v>12700.99</v>
      </c>
      <c r="I24" s="311" t="s">
        <v>90</v>
      </c>
      <c r="J24" s="317"/>
    </row>
    <row r="25" spans="1:10" ht="30" customHeight="1">
      <c r="A25" s="304">
        <v>17</v>
      </c>
      <c r="B25" s="313" t="s">
        <v>107</v>
      </c>
      <c r="C25" s="314" t="s">
        <v>92</v>
      </c>
      <c r="D25" s="315"/>
      <c r="E25" s="308">
        <v>1</v>
      </c>
      <c r="F25" s="309" t="s">
        <v>89</v>
      </c>
      <c r="G25" s="316">
        <v>12861.76</v>
      </c>
      <c r="H25" s="310">
        <f t="shared" si="0"/>
        <v>12861.76</v>
      </c>
      <c r="I25" s="311" t="s">
        <v>90</v>
      </c>
      <c r="J25" s="317"/>
    </row>
    <row r="26" spans="1:10" ht="30" customHeight="1">
      <c r="A26" s="304">
        <v>18</v>
      </c>
      <c r="B26" s="313" t="s">
        <v>108</v>
      </c>
      <c r="C26" s="314" t="s">
        <v>92</v>
      </c>
      <c r="D26" s="315"/>
      <c r="E26" s="308">
        <v>1</v>
      </c>
      <c r="F26" s="309" t="s">
        <v>89</v>
      </c>
      <c r="G26" s="316">
        <v>12700.99</v>
      </c>
      <c r="H26" s="310">
        <f t="shared" si="0"/>
        <v>12700.99</v>
      </c>
      <c r="I26" s="311" t="s">
        <v>90</v>
      </c>
      <c r="J26" s="317"/>
    </row>
    <row r="27" spans="1:10" ht="30" customHeight="1">
      <c r="A27" s="304">
        <v>19</v>
      </c>
      <c r="B27" s="313" t="s">
        <v>109</v>
      </c>
      <c r="C27" s="314" t="s">
        <v>92</v>
      </c>
      <c r="D27" s="315"/>
      <c r="E27" s="308">
        <v>1</v>
      </c>
      <c r="F27" s="309" t="s">
        <v>89</v>
      </c>
      <c r="G27" s="316">
        <v>12700.99</v>
      </c>
      <c r="H27" s="310">
        <f t="shared" si="0"/>
        <v>12700.99</v>
      </c>
      <c r="I27" s="311" t="s">
        <v>90</v>
      </c>
      <c r="J27" s="317"/>
    </row>
    <row r="28" spans="1:10" ht="30" customHeight="1">
      <c r="A28" s="304">
        <v>20</v>
      </c>
      <c r="B28" s="313" t="s">
        <v>110</v>
      </c>
      <c r="C28" s="314" t="s">
        <v>92</v>
      </c>
      <c r="D28" s="315"/>
      <c r="E28" s="308">
        <v>1</v>
      </c>
      <c r="F28" s="309" t="s">
        <v>89</v>
      </c>
      <c r="G28" s="316">
        <v>11977.52</v>
      </c>
      <c r="H28" s="310">
        <f t="shared" si="0"/>
        <v>11977.52</v>
      </c>
      <c r="I28" s="311" t="s">
        <v>90</v>
      </c>
      <c r="J28" s="317"/>
    </row>
    <row r="29" spans="1:10" ht="30" customHeight="1">
      <c r="A29" s="304">
        <v>21</v>
      </c>
      <c r="B29" s="313" t="s">
        <v>111</v>
      </c>
      <c r="C29" s="314" t="s">
        <v>92</v>
      </c>
      <c r="D29" s="315"/>
      <c r="E29" s="308">
        <v>1</v>
      </c>
      <c r="F29" s="309" t="s">
        <v>89</v>
      </c>
      <c r="G29" s="316">
        <v>13183.31</v>
      </c>
      <c r="H29" s="310">
        <f t="shared" si="0"/>
        <v>13183.31</v>
      </c>
      <c r="I29" s="311" t="s">
        <v>90</v>
      </c>
      <c r="J29" s="317"/>
    </row>
    <row r="30" spans="1:10" ht="30" customHeight="1">
      <c r="A30" s="304">
        <v>22</v>
      </c>
      <c r="B30" s="313" t="s">
        <v>112</v>
      </c>
      <c r="C30" s="314" t="s">
        <v>92</v>
      </c>
      <c r="D30" s="315"/>
      <c r="E30" s="308">
        <v>1</v>
      </c>
      <c r="F30" s="309" t="s">
        <v>89</v>
      </c>
      <c r="G30" s="316">
        <v>12057.9</v>
      </c>
      <c r="H30" s="310">
        <f t="shared" si="0"/>
        <v>12057.9</v>
      </c>
      <c r="I30" s="311" t="s">
        <v>90</v>
      </c>
      <c r="J30" s="317"/>
    </row>
    <row r="31" spans="1:10" ht="30" customHeight="1">
      <c r="A31" s="304">
        <v>23</v>
      </c>
      <c r="B31" s="313" t="s">
        <v>113</v>
      </c>
      <c r="C31" s="314" t="s">
        <v>92</v>
      </c>
      <c r="D31" s="315"/>
      <c r="E31" s="308">
        <v>1</v>
      </c>
      <c r="F31" s="309" t="s">
        <v>89</v>
      </c>
      <c r="G31" s="316">
        <v>12057.9</v>
      </c>
      <c r="H31" s="310">
        <f t="shared" si="0"/>
        <v>12057.9</v>
      </c>
      <c r="I31" s="311" t="s">
        <v>90</v>
      </c>
      <c r="J31" s="317"/>
    </row>
    <row r="32" spans="1:10" ht="30" customHeight="1">
      <c r="A32" s="304">
        <v>24</v>
      </c>
      <c r="B32" s="313" t="s">
        <v>114</v>
      </c>
      <c r="C32" s="314" t="s">
        <v>92</v>
      </c>
      <c r="D32" s="315"/>
      <c r="E32" s="308">
        <v>1</v>
      </c>
      <c r="F32" s="309" t="s">
        <v>89</v>
      </c>
      <c r="G32" s="316">
        <v>12540.22</v>
      </c>
      <c r="H32" s="310">
        <f t="shared" si="0"/>
        <v>12540.22</v>
      </c>
      <c r="I32" s="311" t="s">
        <v>90</v>
      </c>
      <c r="J32" s="317"/>
    </row>
    <row r="33" spans="1:10" ht="30" customHeight="1">
      <c r="A33" s="304">
        <v>25</v>
      </c>
      <c r="B33" s="313" t="s">
        <v>115</v>
      </c>
      <c r="C33" s="314" t="s">
        <v>92</v>
      </c>
      <c r="D33" s="315"/>
      <c r="E33" s="308">
        <v>1</v>
      </c>
      <c r="F33" s="309" t="s">
        <v>89</v>
      </c>
      <c r="G33" s="316">
        <v>12700.99</v>
      </c>
      <c r="H33" s="310">
        <f t="shared" si="0"/>
        <v>12700.99</v>
      </c>
      <c r="I33" s="311" t="s">
        <v>90</v>
      </c>
      <c r="J33" s="317"/>
    </row>
    <row r="34" spans="1:10" ht="30" customHeight="1">
      <c r="A34" s="304">
        <v>26</v>
      </c>
      <c r="B34" s="313" t="s">
        <v>116</v>
      </c>
      <c r="C34" s="314" t="s">
        <v>92</v>
      </c>
      <c r="D34" s="315"/>
      <c r="E34" s="308">
        <v>1</v>
      </c>
      <c r="F34" s="309" t="s">
        <v>89</v>
      </c>
      <c r="G34" s="316">
        <v>12459.83</v>
      </c>
      <c r="H34" s="310">
        <f t="shared" si="0"/>
        <v>12459.83</v>
      </c>
      <c r="I34" s="311" t="s">
        <v>90</v>
      </c>
      <c r="J34" s="317"/>
    </row>
    <row r="35" spans="1:10" ht="30" customHeight="1">
      <c r="A35" s="304">
        <v>27</v>
      </c>
      <c r="B35" s="313" t="s">
        <v>117</v>
      </c>
      <c r="C35" s="314" t="s">
        <v>92</v>
      </c>
      <c r="D35" s="315"/>
      <c r="E35" s="308">
        <v>1</v>
      </c>
      <c r="F35" s="309" t="s">
        <v>89</v>
      </c>
      <c r="G35" s="316">
        <v>12138.29</v>
      </c>
      <c r="H35" s="310">
        <f t="shared" si="0"/>
        <v>12138.29</v>
      </c>
      <c r="I35" s="311" t="s">
        <v>90</v>
      </c>
      <c r="J35" s="317"/>
    </row>
    <row r="36" spans="1:10" ht="30" customHeight="1">
      <c r="A36" s="304">
        <v>28</v>
      </c>
      <c r="B36" s="313" t="s">
        <v>118</v>
      </c>
      <c r="C36" s="314" t="s">
        <v>92</v>
      </c>
      <c r="D36" s="315"/>
      <c r="E36" s="308">
        <v>1</v>
      </c>
      <c r="F36" s="309" t="s">
        <v>89</v>
      </c>
      <c r="G36" s="316">
        <v>12459.83</v>
      </c>
      <c r="H36" s="310">
        <f t="shared" si="0"/>
        <v>12459.83</v>
      </c>
      <c r="I36" s="311" t="s">
        <v>90</v>
      </c>
      <c r="J36" s="317"/>
    </row>
    <row r="37" spans="1:10" ht="30" customHeight="1">
      <c r="A37" s="304">
        <v>29</v>
      </c>
      <c r="B37" s="313" t="s">
        <v>119</v>
      </c>
      <c r="C37" s="314" t="s">
        <v>92</v>
      </c>
      <c r="D37" s="315"/>
      <c r="E37" s="308">
        <v>1</v>
      </c>
      <c r="F37" s="309" t="s">
        <v>89</v>
      </c>
      <c r="G37" s="316">
        <v>12057.9</v>
      </c>
      <c r="H37" s="310">
        <f t="shared" si="0"/>
        <v>12057.9</v>
      </c>
      <c r="I37" s="311" t="s">
        <v>90</v>
      </c>
      <c r="J37" s="317"/>
    </row>
    <row r="38" spans="1:10" ht="30" customHeight="1">
      <c r="A38" s="304">
        <v>30</v>
      </c>
      <c r="B38" s="313" t="s">
        <v>120</v>
      </c>
      <c r="C38" s="314" t="s">
        <v>92</v>
      </c>
      <c r="D38" s="315"/>
      <c r="E38" s="308">
        <v>1</v>
      </c>
      <c r="F38" s="309" t="s">
        <v>89</v>
      </c>
      <c r="G38" s="316">
        <v>13022.54</v>
      </c>
      <c r="H38" s="310">
        <f t="shared" si="0"/>
        <v>13022.54</v>
      </c>
      <c r="I38" s="311" t="s">
        <v>90</v>
      </c>
      <c r="J38" s="317"/>
    </row>
    <row r="39" spans="1:10" ht="30" customHeight="1">
      <c r="A39" s="304">
        <v>31</v>
      </c>
      <c r="B39" s="313" t="s">
        <v>121</v>
      </c>
      <c r="C39" s="314" t="s">
        <v>92</v>
      </c>
      <c r="D39" s="315"/>
      <c r="E39" s="308">
        <v>1</v>
      </c>
      <c r="F39" s="309" t="s">
        <v>89</v>
      </c>
      <c r="G39" s="316">
        <v>12459.83</v>
      </c>
      <c r="H39" s="310">
        <f t="shared" si="0"/>
        <v>12459.83</v>
      </c>
      <c r="I39" s="311" t="s">
        <v>90</v>
      </c>
      <c r="J39" s="317"/>
    </row>
    <row r="40" spans="1:10" ht="30" customHeight="1">
      <c r="A40" s="304">
        <v>32</v>
      </c>
      <c r="B40" s="313" t="s">
        <v>122</v>
      </c>
      <c r="C40" s="314" t="s">
        <v>92</v>
      </c>
      <c r="D40" s="315"/>
      <c r="E40" s="308">
        <v>1</v>
      </c>
      <c r="F40" s="309" t="s">
        <v>89</v>
      </c>
      <c r="G40" s="316">
        <v>12379.45</v>
      </c>
      <c r="H40" s="310">
        <f t="shared" si="0"/>
        <v>12379.45</v>
      </c>
      <c r="I40" s="311" t="s">
        <v>90</v>
      </c>
      <c r="J40" s="317"/>
    </row>
    <row r="41" spans="1:10" ht="30" customHeight="1">
      <c r="A41" s="304">
        <v>33</v>
      </c>
      <c r="B41" s="313" t="s">
        <v>123</v>
      </c>
      <c r="C41" s="314" t="s">
        <v>92</v>
      </c>
      <c r="D41" s="315"/>
      <c r="E41" s="308">
        <v>1</v>
      </c>
      <c r="F41" s="309" t="s">
        <v>89</v>
      </c>
      <c r="G41" s="316">
        <v>13585.24</v>
      </c>
      <c r="H41" s="310">
        <f t="shared" si="0"/>
        <v>13585.24</v>
      </c>
      <c r="I41" s="311" t="s">
        <v>90</v>
      </c>
      <c r="J41" s="317"/>
    </row>
    <row r="42" spans="1:10" ht="30" customHeight="1">
      <c r="A42" s="304">
        <v>34</v>
      </c>
      <c r="B42" s="313" t="s">
        <v>124</v>
      </c>
      <c r="C42" s="314" t="s">
        <v>92</v>
      </c>
      <c r="D42" s="315"/>
      <c r="E42" s="308">
        <v>1</v>
      </c>
      <c r="F42" s="309" t="s">
        <v>89</v>
      </c>
      <c r="G42" s="316">
        <v>13504.85</v>
      </c>
      <c r="H42" s="310">
        <f t="shared" si="0"/>
        <v>13504.85</v>
      </c>
      <c r="I42" s="311" t="s">
        <v>90</v>
      </c>
      <c r="J42" s="317"/>
    </row>
    <row r="43" spans="1:10" ht="30" customHeight="1">
      <c r="A43" s="304">
        <v>35</v>
      </c>
      <c r="B43" s="313" t="s">
        <v>125</v>
      </c>
      <c r="C43" s="314" t="s">
        <v>92</v>
      </c>
      <c r="D43" s="315"/>
      <c r="E43" s="308">
        <v>1</v>
      </c>
      <c r="F43" s="309" t="s">
        <v>89</v>
      </c>
      <c r="G43" s="316">
        <v>13344.08</v>
      </c>
      <c r="H43" s="310">
        <f t="shared" si="0"/>
        <v>13344.08</v>
      </c>
      <c r="I43" s="311" t="s">
        <v>90</v>
      </c>
      <c r="J43" s="317"/>
    </row>
    <row r="44" spans="1:10" ht="30" customHeight="1">
      <c r="A44" s="304">
        <v>36</v>
      </c>
      <c r="B44" s="313" t="s">
        <v>126</v>
      </c>
      <c r="C44" s="314" t="s">
        <v>92</v>
      </c>
      <c r="D44" s="315"/>
      <c r="E44" s="308">
        <v>1</v>
      </c>
      <c r="F44" s="309" t="s">
        <v>89</v>
      </c>
      <c r="G44" s="316">
        <v>12459.83</v>
      </c>
      <c r="H44" s="310">
        <f t="shared" si="0"/>
        <v>12459.83</v>
      </c>
      <c r="I44" s="311" t="s">
        <v>90</v>
      </c>
      <c r="J44" s="317"/>
    </row>
    <row r="45" spans="1:10" ht="30" customHeight="1">
      <c r="A45" s="304">
        <v>37</v>
      </c>
      <c r="B45" s="313" t="s">
        <v>127</v>
      </c>
      <c r="C45" s="314" t="s">
        <v>92</v>
      </c>
      <c r="D45" s="315"/>
      <c r="E45" s="308">
        <v>1</v>
      </c>
      <c r="F45" s="309" t="s">
        <v>89</v>
      </c>
      <c r="G45" s="316">
        <v>12299.15</v>
      </c>
      <c r="H45" s="310">
        <f t="shared" si="0"/>
        <v>12299.15</v>
      </c>
      <c r="I45" s="311" t="s">
        <v>90</v>
      </c>
      <c r="J45" s="317"/>
    </row>
    <row r="46" spans="1:10" ht="30" customHeight="1" thickBot="1">
      <c r="A46" s="318"/>
      <c r="B46" s="319"/>
      <c r="C46" s="405" t="s">
        <v>128</v>
      </c>
      <c r="D46" s="405"/>
      <c r="E46" s="405"/>
      <c r="F46" s="405"/>
      <c r="G46" s="320"/>
      <c r="H46" s="321">
        <f>SUM(H9:H45)</f>
        <v>490515.56000000011</v>
      </c>
      <c r="I46" s="322"/>
      <c r="J46" s="323"/>
    </row>
    <row r="47" spans="1:10" s="16" customFormat="1">
      <c r="A47" s="13"/>
      <c r="B47" s="38"/>
      <c r="C47" s="38"/>
      <c r="D47" s="38"/>
      <c r="E47" s="324"/>
      <c r="F47" s="38"/>
      <c r="G47" s="38"/>
      <c r="H47" s="38"/>
      <c r="I47" s="325"/>
    </row>
    <row r="48" spans="1:10" s="16" customFormat="1">
      <c r="A48" s="13"/>
      <c r="B48" s="38"/>
      <c r="C48" s="38"/>
      <c r="D48" s="38"/>
      <c r="E48" s="324"/>
      <c r="F48" s="38"/>
      <c r="G48" s="38"/>
      <c r="H48" s="38"/>
      <c r="I48" s="325"/>
    </row>
  </sheetData>
  <protectedRanges>
    <protectedRange sqref="C9:H45" name="범위1_12"/>
  </protectedRanges>
  <autoFilter ref="B8:J46" xr:uid="{00000000-0009-0000-0000-000001000000}"/>
  <mergeCells count="2">
    <mergeCell ref="A6:J6"/>
    <mergeCell ref="C46:F46"/>
  </mergeCells>
  <phoneticPr fontId="4" type="noConversion"/>
  <printOptions horizontalCentered="1"/>
  <pageMargins left="0.59055118110236227" right="0.59055118110236227" top="0.35433070866141736" bottom="0.27559055118110237" header="0.23622047244094491" footer="0.23622047244094491"/>
  <pageSetup paperSize="9" scale="45" orientation="landscape" horizontalDpi="1200" verticalDpi="1200" r:id="rId1"/>
  <headerFooter alignWithMargins="0">
    <oddFooter>&amp;C&amp;"Calibri,보통"&amp;12Doosan Enerbility</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265982-D43C-442B-A342-A7C4C2986A43}">
  <sheetPr>
    <tabColor rgb="FF00B0F0"/>
  </sheetPr>
  <dimension ref="A1:AV58"/>
  <sheetViews>
    <sheetView showGridLines="0" view="pageBreakPreview" topLeftCell="A19" zoomScale="85" zoomScaleNormal="100" zoomScaleSheetLayoutView="85" workbookViewId="0">
      <selection activeCell="J34" sqref="J34:P34"/>
    </sheetView>
  </sheetViews>
  <sheetFormatPr defaultColWidth="3" defaultRowHeight="12"/>
  <cols>
    <col min="1" max="6" width="3" style="5" customWidth="1"/>
    <col min="7" max="7" width="4" style="5" customWidth="1"/>
    <col min="8" max="8" width="9.09765625" style="5" customWidth="1"/>
    <col min="9" max="16" width="3" style="5" customWidth="1"/>
    <col min="17" max="17" width="7" style="5" customWidth="1"/>
    <col min="18" max="18" width="2.3984375" style="5" customWidth="1"/>
    <col min="19" max="20" width="4.8984375" style="5" customWidth="1"/>
    <col min="21" max="21" width="2.3984375" style="5" customWidth="1"/>
    <col min="22" max="24" width="4.3984375" style="5" customWidth="1"/>
    <col min="25" max="25" width="2.3984375" style="5" customWidth="1"/>
    <col min="26" max="28" width="4.3984375" style="5" customWidth="1"/>
    <col min="29" max="29" width="15.5" style="5" customWidth="1"/>
    <col min="30" max="31" width="3" style="8" customWidth="1"/>
    <col min="32" max="32" width="12.59765625" style="8" customWidth="1"/>
    <col min="33" max="16384" width="3" style="8"/>
  </cols>
  <sheetData>
    <row r="1" spans="1:29">
      <c r="A1" s="109"/>
      <c r="B1" s="110"/>
      <c r="C1" s="110"/>
      <c r="D1" s="110"/>
      <c r="E1" s="110"/>
      <c r="F1" s="110"/>
      <c r="G1" s="110"/>
      <c r="H1" s="110"/>
      <c r="I1" s="110"/>
      <c r="J1" s="110"/>
      <c r="K1" s="110"/>
      <c r="L1" s="110"/>
      <c r="M1" s="110"/>
      <c r="N1" s="110"/>
      <c r="O1" s="110"/>
      <c r="P1" s="110"/>
      <c r="Q1" s="110"/>
      <c r="R1" s="110"/>
      <c r="S1" s="110"/>
      <c r="T1" s="110"/>
      <c r="U1" s="110"/>
      <c r="V1" s="110"/>
      <c r="W1" s="110" t="s">
        <v>0</v>
      </c>
      <c r="X1" s="110"/>
      <c r="Y1" s="110"/>
      <c r="Z1" s="110"/>
      <c r="AA1" s="110"/>
      <c r="AB1" s="110"/>
      <c r="AC1" s="111"/>
    </row>
    <row r="2" spans="1:29">
      <c r="A2" s="112"/>
      <c r="W2" s="5" t="s">
        <v>1</v>
      </c>
      <c r="AC2" s="113"/>
    </row>
    <row r="3" spans="1:29">
      <c r="A3" s="112"/>
      <c r="W3" s="5" t="s">
        <v>2</v>
      </c>
      <c r="AC3" s="113"/>
    </row>
    <row r="4" spans="1:29">
      <c r="A4" s="112"/>
      <c r="W4" s="5" t="s">
        <v>3</v>
      </c>
      <c r="AC4" s="113"/>
    </row>
    <row r="5" spans="1:29">
      <c r="A5" s="112"/>
      <c r="W5" s="5" t="s">
        <v>4</v>
      </c>
      <c r="AC5" s="113"/>
    </row>
    <row r="6" spans="1:29" ht="40.200000000000003" customHeight="1">
      <c r="A6" s="349" t="s">
        <v>129</v>
      </c>
      <c r="B6" s="350"/>
      <c r="C6" s="350"/>
      <c r="D6" s="350"/>
      <c r="E6" s="350"/>
      <c r="F6" s="350"/>
      <c r="G6" s="350"/>
      <c r="H6" s="350"/>
      <c r="I6" s="350"/>
      <c r="J6" s="350"/>
      <c r="K6" s="350"/>
      <c r="L6" s="350"/>
      <c r="M6" s="350"/>
      <c r="N6" s="350"/>
      <c r="O6" s="350"/>
      <c r="P6" s="350"/>
      <c r="Q6" s="350"/>
      <c r="R6" s="350"/>
      <c r="S6" s="350"/>
      <c r="T6" s="350"/>
      <c r="U6" s="350"/>
      <c r="V6" s="350"/>
      <c r="W6" s="350"/>
      <c r="X6" s="350"/>
      <c r="Y6" s="350"/>
      <c r="Z6" s="350"/>
      <c r="AA6" s="350"/>
      <c r="AB6" s="350"/>
      <c r="AC6" s="351"/>
    </row>
    <row r="7" spans="1:29" ht="14.4" thickBot="1">
      <c r="A7" s="114"/>
      <c r="B7" s="115"/>
      <c r="C7" s="115"/>
      <c r="D7" s="115"/>
      <c r="E7" s="115"/>
      <c r="F7" s="115"/>
      <c r="G7" s="115"/>
      <c r="H7" s="115"/>
      <c r="I7" s="115"/>
      <c r="J7" s="115"/>
      <c r="K7" s="115"/>
      <c r="L7" s="115"/>
      <c r="M7" s="115"/>
      <c r="N7" s="115"/>
      <c r="O7" s="115"/>
      <c r="P7" s="115"/>
      <c r="Q7" s="115"/>
      <c r="R7" s="115"/>
      <c r="S7" s="115"/>
      <c r="T7" s="115"/>
      <c r="U7" s="115"/>
      <c r="V7" s="115"/>
      <c r="W7" s="115"/>
      <c r="X7" s="115"/>
      <c r="Y7" s="115"/>
      <c r="Z7" s="115"/>
      <c r="AA7" s="115"/>
      <c r="AB7" s="115"/>
      <c r="AC7" s="116"/>
    </row>
    <row r="8" spans="1:29" s="18" customFormat="1" ht="15.6" customHeight="1">
      <c r="A8" s="117" t="s">
        <v>6</v>
      </c>
      <c r="B8" s="118"/>
      <c r="C8" s="118"/>
      <c r="D8" s="118"/>
      <c r="E8" s="118"/>
      <c r="F8" s="118"/>
      <c r="G8" s="118"/>
      <c r="H8" s="118"/>
      <c r="I8" s="118"/>
      <c r="J8" s="118"/>
      <c r="K8" s="118"/>
      <c r="L8" s="118"/>
      <c r="M8" s="118"/>
      <c r="N8" s="118"/>
      <c r="O8" s="118"/>
      <c r="P8" s="118"/>
      <c r="Q8" s="119"/>
      <c r="R8" s="120" t="s">
        <v>130</v>
      </c>
      <c r="S8" s="118"/>
      <c r="T8" s="118"/>
      <c r="U8" s="120"/>
      <c r="V8" s="352" t="str">
        <f>CI!V8</f>
        <v>PGU-DE-0311</v>
      </c>
      <c r="W8" s="352"/>
      <c r="X8" s="352"/>
      <c r="Y8" s="352"/>
      <c r="Z8" s="352"/>
      <c r="AA8" s="118"/>
      <c r="AB8" s="118"/>
      <c r="AC8" s="141"/>
    </row>
    <row r="9" spans="1:29" s="18" customFormat="1" ht="15.6" customHeight="1">
      <c r="A9" s="121"/>
      <c r="B9" s="327" t="s">
        <v>9</v>
      </c>
      <c r="C9" s="16"/>
      <c r="D9" s="16"/>
      <c r="E9" s="16"/>
      <c r="F9" s="16"/>
      <c r="G9" s="16"/>
      <c r="H9" s="16"/>
      <c r="I9" s="16"/>
      <c r="J9" s="16"/>
      <c r="K9" s="16"/>
      <c r="L9" s="16"/>
      <c r="M9" s="16"/>
      <c r="N9" s="16"/>
      <c r="O9" s="16"/>
      <c r="P9" s="16"/>
      <c r="Q9" s="131"/>
      <c r="R9" s="130" t="s">
        <v>10</v>
      </c>
      <c r="S9" s="103"/>
      <c r="T9" s="103"/>
      <c r="U9" s="103"/>
      <c r="V9" s="103"/>
      <c r="W9" s="103"/>
      <c r="X9" s="103"/>
      <c r="Y9" s="103"/>
      <c r="Z9" s="103"/>
      <c r="AA9" s="103"/>
      <c r="AB9" s="103"/>
      <c r="AC9" s="142"/>
    </row>
    <row r="10" spans="1:29" s="18" customFormat="1" ht="15.6" customHeight="1">
      <c r="A10" s="121"/>
      <c r="B10" s="16" t="s">
        <v>131</v>
      </c>
      <c r="C10" s="16"/>
      <c r="D10" s="16"/>
      <c r="E10" s="16"/>
      <c r="F10" s="16"/>
      <c r="G10" s="16"/>
      <c r="H10" s="16"/>
      <c r="I10" s="16"/>
      <c r="J10" s="16"/>
      <c r="K10" s="16"/>
      <c r="L10" s="16"/>
      <c r="M10" s="16"/>
      <c r="N10" s="16"/>
      <c r="O10" s="16"/>
      <c r="P10" s="16"/>
      <c r="Q10" s="101"/>
      <c r="R10" s="327" t="s">
        <v>12</v>
      </c>
      <c r="S10" s="16"/>
      <c r="T10" s="16"/>
      <c r="U10" s="16"/>
      <c r="V10" s="353">
        <f>CI!V10</f>
        <v>45693</v>
      </c>
      <c r="W10" s="353"/>
      <c r="X10" s="353"/>
      <c r="Y10" s="353"/>
      <c r="Z10" s="353"/>
      <c r="AA10" s="16"/>
      <c r="AB10" s="16"/>
      <c r="AC10" s="122"/>
    </row>
    <row r="11" spans="1:29" s="18" customFormat="1" ht="15.6" customHeight="1">
      <c r="A11" s="102"/>
      <c r="B11" s="103" t="s">
        <v>13</v>
      </c>
      <c r="C11" s="103"/>
      <c r="D11" s="103"/>
      <c r="E11" s="103"/>
      <c r="F11" s="103"/>
      <c r="G11" s="103"/>
      <c r="H11" s="103"/>
      <c r="I11" s="103"/>
      <c r="J11" s="103"/>
      <c r="K11" s="103"/>
      <c r="L11" s="103"/>
      <c r="M11" s="103"/>
      <c r="N11" s="103"/>
      <c r="O11" s="103"/>
      <c r="P11" s="103"/>
      <c r="Q11" s="104"/>
      <c r="R11" s="130" t="s">
        <v>14</v>
      </c>
      <c r="S11" s="103"/>
      <c r="T11" s="103"/>
      <c r="U11" s="103"/>
      <c r="V11" s="103"/>
      <c r="W11" s="103"/>
      <c r="X11" s="103"/>
      <c r="Y11" s="103"/>
      <c r="Z11" s="103"/>
      <c r="AA11" s="103"/>
      <c r="AB11" s="103"/>
      <c r="AC11" s="142"/>
    </row>
    <row r="12" spans="1:29" s="18" customFormat="1" ht="15.6" customHeight="1">
      <c r="A12" s="123" t="s">
        <v>15</v>
      </c>
      <c r="B12" s="16"/>
      <c r="C12" s="16"/>
      <c r="D12" s="16"/>
      <c r="E12" s="16"/>
      <c r="F12" s="16"/>
      <c r="G12" s="16"/>
      <c r="H12" s="16"/>
      <c r="I12" s="16"/>
      <c r="J12" s="16"/>
      <c r="K12" s="16"/>
      <c r="L12" s="16"/>
      <c r="M12" s="16"/>
      <c r="N12" s="16"/>
      <c r="O12" s="16"/>
      <c r="P12" s="16"/>
      <c r="Q12" s="101"/>
      <c r="R12" s="327" t="s">
        <v>16</v>
      </c>
      <c r="S12" s="16"/>
      <c r="T12" s="16"/>
      <c r="U12" s="16"/>
      <c r="V12" s="16"/>
      <c r="W12" s="16"/>
      <c r="X12" s="16"/>
      <c r="Y12" s="16"/>
      <c r="Z12" s="16"/>
      <c r="AA12" s="16"/>
      <c r="AB12" s="16"/>
      <c r="AC12" s="122"/>
    </row>
    <row r="13" spans="1:29" s="98" customFormat="1" ht="15.6" customHeight="1">
      <c r="A13" s="97"/>
      <c r="B13" s="327" t="s">
        <v>17</v>
      </c>
      <c r="C13" s="335"/>
      <c r="D13" s="335"/>
      <c r="E13" s="335"/>
      <c r="F13" s="335"/>
      <c r="G13" s="335"/>
      <c r="H13" s="335"/>
      <c r="I13" s="335"/>
      <c r="J13" s="335"/>
      <c r="K13" s="335"/>
      <c r="L13" s="335"/>
      <c r="M13" s="335"/>
      <c r="N13" s="335"/>
      <c r="O13" s="335"/>
      <c r="P13" s="335"/>
      <c r="Q13" s="100"/>
      <c r="R13" s="335"/>
      <c r="AC13" s="106"/>
    </row>
    <row r="14" spans="1:29" s="98" customFormat="1" ht="15.6" customHeight="1">
      <c r="A14" s="99"/>
      <c r="B14" s="16" t="s">
        <v>18</v>
      </c>
      <c r="C14" s="335"/>
      <c r="D14" s="335"/>
      <c r="E14" s="335"/>
      <c r="F14" s="335"/>
      <c r="G14" s="335"/>
      <c r="H14" s="335"/>
      <c r="I14" s="335"/>
      <c r="J14" s="335"/>
      <c r="K14" s="335"/>
      <c r="L14" s="335"/>
      <c r="M14" s="335"/>
      <c r="N14" s="335"/>
      <c r="O14" s="335"/>
      <c r="P14" s="335"/>
      <c r="Q14" s="100"/>
      <c r="R14" s="332"/>
      <c r="S14" s="329" t="s">
        <v>19</v>
      </c>
      <c r="T14" s="16"/>
      <c r="U14" s="16"/>
      <c r="V14" s="16"/>
      <c r="W14" s="16"/>
      <c r="X14" s="16"/>
      <c r="Y14" s="16"/>
      <c r="Z14" s="16"/>
      <c r="AA14" s="16"/>
      <c r="AB14" s="16"/>
      <c r="AC14" s="122"/>
    </row>
    <row r="15" spans="1:29" s="98" customFormat="1" ht="15.6" customHeight="1">
      <c r="A15" s="97"/>
      <c r="B15" s="16" t="s">
        <v>20</v>
      </c>
      <c r="C15" s="335"/>
      <c r="D15" s="335"/>
      <c r="E15" s="335"/>
      <c r="F15" s="335"/>
      <c r="G15" s="335"/>
      <c r="H15" s="335"/>
      <c r="I15" s="335"/>
      <c r="J15" s="335"/>
      <c r="K15" s="335"/>
      <c r="L15" s="335"/>
      <c r="M15" s="335"/>
      <c r="N15" s="335"/>
      <c r="O15" s="335"/>
      <c r="P15" s="335"/>
      <c r="Q15" s="100"/>
      <c r="R15" s="335"/>
      <c r="S15" s="340" t="s">
        <v>132</v>
      </c>
      <c r="T15" s="338"/>
      <c r="U15" s="338"/>
      <c r="V15" s="338"/>
      <c r="W15" s="338"/>
      <c r="X15" s="338"/>
      <c r="Y15" s="338"/>
      <c r="Z15" s="338"/>
      <c r="AA15" s="338"/>
      <c r="AB15" s="338"/>
      <c r="AC15" s="339"/>
    </row>
    <row r="16" spans="1:29" s="18" customFormat="1" ht="15.6" customHeight="1">
      <c r="A16" s="121"/>
      <c r="B16" s="16"/>
      <c r="C16" s="16"/>
      <c r="D16" s="16"/>
      <c r="E16" s="16"/>
      <c r="F16" s="16"/>
      <c r="G16" s="16"/>
      <c r="H16" s="16"/>
      <c r="I16" s="16"/>
      <c r="J16" s="16"/>
      <c r="K16" s="16"/>
      <c r="L16" s="16"/>
      <c r="M16" s="16"/>
      <c r="N16" s="16"/>
      <c r="O16" s="16"/>
      <c r="P16" s="16"/>
      <c r="Q16" s="101"/>
      <c r="R16" s="327"/>
      <c r="S16" s="340" t="s">
        <v>133</v>
      </c>
      <c r="T16" s="338"/>
      <c r="U16" s="338"/>
      <c r="V16" s="338"/>
      <c r="W16" s="338"/>
      <c r="X16" s="338"/>
      <c r="Y16" s="338"/>
      <c r="Z16" s="338"/>
      <c r="AA16" s="338"/>
      <c r="AB16" s="338"/>
      <c r="AC16" s="339"/>
    </row>
    <row r="17" spans="1:48" s="18" customFormat="1" ht="15.6" customHeight="1">
      <c r="A17" s="102"/>
      <c r="B17" s="289"/>
      <c r="C17" s="103"/>
      <c r="D17" s="103"/>
      <c r="E17" s="103"/>
      <c r="F17" s="103"/>
      <c r="G17" s="103"/>
      <c r="H17" s="103"/>
      <c r="I17" s="103"/>
      <c r="J17" s="103"/>
      <c r="K17" s="103"/>
      <c r="L17" s="103"/>
      <c r="M17" s="103"/>
      <c r="N17" s="103"/>
      <c r="O17" s="103"/>
      <c r="P17" s="103"/>
      <c r="Q17" s="104"/>
      <c r="R17" s="327"/>
      <c r="S17" s="329" t="s">
        <v>22</v>
      </c>
      <c r="T17" s="330"/>
      <c r="U17" s="330"/>
      <c r="V17" s="330"/>
      <c r="W17" s="330"/>
      <c r="X17" s="330"/>
      <c r="Y17" s="330"/>
      <c r="Z17" s="330"/>
      <c r="AA17" s="330"/>
      <c r="AB17" s="330"/>
      <c r="AC17" s="278"/>
    </row>
    <row r="18" spans="1:48" s="18" customFormat="1" ht="15.6" customHeight="1">
      <c r="A18" s="123" t="s">
        <v>23</v>
      </c>
      <c r="B18" s="1"/>
      <c r="C18" s="16"/>
      <c r="D18" s="16"/>
      <c r="E18" s="16"/>
      <c r="F18" s="16"/>
      <c r="G18" s="16"/>
      <c r="H18" s="16"/>
      <c r="I18" s="16"/>
      <c r="J18" s="16"/>
      <c r="K18" s="16"/>
      <c r="L18" s="16"/>
      <c r="M18" s="16"/>
      <c r="N18" s="16"/>
      <c r="O18" s="16"/>
      <c r="P18" s="16"/>
      <c r="Q18" s="101"/>
      <c r="R18" s="327"/>
      <c r="S18" s="347" t="s">
        <v>24</v>
      </c>
      <c r="T18" s="347"/>
      <c r="U18" s="347"/>
      <c r="V18" s="347"/>
      <c r="W18" s="347"/>
      <c r="X18" s="347"/>
      <c r="Y18" s="347"/>
      <c r="Z18" s="347"/>
      <c r="AA18" s="347"/>
      <c r="AB18" s="347"/>
      <c r="AC18" s="348"/>
    </row>
    <row r="19" spans="1:48" s="18" customFormat="1" ht="15.6" customHeight="1">
      <c r="A19" s="121"/>
      <c r="B19" s="336" t="str">
        <f>CI!B19</f>
        <v>Wise Logistics</v>
      </c>
      <c r="C19" s="16"/>
      <c r="D19" s="16"/>
      <c r="E19" s="16"/>
      <c r="F19" s="16"/>
      <c r="G19" s="16"/>
      <c r="H19" s="16"/>
      <c r="I19" s="16"/>
      <c r="J19" s="16"/>
      <c r="K19" s="16"/>
      <c r="L19" s="16"/>
      <c r="M19" s="16"/>
      <c r="N19" s="16"/>
      <c r="O19" s="16"/>
      <c r="P19" s="16"/>
      <c r="Q19" s="101"/>
      <c r="R19" s="327"/>
      <c r="S19" s="329" t="s">
        <v>26</v>
      </c>
      <c r="AC19" s="279"/>
    </row>
    <row r="20" spans="1:48" s="18" customFormat="1" ht="15.6" customHeight="1">
      <c r="A20" s="121"/>
      <c r="B20" s="331" t="str">
        <f>CI!B20</f>
        <v xml:space="preserve">ATTAN: MS. Aliya </v>
      </c>
      <c r="C20" s="16"/>
      <c r="D20" s="16"/>
      <c r="E20" s="16"/>
      <c r="F20" s="16"/>
      <c r="G20" s="16"/>
      <c r="H20" s="16"/>
      <c r="I20" s="16"/>
      <c r="J20" s="16"/>
      <c r="K20" s="16"/>
      <c r="L20" s="16"/>
      <c r="M20" s="16"/>
      <c r="N20" s="16"/>
      <c r="O20" s="16"/>
      <c r="P20" s="16"/>
      <c r="Q20" s="101"/>
      <c r="R20" s="327"/>
      <c r="S20" s="347">
        <v>2024</v>
      </c>
      <c r="T20" s="347"/>
      <c r="U20" s="347"/>
      <c r="V20" s="347"/>
      <c r="W20" s="347"/>
      <c r="X20" s="347"/>
      <c r="Y20" s="347"/>
      <c r="Z20" s="347"/>
      <c r="AA20" s="347"/>
      <c r="AB20" s="347"/>
      <c r="AC20" s="348"/>
    </row>
    <row r="21" spans="1:48" s="18" customFormat="1" ht="15.6" customHeight="1">
      <c r="A21" s="149"/>
      <c r="B21" s="331" t="str">
        <f>CI!B21</f>
        <v>(E): a.kipshakbayeva@wiselogistics.kz</v>
      </c>
      <c r="C21" s="16"/>
      <c r="D21" s="16"/>
      <c r="E21" s="16"/>
      <c r="F21" s="16"/>
      <c r="G21" s="16"/>
      <c r="H21" s="16"/>
      <c r="I21" s="16"/>
      <c r="J21" s="16"/>
      <c r="K21" s="16"/>
      <c r="L21" s="16"/>
      <c r="M21" s="16"/>
      <c r="N21" s="16"/>
      <c r="O21" s="16"/>
      <c r="P21" s="16"/>
      <c r="Q21" s="101"/>
      <c r="R21" s="16"/>
      <c r="S21" s="329" t="s">
        <v>29</v>
      </c>
      <c r="AC21" s="279"/>
      <c r="AV21" s="1"/>
    </row>
    <row r="22" spans="1:48" s="18" customFormat="1" ht="15.6" customHeight="1">
      <c r="A22" s="121"/>
      <c r="B22" s="331" t="str">
        <f>CI!B22</f>
        <v>(T): +7 701 512 19 69</v>
      </c>
      <c r="C22" s="16"/>
      <c r="D22" s="16"/>
      <c r="E22" s="16"/>
      <c r="F22" s="16"/>
      <c r="G22" s="16"/>
      <c r="H22" s="16"/>
      <c r="I22" s="16"/>
      <c r="J22" s="16"/>
      <c r="K22" s="16"/>
      <c r="L22" s="16"/>
      <c r="M22" s="16"/>
      <c r="N22" s="16"/>
      <c r="O22" s="16"/>
      <c r="P22" s="16"/>
      <c r="Q22" s="101"/>
      <c r="R22" s="124"/>
      <c r="S22" s="347" t="s">
        <v>31</v>
      </c>
      <c r="T22" s="347"/>
      <c r="U22" s="347"/>
      <c r="V22" s="347"/>
      <c r="W22" s="347"/>
      <c r="X22" s="347"/>
      <c r="Y22" s="347"/>
      <c r="Z22" s="347"/>
      <c r="AA22" s="347"/>
      <c r="AB22" s="347"/>
      <c r="AC22" s="348"/>
    </row>
    <row r="23" spans="1:48" s="18" customFormat="1" ht="15.6" customHeight="1">
      <c r="A23" s="149"/>
      <c r="R23" s="125"/>
      <c r="S23" s="329" t="s">
        <v>32</v>
      </c>
      <c r="AC23" s="279"/>
    </row>
    <row r="24" spans="1:48" s="18" customFormat="1" ht="15.6" customHeight="1">
      <c r="A24" s="121"/>
      <c r="C24" s="16"/>
      <c r="D24" s="16"/>
      <c r="E24" s="16"/>
      <c r="F24" s="16"/>
      <c r="G24" s="16"/>
      <c r="H24" s="16"/>
      <c r="I24" s="16"/>
      <c r="J24" s="16"/>
      <c r="K24" s="16"/>
      <c r="L24" s="16"/>
      <c r="M24" s="16"/>
      <c r="N24" s="16"/>
      <c r="O24" s="16"/>
      <c r="P24" s="16"/>
      <c r="Q24" s="101"/>
      <c r="R24" s="290"/>
      <c r="S24" s="347" t="s">
        <v>33</v>
      </c>
      <c r="T24" s="347"/>
      <c r="U24" s="347"/>
      <c r="V24" s="347"/>
      <c r="W24" s="347"/>
      <c r="X24" s="347"/>
      <c r="Y24" s="347"/>
      <c r="Z24" s="347"/>
      <c r="AA24" s="347"/>
      <c r="AB24" s="347"/>
      <c r="AC24" s="348"/>
    </row>
    <row r="25" spans="1:48" s="18" customFormat="1" ht="15" customHeight="1">
      <c r="A25" s="126" t="s">
        <v>34</v>
      </c>
      <c r="B25" s="127"/>
      <c r="C25" s="127"/>
      <c r="D25" s="127"/>
      <c r="E25" s="127"/>
      <c r="F25" s="127"/>
      <c r="G25" s="127"/>
      <c r="H25" s="128"/>
      <c r="I25" s="357" t="s">
        <v>35</v>
      </c>
      <c r="J25" s="358"/>
      <c r="K25" s="358"/>
      <c r="L25" s="358"/>
      <c r="M25" s="358"/>
      <c r="N25" s="358"/>
      <c r="O25" s="358"/>
      <c r="P25" s="358"/>
      <c r="Q25" s="359"/>
      <c r="R25" s="145"/>
      <c r="S25" s="332"/>
      <c r="T25" s="332"/>
      <c r="U25" s="332"/>
      <c r="V25" s="332"/>
      <c r="W25" s="332"/>
      <c r="X25" s="332"/>
      <c r="Y25" s="332"/>
      <c r="Z25" s="332"/>
      <c r="AA25" s="332"/>
      <c r="AB25" s="332"/>
      <c r="AC25" s="146"/>
    </row>
    <row r="26" spans="1:48" s="18" customFormat="1" ht="14.4">
      <c r="A26" s="121"/>
      <c r="B26" s="16" t="s">
        <v>36</v>
      </c>
      <c r="C26" s="16"/>
      <c r="D26" s="16"/>
      <c r="E26" s="16"/>
      <c r="F26" s="16"/>
      <c r="G26" s="16"/>
      <c r="H26" s="101"/>
      <c r="I26" s="16"/>
      <c r="J26" s="16" t="s">
        <v>37</v>
      </c>
      <c r="K26" s="16"/>
      <c r="L26" s="16"/>
      <c r="M26" s="16"/>
      <c r="N26" s="16"/>
      <c r="O26" s="16"/>
      <c r="P26" s="16"/>
      <c r="Q26" s="101"/>
      <c r="R26" s="16"/>
      <c r="AA26" s="16"/>
      <c r="AB26" s="16"/>
      <c r="AC26" s="122"/>
    </row>
    <row r="27" spans="1:48" s="18" customFormat="1" ht="14.4">
      <c r="A27" s="102"/>
      <c r="B27" s="129"/>
      <c r="C27" s="103"/>
      <c r="D27" s="103"/>
      <c r="E27" s="103"/>
      <c r="F27" s="103"/>
      <c r="G27" s="103"/>
      <c r="H27" s="104"/>
      <c r="I27" s="103"/>
      <c r="J27" s="129"/>
      <c r="K27" s="103"/>
      <c r="L27" s="103"/>
      <c r="M27" s="103"/>
      <c r="N27" s="103"/>
      <c r="O27" s="103"/>
      <c r="P27" s="103"/>
      <c r="Q27" s="104"/>
      <c r="R27" s="280"/>
      <c r="S27" s="281"/>
      <c r="T27" s="147"/>
      <c r="U27" s="103"/>
      <c r="V27" s="103"/>
      <c r="W27" s="147"/>
      <c r="X27" s="103"/>
      <c r="Y27" s="103"/>
      <c r="Z27" s="147"/>
      <c r="AA27" s="103"/>
      <c r="AB27" s="103"/>
      <c r="AC27" s="142"/>
    </row>
    <row r="28" spans="1:48" s="18" customFormat="1" ht="14.4">
      <c r="A28" s="123" t="s">
        <v>38</v>
      </c>
      <c r="B28" s="16"/>
      <c r="C28" s="16"/>
      <c r="D28" s="16"/>
      <c r="E28" s="16"/>
      <c r="F28" s="16"/>
      <c r="G28" s="16"/>
      <c r="H28" s="101"/>
      <c r="I28" s="357" t="s">
        <v>134</v>
      </c>
      <c r="J28" s="358"/>
      <c r="K28" s="358"/>
      <c r="L28" s="358"/>
      <c r="M28" s="358"/>
      <c r="N28" s="358"/>
      <c r="O28" s="358"/>
      <c r="P28" s="358"/>
      <c r="Q28" s="359"/>
      <c r="R28" s="145" t="s">
        <v>40</v>
      </c>
      <c r="S28" s="332"/>
      <c r="T28" s="332"/>
      <c r="U28" s="332"/>
      <c r="V28" s="332"/>
      <c r="W28" s="332"/>
      <c r="X28" s="332"/>
      <c r="Y28" s="332"/>
      <c r="Z28" s="332"/>
      <c r="AA28" s="332"/>
      <c r="AB28" s="332"/>
      <c r="AC28" s="146"/>
    </row>
    <row r="29" spans="1:48" s="18" customFormat="1" ht="14.4">
      <c r="A29" s="123"/>
      <c r="B29" s="16"/>
      <c r="C29" s="16"/>
      <c r="D29" s="16"/>
      <c r="E29" s="16"/>
      <c r="F29" s="16"/>
      <c r="G29" s="16"/>
      <c r="H29" s="101"/>
      <c r="I29" s="362"/>
      <c r="J29" s="360"/>
      <c r="K29" s="360"/>
      <c r="L29" s="360"/>
      <c r="M29" s="360"/>
      <c r="N29" s="360"/>
      <c r="O29" s="360"/>
      <c r="P29" s="360"/>
      <c r="Q29" s="361"/>
      <c r="R29" s="16"/>
      <c r="AA29" s="16"/>
      <c r="AB29" s="16"/>
      <c r="AC29" s="122"/>
    </row>
    <row r="30" spans="1:48" s="18" customFormat="1" ht="17.7" customHeight="1">
      <c r="A30" s="121"/>
      <c r="B30" s="16" t="s">
        <v>37</v>
      </c>
      <c r="C30" s="16"/>
      <c r="D30" s="16"/>
      <c r="E30" s="16"/>
      <c r="F30" s="16"/>
      <c r="G30" s="16"/>
      <c r="H30" s="101"/>
      <c r="I30" s="364" t="s">
        <v>41</v>
      </c>
      <c r="J30" s="365"/>
      <c r="K30" s="365"/>
      <c r="L30" s="365"/>
      <c r="M30" s="365"/>
      <c r="N30" s="365"/>
      <c r="O30" s="365"/>
      <c r="P30" s="365"/>
      <c r="Q30" s="366"/>
      <c r="R30" s="16"/>
      <c r="S30" s="329" t="s">
        <v>42</v>
      </c>
      <c r="U30" s="16"/>
      <c r="V30" s="16"/>
      <c r="X30" s="16" t="s">
        <v>43</v>
      </c>
      <c r="Y30" s="16" t="s">
        <v>44</v>
      </c>
      <c r="AA30" s="16"/>
      <c r="AB30" s="16"/>
      <c r="AC30" s="122"/>
    </row>
    <row r="31" spans="1:48" s="18" customFormat="1" ht="14.4">
      <c r="A31" s="102"/>
      <c r="B31" s="103"/>
      <c r="C31" s="103"/>
      <c r="D31" s="103"/>
      <c r="E31" s="103"/>
      <c r="F31" s="103"/>
      <c r="G31" s="103"/>
      <c r="H31" s="104"/>
      <c r="I31" s="367"/>
      <c r="J31" s="368"/>
      <c r="K31" s="368"/>
      <c r="L31" s="368"/>
      <c r="M31" s="368"/>
      <c r="N31" s="368"/>
      <c r="O31" s="368"/>
      <c r="P31" s="368"/>
      <c r="Q31" s="369"/>
      <c r="R31" s="16"/>
      <c r="S31" s="329" t="s">
        <v>45</v>
      </c>
      <c r="T31" s="16"/>
      <c r="X31" s="16" t="s">
        <v>43</v>
      </c>
      <c r="Y31" s="370">
        <f>COUNT('Summary PL'!A14:A50)</f>
        <v>37</v>
      </c>
      <c r="Z31" s="370"/>
      <c r="AA31" s="370"/>
      <c r="AB31" s="370"/>
      <c r="AC31" s="122" t="s">
        <v>46</v>
      </c>
    </row>
    <row r="32" spans="1:48" s="18" customFormat="1" ht="16.5" customHeight="1">
      <c r="A32" s="123" t="s">
        <v>135</v>
      </c>
      <c r="B32" s="16"/>
      <c r="C32" s="16"/>
      <c r="D32" s="16"/>
      <c r="E32" s="16"/>
      <c r="F32" s="16"/>
      <c r="G32" s="16"/>
      <c r="H32" s="101"/>
      <c r="I32" s="357" t="s">
        <v>48</v>
      </c>
      <c r="J32" s="358"/>
      <c r="K32" s="358"/>
      <c r="L32" s="358"/>
      <c r="M32" s="358"/>
      <c r="N32" s="358"/>
      <c r="O32" s="358"/>
      <c r="P32" s="358"/>
      <c r="Q32" s="359"/>
      <c r="R32" s="16"/>
      <c r="S32" s="329" t="s">
        <v>49</v>
      </c>
      <c r="X32" s="16" t="s">
        <v>43</v>
      </c>
      <c r="Y32" s="363">
        <f>'Summary PL'!L51</f>
        <v>6102</v>
      </c>
      <c r="Z32" s="363"/>
      <c r="AA32" s="363"/>
      <c r="AB32" s="363"/>
      <c r="AC32" s="122" t="s">
        <v>50</v>
      </c>
    </row>
    <row r="33" spans="1:39" s="18" customFormat="1" ht="14.4">
      <c r="A33" s="123"/>
      <c r="B33" s="16" t="s">
        <v>37</v>
      </c>
      <c r="C33" s="16"/>
      <c r="D33" s="16"/>
      <c r="E33" s="16"/>
      <c r="F33" s="16"/>
      <c r="G33" s="16"/>
      <c r="H33" s="101"/>
      <c r="I33" s="362"/>
      <c r="J33" s="360"/>
      <c r="K33" s="360"/>
      <c r="L33" s="360"/>
      <c r="M33" s="360"/>
      <c r="N33" s="360"/>
      <c r="O33" s="360"/>
      <c r="P33" s="360"/>
      <c r="Q33" s="361"/>
      <c r="R33" s="16"/>
      <c r="S33" s="329" t="s">
        <v>51</v>
      </c>
      <c r="X33" s="16" t="s">
        <v>43</v>
      </c>
      <c r="Y33" s="363">
        <f>'Summary PL'!M51</f>
        <v>8009</v>
      </c>
      <c r="Z33" s="363"/>
      <c r="AA33" s="363"/>
      <c r="AB33" s="363"/>
      <c r="AC33" s="122" t="s">
        <v>50</v>
      </c>
    </row>
    <row r="34" spans="1:39" s="18" customFormat="1" ht="14.7" customHeight="1">
      <c r="A34" s="121"/>
      <c r="C34" s="16"/>
      <c r="D34" s="16"/>
      <c r="E34" s="16"/>
      <c r="F34" s="16"/>
      <c r="G34" s="16"/>
      <c r="H34" s="101"/>
      <c r="I34" s="16"/>
      <c r="J34" s="356">
        <v>45917</v>
      </c>
      <c r="K34" s="356"/>
      <c r="L34" s="356"/>
      <c r="M34" s="356"/>
      <c r="N34" s="356"/>
      <c r="O34" s="356"/>
      <c r="P34" s="356"/>
      <c r="Q34" s="101"/>
      <c r="R34" s="16"/>
      <c r="S34" s="329" t="s">
        <v>52</v>
      </c>
      <c r="U34" s="16"/>
      <c r="V34" s="16"/>
      <c r="W34" s="16"/>
      <c r="X34" s="16" t="s">
        <v>43</v>
      </c>
      <c r="Y34" s="363">
        <f>'Summary PL'!K51</f>
        <v>18.301999999999996</v>
      </c>
      <c r="Z34" s="363"/>
      <c r="AA34" s="363"/>
      <c r="AB34" s="363"/>
      <c r="AC34" s="122" t="s">
        <v>53</v>
      </c>
    </row>
    <row r="35" spans="1:39" s="18" customFormat="1" ht="14.4">
      <c r="A35" s="102"/>
      <c r="B35" s="103"/>
      <c r="C35" s="103"/>
      <c r="D35" s="103"/>
      <c r="E35" s="103"/>
      <c r="F35" s="103"/>
      <c r="G35" s="103"/>
      <c r="H35" s="104"/>
      <c r="I35" s="103"/>
      <c r="J35" s="103"/>
      <c r="K35" s="103"/>
      <c r="L35" s="103"/>
      <c r="M35" s="103"/>
      <c r="N35" s="103"/>
      <c r="O35" s="103"/>
      <c r="P35" s="103"/>
      <c r="Q35" s="104"/>
      <c r="R35" s="16"/>
      <c r="S35" s="16"/>
      <c r="T35" s="16"/>
      <c r="U35" s="16"/>
      <c r="V35" s="16"/>
      <c r="W35" s="16"/>
      <c r="X35" s="16"/>
      <c r="Y35" s="16"/>
      <c r="Z35" s="16"/>
      <c r="AA35" s="16"/>
      <c r="AB35" s="16"/>
      <c r="AC35" s="122"/>
    </row>
    <row r="36" spans="1:39" s="18" customFormat="1" ht="14.4">
      <c r="A36" s="126" t="s">
        <v>54</v>
      </c>
      <c r="B36" s="127"/>
      <c r="C36" s="127"/>
      <c r="D36" s="127"/>
      <c r="E36" s="127"/>
      <c r="F36" s="127"/>
      <c r="G36" s="127"/>
      <c r="H36" s="127"/>
      <c r="I36" s="143"/>
      <c r="J36" s="127"/>
      <c r="K36" s="127"/>
      <c r="L36" s="127"/>
      <c r="M36" s="127"/>
      <c r="N36" s="127"/>
      <c r="O36" s="127"/>
      <c r="P36" s="127"/>
      <c r="Q36" s="128"/>
      <c r="R36" s="16"/>
      <c r="S36" s="330"/>
      <c r="T36" s="330"/>
      <c r="U36" s="330"/>
      <c r="V36" s="330"/>
      <c r="W36" s="330"/>
      <c r="X36" s="330"/>
      <c r="Y36" s="330"/>
      <c r="Z36" s="330"/>
      <c r="AA36" s="330"/>
      <c r="AB36" s="330"/>
      <c r="AC36" s="278"/>
    </row>
    <row r="37" spans="1:39" s="18" customFormat="1" ht="14.4">
      <c r="A37" s="121"/>
      <c r="B37" s="16"/>
      <c r="C37" s="16"/>
      <c r="D37" s="16"/>
      <c r="E37" s="16"/>
      <c r="F37" s="16"/>
      <c r="G37" s="16"/>
      <c r="H37" s="16"/>
      <c r="I37" s="16"/>
      <c r="J37" s="333"/>
      <c r="K37" s="333"/>
      <c r="L37" s="333"/>
      <c r="M37" s="333"/>
      <c r="N37" s="333"/>
      <c r="O37" s="333"/>
      <c r="P37" s="333"/>
      <c r="Q37" s="101"/>
      <c r="R37" s="16"/>
      <c r="S37" s="330"/>
      <c r="T37" s="330"/>
      <c r="U37" s="330"/>
      <c r="V37" s="330"/>
      <c r="W37" s="330"/>
      <c r="X37" s="330"/>
      <c r="Y37" s="330"/>
      <c r="Z37" s="330"/>
      <c r="AA37" s="330"/>
      <c r="AB37" s="330"/>
      <c r="AC37" s="278"/>
    </row>
    <row r="38" spans="1:39" s="18" customFormat="1" ht="14.4">
      <c r="A38" s="102"/>
      <c r="B38" s="103"/>
      <c r="C38" s="103"/>
      <c r="D38" s="103"/>
      <c r="E38" s="103"/>
      <c r="F38" s="103"/>
      <c r="G38" s="103"/>
      <c r="H38" s="103"/>
      <c r="I38" s="103"/>
      <c r="J38" s="103"/>
      <c r="K38" s="103"/>
      <c r="L38" s="103"/>
      <c r="M38" s="103"/>
      <c r="N38" s="103"/>
      <c r="O38" s="103"/>
      <c r="P38" s="103"/>
      <c r="Q38" s="104"/>
      <c r="R38" s="16"/>
      <c r="S38" s="105"/>
      <c r="T38" s="105"/>
      <c r="U38" s="105"/>
      <c r="V38" s="105"/>
      <c r="W38" s="105"/>
      <c r="X38" s="105"/>
      <c r="Y38" s="105"/>
      <c r="Z38" s="105"/>
      <c r="AA38" s="105"/>
      <c r="AB38" s="105"/>
      <c r="AC38" s="150"/>
    </row>
    <row r="39" spans="1:39" s="18" customFormat="1" ht="16.5" customHeight="1">
      <c r="A39" s="394" t="s">
        <v>136</v>
      </c>
      <c r="B39" s="395"/>
      <c r="C39" s="395"/>
      <c r="D39" s="395"/>
      <c r="E39" s="395"/>
      <c r="F39" s="395"/>
      <c r="G39" s="395"/>
      <c r="H39" s="395"/>
      <c r="I39" s="395"/>
      <c r="J39" s="395"/>
      <c r="K39" s="395"/>
      <c r="L39" s="395"/>
      <c r="M39" s="395"/>
      <c r="N39" s="395"/>
      <c r="O39" s="395"/>
      <c r="P39" s="395"/>
      <c r="Q39" s="396"/>
      <c r="R39" s="400" t="s">
        <v>137</v>
      </c>
      <c r="S39" s="401"/>
      <c r="T39" s="403"/>
      <c r="U39" s="400" t="s">
        <v>138</v>
      </c>
      <c r="V39" s="401"/>
      <c r="W39" s="401"/>
      <c r="X39" s="403"/>
      <c r="Y39" s="400" t="s">
        <v>139</v>
      </c>
      <c r="Z39" s="401"/>
      <c r="AA39" s="401"/>
      <c r="AB39" s="403"/>
      <c r="AC39" s="287" t="s">
        <v>140</v>
      </c>
    </row>
    <row r="40" spans="1:39" s="18" customFormat="1" ht="16.5" customHeight="1">
      <c r="A40" s="397"/>
      <c r="B40" s="398"/>
      <c r="C40" s="398"/>
      <c r="D40" s="398"/>
      <c r="E40" s="398"/>
      <c r="F40" s="398"/>
      <c r="G40" s="398"/>
      <c r="H40" s="398"/>
      <c r="I40" s="398"/>
      <c r="J40" s="398"/>
      <c r="K40" s="398"/>
      <c r="L40" s="398"/>
      <c r="M40" s="398"/>
      <c r="N40" s="398"/>
      <c r="O40" s="398"/>
      <c r="P40" s="398"/>
      <c r="Q40" s="399"/>
      <c r="R40" s="376" t="s">
        <v>141</v>
      </c>
      <c r="S40" s="377"/>
      <c r="T40" s="378"/>
      <c r="U40" s="376" t="s">
        <v>142</v>
      </c>
      <c r="V40" s="377"/>
      <c r="W40" s="377"/>
      <c r="X40" s="378"/>
      <c r="Y40" s="376" t="s">
        <v>142</v>
      </c>
      <c r="Z40" s="377"/>
      <c r="AA40" s="377"/>
      <c r="AB40" s="378"/>
      <c r="AC40" s="286" t="s">
        <v>143</v>
      </c>
      <c r="AF40" s="410"/>
      <c r="AG40" s="410"/>
      <c r="AH40" s="410"/>
      <c r="AI40" s="410"/>
      <c r="AJ40" s="410"/>
      <c r="AK40" s="410"/>
      <c r="AL40" s="410"/>
      <c r="AM40" s="410"/>
    </row>
    <row r="41" spans="1:39" s="49" customFormat="1" ht="18" customHeight="1">
      <c r="A41" s="148"/>
      <c r="B41" s="16" t="str">
        <f>CI!B41</f>
        <v>DCS_Installation Material</v>
      </c>
      <c r="C41" s="16"/>
      <c r="D41" s="16"/>
      <c r="E41" s="16"/>
      <c r="F41" s="16"/>
      <c r="G41" s="16"/>
      <c r="H41" s="16"/>
      <c r="I41" s="127"/>
      <c r="J41" s="127"/>
      <c r="K41" s="127"/>
      <c r="L41" s="127"/>
      <c r="M41" s="127"/>
      <c r="N41" s="127"/>
      <c r="O41" s="127"/>
      <c r="P41" s="127"/>
      <c r="Q41" s="101"/>
      <c r="R41" s="411">
        <v>1</v>
      </c>
      <c r="S41" s="412"/>
      <c r="T41" s="413"/>
      <c r="U41" s="417">
        <f>'Summary PL'!L51</f>
        <v>6102</v>
      </c>
      <c r="V41" s="418"/>
      <c r="W41" s="418"/>
      <c r="X41" s="419"/>
      <c r="Y41" s="417">
        <f>'Summary PL'!M51</f>
        <v>8009</v>
      </c>
      <c r="Z41" s="418"/>
      <c r="AA41" s="418"/>
      <c r="AB41" s="419"/>
      <c r="AC41" s="341">
        <f>'Summary PL'!K51</f>
        <v>18.301999999999996</v>
      </c>
      <c r="AE41" s="48"/>
    </row>
    <row r="42" spans="1:39" s="18" customFormat="1" ht="18" customHeight="1">
      <c r="A42" s="148"/>
      <c r="B42" s="183" t="s">
        <v>66</v>
      </c>
      <c r="C42" s="16"/>
      <c r="D42" s="16"/>
      <c r="E42" s="16"/>
      <c r="F42" s="16"/>
      <c r="G42" s="16"/>
      <c r="H42" s="16"/>
      <c r="I42" s="16"/>
      <c r="J42" s="16"/>
      <c r="K42" s="16"/>
      <c r="L42" s="16"/>
      <c r="M42" s="16"/>
      <c r="N42" s="16"/>
      <c r="O42" s="16"/>
      <c r="P42" s="16"/>
      <c r="Q42" s="101"/>
      <c r="R42" s="414"/>
      <c r="S42" s="415"/>
      <c r="T42" s="416"/>
      <c r="U42" s="407"/>
      <c r="V42" s="408"/>
      <c r="W42" s="408"/>
      <c r="X42" s="409"/>
      <c r="Y42" s="407"/>
      <c r="Z42" s="408"/>
      <c r="AA42" s="408"/>
      <c r="AB42" s="409"/>
      <c r="AC42" s="341"/>
      <c r="AE42" s="16"/>
    </row>
    <row r="43" spans="1:39" s="18" customFormat="1" ht="18" customHeight="1" thickBot="1">
      <c r="A43" s="123"/>
      <c r="B43" s="327"/>
      <c r="C43" s="327"/>
      <c r="D43" s="327"/>
      <c r="E43" s="327"/>
      <c r="F43" s="327"/>
      <c r="G43" s="327"/>
      <c r="H43" s="327"/>
      <c r="I43" s="144"/>
      <c r="J43" s="144"/>
      <c r="K43" s="144"/>
      <c r="L43" s="144"/>
      <c r="M43" s="144"/>
      <c r="N43" s="144"/>
      <c r="O43" s="144"/>
      <c r="P43" s="144"/>
      <c r="Q43" s="139"/>
      <c r="R43" s="337"/>
      <c r="S43" s="337"/>
      <c r="T43" s="78"/>
      <c r="U43" s="342"/>
      <c r="V43" s="342"/>
      <c r="W43" s="342"/>
      <c r="X43" s="343"/>
      <c r="Y43" s="344"/>
      <c r="Z43" s="344"/>
      <c r="AA43" s="344"/>
      <c r="AB43" s="343"/>
      <c r="AC43" s="341"/>
    </row>
    <row r="44" spans="1:39" s="18" customFormat="1" ht="18" customHeight="1" thickBot="1">
      <c r="A44" s="132"/>
      <c r="B44" s="133"/>
      <c r="C44" s="133"/>
      <c r="D44" s="133"/>
      <c r="E44" s="133"/>
      <c r="F44" s="133"/>
      <c r="G44" s="133"/>
      <c r="H44" s="133"/>
      <c r="I44" s="373"/>
      <c r="J44" s="373"/>
      <c r="K44" s="373"/>
      <c r="L44" s="373"/>
      <c r="M44" s="373"/>
      <c r="N44" s="373"/>
      <c r="O44" s="373"/>
      <c r="P44" s="373"/>
      <c r="Q44" s="406"/>
      <c r="R44" s="426"/>
      <c r="S44" s="427"/>
      <c r="T44" s="428"/>
      <c r="U44" s="420">
        <f>'Summary PL'!L51</f>
        <v>6102</v>
      </c>
      <c r="V44" s="421"/>
      <c r="W44" s="421"/>
      <c r="X44" s="422"/>
      <c r="Y44" s="423">
        <f>'Summary PL'!M51</f>
        <v>8009</v>
      </c>
      <c r="Z44" s="424"/>
      <c r="AA44" s="424"/>
      <c r="AB44" s="425"/>
      <c r="AC44" s="345">
        <f>'Summary PL'!K51</f>
        <v>18.301999999999996</v>
      </c>
    </row>
    <row r="45" spans="1:39">
      <c r="A45" s="109"/>
      <c r="B45" s="110"/>
      <c r="C45" s="110"/>
      <c r="D45" s="110"/>
      <c r="E45" s="110"/>
      <c r="F45" s="110"/>
      <c r="G45" s="110"/>
      <c r="H45" s="110"/>
      <c r="I45" s="110"/>
      <c r="J45" s="110"/>
      <c r="K45" s="110"/>
      <c r="L45" s="110"/>
      <c r="M45" s="110"/>
      <c r="N45" s="110"/>
      <c r="O45" s="110"/>
      <c r="P45" s="110"/>
      <c r="Q45" s="110"/>
      <c r="R45" s="110"/>
      <c r="S45" s="110"/>
      <c r="T45" s="110"/>
      <c r="U45" s="110"/>
      <c r="V45" s="110"/>
      <c r="W45" s="110"/>
      <c r="X45" s="110"/>
      <c r="Y45" s="110"/>
      <c r="Z45" s="110"/>
      <c r="AA45" s="110"/>
      <c r="AB45" s="110"/>
      <c r="AC45" s="111"/>
    </row>
    <row r="46" spans="1:39">
      <c r="A46" s="112"/>
      <c r="AC46" s="113"/>
    </row>
    <row r="47" spans="1:39">
      <c r="A47" s="112"/>
      <c r="AC47" s="113"/>
    </row>
    <row r="48" spans="1:39">
      <c r="A48" s="112"/>
      <c r="AC48" s="113"/>
    </row>
    <row r="49" spans="1:29">
      <c r="A49" s="112"/>
      <c r="AC49" s="113"/>
    </row>
    <row r="50" spans="1:29">
      <c r="A50" s="112"/>
      <c r="AC50" s="113"/>
    </row>
    <row r="51" spans="1:29">
      <c r="A51" s="112"/>
      <c r="AC51" s="113"/>
    </row>
    <row r="52" spans="1:29" ht="14.4">
      <c r="A52" s="121"/>
      <c r="B52" s="16"/>
      <c r="C52" s="16"/>
      <c r="D52" s="16"/>
      <c r="E52" s="16"/>
      <c r="F52" s="16"/>
      <c r="G52" s="16"/>
      <c r="H52" s="16"/>
      <c r="I52" s="16"/>
      <c r="J52" s="16"/>
      <c r="K52" s="16"/>
      <c r="L52" s="16"/>
      <c r="M52" s="16"/>
      <c r="N52" s="16"/>
      <c r="S52" s="16" t="s">
        <v>68</v>
      </c>
      <c r="AC52" s="113"/>
    </row>
    <row r="53" spans="1:29" ht="14.4">
      <c r="A53" s="121" t="s">
        <v>69</v>
      </c>
      <c r="B53" s="16"/>
      <c r="C53" s="16"/>
      <c r="D53" s="16"/>
      <c r="E53" s="16"/>
      <c r="F53" s="16"/>
      <c r="G53" s="16"/>
      <c r="H53" s="16"/>
      <c r="I53" s="16"/>
      <c r="J53" s="16"/>
      <c r="K53" s="16"/>
      <c r="L53" s="16"/>
      <c r="M53" s="16"/>
      <c r="N53" s="16"/>
      <c r="AC53" s="113"/>
    </row>
    <row r="54" spans="1:29" ht="14.4">
      <c r="A54" s="121" t="s">
        <v>70</v>
      </c>
      <c r="B54" s="16"/>
      <c r="C54" s="16"/>
      <c r="D54" s="16"/>
      <c r="E54" s="16"/>
      <c r="F54" s="16"/>
      <c r="G54" s="16"/>
      <c r="H54" s="16"/>
      <c r="I54" s="16"/>
      <c r="J54" s="16"/>
      <c r="K54" s="16"/>
      <c r="L54" s="16"/>
      <c r="M54" s="16"/>
      <c r="N54" s="16"/>
      <c r="W54" s="134"/>
      <c r="X54" s="134"/>
      <c r="AC54" s="113"/>
    </row>
    <row r="55" spans="1:29" ht="14.4">
      <c r="A55" s="121" t="s">
        <v>144</v>
      </c>
      <c r="B55" s="16"/>
      <c r="C55" s="16"/>
      <c r="D55" s="16"/>
      <c r="E55" s="16"/>
      <c r="F55" s="16"/>
      <c r="G55" s="16"/>
      <c r="H55" s="16"/>
      <c r="I55" s="16"/>
      <c r="J55" s="16"/>
      <c r="K55" s="16"/>
      <c r="L55" s="16"/>
      <c r="M55" s="16"/>
      <c r="N55" s="16"/>
      <c r="V55" s="371" t="s">
        <v>72</v>
      </c>
      <c r="W55" s="371"/>
      <c r="X55" s="371"/>
      <c r="Y55" s="371"/>
      <c r="Z55" s="371"/>
      <c r="AA55" s="371"/>
      <c r="AB55" s="371"/>
      <c r="AC55" s="372"/>
    </row>
    <row r="56" spans="1:29" ht="14.4">
      <c r="A56" s="121" t="s">
        <v>73</v>
      </c>
      <c r="B56" s="16"/>
      <c r="C56" s="16"/>
      <c r="D56" s="16"/>
      <c r="E56" s="16"/>
      <c r="F56" s="16"/>
      <c r="G56" s="16"/>
      <c r="H56" s="16"/>
      <c r="I56" s="16"/>
      <c r="J56" s="16"/>
      <c r="K56" s="16"/>
      <c r="L56" s="16"/>
      <c r="M56" s="16"/>
      <c r="N56" s="16"/>
      <c r="S56" s="329"/>
      <c r="U56" s="334"/>
      <c r="V56" s="334"/>
      <c r="W56" s="334"/>
      <c r="X56" s="334"/>
      <c r="Y56" s="334"/>
      <c r="Z56" s="334"/>
      <c r="AA56" s="334"/>
      <c r="AB56" s="334"/>
      <c r="AC56" s="113"/>
    </row>
    <row r="57" spans="1:29" ht="12.6" thickBot="1">
      <c r="A57" s="135"/>
      <c r="B57" s="115"/>
      <c r="C57" s="115"/>
      <c r="D57" s="115"/>
      <c r="E57" s="115"/>
      <c r="F57" s="115"/>
      <c r="G57" s="115"/>
      <c r="H57" s="115"/>
      <c r="I57" s="115"/>
      <c r="J57" s="115"/>
      <c r="K57" s="115"/>
      <c r="L57" s="115"/>
      <c r="M57" s="115"/>
      <c r="N57" s="115"/>
      <c r="O57" s="115"/>
      <c r="P57" s="115"/>
      <c r="Q57" s="115"/>
      <c r="R57" s="115"/>
      <c r="S57" s="115"/>
      <c r="T57" s="115"/>
      <c r="U57" s="115"/>
      <c r="V57" s="115"/>
      <c r="W57" s="115"/>
      <c r="X57" s="115"/>
      <c r="Y57" s="115"/>
      <c r="Z57" s="115"/>
      <c r="AA57" s="115"/>
      <c r="AB57" s="115"/>
      <c r="AC57" s="116"/>
    </row>
    <row r="58" spans="1:29" ht="15" thickBot="1">
      <c r="A58" s="136" t="s">
        <v>74</v>
      </c>
      <c r="B58" s="137"/>
      <c r="C58" s="137"/>
      <c r="D58" s="137"/>
      <c r="E58" s="137"/>
      <c r="F58" s="137"/>
      <c r="G58" s="137"/>
      <c r="H58" s="137"/>
      <c r="I58" s="137"/>
      <c r="J58" s="137"/>
      <c r="K58" s="137"/>
      <c r="L58" s="137"/>
      <c r="M58" s="137"/>
      <c r="N58" s="137"/>
      <c r="O58" s="137"/>
      <c r="P58" s="137"/>
      <c r="Q58" s="137"/>
      <c r="R58" s="137"/>
      <c r="S58" s="137"/>
      <c r="T58" s="137"/>
      <c r="U58" s="137"/>
      <c r="V58" s="137"/>
      <c r="W58" s="137"/>
      <c r="X58" s="137"/>
      <c r="Y58" s="137"/>
      <c r="Z58" s="137"/>
      <c r="AA58" s="137"/>
      <c r="AB58" s="137"/>
      <c r="AC58" s="138"/>
    </row>
  </sheetData>
  <mergeCells count="36">
    <mergeCell ref="AJ40:AM40"/>
    <mergeCell ref="U39:X39"/>
    <mergeCell ref="Y39:AB39"/>
    <mergeCell ref="U40:X40"/>
    <mergeCell ref="Y40:AB40"/>
    <mergeCell ref="V55:AC55"/>
    <mergeCell ref="AF40:AI40"/>
    <mergeCell ref="R41:T41"/>
    <mergeCell ref="R42:T42"/>
    <mergeCell ref="U41:X41"/>
    <mergeCell ref="U44:X44"/>
    <mergeCell ref="Y44:AB44"/>
    <mergeCell ref="R44:T44"/>
    <mergeCell ref="R40:T40"/>
    <mergeCell ref="Y41:AB41"/>
    <mergeCell ref="R39:T39"/>
    <mergeCell ref="I44:Q44"/>
    <mergeCell ref="U42:X42"/>
    <mergeCell ref="Y42:AB42"/>
    <mergeCell ref="A39:Q40"/>
    <mergeCell ref="J34:P34"/>
    <mergeCell ref="Y31:AB31"/>
    <mergeCell ref="I28:Q29"/>
    <mergeCell ref="I32:Q33"/>
    <mergeCell ref="I30:Q31"/>
    <mergeCell ref="Y32:AB32"/>
    <mergeCell ref="Y33:AB33"/>
    <mergeCell ref="Y34:AB34"/>
    <mergeCell ref="A6:AC6"/>
    <mergeCell ref="V8:Z8"/>
    <mergeCell ref="V10:Z10"/>
    <mergeCell ref="I25:Q25"/>
    <mergeCell ref="S18:AC18"/>
    <mergeCell ref="S20:AC20"/>
    <mergeCell ref="S22:AC22"/>
    <mergeCell ref="S24:AC24"/>
  </mergeCells>
  <phoneticPr fontId="10" type="noConversion"/>
  <pageMargins left="0.39370078740157483" right="0.39370078740157483" top="0.59055118110236227" bottom="0.39370078740157483" header="0.31496062992125984" footer="0.23622047244094491"/>
  <pageSetup paperSize="9" scale="72" orientation="portrait" horizontalDpi="1200" verticalDpi="1200"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8972D-56AD-4F6D-B5B0-4E29749415B4}">
  <sheetPr>
    <tabColor rgb="FF00B0F0"/>
    <pageSetUpPr fitToPage="1"/>
  </sheetPr>
  <dimension ref="A1:U99"/>
  <sheetViews>
    <sheetView showGridLines="0" view="pageBreakPreview" zoomScale="70" zoomScaleNormal="80" zoomScaleSheetLayoutView="70" workbookViewId="0">
      <selection activeCell="D12" sqref="D12:D13"/>
    </sheetView>
  </sheetViews>
  <sheetFormatPr defaultColWidth="10" defaultRowHeight="13.8"/>
  <cols>
    <col min="1" max="1" width="18.09765625" style="38" customWidth="1"/>
    <col min="2" max="2" width="20.3984375" style="38" customWidth="1"/>
    <col min="3" max="3" width="32.8984375" style="38" customWidth="1"/>
    <col min="4" max="4" width="51.59765625" style="38" customWidth="1"/>
    <col min="5" max="5" width="15.3984375" style="11" customWidth="1"/>
    <col min="6" max="6" width="12.59765625" style="270" customWidth="1"/>
    <col min="7" max="7" width="9.19921875" style="39" customWidth="1"/>
    <col min="8" max="8" width="11.3984375" style="47" customWidth="1"/>
    <col min="9" max="10" width="11.3984375" style="47" bestFit="1" customWidth="1"/>
    <col min="11" max="11" width="11.59765625" style="246" customWidth="1"/>
    <col min="12" max="12" width="16.59765625" style="188" customWidth="1"/>
    <col min="13" max="13" width="17.3984375" style="179" customWidth="1"/>
    <col min="14" max="14" width="18.3984375" style="42" customWidth="1"/>
    <col min="15" max="15" width="15.3984375" style="41" customWidth="1"/>
    <col min="16" max="16" width="16.09765625" style="59" customWidth="1"/>
    <col min="17" max="17" width="10" style="11"/>
    <col min="18" max="18" width="21.59765625" style="11" customWidth="1"/>
    <col min="19" max="20" width="10" style="12"/>
    <col min="21" max="16384" width="10" style="13"/>
  </cols>
  <sheetData>
    <row r="1" spans="1:21" s="8" customFormat="1" ht="14.25" customHeight="1">
      <c r="A1" s="5"/>
      <c r="B1" s="5"/>
      <c r="C1" s="5"/>
      <c r="D1" s="5"/>
      <c r="E1" s="6"/>
      <c r="F1" s="263"/>
      <c r="G1" s="7"/>
      <c r="H1" s="198"/>
      <c r="I1" s="199"/>
      <c r="J1" s="199"/>
      <c r="K1" s="199"/>
      <c r="M1" s="199"/>
      <c r="N1" s="5"/>
      <c r="O1" s="9" t="s">
        <v>0</v>
      </c>
      <c r="P1" s="36"/>
      <c r="Q1" s="159" t="s">
        <v>145</v>
      </c>
      <c r="R1" s="160" t="s">
        <v>146</v>
      </c>
      <c r="S1" s="160" t="s">
        <v>147</v>
      </c>
      <c r="T1" s="161"/>
      <c r="U1" s="162"/>
    </row>
    <row r="2" spans="1:21" s="8" customFormat="1" ht="14.25" customHeight="1">
      <c r="A2" s="5"/>
      <c r="B2" s="5"/>
      <c r="C2" s="5"/>
      <c r="D2" s="5"/>
      <c r="E2" s="6"/>
      <c r="F2" s="263"/>
      <c r="G2" s="7"/>
      <c r="H2" s="198"/>
      <c r="I2" s="199"/>
      <c r="J2" s="199"/>
      <c r="K2" s="199"/>
      <c r="M2" s="199"/>
      <c r="N2" s="5"/>
      <c r="O2" s="9" t="s">
        <v>1</v>
      </c>
      <c r="P2" s="36"/>
      <c r="Q2" s="162"/>
      <c r="R2" s="160" t="s">
        <v>148</v>
      </c>
      <c r="S2" s="160" t="s">
        <v>149</v>
      </c>
      <c r="T2" s="162"/>
      <c r="U2" s="162"/>
    </row>
    <row r="3" spans="1:21" s="8" customFormat="1" ht="14.25" customHeight="1">
      <c r="A3" s="5"/>
      <c r="B3" s="5"/>
      <c r="C3" s="5"/>
      <c r="D3" s="5"/>
      <c r="E3" s="6"/>
      <c r="F3" s="263"/>
      <c r="G3" s="7"/>
      <c r="H3" s="198"/>
      <c r="I3" s="199"/>
      <c r="J3" s="199"/>
      <c r="K3" s="199"/>
      <c r="M3" s="199"/>
      <c r="N3" s="5"/>
      <c r="O3" s="9" t="s">
        <v>2</v>
      </c>
      <c r="P3" s="36"/>
      <c r="Q3" s="163"/>
      <c r="R3" s="160" t="s">
        <v>150</v>
      </c>
      <c r="S3" s="160" t="s">
        <v>151</v>
      </c>
      <c r="T3" s="162"/>
      <c r="U3" s="162"/>
    </row>
    <row r="4" spans="1:21" s="8" customFormat="1" ht="14.25" customHeight="1">
      <c r="A4" s="5"/>
      <c r="B4" s="5"/>
      <c r="C4" s="5"/>
      <c r="D4" s="5"/>
      <c r="E4" s="6"/>
      <c r="F4" s="263"/>
      <c r="G4" s="7"/>
      <c r="H4" s="198"/>
      <c r="I4" s="199"/>
      <c r="J4" s="199"/>
      <c r="K4" s="199"/>
      <c r="M4" s="199"/>
      <c r="N4" s="5"/>
      <c r="O4" s="9" t="s">
        <v>3</v>
      </c>
      <c r="P4" s="36"/>
      <c r="Q4" s="163"/>
      <c r="R4" s="160" t="s">
        <v>152</v>
      </c>
      <c r="S4" s="160" t="s">
        <v>153</v>
      </c>
      <c r="T4" s="162"/>
      <c r="U4" s="162"/>
    </row>
    <row r="5" spans="1:21" s="8" customFormat="1" ht="14.25" customHeight="1">
      <c r="A5" s="5"/>
      <c r="B5" s="5"/>
      <c r="C5" s="5"/>
      <c r="D5" s="5"/>
      <c r="E5" s="6"/>
      <c r="F5" s="263"/>
      <c r="G5" s="7"/>
      <c r="H5" s="198"/>
      <c r="I5" s="199"/>
      <c r="J5" s="199"/>
      <c r="K5" s="199"/>
      <c r="M5" s="199"/>
      <c r="N5" s="5"/>
      <c r="O5" s="9" t="s">
        <v>4</v>
      </c>
      <c r="P5" s="36"/>
      <c r="Q5" s="82"/>
    </row>
    <row r="6" spans="1:21" ht="52.2" customHeight="1">
      <c r="A6" s="404" t="s">
        <v>154</v>
      </c>
      <c r="B6" s="404"/>
      <c r="C6" s="350"/>
      <c r="D6" s="350"/>
      <c r="E6" s="350"/>
      <c r="F6" s="350"/>
      <c r="G6" s="350"/>
      <c r="H6" s="350"/>
      <c r="I6" s="350"/>
      <c r="J6" s="350"/>
      <c r="K6" s="350"/>
      <c r="L6" s="350"/>
      <c r="M6" s="350"/>
      <c r="N6" s="350"/>
      <c r="O6" s="350"/>
      <c r="P6" s="350"/>
      <c r="Q6" s="19"/>
    </row>
    <row r="7" spans="1:21" ht="17.25" customHeight="1">
      <c r="A7" s="84" t="s">
        <v>155</v>
      </c>
      <c r="B7" s="84" t="s">
        <v>156</v>
      </c>
      <c r="C7" s="85"/>
      <c r="D7" s="85"/>
      <c r="E7" s="85"/>
      <c r="F7" s="194"/>
      <c r="G7" s="194"/>
      <c r="H7" s="194"/>
      <c r="I7" s="194"/>
      <c r="J7" s="194"/>
      <c r="K7" s="272"/>
      <c r="L7" s="194"/>
      <c r="M7" s="194"/>
      <c r="N7" s="194"/>
      <c r="O7" s="194"/>
      <c r="P7" s="194"/>
      <c r="Q7" s="19"/>
    </row>
    <row r="8" spans="1:21" ht="17.25" customHeight="1">
      <c r="A8" s="84"/>
      <c r="B8" s="84" t="s">
        <v>157</v>
      </c>
      <c r="C8" s="85"/>
      <c r="D8" s="85"/>
      <c r="E8" s="85"/>
      <c r="F8" s="194"/>
      <c r="G8" s="194"/>
      <c r="H8" s="194"/>
      <c r="I8" s="194"/>
      <c r="J8" s="194"/>
      <c r="K8" s="272"/>
      <c r="L8" s="194"/>
      <c r="M8" s="194"/>
      <c r="N8" s="194"/>
      <c r="O8" s="194"/>
      <c r="P8" s="194"/>
      <c r="T8" s="82"/>
      <c r="U8" s="83"/>
    </row>
    <row r="9" spans="1:21" s="18" customFormat="1" ht="17.25" customHeight="1" thickBot="1">
      <c r="A9" s="84" t="s">
        <v>158</v>
      </c>
      <c r="B9" s="84" t="str">
        <f>CI!V8</f>
        <v>PGU-DE-0311</v>
      </c>
      <c r="C9" s="84"/>
      <c r="D9" s="86"/>
      <c r="E9" s="24"/>
      <c r="F9" s="264"/>
      <c r="G9" s="14"/>
      <c r="H9" s="204"/>
      <c r="I9" s="204"/>
      <c r="J9" s="204"/>
      <c r="K9" s="205"/>
      <c r="L9" s="15"/>
      <c r="M9" s="204"/>
      <c r="N9" s="15"/>
      <c r="O9" s="17"/>
      <c r="P9" s="17"/>
      <c r="T9" s="82"/>
      <c r="U9" s="83"/>
    </row>
    <row r="10" spans="1:21" s="18" customFormat="1" ht="21" customHeight="1">
      <c r="A10" s="154" t="s">
        <v>159</v>
      </c>
      <c r="B10" s="155" t="str">
        <f>PL!B13</f>
        <v>Branch of JSC "Doosan Enerbility" in the Turkestan region</v>
      </c>
      <c r="C10" s="155"/>
      <c r="D10" s="258"/>
      <c r="E10" s="259"/>
      <c r="F10" s="264"/>
      <c r="G10" s="14"/>
      <c r="H10" s="204"/>
      <c r="I10" s="204"/>
      <c r="J10" s="204"/>
      <c r="K10" s="205"/>
      <c r="L10" s="15"/>
      <c r="M10" s="204"/>
      <c r="N10" s="15"/>
      <c r="O10" s="17"/>
      <c r="P10" s="17"/>
      <c r="T10" s="82"/>
      <c r="U10" s="83"/>
    </row>
    <row r="11" spans="1:21" s="18" customFormat="1" ht="21" customHeight="1" thickBot="1">
      <c r="A11" s="196" t="s">
        <v>160</v>
      </c>
      <c r="B11" s="211" t="str">
        <f>PL!B14</f>
        <v>321 Tauke Khan Avenue, Turkestan region, Turkestan, Kazakhstan, 161200</v>
      </c>
      <c r="C11" s="211"/>
      <c r="D11" s="260"/>
      <c r="E11" s="261"/>
      <c r="F11" s="264"/>
      <c r="G11" s="14"/>
      <c r="H11" s="204"/>
      <c r="I11" s="204"/>
      <c r="J11" s="204"/>
      <c r="K11" s="205"/>
      <c r="L11" s="15"/>
      <c r="M11" s="204"/>
      <c r="N11" s="15"/>
      <c r="O11" s="17"/>
      <c r="P11" s="17"/>
      <c r="T11" s="82"/>
      <c r="U11" s="83"/>
    </row>
    <row r="12" spans="1:21" s="21" customFormat="1" ht="25.2" customHeight="1">
      <c r="A12" s="431" t="s">
        <v>161</v>
      </c>
      <c r="B12" s="433" t="s">
        <v>162</v>
      </c>
      <c r="C12" s="433" t="s">
        <v>163</v>
      </c>
      <c r="D12" s="433" t="s">
        <v>164</v>
      </c>
      <c r="E12" s="433" t="s">
        <v>165</v>
      </c>
      <c r="F12" s="439" t="s">
        <v>166</v>
      </c>
      <c r="G12" s="439"/>
      <c r="H12" s="440" t="s">
        <v>167</v>
      </c>
      <c r="I12" s="440"/>
      <c r="J12" s="440"/>
      <c r="K12" s="440"/>
      <c r="L12" s="441" t="s">
        <v>168</v>
      </c>
      <c r="M12" s="443" t="s">
        <v>169</v>
      </c>
      <c r="N12" s="441" t="s">
        <v>170</v>
      </c>
      <c r="O12" s="435" t="s">
        <v>171</v>
      </c>
      <c r="P12" s="437" t="s">
        <v>172</v>
      </c>
      <c r="R12" s="20"/>
      <c r="S12" s="20"/>
      <c r="T12" s="20"/>
    </row>
    <row r="13" spans="1:21" s="21" customFormat="1" ht="33" customHeight="1">
      <c r="A13" s="432"/>
      <c r="B13" s="434"/>
      <c r="C13" s="434"/>
      <c r="D13" s="434"/>
      <c r="E13" s="434"/>
      <c r="F13" s="213" t="s">
        <v>173</v>
      </c>
      <c r="G13" s="195" t="s">
        <v>174</v>
      </c>
      <c r="H13" s="214" t="s">
        <v>175</v>
      </c>
      <c r="I13" s="214" t="s">
        <v>176</v>
      </c>
      <c r="J13" s="214" t="s">
        <v>177</v>
      </c>
      <c r="K13" s="214" t="s">
        <v>178</v>
      </c>
      <c r="L13" s="442"/>
      <c r="M13" s="444"/>
      <c r="N13" s="442"/>
      <c r="O13" s="436"/>
      <c r="P13" s="438"/>
      <c r="R13" s="20"/>
      <c r="S13" s="20"/>
      <c r="T13" s="20"/>
    </row>
    <row r="14" spans="1:21" s="61" customFormat="1" ht="24.9" customHeight="1">
      <c r="A14" s="107">
        <v>1</v>
      </c>
      <c r="B14" s="108"/>
      <c r="C14" s="184" t="s">
        <v>179</v>
      </c>
      <c r="D14" s="173" t="s">
        <v>180</v>
      </c>
      <c r="E14" s="189" t="s">
        <v>181</v>
      </c>
      <c r="F14" s="265">
        <v>1</v>
      </c>
      <c r="G14" s="108" t="s">
        <v>89</v>
      </c>
      <c r="H14" s="191">
        <v>125</v>
      </c>
      <c r="I14" s="191">
        <v>106</v>
      </c>
      <c r="J14" s="191">
        <v>107</v>
      </c>
      <c r="K14" s="216">
        <f t="shared" ref="K14:K50" si="0">ROUND(J14*I14*H14/1000000,3)</f>
        <v>1.4179999999999999</v>
      </c>
      <c r="L14" s="190">
        <v>460</v>
      </c>
      <c r="M14" s="190">
        <v>517</v>
      </c>
      <c r="N14" s="192" t="s">
        <v>182</v>
      </c>
      <c r="O14" s="22" t="s">
        <v>183</v>
      </c>
      <c r="P14" s="346" t="s">
        <v>184</v>
      </c>
      <c r="Q14" s="23"/>
      <c r="R14" s="24"/>
      <c r="S14" s="24"/>
      <c r="T14" s="60"/>
    </row>
    <row r="15" spans="1:21" s="61" customFormat="1" ht="24.9" customHeight="1">
      <c r="A15" s="107">
        <v>2</v>
      </c>
      <c r="B15" s="108"/>
      <c r="C15" s="184" t="s">
        <v>91</v>
      </c>
      <c r="D15" s="173" t="s">
        <v>92</v>
      </c>
      <c r="E15" s="189" t="s">
        <v>181</v>
      </c>
      <c r="F15" s="265">
        <v>1</v>
      </c>
      <c r="G15" s="108" t="s">
        <v>89</v>
      </c>
      <c r="H15" s="191">
        <v>95</v>
      </c>
      <c r="I15" s="191">
        <v>52</v>
      </c>
      <c r="J15" s="191">
        <v>95</v>
      </c>
      <c r="K15" s="216">
        <f t="shared" si="0"/>
        <v>0.46899999999999997</v>
      </c>
      <c r="L15" s="190">
        <v>158</v>
      </c>
      <c r="M15" s="190">
        <v>211</v>
      </c>
      <c r="N15" s="192" t="s">
        <v>182</v>
      </c>
      <c r="O15" s="22" t="s">
        <v>183</v>
      </c>
      <c r="P15" s="346" t="s">
        <v>184</v>
      </c>
      <c r="Q15" s="23"/>
      <c r="R15" s="24"/>
      <c r="S15" s="24"/>
      <c r="T15" s="60"/>
    </row>
    <row r="16" spans="1:21" s="61" customFormat="1" ht="24.9" customHeight="1">
      <c r="A16" s="107">
        <v>3</v>
      </c>
      <c r="B16" s="108"/>
      <c r="C16" s="184" t="s">
        <v>93</v>
      </c>
      <c r="D16" s="173" t="s">
        <v>92</v>
      </c>
      <c r="E16" s="189" t="s">
        <v>181</v>
      </c>
      <c r="F16" s="265">
        <v>1</v>
      </c>
      <c r="G16" s="108" t="s">
        <v>89</v>
      </c>
      <c r="H16" s="191">
        <v>95</v>
      </c>
      <c r="I16" s="191">
        <v>52</v>
      </c>
      <c r="J16" s="191">
        <v>95</v>
      </c>
      <c r="K16" s="216">
        <f t="shared" si="0"/>
        <v>0.46899999999999997</v>
      </c>
      <c r="L16" s="190">
        <v>155</v>
      </c>
      <c r="M16" s="190">
        <v>207</v>
      </c>
      <c r="N16" s="192" t="s">
        <v>182</v>
      </c>
      <c r="O16" s="22" t="s">
        <v>183</v>
      </c>
      <c r="P16" s="346" t="s">
        <v>184</v>
      </c>
      <c r="Q16" s="23"/>
      <c r="R16" s="24"/>
      <c r="S16" s="24"/>
      <c r="T16" s="60"/>
    </row>
    <row r="17" spans="1:20" s="61" customFormat="1" ht="24.9" customHeight="1">
      <c r="A17" s="107">
        <v>4</v>
      </c>
      <c r="B17" s="108"/>
      <c r="C17" s="184" t="s">
        <v>94</v>
      </c>
      <c r="D17" s="173" t="s">
        <v>92</v>
      </c>
      <c r="E17" s="189" t="s">
        <v>181</v>
      </c>
      <c r="F17" s="265">
        <v>1</v>
      </c>
      <c r="G17" s="108" t="s">
        <v>89</v>
      </c>
      <c r="H17" s="191">
        <v>95</v>
      </c>
      <c r="I17" s="191">
        <v>52</v>
      </c>
      <c r="J17" s="191">
        <v>95</v>
      </c>
      <c r="K17" s="216">
        <f t="shared" si="0"/>
        <v>0.46899999999999997</v>
      </c>
      <c r="L17" s="190">
        <v>160</v>
      </c>
      <c r="M17" s="190">
        <v>213</v>
      </c>
      <c r="N17" s="192" t="s">
        <v>182</v>
      </c>
      <c r="O17" s="22" t="s">
        <v>183</v>
      </c>
      <c r="P17" s="346" t="s">
        <v>184</v>
      </c>
      <c r="Q17" s="23"/>
      <c r="R17" s="24"/>
      <c r="S17" s="24"/>
      <c r="T17" s="60"/>
    </row>
    <row r="18" spans="1:20" s="61" customFormat="1" ht="24.9" customHeight="1">
      <c r="A18" s="107">
        <v>5</v>
      </c>
      <c r="B18" s="108"/>
      <c r="C18" s="184" t="s">
        <v>95</v>
      </c>
      <c r="D18" s="173" t="s">
        <v>92</v>
      </c>
      <c r="E18" s="189" t="s">
        <v>181</v>
      </c>
      <c r="F18" s="265">
        <v>1</v>
      </c>
      <c r="G18" s="108" t="s">
        <v>89</v>
      </c>
      <c r="H18" s="191">
        <v>95</v>
      </c>
      <c r="I18" s="191">
        <v>52</v>
      </c>
      <c r="J18" s="191">
        <v>95</v>
      </c>
      <c r="K18" s="216">
        <f t="shared" si="0"/>
        <v>0.46899999999999997</v>
      </c>
      <c r="L18" s="190">
        <v>155</v>
      </c>
      <c r="M18" s="190">
        <v>208</v>
      </c>
      <c r="N18" s="192" t="s">
        <v>182</v>
      </c>
      <c r="O18" s="22" t="s">
        <v>183</v>
      </c>
      <c r="P18" s="346" t="s">
        <v>184</v>
      </c>
      <c r="Q18" s="23"/>
      <c r="R18" s="24"/>
      <c r="S18" s="24"/>
      <c r="T18" s="60"/>
    </row>
    <row r="19" spans="1:20" s="61" customFormat="1" ht="24.9" customHeight="1">
      <c r="A19" s="107">
        <v>6</v>
      </c>
      <c r="B19" s="108"/>
      <c r="C19" s="184" t="s">
        <v>96</v>
      </c>
      <c r="D19" s="173" t="s">
        <v>92</v>
      </c>
      <c r="E19" s="189" t="s">
        <v>181</v>
      </c>
      <c r="F19" s="265">
        <v>1</v>
      </c>
      <c r="G19" s="108" t="s">
        <v>89</v>
      </c>
      <c r="H19" s="191">
        <v>95</v>
      </c>
      <c r="I19" s="191">
        <v>52</v>
      </c>
      <c r="J19" s="191">
        <v>95</v>
      </c>
      <c r="K19" s="216">
        <f t="shared" si="0"/>
        <v>0.46899999999999997</v>
      </c>
      <c r="L19" s="190">
        <v>155</v>
      </c>
      <c r="M19" s="190">
        <v>209</v>
      </c>
      <c r="N19" s="192" t="s">
        <v>182</v>
      </c>
      <c r="O19" s="22" t="s">
        <v>183</v>
      </c>
      <c r="P19" s="346" t="s">
        <v>184</v>
      </c>
      <c r="Q19" s="23"/>
      <c r="R19" s="24"/>
      <c r="S19" s="24"/>
      <c r="T19" s="60"/>
    </row>
    <row r="20" spans="1:20" s="61" customFormat="1" ht="24.9" customHeight="1">
      <c r="A20" s="107">
        <v>7</v>
      </c>
      <c r="B20" s="108"/>
      <c r="C20" s="184" t="s">
        <v>97</v>
      </c>
      <c r="D20" s="173" t="s">
        <v>92</v>
      </c>
      <c r="E20" s="189" t="s">
        <v>181</v>
      </c>
      <c r="F20" s="265">
        <v>1</v>
      </c>
      <c r="G20" s="108" t="s">
        <v>89</v>
      </c>
      <c r="H20" s="191">
        <v>95</v>
      </c>
      <c r="I20" s="191">
        <v>52</v>
      </c>
      <c r="J20" s="191">
        <v>95</v>
      </c>
      <c r="K20" s="216">
        <f t="shared" si="0"/>
        <v>0.46899999999999997</v>
      </c>
      <c r="L20" s="190">
        <v>158</v>
      </c>
      <c r="M20" s="190">
        <v>211</v>
      </c>
      <c r="N20" s="192" t="s">
        <v>182</v>
      </c>
      <c r="O20" s="22" t="s">
        <v>183</v>
      </c>
      <c r="P20" s="346" t="s">
        <v>184</v>
      </c>
      <c r="Q20" s="23"/>
      <c r="R20" s="24"/>
      <c r="S20" s="24"/>
      <c r="T20" s="60"/>
    </row>
    <row r="21" spans="1:20" s="61" customFormat="1" ht="24.9" customHeight="1">
      <c r="A21" s="107">
        <v>8</v>
      </c>
      <c r="B21" s="108"/>
      <c r="C21" s="184" t="s">
        <v>98</v>
      </c>
      <c r="D21" s="173" t="s">
        <v>92</v>
      </c>
      <c r="E21" s="189" t="s">
        <v>181</v>
      </c>
      <c r="F21" s="265">
        <v>1</v>
      </c>
      <c r="G21" s="108" t="s">
        <v>89</v>
      </c>
      <c r="H21" s="191">
        <v>95</v>
      </c>
      <c r="I21" s="191">
        <v>52</v>
      </c>
      <c r="J21" s="191">
        <v>95</v>
      </c>
      <c r="K21" s="216">
        <f t="shared" si="0"/>
        <v>0.46899999999999997</v>
      </c>
      <c r="L21" s="190">
        <v>154</v>
      </c>
      <c r="M21" s="190">
        <v>207</v>
      </c>
      <c r="N21" s="192" t="s">
        <v>182</v>
      </c>
      <c r="O21" s="22" t="s">
        <v>183</v>
      </c>
      <c r="P21" s="346" t="s">
        <v>184</v>
      </c>
      <c r="Q21" s="23"/>
      <c r="R21" s="24"/>
      <c r="S21" s="24"/>
      <c r="T21" s="60"/>
    </row>
    <row r="22" spans="1:20" s="61" customFormat="1" ht="24.9" customHeight="1">
      <c r="A22" s="107">
        <v>9</v>
      </c>
      <c r="B22" s="108"/>
      <c r="C22" s="184" t="s">
        <v>99</v>
      </c>
      <c r="D22" s="173" t="s">
        <v>92</v>
      </c>
      <c r="E22" s="189" t="s">
        <v>181</v>
      </c>
      <c r="F22" s="265">
        <v>1</v>
      </c>
      <c r="G22" s="108" t="s">
        <v>89</v>
      </c>
      <c r="H22" s="191">
        <v>95</v>
      </c>
      <c r="I22" s="191">
        <v>52</v>
      </c>
      <c r="J22" s="191">
        <v>95</v>
      </c>
      <c r="K22" s="216">
        <f t="shared" si="0"/>
        <v>0.46899999999999997</v>
      </c>
      <c r="L22" s="174">
        <v>156</v>
      </c>
      <c r="M22" s="174">
        <v>209</v>
      </c>
      <c r="N22" s="192" t="s">
        <v>182</v>
      </c>
      <c r="O22" s="22" t="s">
        <v>183</v>
      </c>
      <c r="P22" s="346" t="s">
        <v>184</v>
      </c>
      <c r="Q22" s="23"/>
      <c r="R22" s="24"/>
      <c r="S22" s="24"/>
      <c r="T22" s="60"/>
    </row>
    <row r="23" spans="1:20" s="61" customFormat="1" ht="24.9" customHeight="1">
      <c r="A23" s="107">
        <v>10</v>
      </c>
      <c r="B23" s="108"/>
      <c r="C23" s="184" t="s">
        <v>100</v>
      </c>
      <c r="D23" s="173" t="s">
        <v>92</v>
      </c>
      <c r="E23" s="189" t="s">
        <v>181</v>
      </c>
      <c r="F23" s="265">
        <v>1</v>
      </c>
      <c r="G23" s="108" t="s">
        <v>89</v>
      </c>
      <c r="H23" s="191">
        <v>95</v>
      </c>
      <c r="I23" s="191">
        <v>52</v>
      </c>
      <c r="J23" s="191">
        <v>95</v>
      </c>
      <c r="K23" s="216">
        <f t="shared" si="0"/>
        <v>0.46899999999999997</v>
      </c>
      <c r="L23" s="190">
        <v>154</v>
      </c>
      <c r="M23" s="190">
        <v>207</v>
      </c>
      <c r="N23" s="192" t="s">
        <v>182</v>
      </c>
      <c r="O23" s="22" t="s">
        <v>183</v>
      </c>
      <c r="P23" s="346" t="s">
        <v>184</v>
      </c>
      <c r="Q23" s="23"/>
      <c r="R23" s="24"/>
      <c r="S23" s="24"/>
      <c r="T23" s="60"/>
    </row>
    <row r="24" spans="1:20" s="61" customFormat="1" ht="24.9" customHeight="1">
      <c r="A24" s="107">
        <v>11</v>
      </c>
      <c r="B24" s="247"/>
      <c r="C24" s="184" t="s">
        <v>101</v>
      </c>
      <c r="D24" s="173" t="s">
        <v>92</v>
      </c>
      <c r="E24" s="189" t="s">
        <v>181</v>
      </c>
      <c r="F24" s="265">
        <v>1</v>
      </c>
      <c r="G24" s="108" t="s">
        <v>89</v>
      </c>
      <c r="H24" s="191">
        <v>95</v>
      </c>
      <c r="I24" s="191">
        <v>52</v>
      </c>
      <c r="J24" s="191">
        <v>95</v>
      </c>
      <c r="K24" s="216">
        <f t="shared" si="0"/>
        <v>0.46899999999999997</v>
      </c>
      <c r="L24" s="190">
        <v>156</v>
      </c>
      <c r="M24" s="190">
        <v>209</v>
      </c>
      <c r="N24" s="192" t="s">
        <v>182</v>
      </c>
      <c r="O24" s="22" t="s">
        <v>183</v>
      </c>
      <c r="P24" s="346" t="s">
        <v>184</v>
      </c>
      <c r="Q24" s="23"/>
      <c r="R24" s="24"/>
      <c r="S24" s="24"/>
      <c r="T24" s="60"/>
    </row>
    <row r="25" spans="1:20" s="61" customFormat="1" ht="24.9" customHeight="1">
      <c r="A25" s="107">
        <v>12</v>
      </c>
      <c r="B25" s="247"/>
      <c r="C25" s="184" t="s">
        <v>102</v>
      </c>
      <c r="D25" s="173" t="s">
        <v>92</v>
      </c>
      <c r="E25" s="189" t="s">
        <v>181</v>
      </c>
      <c r="F25" s="265">
        <v>1</v>
      </c>
      <c r="G25" s="108" t="s">
        <v>89</v>
      </c>
      <c r="H25" s="191">
        <v>95</v>
      </c>
      <c r="I25" s="191">
        <v>52</v>
      </c>
      <c r="J25" s="191">
        <v>95</v>
      </c>
      <c r="K25" s="216">
        <f t="shared" si="0"/>
        <v>0.46899999999999997</v>
      </c>
      <c r="L25" s="190">
        <v>153</v>
      </c>
      <c r="M25" s="190">
        <v>206</v>
      </c>
      <c r="N25" s="192" t="s">
        <v>182</v>
      </c>
      <c r="O25" s="22" t="s">
        <v>183</v>
      </c>
      <c r="P25" s="346" t="s">
        <v>184</v>
      </c>
      <c r="Q25" s="23"/>
      <c r="R25" s="24"/>
      <c r="S25" s="24"/>
      <c r="T25" s="60"/>
    </row>
    <row r="26" spans="1:20" s="61" customFormat="1" ht="24.9" customHeight="1">
      <c r="A26" s="107">
        <v>13</v>
      </c>
      <c r="B26" s="108"/>
      <c r="C26" s="184" t="s">
        <v>103</v>
      </c>
      <c r="D26" s="173" t="s">
        <v>92</v>
      </c>
      <c r="E26" s="189" t="s">
        <v>181</v>
      </c>
      <c r="F26" s="265">
        <v>1</v>
      </c>
      <c r="G26" s="108" t="s">
        <v>89</v>
      </c>
      <c r="H26" s="191">
        <v>95</v>
      </c>
      <c r="I26" s="191">
        <v>52</v>
      </c>
      <c r="J26" s="191">
        <v>95</v>
      </c>
      <c r="K26" s="216">
        <f t="shared" si="0"/>
        <v>0.46899999999999997</v>
      </c>
      <c r="L26" s="190">
        <v>158</v>
      </c>
      <c r="M26" s="190">
        <v>211</v>
      </c>
      <c r="N26" s="192" t="s">
        <v>182</v>
      </c>
      <c r="O26" s="22" t="s">
        <v>183</v>
      </c>
      <c r="P26" s="346" t="s">
        <v>184</v>
      </c>
      <c r="Q26" s="23"/>
      <c r="R26" s="24"/>
      <c r="S26" s="24"/>
      <c r="T26" s="60"/>
    </row>
    <row r="27" spans="1:20" s="61" customFormat="1" ht="24.9" customHeight="1">
      <c r="A27" s="107">
        <v>14</v>
      </c>
      <c r="B27" s="108"/>
      <c r="C27" s="184" t="s">
        <v>104</v>
      </c>
      <c r="D27" s="173" t="s">
        <v>92</v>
      </c>
      <c r="E27" s="189" t="s">
        <v>181</v>
      </c>
      <c r="F27" s="265">
        <v>1</v>
      </c>
      <c r="G27" s="108" t="s">
        <v>89</v>
      </c>
      <c r="H27" s="191">
        <v>95</v>
      </c>
      <c r="I27" s="191">
        <v>52</v>
      </c>
      <c r="J27" s="191">
        <v>95</v>
      </c>
      <c r="K27" s="216">
        <f t="shared" si="0"/>
        <v>0.46899999999999997</v>
      </c>
      <c r="L27" s="190">
        <v>160</v>
      </c>
      <c r="M27" s="190">
        <v>213</v>
      </c>
      <c r="N27" s="192" t="s">
        <v>182</v>
      </c>
      <c r="O27" s="22" t="s">
        <v>183</v>
      </c>
      <c r="P27" s="346" t="s">
        <v>184</v>
      </c>
      <c r="Q27" s="23"/>
      <c r="R27" s="24"/>
      <c r="S27" s="24"/>
      <c r="T27" s="60"/>
    </row>
    <row r="28" spans="1:20" s="61" customFormat="1" ht="24.9" customHeight="1">
      <c r="A28" s="107">
        <v>15</v>
      </c>
      <c r="B28" s="108"/>
      <c r="C28" s="184" t="s">
        <v>105</v>
      </c>
      <c r="D28" s="173" t="s">
        <v>92</v>
      </c>
      <c r="E28" s="189" t="s">
        <v>181</v>
      </c>
      <c r="F28" s="265">
        <v>1</v>
      </c>
      <c r="G28" s="108" t="s">
        <v>89</v>
      </c>
      <c r="H28" s="191">
        <v>95</v>
      </c>
      <c r="I28" s="191">
        <v>52</v>
      </c>
      <c r="J28" s="191">
        <v>95</v>
      </c>
      <c r="K28" s="216">
        <f t="shared" si="0"/>
        <v>0.46899999999999997</v>
      </c>
      <c r="L28" s="190">
        <v>156</v>
      </c>
      <c r="M28" s="190">
        <v>210</v>
      </c>
      <c r="N28" s="192" t="s">
        <v>182</v>
      </c>
      <c r="O28" s="22" t="s">
        <v>183</v>
      </c>
      <c r="P28" s="346" t="s">
        <v>184</v>
      </c>
      <c r="Q28" s="23"/>
      <c r="R28" s="24"/>
      <c r="S28" s="24"/>
      <c r="T28" s="60"/>
    </row>
    <row r="29" spans="1:20" s="61" customFormat="1" ht="24.9" customHeight="1">
      <c r="A29" s="107">
        <v>16</v>
      </c>
      <c r="B29" s="108"/>
      <c r="C29" s="184" t="s">
        <v>106</v>
      </c>
      <c r="D29" s="173" t="s">
        <v>92</v>
      </c>
      <c r="E29" s="189" t="s">
        <v>181</v>
      </c>
      <c r="F29" s="265">
        <v>1</v>
      </c>
      <c r="G29" s="108" t="s">
        <v>89</v>
      </c>
      <c r="H29" s="191">
        <v>95</v>
      </c>
      <c r="I29" s="191">
        <v>52</v>
      </c>
      <c r="J29" s="191">
        <v>95</v>
      </c>
      <c r="K29" s="216">
        <f t="shared" si="0"/>
        <v>0.46899999999999997</v>
      </c>
      <c r="L29" s="190">
        <v>158</v>
      </c>
      <c r="M29" s="190">
        <v>210</v>
      </c>
      <c r="N29" s="192" t="s">
        <v>182</v>
      </c>
      <c r="O29" s="22" t="s">
        <v>183</v>
      </c>
      <c r="P29" s="346" t="s">
        <v>184</v>
      </c>
      <c r="Q29" s="23"/>
      <c r="R29" s="24"/>
      <c r="S29" s="24"/>
      <c r="T29" s="60"/>
    </row>
    <row r="30" spans="1:20" s="61" customFormat="1" ht="24.9" customHeight="1">
      <c r="A30" s="107">
        <v>17</v>
      </c>
      <c r="B30" s="108"/>
      <c r="C30" s="184" t="s">
        <v>107</v>
      </c>
      <c r="D30" s="173" t="s">
        <v>92</v>
      </c>
      <c r="E30" s="189" t="s">
        <v>181</v>
      </c>
      <c r="F30" s="265">
        <v>1</v>
      </c>
      <c r="G30" s="108" t="s">
        <v>89</v>
      </c>
      <c r="H30" s="191">
        <v>95</v>
      </c>
      <c r="I30" s="191">
        <v>52</v>
      </c>
      <c r="J30" s="191">
        <v>95</v>
      </c>
      <c r="K30" s="216">
        <f t="shared" si="0"/>
        <v>0.46899999999999997</v>
      </c>
      <c r="L30" s="190">
        <v>160</v>
      </c>
      <c r="M30" s="190">
        <v>212</v>
      </c>
      <c r="N30" s="192" t="s">
        <v>182</v>
      </c>
      <c r="O30" s="22" t="s">
        <v>183</v>
      </c>
      <c r="P30" s="346" t="s">
        <v>184</v>
      </c>
      <c r="Q30" s="23"/>
      <c r="R30" s="24"/>
      <c r="S30" s="24"/>
      <c r="T30" s="60"/>
    </row>
    <row r="31" spans="1:20" s="61" customFormat="1" ht="24.9" customHeight="1">
      <c r="A31" s="107">
        <v>18</v>
      </c>
      <c r="B31" s="108"/>
      <c r="C31" s="184" t="s">
        <v>108</v>
      </c>
      <c r="D31" s="173" t="s">
        <v>92</v>
      </c>
      <c r="E31" s="189" t="s">
        <v>181</v>
      </c>
      <c r="F31" s="265">
        <v>1</v>
      </c>
      <c r="G31" s="108" t="s">
        <v>89</v>
      </c>
      <c r="H31" s="191">
        <v>95</v>
      </c>
      <c r="I31" s="191">
        <v>52</v>
      </c>
      <c r="J31" s="191">
        <v>95</v>
      </c>
      <c r="K31" s="216">
        <f t="shared" si="0"/>
        <v>0.46899999999999997</v>
      </c>
      <c r="L31" s="190">
        <v>158</v>
      </c>
      <c r="M31" s="190">
        <v>211</v>
      </c>
      <c r="N31" s="192" t="s">
        <v>182</v>
      </c>
      <c r="O31" s="22" t="s">
        <v>183</v>
      </c>
      <c r="P31" s="346" t="s">
        <v>184</v>
      </c>
      <c r="Q31" s="23"/>
      <c r="R31" s="24"/>
      <c r="S31" s="24"/>
      <c r="T31" s="60"/>
    </row>
    <row r="32" spans="1:20" s="61" customFormat="1" ht="24.9" customHeight="1">
      <c r="A32" s="107">
        <v>19</v>
      </c>
      <c r="B32" s="108"/>
      <c r="C32" s="184" t="s">
        <v>109</v>
      </c>
      <c r="D32" s="173" t="s">
        <v>92</v>
      </c>
      <c r="E32" s="189" t="s">
        <v>185</v>
      </c>
      <c r="F32" s="265">
        <v>1</v>
      </c>
      <c r="G32" s="108" t="s">
        <v>89</v>
      </c>
      <c r="H32" s="191">
        <v>95</v>
      </c>
      <c r="I32" s="191">
        <v>52</v>
      </c>
      <c r="J32" s="191">
        <v>95</v>
      </c>
      <c r="K32" s="216">
        <f t="shared" si="0"/>
        <v>0.46899999999999997</v>
      </c>
      <c r="L32" s="190">
        <v>158</v>
      </c>
      <c r="M32" s="190">
        <v>211</v>
      </c>
      <c r="N32" s="192" t="s">
        <v>182</v>
      </c>
      <c r="O32" s="22" t="s">
        <v>183</v>
      </c>
      <c r="P32" s="346" t="s">
        <v>184</v>
      </c>
      <c r="Q32" s="23"/>
      <c r="R32" s="24"/>
      <c r="S32" s="24"/>
      <c r="T32" s="60"/>
    </row>
    <row r="33" spans="1:20" s="61" customFormat="1" ht="24.9" customHeight="1">
      <c r="A33" s="107">
        <v>20</v>
      </c>
      <c r="B33" s="108"/>
      <c r="C33" s="184" t="s">
        <v>110</v>
      </c>
      <c r="D33" s="173" t="s">
        <v>92</v>
      </c>
      <c r="E33" s="189" t="s">
        <v>181</v>
      </c>
      <c r="F33" s="265">
        <v>1</v>
      </c>
      <c r="G33" s="108" t="s">
        <v>89</v>
      </c>
      <c r="H33" s="191">
        <v>95</v>
      </c>
      <c r="I33" s="191">
        <v>52</v>
      </c>
      <c r="J33" s="191">
        <v>95</v>
      </c>
      <c r="K33" s="216">
        <f t="shared" si="0"/>
        <v>0.46899999999999997</v>
      </c>
      <c r="L33" s="190">
        <v>149</v>
      </c>
      <c r="M33" s="190">
        <v>201</v>
      </c>
      <c r="N33" s="192" t="s">
        <v>182</v>
      </c>
      <c r="O33" s="22" t="s">
        <v>183</v>
      </c>
      <c r="P33" s="346" t="s">
        <v>184</v>
      </c>
      <c r="Q33" s="23"/>
      <c r="R33" s="24"/>
      <c r="S33" s="24"/>
      <c r="T33" s="60"/>
    </row>
    <row r="34" spans="1:20" s="61" customFormat="1" ht="24.9" customHeight="1">
      <c r="A34" s="107">
        <v>21</v>
      </c>
      <c r="B34" s="108"/>
      <c r="C34" s="184" t="s">
        <v>111</v>
      </c>
      <c r="D34" s="173" t="s">
        <v>92</v>
      </c>
      <c r="E34" s="189" t="s">
        <v>181</v>
      </c>
      <c r="F34" s="265">
        <v>1</v>
      </c>
      <c r="G34" s="108" t="s">
        <v>89</v>
      </c>
      <c r="H34" s="191">
        <v>95</v>
      </c>
      <c r="I34" s="191">
        <v>52</v>
      </c>
      <c r="J34" s="191">
        <v>95</v>
      </c>
      <c r="K34" s="216">
        <f t="shared" si="0"/>
        <v>0.46899999999999997</v>
      </c>
      <c r="L34" s="190">
        <v>164</v>
      </c>
      <c r="M34" s="190">
        <v>206</v>
      </c>
      <c r="N34" s="192" t="s">
        <v>182</v>
      </c>
      <c r="O34" s="22" t="s">
        <v>183</v>
      </c>
      <c r="P34" s="346" t="s">
        <v>184</v>
      </c>
      <c r="Q34" s="23"/>
      <c r="R34" s="24"/>
      <c r="S34" s="24"/>
      <c r="T34" s="60"/>
    </row>
    <row r="35" spans="1:20" s="61" customFormat="1" ht="24.9" customHeight="1">
      <c r="A35" s="107">
        <v>22</v>
      </c>
      <c r="B35" s="108"/>
      <c r="C35" s="184" t="s">
        <v>112</v>
      </c>
      <c r="D35" s="173" t="s">
        <v>92</v>
      </c>
      <c r="E35" s="189" t="s">
        <v>181</v>
      </c>
      <c r="F35" s="265">
        <v>1</v>
      </c>
      <c r="G35" s="108" t="s">
        <v>89</v>
      </c>
      <c r="H35" s="191">
        <v>95</v>
      </c>
      <c r="I35" s="191">
        <v>52</v>
      </c>
      <c r="J35" s="191">
        <v>95</v>
      </c>
      <c r="K35" s="216">
        <f t="shared" si="0"/>
        <v>0.46899999999999997</v>
      </c>
      <c r="L35" s="190">
        <v>150</v>
      </c>
      <c r="M35" s="190">
        <v>202</v>
      </c>
      <c r="N35" s="192" t="s">
        <v>182</v>
      </c>
      <c r="O35" s="22" t="s">
        <v>183</v>
      </c>
      <c r="P35" s="346" t="s">
        <v>184</v>
      </c>
      <c r="Q35" s="23"/>
      <c r="R35" s="24"/>
      <c r="S35" s="24"/>
      <c r="T35" s="60"/>
    </row>
    <row r="36" spans="1:20" s="61" customFormat="1" ht="24.9" customHeight="1">
      <c r="A36" s="107">
        <v>23</v>
      </c>
      <c r="B36" s="108"/>
      <c r="C36" s="184" t="s">
        <v>113</v>
      </c>
      <c r="D36" s="173" t="s">
        <v>92</v>
      </c>
      <c r="E36" s="189" t="s">
        <v>181</v>
      </c>
      <c r="F36" s="265">
        <v>1</v>
      </c>
      <c r="G36" s="108" t="s">
        <v>89</v>
      </c>
      <c r="H36" s="191">
        <v>95</v>
      </c>
      <c r="I36" s="191">
        <v>52</v>
      </c>
      <c r="J36" s="191">
        <v>95</v>
      </c>
      <c r="K36" s="216">
        <f t="shared" si="0"/>
        <v>0.46899999999999997</v>
      </c>
      <c r="L36" s="190">
        <v>150</v>
      </c>
      <c r="M36" s="190">
        <v>202</v>
      </c>
      <c r="N36" s="192" t="s">
        <v>182</v>
      </c>
      <c r="O36" s="22" t="s">
        <v>183</v>
      </c>
      <c r="P36" s="346" t="s">
        <v>184</v>
      </c>
      <c r="Q36" s="23"/>
      <c r="R36" s="24"/>
      <c r="S36" s="24"/>
      <c r="T36" s="60"/>
    </row>
    <row r="37" spans="1:20" s="61" customFormat="1" ht="24.9" customHeight="1">
      <c r="A37" s="107">
        <v>24</v>
      </c>
      <c r="B37" s="108"/>
      <c r="C37" s="184" t="s">
        <v>114</v>
      </c>
      <c r="D37" s="173" t="s">
        <v>92</v>
      </c>
      <c r="E37" s="189" t="s">
        <v>181</v>
      </c>
      <c r="F37" s="265">
        <v>1</v>
      </c>
      <c r="G37" s="108" t="s">
        <v>89</v>
      </c>
      <c r="H37" s="191">
        <v>95</v>
      </c>
      <c r="I37" s="191">
        <v>52</v>
      </c>
      <c r="J37" s="191">
        <v>95</v>
      </c>
      <c r="K37" s="216">
        <f t="shared" si="0"/>
        <v>0.46899999999999997</v>
      </c>
      <c r="L37" s="190">
        <v>156</v>
      </c>
      <c r="M37" s="190">
        <v>209</v>
      </c>
      <c r="N37" s="192" t="s">
        <v>182</v>
      </c>
      <c r="O37" s="22" t="s">
        <v>183</v>
      </c>
      <c r="P37" s="346" t="s">
        <v>184</v>
      </c>
      <c r="Q37" s="23"/>
      <c r="R37" s="24"/>
      <c r="S37" s="24"/>
      <c r="T37" s="60"/>
    </row>
    <row r="38" spans="1:20" s="61" customFormat="1" ht="24.9" customHeight="1">
      <c r="A38" s="107">
        <v>25</v>
      </c>
      <c r="B38" s="108"/>
      <c r="C38" s="184" t="s">
        <v>115</v>
      </c>
      <c r="D38" s="173" t="s">
        <v>92</v>
      </c>
      <c r="E38" s="189" t="s">
        <v>181</v>
      </c>
      <c r="F38" s="265">
        <v>1</v>
      </c>
      <c r="G38" s="108" t="s">
        <v>89</v>
      </c>
      <c r="H38" s="191">
        <v>95</v>
      </c>
      <c r="I38" s="191">
        <v>52</v>
      </c>
      <c r="J38" s="191">
        <v>95</v>
      </c>
      <c r="K38" s="216">
        <f t="shared" si="0"/>
        <v>0.46899999999999997</v>
      </c>
      <c r="L38" s="190">
        <v>158</v>
      </c>
      <c r="M38" s="190">
        <v>210</v>
      </c>
      <c r="N38" s="192" t="s">
        <v>182</v>
      </c>
      <c r="O38" s="22" t="s">
        <v>183</v>
      </c>
      <c r="P38" s="346" t="s">
        <v>184</v>
      </c>
      <c r="Q38" s="23"/>
      <c r="R38" s="24"/>
      <c r="S38" s="24"/>
      <c r="T38" s="60"/>
    </row>
    <row r="39" spans="1:20" s="61" customFormat="1" ht="24.9" customHeight="1">
      <c r="A39" s="107">
        <v>26</v>
      </c>
      <c r="B39" s="108"/>
      <c r="C39" s="184" t="s">
        <v>116</v>
      </c>
      <c r="D39" s="173" t="s">
        <v>92</v>
      </c>
      <c r="E39" s="189" t="s">
        <v>181</v>
      </c>
      <c r="F39" s="265">
        <v>1</v>
      </c>
      <c r="G39" s="108" t="s">
        <v>89</v>
      </c>
      <c r="H39" s="191">
        <v>95</v>
      </c>
      <c r="I39" s="191">
        <v>52</v>
      </c>
      <c r="J39" s="191">
        <v>95</v>
      </c>
      <c r="K39" s="216">
        <f t="shared" si="0"/>
        <v>0.46899999999999997</v>
      </c>
      <c r="L39" s="190">
        <v>155</v>
      </c>
      <c r="M39" s="190">
        <v>207</v>
      </c>
      <c r="N39" s="192" t="s">
        <v>182</v>
      </c>
      <c r="O39" s="22" t="s">
        <v>183</v>
      </c>
      <c r="P39" s="346" t="s">
        <v>184</v>
      </c>
      <c r="Q39" s="23"/>
      <c r="R39" s="24"/>
      <c r="S39" s="24"/>
      <c r="T39" s="60"/>
    </row>
    <row r="40" spans="1:20" s="61" customFormat="1" ht="24.9" customHeight="1">
      <c r="A40" s="107">
        <v>27</v>
      </c>
      <c r="B40" s="108"/>
      <c r="C40" s="184" t="s">
        <v>117</v>
      </c>
      <c r="D40" s="173" t="s">
        <v>92</v>
      </c>
      <c r="E40" s="189" t="s">
        <v>181</v>
      </c>
      <c r="F40" s="265">
        <v>1</v>
      </c>
      <c r="G40" s="108" t="s">
        <v>89</v>
      </c>
      <c r="H40" s="191">
        <v>95</v>
      </c>
      <c r="I40" s="191">
        <v>52</v>
      </c>
      <c r="J40" s="191">
        <v>95</v>
      </c>
      <c r="K40" s="216">
        <f t="shared" si="0"/>
        <v>0.46899999999999997</v>
      </c>
      <c r="L40" s="190">
        <v>151</v>
      </c>
      <c r="M40" s="190">
        <v>204</v>
      </c>
      <c r="N40" s="192" t="s">
        <v>182</v>
      </c>
      <c r="O40" s="22" t="s">
        <v>183</v>
      </c>
      <c r="P40" s="346" t="s">
        <v>184</v>
      </c>
      <c r="Q40" s="23"/>
      <c r="R40" s="24"/>
      <c r="S40" s="24"/>
      <c r="T40" s="60"/>
    </row>
    <row r="41" spans="1:20" s="61" customFormat="1" ht="24.9" customHeight="1">
      <c r="A41" s="107">
        <v>28</v>
      </c>
      <c r="B41" s="108"/>
      <c r="C41" s="184" t="s">
        <v>118</v>
      </c>
      <c r="D41" s="173" t="s">
        <v>92</v>
      </c>
      <c r="E41" s="189" t="s">
        <v>181</v>
      </c>
      <c r="F41" s="265">
        <v>1</v>
      </c>
      <c r="G41" s="108" t="s">
        <v>89</v>
      </c>
      <c r="H41" s="191">
        <v>95</v>
      </c>
      <c r="I41" s="191">
        <v>52</v>
      </c>
      <c r="J41" s="191">
        <v>95</v>
      </c>
      <c r="K41" s="216">
        <f t="shared" si="0"/>
        <v>0.46899999999999997</v>
      </c>
      <c r="L41" s="190">
        <v>155</v>
      </c>
      <c r="M41" s="190">
        <v>207</v>
      </c>
      <c r="N41" s="192" t="s">
        <v>182</v>
      </c>
      <c r="O41" s="22" t="s">
        <v>183</v>
      </c>
      <c r="P41" s="346" t="s">
        <v>184</v>
      </c>
      <c r="Q41" s="23"/>
      <c r="R41" s="24"/>
      <c r="S41" s="24"/>
      <c r="T41" s="60"/>
    </row>
    <row r="42" spans="1:20" s="61" customFormat="1" ht="24.9" customHeight="1">
      <c r="A42" s="107">
        <v>29</v>
      </c>
      <c r="B42" s="108"/>
      <c r="C42" s="184" t="s">
        <v>119</v>
      </c>
      <c r="D42" s="173" t="s">
        <v>92</v>
      </c>
      <c r="E42" s="189" t="s">
        <v>181</v>
      </c>
      <c r="F42" s="265">
        <v>1</v>
      </c>
      <c r="G42" s="108" t="s">
        <v>89</v>
      </c>
      <c r="H42" s="191">
        <v>95</v>
      </c>
      <c r="I42" s="191">
        <v>52</v>
      </c>
      <c r="J42" s="191">
        <v>95</v>
      </c>
      <c r="K42" s="216">
        <f t="shared" si="0"/>
        <v>0.46899999999999997</v>
      </c>
      <c r="L42" s="190">
        <v>150</v>
      </c>
      <c r="M42" s="190">
        <v>204</v>
      </c>
      <c r="N42" s="192" t="s">
        <v>182</v>
      </c>
      <c r="O42" s="22" t="s">
        <v>183</v>
      </c>
      <c r="P42" s="346" t="s">
        <v>184</v>
      </c>
      <c r="Q42" s="23"/>
      <c r="R42" s="24"/>
      <c r="S42" s="24"/>
      <c r="T42" s="60"/>
    </row>
    <row r="43" spans="1:20" s="61" customFormat="1" ht="24.9" customHeight="1">
      <c r="A43" s="107">
        <v>30</v>
      </c>
      <c r="B43" s="108"/>
      <c r="C43" s="184" t="s">
        <v>120</v>
      </c>
      <c r="D43" s="173" t="s">
        <v>92</v>
      </c>
      <c r="E43" s="189" t="s">
        <v>181</v>
      </c>
      <c r="F43" s="265">
        <v>1</v>
      </c>
      <c r="G43" s="108" t="s">
        <v>89</v>
      </c>
      <c r="H43" s="191">
        <v>95</v>
      </c>
      <c r="I43" s="191">
        <v>52</v>
      </c>
      <c r="J43" s="191">
        <v>95</v>
      </c>
      <c r="K43" s="216">
        <f t="shared" si="0"/>
        <v>0.46899999999999997</v>
      </c>
      <c r="L43" s="190">
        <v>162</v>
      </c>
      <c r="M43" s="190">
        <v>204</v>
      </c>
      <c r="N43" s="192" t="s">
        <v>182</v>
      </c>
      <c r="O43" s="22" t="s">
        <v>183</v>
      </c>
      <c r="P43" s="346" t="s">
        <v>184</v>
      </c>
      <c r="Q43" s="23"/>
      <c r="R43" s="24"/>
      <c r="S43" s="24"/>
      <c r="T43" s="60"/>
    </row>
    <row r="44" spans="1:20" s="61" customFormat="1" ht="24.9" customHeight="1">
      <c r="A44" s="107">
        <v>31</v>
      </c>
      <c r="B44" s="108"/>
      <c r="C44" s="184" t="s">
        <v>121</v>
      </c>
      <c r="D44" s="173" t="s">
        <v>92</v>
      </c>
      <c r="E44" s="189" t="s">
        <v>181</v>
      </c>
      <c r="F44" s="265">
        <v>1</v>
      </c>
      <c r="G44" s="108" t="s">
        <v>89</v>
      </c>
      <c r="H44" s="191">
        <v>95</v>
      </c>
      <c r="I44" s="191">
        <v>52</v>
      </c>
      <c r="J44" s="191">
        <v>95</v>
      </c>
      <c r="K44" s="216">
        <f t="shared" si="0"/>
        <v>0.46899999999999997</v>
      </c>
      <c r="L44" s="190">
        <v>155</v>
      </c>
      <c r="M44" s="190">
        <v>209</v>
      </c>
      <c r="N44" s="192" t="s">
        <v>182</v>
      </c>
      <c r="O44" s="22" t="s">
        <v>183</v>
      </c>
      <c r="P44" s="346" t="s">
        <v>184</v>
      </c>
      <c r="Q44" s="23"/>
      <c r="R44" s="24"/>
      <c r="S44" s="24"/>
      <c r="T44" s="60"/>
    </row>
    <row r="45" spans="1:20" s="61" customFormat="1" ht="24.9" customHeight="1">
      <c r="A45" s="107">
        <v>32</v>
      </c>
      <c r="B45" s="108"/>
      <c r="C45" s="184" t="s">
        <v>122</v>
      </c>
      <c r="D45" s="173" t="s">
        <v>92</v>
      </c>
      <c r="E45" s="189" t="s">
        <v>181</v>
      </c>
      <c r="F45" s="265">
        <v>1</v>
      </c>
      <c r="G45" s="108" t="s">
        <v>89</v>
      </c>
      <c r="H45" s="191">
        <v>95</v>
      </c>
      <c r="I45" s="191">
        <v>52</v>
      </c>
      <c r="J45" s="191">
        <v>95</v>
      </c>
      <c r="K45" s="216">
        <f t="shared" si="0"/>
        <v>0.46899999999999997</v>
      </c>
      <c r="L45" s="190">
        <v>154</v>
      </c>
      <c r="M45" s="190">
        <v>209</v>
      </c>
      <c r="N45" s="192" t="s">
        <v>182</v>
      </c>
      <c r="O45" s="22" t="s">
        <v>183</v>
      </c>
      <c r="P45" s="346" t="s">
        <v>184</v>
      </c>
      <c r="Q45" s="23"/>
      <c r="R45" s="24"/>
      <c r="S45" s="24"/>
      <c r="T45" s="60"/>
    </row>
    <row r="46" spans="1:20" s="61" customFormat="1" ht="24.9" customHeight="1">
      <c r="A46" s="107">
        <v>33</v>
      </c>
      <c r="B46" s="108"/>
      <c r="C46" s="184" t="s">
        <v>123</v>
      </c>
      <c r="D46" s="173" t="s">
        <v>92</v>
      </c>
      <c r="E46" s="189" t="s">
        <v>181</v>
      </c>
      <c r="F46" s="265">
        <v>1</v>
      </c>
      <c r="G46" s="108" t="s">
        <v>89</v>
      </c>
      <c r="H46" s="191">
        <v>95</v>
      </c>
      <c r="I46" s="191">
        <v>52</v>
      </c>
      <c r="J46" s="191">
        <v>95</v>
      </c>
      <c r="K46" s="216">
        <f t="shared" si="0"/>
        <v>0.46899999999999997</v>
      </c>
      <c r="L46" s="190">
        <v>169</v>
      </c>
      <c r="M46" s="190">
        <v>210</v>
      </c>
      <c r="N46" s="192" t="s">
        <v>182</v>
      </c>
      <c r="O46" s="22" t="s">
        <v>183</v>
      </c>
      <c r="P46" s="346" t="s">
        <v>184</v>
      </c>
      <c r="Q46" s="23"/>
      <c r="R46" s="24"/>
      <c r="S46" s="24"/>
      <c r="T46" s="60"/>
    </row>
    <row r="47" spans="1:20" s="61" customFormat="1" ht="24.9" customHeight="1">
      <c r="A47" s="107">
        <v>34</v>
      </c>
      <c r="B47" s="108"/>
      <c r="C47" s="184" t="s">
        <v>124</v>
      </c>
      <c r="D47" s="173" t="s">
        <v>92</v>
      </c>
      <c r="E47" s="189" t="s">
        <v>181</v>
      </c>
      <c r="F47" s="265">
        <v>1</v>
      </c>
      <c r="G47" s="108" t="s">
        <v>89</v>
      </c>
      <c r="H47" s="191">
        <v>95</v>
      </c>
      <c r="I47" s="191">
        <v>52</v>
      </c>
      <c r="J47" s="191">
        <v>95</v>
      </c>
      <c r="K47" s="216">
        <f t="shared" si="0"/>
        <v>0.46899999999999997</v>
      </c>
      <c r="L47" s="190">
        <v>168</v>
      </c>
      <c r="M47" s="190">
        <v>209</v>
      </c>
      <c r="N47" s="192" t="s">
        <v>182</v>
      </c>
      <c r="O47" s="22" t="s">
        <v>183</v>
      </c>
      <c r="P47" s="346" t="s">
        <v>184</v>
      </c>
      <c r="Q47" s="23"/>
      <c r="R47" s="24"/>
      <c r="S47" s="24"/>
      <c r="T47" s="60"/>
    </row>
    <row r="48" spans="1:20" s="61" customFormat="1" ht="24.9" customHeight="1">
      <c r="A48" s="107">
        <v>35</v>
      </c>
      <c r="B48" s="108"/>
      <c r="C48" s="184" t="s">
        <v>125</v>
      </c>
      <c r="D48" s="173" t="s">
        <v>92</v>
      </c>
      <c r="E48" s="189" t="s">
        <v>181</v>
      </c>
      <c r="F48" s="265">
        <v>1</v>
      </c>
      <c r="G48" s="108" t="s">
        <v>89</v>
      </c>
      <c r="H48" s="191">
        <v>95</v>
      </c>
      <c r="I48" s="191">
        <v>52</v>
      </c>
      <c r="J48" s="191">
        <v>95</v>
      </c>
      <c r="K48" s="216">
        <f t="shared" si="0"/>
        <v>0.46899999999999997</v>
      </c>
      <c r="L48" s="190">
        <v>166</v>
      </c>
      <c r="M48" s="190">
        <v>208</v>
      </c>
      <c r="N48" s="192" t="s">
        <v>182</v>
      </c>
      <c r="O48" s="22" t="s">
        <v>183</v>
      </c>
      <c r="P48" s="346" t="s">
        <v>184</v>
      </c>
      <c r="Q48" s="23"/>
      <c r="R48" s="24"/>
      <c r="S48" s="24"/>
      <c r="T48" s="60"/>
    </row>
    <row r="49" spans="1:20" s="61" customFormat="1" ht="24.9" customHeight="1">
      <c r="A49" s="107">
        <v>36</v>
      </c>
      <c r="B49" s="108"/>
      <c r="C49" s="184" t="s">
        <v>126</v>
      </c>
      <c r="D49" s="173" t="s">
        <v>92</v>
      </c>
      <c r="E49" s="189" t="s">
        <v>181</v>
      </c>
      <c r="F49" s="265">
        <v>1</v>
      </c>
      <c r="G49" s="108" t="s">
        <v>89</v>
      </c>
      <c r="H49" s="191">
        <v>95</v>
      </c>
      <c r="I49" s="191">
        <v>52</v>
      </c>
      <c r="J49" s="191">
        <v>95</v>
      </c>
      <c r="K49" s="216">
        <f t="shared" si="0"/>
        <v>0.46899999999999997</v>
      </c>
      <c r="L49" s="190">
        <v>155</v>
      </c>
      <c r="M49" s="190">
        <v>209</v>
      </c>
      <c r="N49" s="192" t="s">
        <v>182</v>
      </c>
      <c r="O49" s="22" t="s">
        <v>183</v>
      </c>
      <c r="P49" s="346" t="s">
        <v>184</v>
      </c>
      <c r="Q49" s="23"/>
      <c r="R49" s="24"/>
      <c r="S49" s="24"/>
      <c r="T49" s="60"/>
    </row>
    <row r="50" spans="1:20" s="61" customFormat="1" ht="24.9" customHeight="1">
      <c r="A50" s="107">
        <v>37</v>
      </c>
      <c r="B50" s="108"/>
      <c r="C50" s="184" t="s">
        <v>127</v>
      </c>
      <c r="D50" s="173" t="s">
        <v>92</v>
      </c>
      <c r="E50" s="189" t="s">
        <v>181</v>
      </c>
      <c r="F50" s="265">
        <v>1</v>
      </c>
      <c r="G50" s="108" t="s">
        <v>89</v>
      </c>
      <c r="H50" s="191">
        <v>95</v>
      </c>
      <c r="I50" s="191">
        <v>52</v>
      </c>
      <c r="J50" s="191">
        <v>95</v>
      </c>
      <c r="K50" s="216">
        <f t="shared" si="0"/>
        <v>0.46899999999999997</v>
      </c>
      <c r="L50" s="190">
        <v>153</v>
      </c>
      <c r="M50" s="190">
        <v>207</v>
      </c>
      <c r="N50" s="192" t="s">
        <v>182</v>
      </c>
      <c r="O50" s="22" t="s">
        <v>183</v>
      </c>
      <c r="P50" s="346" t="s">
        <v>184</v>
      </c>
      <c r="Q50" s="23"/>
      <c r="R50" s="24"/>
      <c r="S50" s="24"/>
      <c r="T50" s="60"/>
    </row>
    <row r="51" spans="1:20" s="27" customFormat="1" ht="28.2" customHeight="1" thickBot="1">
      <c r="A51" s="429" t="s">
        <v>186</v>
      </c>
      <c r="B51" s="430"/>
      <c r="C51" s="430"/>
      <c r="D51" s="430"/>
      <c r="E51" s="430"/>
      <c r="F51" s="266"/>
      <c r="G51" s="288"/>
      <c r="H51" s="262"/>
      <c r="I51" s="262"/>
      <c r="J51" s="262"/>
      <c r="K51" s="271">
        <f>SUM(K14:K50)</f>
        <v>18.301999999999996</v>
      </c>
      <c r="L51" s="271">
        <f t="shared" ref="L51:M51" si="1">SUM(L14:L50)</f>
        <v>6102</v>
      </c>
      <c r="M51" s="271">
        <f t="shared" si="1"/>
        <v>8009</v>
      </c>
      <c r="N51" s="156"/>
      <c r="O51" s="157"/>
      <c r="P51" s="158"/>
      <c r="Q51" s="25"/>
      <c r="R51" s="25"/>
      <c r="S51" s="26"/>
      <c r="T51" s="26"/>
    </row>
    <row r="52" spans="1:20" s="8" customFormat="1" ht="22.5" customHeight="1">
      <c r="A52" s="5"/>
      <c r="B52" s="5"/>
      <c r="C52" s="7"/>
      <c r="D52" s="7"/>
      <c r="E52" s="28"/>
      <c r="F52" s="267"/>
      <c r="G52" s="7"/>
      <c r="H52" s="43"/>
      <c r="I52" s="43"/>
      <c r="J52" s="45"/>
      <c r="K52" s="242"/>
      <c r="L52" s="185"/>
      <c r="M52" s="175"/>
      <c r="N52" s="29"/>
      <c r="O52" s="31"/>
      <c r="P52" s="17"/>
      <c r="Q52" s="32"/>
      <c r="R52" s="32"/>
      <c r="S52" s="10"/>
      <c r="T52" s="10"/>
    </row>
    <row r="53" spans="1:20" s="8" customFormat="1" ht="12" customHeight="1">
      <c r="A53" s="5"/>
      <c r="B53" s="5"/>
      <c r="C53" s="7"/>
      <c r="D53" s="7"/>
      <c r="F53" s="267"/>
      <c r="G53" s="7"/>
      <c r="H53" s="43"/>
      <c r="I53" s="43"/>
      <c r="J53" s="45"/>
      <c r="K53" s="242"/>
      <c r="L53" s="185"/>
      <c r="M53" s="175"/>
      <c r="N53" s="29"/>
      <c r="O53" s="31"/>
      <c r="P53" s="17"/>
      <c r="Q53" s="6"/>
      <c r="R53" s="6"/>
      <c r="S53" s="10"/>
      <c r="T53" s="10"/>
    </row>
    <row r="54" spans="1:20" s="8" customFormat="1" ht="22.5" customHeight="1">
      <c r="A54" s="5"/>
      <c r="B54" s="5"/>
      <c r="C54" s="7"/>
      <c r="D54" s="7"/>
      <c r="F54" s="267"/>
      <c r="G54" s="7"/>
      <c r="H54" s="43"/>
      <c r="I54" s="43"/>
      <c r="J54" s="45"/>
      <c r="K54" s="242"/>
      <c r="L54" s="185"/>
      <c r="M54" s="175"/>
      <c r="N54" s="29"/>
      <c r="O54" s="31"/>
      <c r="P54" s="17"/>
      <c r="Q54" s="6"/>
      <c r="R54" s="6"/>
      <c r="S54" s="10"/>
      <c r="T54" s="10"/>
    </row>
    <row r="55" spans="1:20" s="8" customFormat="1" ht="12" customHeight="1">
      <c r="A55" s="5"/>
      <c r="B55" s="5"/>
      <c r="C55" s="7"/>
      <c r="D55" s="7"/>
      <c r="F55" s="267"/>
      <c r="G55" s="7"/>
      <c r="H55" s="43"/>
      <c r="I55" s="43"/>
      <c r="J55" s="45"/>
      <c r="K55" s="242"/>
      <c r="L55" s="185"/>
      <c r="M55" s="175"/>
      <c r="N55" s="29"/>
      <c r="O55" s="31"/>
      <c r="P55" s="17"/>
      <c r="Q55" s="6"/>
      <c r="R55" s="6"/>
      <c r="S55" s="10"/>
      <c r="T55" s="10"/>
    </row>
    <row r="56" spans="1:20" s="8" customFormat="1" ht="12" customHeight="1">
      <c r="A56" s="5"/>
      <c r="B56" s="5"/>
      <c r="C56" s="7"/>
      <c r="D56" s="7"/>
      <c r="F56" s="268"/>
      <c r="G56" s="33"/>
      <c r="H56" s="43"/>
      <c r="I56" s="43"/>
      <c r="J56" s="45"/>
      <c r="K56" s="242"/>
      <c r="L56" s="185"/>
      <c r="M56" s="175"/>
      <c r="N56" s="29"/>
      <c r="O56" s="31"/>
      <c r="P56" s="17"/>
      <c r="Q56" s="6"/>
      <c r="R56" s="6"/>
      <c r="S56" s="10"/>
      <c r="T56" s="10"/>
    </row>
    <row r="57" spans="1:20" s="8" customFormat="1" ht="12" customHeight="1">
      <c r="A57" s="5"/>
      <c r="B57" s="5"/>
      <c r="C57" s="7"/>
      <c r="D57" s="7"/>
      <c r="F57" s="268"/>
      <c r="G57" s="33"/>
      <c r="H57" s="43"/>
      <c r="I57" s="43"/>
      <c r="J57" s="45"/>
      <c r="K57" s="242"/>
      <c r="L57" s="185"/>
      <c r="M57" s="175"/>
      <c r="N57" s="29"/>
      <c r="O57" s="31"/>
      <c r="P57" s="17"/>
      <c r="Q57" s="6"/>
      <c r="R57" s="6"/>
      <c r="S57" s="10"/>
      <c r="T57" s="10"/>
    </row>
    <row r="58" spans="1:20" s="8" customFormat="1" ht="12" customHeight="1">
      <c r="A58" s="5"/>
      <c r="B58" s="5"/>
      <c r="C58" s="7"/>
      <c r="D58" s="7"/>
      <c r="F58" s="268"/>
      <c r="G58" s="33"/>
      <c r="H58" s="43"/>
      <c r="I58" s="43"/>
      <c r="J58" s="45"/>
      <c r="K58" s="242"/>
      <c r="L58" s="185"/>
      <c r="M58" s="175"/>
      <c r="N58" s="29"/>
      <c r="O58" s="31"/>
      <c r="P58" s="17"/>
      <c r="Q58" s="6"/>
      <c r="R58" s="6"/>
      <c r="S58" s="10"/>
      <c r="T58" s="10"/>
    </row>
    <row r="59" spans="1:20" s="36" customFormat="1" ht="29.25" customHeight="1">
      <c r="A59" s="9"/>
      <c r="B59" s="9"/>
      <c r="C59" s="9"/>
      <c r="D59" s="9"/>
      <c r="F59" s="268"/>
      <c r="G59" s="33"/>
      <c r="H59" s="44"/>
      <c r="I59" s="44"/>
      <c r="J59" s="62"/>
      <c r="K59" s="244"/>
      <c r="L59" s="186"/>
      <c r="M59" s="176"/>
      <c r="N59" s="34"/>
      <c r="O59" s="17"/>
      <c r="P59" s="17"/>
      <c r="Q59" s="6"/>
      <c r="R59" s="6"/>
      <c r="S59" s="35"/>
      <c r="T59" s="35"/>
    </row>
    <row r="60" spans="1:20" s="36" customFormat="1" ht="29.25" customHeight="1">
      <c r="A60" s="9"/>
      <c r="B60" s="9"/>
      <c r="C60" s="9"/>
      <c r="D60" s="9"/>
      <c r="F60" s="268"/>
      <c r="G60" s="33"/>
      <c r="H60" s="44"/>
      <c r="I60" s="44"/>
      <c r="J60" s="62"/>
      <c r="K60" s="244"/>
      <c r="L60" s="186"/>
      <c r="M60" s="176"/>
      <c r="N60" s="34"/>
      <c r="O60" s="17"/>
      <c r="P60" s="17"/>
      <c r="Q60" s="6"/>
      <c r="R60" s="6"/>
      <c r="S60" s="35"/>
      <c r="T60" s="35"/>
    </row>
    <row r="61" spans="1:20" s="8" customFormat="1" ht="12" customHeight="1">
      <c r="A61" s="5"/>
      <c r="B61" s="5"/>
      <c r="C61" s="7"/>
      <c r="D61" s="7"/>
      <c r="F61" s="268"/>
      <c r="G61" s="7"/>
      <c r="H61" s="43"/>
      <c r="I61" s="43"/>
      <c r="J61" s="45"/>
      <c r="K61" s="242"/>
      <c r="L61" s="185"/>
      <c r="M61" s="175"/>
      <c r="N61" s="29"/>
      <c r="O61" s="31"/>
      <c r="P61" s="17"/>
      <c r="Q61" s="6"/>
      <c r="R61" s="6"/>
      <c r="S61" s="10"/>
      <c r="T61" s="10"/>
    </row>
    <row r="62" spans="1:20" s="8" customFormat="1" ht="18" customHeight="1">
      <c r="A62" s="5"/>
      <c r="B62" s="5"/>
      <c r="C62" s="7"/>
      <c r="D62" s="7"/>
      <c r="E62" s="5"/>
      <c r="F62" s="268"/>
      <c r="G62" s="7"/>
      <c r="H62" s="43"/>
      <c r="I62" s="43"/>
      <c r="J62" s="45"/>
      <c r="K62" s="242"/>
      <c r="L62" s="185"/>
      <c r="M62" s="175"/>
      <c r="N62" s="29"/>
      <c r="O62" s="31"/>
      <c r="P62" s="17"/>
      <c r="Q62" s="6"/>
      <c r="R62" s="6"/>
      <c r="S62" s="10"/>
      <c r="T62" s="10"/>
    </row>
    <row r="63" spans="1:20" s="8" customFormat="1" ht="12" customHeight="1">
      <c r="A63" s="5"/>
      <c r="B63" s="5"/>
      <c r="C63" s="7"/>
      <c r="D63" s="7"/>
      <c r="E63" s="5"/>
      <c r="F63" s="268"/>
      <c r="G63" s="7"/>
      <c r="H63" s="43"/>
      <c r="I63" s="43"/>
      <c r="J63" s="45"/>
      <c r="K63" s="242"/>
      <c r="L63" s="185"/>
      <c r="M63" s="175"/>
      <c r="N63" s="29"/>
      <c r="O63" s="31"/>
      <c r="P63" s="17"/>
      <c r="Q63" s="6"/>
      <c r="R63" s="6"/>
      <c r="S63" s="10"/>
      <c r="T63" s="10"/>
    </row>
    <row r="64" spans="1:20" s="8" customFormat="1" ht="12" customHeight="1">
      <c r="A64" s="5"/>
      <c r="B64" s="5"/>
      <c r="C64" s="7"/>
      <c r="D64" s="7"/>
      <c r="E64" s="5"/>
      <c r="F64" s="268"/>
      <c r="G64" s="7"/>
      <c r="H64" s="43"/>
      <c r="I64" s="43"/>
      <c r="J64" s="45"/>
      <c r="K64" s="242"/>
      <c r="L64" s="185"/>
      <c r="M64" s="175"/>
      <c r="N64" s="29"/>
      <c r="O64" s="31"/>
      <c r="P64" s="17"/>
      <c r="Q64" s="6"/>
      <c r="R64" s="6"/>
      <c r="S64" s="10"/>
      <c r="T64" s="10"/>
    </row>
    <row r="65" spans="1:20" s="8" customFormat="1" ht="12" customHeight="1">
      <c r="A65" s="5"/>
      <c r="B65" s="5"/>
      <c r="C65" s="7"/>
      <c r="D65" s="7"/>
      <c r="E65" s="5"/>
      <c r="F65" s="268"/>
      <c r="G65" s="7"/>
      <c r="H65" s="43"/>
      <c r="I65" s="43"/>
      <c r="J65" s="45"/>
      <c r="K65" s="242"/>
      <c r="L65" s="185"/>
      <c r="M65" s="175"/>
      <c r="N65" s="29"/>
      <c r="O65" s="31"/>
      <c r="P65" s="17"/>
      <c r="Q65" s="6"/>
      <c r="R65" s="6"/>
      <c r="S65" s="10"/>
      <c r="T65" s="10"/>
    </row>
    <row r="66" spans="1:20" s="8" customFormat="1" ht="12" customHeight="1">
      <c r="A66" s="5"/>
      <c r="B66" s="5"/>
      <c r="C66" s="7"/>
      <c r="D66" s="7"/>
      <c r="E66" s="5"/>
      <c r="F66" s="268"/>
      <c r="G66" s="7"/>
      <c r="H66" s="43"/>
      <c r="I66" s="43"/>
      <c r="J66" s="45"/>
      <c r="K66" s="242"/>
      <c r="L66" s="185"/>
      <c r="M66" s="175"/>
      <c r="N66" s="29"/>
      <c r="O66" s="31"/>
      <c r="P66" s="17"/>
      <c r="Q66" s="6"/>
      <c r="R66" s="6"/>
      <c r="S66" s="10"/>
      <c r="T66" s="10"/>
    </row>
    <row r="67" spans="1:20" s="8" customFormat="1" ht="12" customHeight="1">
      <c r="A67" s="5"/>
      <c r="B67" s="5"/>
      <c r="C67" s="7"/>
      <c r="D67" s="7"/>
      <c r="E67" s="5"/>
      <c r="F67" s="268"/>
      <c r="G67" s="7"/>
      <c r="H67" s="43"/>
      <c r="I67" s="43"/>
      <c r="J67" s="45"/>
      <c r="K67" s="242"/>
      <c r="L67" s="185"/>
      <c r="M67" s="175"/>
      <c r="N67" s="29"/>
      <c r="O67" s="31"/>
      <c r="P67" s="17"/>
      <c r="Q67" s="6"/>
      <c r="R67" s="6"/>
      <c r="S67" s="10"/>
      <c r="T67" s="10"/>
    </row>
    <row r="68" spans="1:20" s="8" customFormat="1" ht="13.5" customHeight="1">
      <c r="A68" s="5"/>
      <c r="B68" s="5"/>
      <c r="C68" s="7"/>
      <c r="D68" s="7"/>
      <c r="E68" s="5"/>
      <c r="F68" s="268"/>
      <c r="G68" s="7"/>
      <c r="H68" s="43"/>
      <c r="I68" s="43"/>
      <c r="J68" s="45"/>
      <c r="K68" s="242"/>
      <c r="L68" s="185"/>
      <c r="M68" s="175"/>
      <c r="N68" s="29"/>
      <c r="O68" s="31"/>
      <c r="P68" s="17"/>
      <c r="Q68" s="6"/>
      <c r="R68" s="6"/>
      <c r="S68" s="10"/>
      <c r="T68" s="10"/>
    </row>
    <row r="69" spans="1:20" s="8" customFormat="1" ht="13.5" customHeight="1">
      <c r="A69" s="5"/>
      <c r="B69" s="5"/>
      <c r="C69" s="7"/>
      <c r="D69" s="7"/>
      <c r="E69" s="5"/>
      <c r="F69" s="268"/>
      <c r="G69" s="7"/>
      <c r="H69" s="43"/>
      <c r="I69" s="43"/>
      <c r="J69" s="45"/>
      <c r="K69" s="242"/>
      <c r="L69" s="185"/>
      <c r="M69" s="175"/>
      <c r="N69" s="29"/>
      <c r="O69" s="31"/>
      <c r="P69" s="17"/>
      <c r="Q69" s="6"/>
      <c r="R69" s="6"/>
      <c r="S69" s="10"/>
      <c r="T69" s="10"/>
    </row>
    <row r="70" spans="1:20" s="8" customFormat="1" ht="13.5" customHeight="1">
      <c r="A70" s="5"/>
      <c r="B70" s="5"/>
      <c r="C70" s="7"/>
      <c r="D70" s="7"/>
      <c r="E70" s="5"/>
      <c r="F70" s="268"/>
      <c r="G70" s="7"/>
      <c r="H70" s="43"/>
      <c r="I70" s="43"/>
      <c r="J70" s="45"/>
      <c r="K70" s="242"/>
      <c r="L70" s="185"/>
      <c r="M70" s="175"/>
      <c r="N70" s="29"/>
      <c r="O70" s="31"/>
      <c r="P70" s="17"/>
      <c r="Q70" s="6"/>
      <c r="R70" s="6"/>
      <c r="S70" s="10"/>
      <c r="T70" s="10"/>
    </row>
    <row r="71" spans="1:20" s="8" customFormat="1" ht="29.25" customHeight="1">
      <c r="A71" s="5"/>
      <c r="B71" s="5"/>
      <c r="C71" s="7"/>
      <c r="D71" s="7"/>
      <c r="E71" s="5"/>
      <c r="F71" s="268"/>
      <c r="G71" s="7"/>
      <c r="H71" s="43"/>
      <c r="I71" s="43"/>
      <c r="J71" s="45"/>
      <c r="K71" s="242"/>
      <c r="L71" s="185"/>
      <c r="M71" s="175"/>
      <c r="N71" s="29"/>
      <c r="O71" s="31"/>
      <c r="P71" s="17"/>
      <c r="Q71" s="6"/>
      <c r="R71" s="6"/>
      <c r="S71" s="10"/>
      <c r="T71" s="10"/>
    </row>
    <row r="72" spans="1:20" s="8" customFormat="1" ht="13.5" customHeight="1">
      <c r="A72" s="5"/>
      <c r="B72" s="5"/>
      <c r="C72" s="7"/>
      <c r="D72" s="7"/>
      <c r="E72" s="5"/>
      <c r="F72" s="268"/>
      <c r="G72" s="7"/>
      <c r="H72" s="43"/>
      <c r="I72" s="43"/>
      <c r="J72" s="45"/>
      <c r="K72" s="242"/>
      <c r="L72" s="185"/>
      <c r="M72" s="175"/>
      <c r="N72" s="29"/>
      <c r="O72" s="31"/>
      <c r="P72" s="17"/>
      <c r="Q72" s="6"/>
      <c r="R72" s="6"/>
      <c r="S72" s="10"/>
      <c r="T72" s="10"/>
    </row>
    <row r="73" spans="1:20" s="8" customFormat="1" ht="13.5" customHeight="1">
      <c r="A73" s="5"/>
      <c r="B73" s="5"/>
      <c r="C73" s="7"/>
      <c r="D73" s="7"/>
      <c r="E73" s="5"/>
      <c r="F73" s="268"/>
      <c r="G73" s="7"/>
      <c r="H73" s="43"/>
      <c r="I73" s="43"/>
      <c r="J73" s="45"/>
      <c r="K73" s="242"/>
      <c r="L73" s="185"/>
      <c r="M73" s="175"/>
      <c r="N73" s="29"/>
      <c r="O73" s="31"/>
      <c r="P73" s="17"/>
      <c r="Q73" s="6"/>
      <c r="R73" s="6"/>
      <c r="S73" s="10"/>
      <c r="T73" s="10"/>
    </row>
    <row r="74" spans="1:20" s="8" customFormat="1" ht="13.5" customHeight="1">
      <c r="A74" s="5"/>
      <c r="B74" s="5"/>
      <c r="C74" s="7"/>
      <c r="D74" s="7"/>
      <c r="E74" s="5"/>
      <c r="F74" s="268"/>
      <c r="G74" s="7"/>
      <c r="H74" s="43"/>
      <c r="I74" s="43"/>
      <c r="J74" s="45"/>
      <c r="K74" s="242"/>
      <c r="L74" s="185"/>
      <c r="M74" s="175"/>
      <c r="N74" s="29"/>
      <c r="O74" s="31"/>
      <c r="P74" s="17"/>
      <c r="Q74" s="6"/>
      <c r="R74" s="6"/>
      <c r="S74" s="10"/>
      <c r="T74" s="10"/>
    </row>
    <row r="75" spans="1:20" s="8" customFormat="1" ht="13.5" customHeight="1">
      <c r="A75" s="5"/>
      <c r="B75" s="5"/>
      <c r="C75" s="7"/>
      <c r="D75" s="7"/>
      <c r="E75" s="5"/>
      <c r="F75" s="268"/>
      <c r="G75" s="7"/>
      <c r="H75" s="43"/>
      <c r="I75" s="43"/>
      <c r="J75" s="45"/>
      <c r="K75" s="242"/>
      <c r="L75" s="185"/>
      <c r="M75" s="175"/>
      <c r="N75" s="29"/>
      <c r="O75" s="31"/>
      <c r="P75" s="17"/>
      <c r="Q75" s="6"/>
      <c r="R75" s="6"/>
      <c r="S75" s="10"/>
      <c r="T75" s="10"/>
    </row>
    <row r="76" spans="1:20" s="8" customFormat="1" ht="13.5" customHeight="1">
      <c r="A76" s="5"/>
      <c r="B76" s="5"/>
      <c r="C76" s="7"/>
      <c r="D76" s="7"/>
      <c r="E76" s="5"/>
      <c r="F76" s="268"/>
      <c r="G76" s="7"/>
      <c r="H76" s="43"/>
      <c r="I76" s="43"/>
      <c r="J76" s="45"/>
      <c r="K76" s="242"/>
      <c r="L76" s="185"/>
      <c r="M76" s="175"/>
      <c r="N76" s="29"/>
      <c r="O76" s="31"/>
      <c r="P76" s="17"/>
      <c r="Q76" s="6"/>
      <c r="R76" s="6"/>
      <c r="S76" s="10"/>
      <c r="T76" s="10"/>
    </row>
    <row r="77" spans="1:20" s="8" customFormat="1" ht="13.5" customHeight="1">
      <c r="A77" s="5"/>
      <c r="B77" s="5"/>
      <c r="C77" s="7"/>
      <c r="D77" s="7"/>
      <c r="E77" s="5"/>
      <c r="F77" s="268"/>
      <c r="G77" s="7"/>
      <c r="H77" s="43"/>
      <c r="I77" s="43"/>
      <c r="J77" s="45"/>
      <c r="K77" s="242"/>
      <c r="L77" s="185"/>
      <c r="M77" s="175"/>
      <c r="N77" s="29"/>
      <c r="O77" s="31"/>
      <c r="P77" s="17"/>
      <c r="Q77" s="6"/>
      <c r="R77" s="6"/>
      <c r="S77" s="10"/>
      <c r="T77" s="10"/>
    </row>
    <row r="78" spans="1:20" s="8" customFormat="1" ht="13.5" customHeight="1">
      <c r="A78" s="5"/>
      <c r="B78" s="5"/>
      <c r="C78" s="7"/>
      <c r="D78" s="7"/>
      <c r="E78" s="5"/>
      <c r="F78" s="268"/>
      <c r="G78" s="7"/>
      <c r="H78" s="43"/>
      <c r="I78" s="43"/>
      <c r="J78" s="45"/>
      <c r="K78" s="242"/>
      <c r="L78" s="185"/>
      <c r="M78" s="175"/>
      <c r="N78" s="29"/>
      <c r="O78" s="31"/>
      <c r="P78" s="17"/>
      <c r="Q78" s="6"/>
      <c r="R78" s="6"/>
      <c r="S78" s="10"/>
      <c r="T78" s="10"/>
    </row>
    <row r="79" spans="1:20" s="8" customFormat="1" ht="13.5" customHeight="1">
      <c r="A79" s="5"/>
      <c r="B79" s="5"/>
      <c r="C79" s="7"/>
      <c r="D79" s="7"/>
      <c r="E79" s="5"/>
      <c r="F79" s="268"/>
      <c r="G79" s="7"/>
      <c r="H79" s="43"/>
      <c r="I79" s="43"/>
      <c r="J79" s="45"/>
      <c r="K79" s="242"/>
      <c r="L79" s="185"/>
      <c r="M79" s="175"/>
      <c r="N79" s="29"/>
      <c r="O79" s="31"/>
      <c r="P79" s="17"/>
      <c r="Q79" s="6"/>
      <c r="R79" s="6"/>
      <c r="S79" s="10"/>
      <c r="T79" s="10"/>
    </row>
    <row r="80" spans="1:20" s="8" customFormat="1" ht="13.5" customHeight="1">
      <c r="A80" s="5"/>
      <c r="B80" s="5"/>
      <c r="C80" s="7"/>
      <c r="D80" s="7"/>
      <c r="E80" s="5"/>
      <c r="F80" s="268"/>
      <c r="G80" s="7"/>
      <c r="H80" s="43"/>
      <c r="I80" s="43"/>
      <c r="J80" s="45"/>
      <c r="K80" s="242"/>
      <c r="L80" s="185"/>
      <c r="M80" s="175"/>
      <c r="N80" s="29"/>
      <c r="O80" s="31"/>
      <c r="P80" s="17"/>
      <c r="Q80" s="6"/>
      <c r="R80" s="6"/>
      <c r="S80" s="10"/>
      <c r="T80" s="10"/>
    </row>
    <row r="81" spans="1:20" s="8" customFormat="1" ht="13.5" customHeight="1">
      <c r="A81" s="5"/>
      <c r="B81" s="5"/>
      <c r="C81" s="7"/>
      <c r="D81" s="7"/>
      <c r="E81" s="5"/>
      <c r="F81" s="268"/>
      <c r="G81" s="7"/>
      <c r="H81" s="43"/>
      <c r="I81" s="43"/>
      <c r="J81" s="45"/>
      <c r="K81" s="242"/>
      <c r="L81" s="185"/>
      <c r="M81" s="175"/>
      <c r="N81" s="29"/>
      <c r="O81" s="31"/>
      <c r="P81" s="17"/>
      <c r="Q81" s="6"/>
      <c r="R81" s="6"/>
      <c r="S81" s="10"/>
      <c r="T81" s="10"/>
    </row>
    <row r="82" spans="1:20" s="8" customFormat="1" ht="13.5" customHeight="1">
      <c r="A82" s="5"/>
      <c r="B82" s="5"/>
      <c r="C82" s="7"/>
      <c r="D82" s="7"/>
      <c r="E82" s="5"/>
      <c r="F82" s="268"/>
      <c r="G82" s="7"/>
      <c r="H82" s="43"/>
      <c r="I82" s="43"/>
      <c r="J82" s="45"/>
      <c r="K82" s="242"/>
      <c r="L82" s="185"/>
      <c r="M82" s="175"/>
      <c r="N82" s="29"/>
      <c r="O82" s="31"/>
      <c r="P82" s="17"/>
      <c r="Q82" s="6"/>
      <c r="R82" s="6"/>
      <c r="S82" s="10"/>
      <c r="T82" s="10"/>
    </row>
    <row r="83" spans="1:20" s="8" customFormat="1" ht="13.5" customHeight="1">
      <c r="A83" s="5"/>
      <c r="B83" s="5"/>
      <c r="C83" s="7"/>
      <c r="D83" s="7"/>
      <c r="E83" s="5"/>
      <c r="F83" s="268"/>
      <c r="G83" s="7"/>
      <c r="H83" s="43"/>
      <c r="I83" s="43"/>
      <c r="J83" s="45"/>
      <c r="K83" s="242"/>
      <c r="L83" s="185"/>
      <c r="M83" s="175"/>
      <c r="N83" s="29"/>
      <c r="O83" s="31"/>
      <c r="P83" s="17"/>
      <c r="Q83" s="6"/>
      <c r="R83" s="6"/>
      <c r="S83" s="10"/>
      <c r="T83" s="10"/>
    </row>
    <row r="84" spans="1:20" s="8" customFormat="1" ht="13.5" customHeight="1">
      <c r="A84" s="5"/>
      <c r="B84" s="5"/>
      <c r="C84" s="7"/>
      <c r="D84" s="7"/>
      <c r="E84" s="5"/>
      <c r="F84" s="268"/>
      <c r="G84" s="7"/>
      <c r="H84" s="43"/>
      <c r="I84" s="43"/>
      <c r="J84" s="45"/>
      <c r="K84" s="242"/>
      <c r="L84" s="185"/>
      <c r="M84" s="175"/>
      <c r="N84" s="29"/>
      <c r="O84" s="31"/>
      <c r="P84" s="17"/>
      <c r="Q84" s="6"/>
      <c r="R84" s="6"/>
      <c r="S84" s="10"/>
      <c r="T84" s="10"/>
    </row>
    <row r="85" spans="1:20" s="8" customFormat="1" ht="13.5" customHeight="1">
      <c r="A85" s="5"/>
      <c r="B85" s="5"/>
      <c r="C85" s="7"/>
      <c r="D85" s="7"/>
      <c r="E85" s="5"/>
      <c r="F85" s="268"/>
      <c r="G85" s="7"/>
      <c r="H85" s="43"/>
      <c r="I85" s="43"/>
      <c r="J85" s="45"/>
      <c r="K85" s="242"/>
      <c r="L85" s="185"/>
      <c r="M85" s="175"/>
      <c r="N85" s="29"/>
      <c r="O85" s="31"/>
      <c r="P85" s="17"/>
      <c r="Q85" s="6"/>
      <c r="R85" s="6"/>
      <c r="S85" s="10"/>
      <c r="T85" s="10"/>
    </row>
    <row r="86" spans="1:20" s="8" customFormat="1" ht="13.5" customHeight="1">
      <c r="A86" s="5"/>
      <c r="B86" s="5"/>
      <c r="C86" s="7"/>
      <c r="D86" s="7"/>
      <c r="E86" s="5"/>
      <c r="F86" s="268"/>
      <c r="G86" s="7"/>
      <c r="H86" s="43"/>
      <c r="I86" s="43"/>
      <c r="J86" s="45"/>
      <c r="K86" s="242"/>
      <c r="L86" s="185"/>
      <c r="M86" s="175"/>
      <c r="N86" s="29"/>
      <c r="O86" s="31"/>
      <c r="P86" s="17"/>
      <c r="Q86" s="11"/>
      <c r="R86" s="11"/>
      <c r="S86" s="10"/>
      <c r="T86" s="10"/>
    </row>
    <row r="87" spans="1:20" s="8" customFormat="1" ht="13.5" customHeight="1">
      <c r="A87" s="5"/>
      <c r="B87" s="5"/>
      <c r="C87" s="7"/>
      <c r="D87" s="7"/>
      <c r="E87" s="5"/>
      <c r="F87" s="268"/>
      <c r="G87" s="7"/>
      <c r="H87" s="43"/>
      <c r="I87" s="43"/>
      <c r="J87" s="45"/>
      <c r="K87" s="242"/>
      <c r="L87" s="185"/>
      <c r="M87" s="175"/>
      <c r="N87" s="29"/>
      <c r="O87" s="31"/>
      <c r="P87" s="17"/>
      <c r="Q87" s="11"/>
      <c r="R87" s="11"/>
      <c r="S87" s="10"/>
      <c r="T87" s="10"/>
    </row>
    <row r="88" spans="1:20" s="8" customFormat="1" ht="13.5" customHeight="1">
      <c r="A88" s="5"/>
      <c r="B88" s="5"/>
      <c r="C88" s="7"/>
      <c r="D88" s="7"/>
      <c r="E88" s="5"/>
      <c r="F88" s="268"/>
      <c r="G88" s="7"/>
      <c r="H88" s="43"/>
      <c r="I88" s="43"/>
      <c r="J88" s="45"/>
      <c r="K88" s="242"/>
      <c r="L88" s="185"/>
      <c r="M88" s="175"/>
      <c r="N88" s="29"/>
      <c r="O88" s="31"/>
      <c r="P88" s="17"/>
      <c r="Q88" s="11"/>
      <c r="R88" s="11"/>
      <c r="S88" s="10"/>
      <c r="T88" s="10"/>
    </row>
    <row r="89" spans="1:20" s="8" customFormat="1" ht="13.5" customHeight="1">
      <c r="A89" s="5"/>
      <c r="B89" s="5"/>
      <c r="C89" s="7"/>
      <c r="D89" s="7"/>
      <c r="E89" s="5"/>
      <c r="F89" s="268"/>
      <c r="G89" s="7"/>
      <c r="H89" s="43"/>
      <c r="I89" s="43"/>
      <c r="J89" s="45"/>
      <c r="K89" s="242"/>
      <c r="L89" s="185"/>
      <c r="M89" s="175"/>
      <c r="N89" s="29"/>
      <c r="O89" s="31"/>
      <c r="P89" s="17"/>
      <c r="Q89" s="11"/>
      <c r="R89" s="11"/>
      <c r="S89" s="10"/>
      <c r="T89" s="10"/>
    </row>
    <row r="90" spans="1:20" s="8" customFormat="1" ht="13.5" customHeight="1">
      <c r="A90" s="5"/>
      <c r="B90" s="5"/>
      <c r="C90" s="7"/>
      <c r="D90" s="7"/>
      <c r="E90" s="5"/>
      <c r="F90" s="268"/>
      <c r="G90" s="7"/>
      <c r="H90" s="43"/>
      <c r="I90" s="43"/>
      <c r="J90" s="45"/>
      <c r="K90" s="242"/>
      <c r="L90" s="185"/>
      <c r="M90" s="175"/>
      <c r="N90" s="29"/>
      <c r="O90" s="31"/>
      <c r="P90" s="17"/>
      <c r="Q90" s="11"/>
      <c r="R90" s="11"/>
      <c r="S90" s="10"/>
      <c r="T90" s="10"/>
    </row>
    <row r="91" spans="1:20" s="8" customFormat="1" ht="13.5" customHeight="1">
      <c r="A91" s="5"/>
      <c r="B91" s="5"/>
      <c r="C91" s="7"/>
      <c r="D91" s="7"/>
      <c r="E91" s="5"/>
      <c r="F91" s="268"/>
      <c r="G91" s="7"/>
      <c r="H91" s="43"/>
      <c r="I91" s="43"/>
      <c r="J91" s="45"/>
      <c r="K91" s="242"/>
      <c r="L91" s="185"/>
      <c r="M91" s="175"/>
      <c r="N91" s="29"/>
      <c r="O91" s="31"/>
      <c r="P91" s="17"/>
      <c r="Q91" s="11"/>
      <c r="R91" s="11"/>
      <c r="S91" s="10"/>
      <c r="T91" s="10"/>
    </row>
    <row r="92" spans="1:20" s="8" customFormat="1" ht="13.5" customHeight="1">
      <c r="A92" s="5"/>
      <c r="B92" s="5"/>
      <c r="C92" s="7"/>
      <c r="D92" s="7"/>
      <c r="E92" s="5"/>
      <c r="F92" s="267"/>
      <c r="G92" s="7"/>
      <c r="H92" s="43"/>
      <c r="I92" s="43"/>
      <c r="J92" s="45"/>
      <c r="K92" s="242"/>
      <c r="L92" s="185"/>
      <c r="M92" s="175"/>
      <c r="N92" s="29"/>
      <c r="O92" s="31"/>
      <c r="P92" s="17"/>
      <c r="Q92" s="11"/>
      <c r="R92" s="11"/>
      <c r="S92" s="10"/>
      <c r="T92" s="10"/>
    </row>
    <row r="93" spans="1:20" s="8" customFormat="1" ht="22.5" customHeight="1">
      <c r="A93" s="5"/>
      <c r="B93" s="5"/>
      <c r="C93" s="248"/>
      <c r="D93" s="248"/>
      <c r="E93" s="248"/>
      <c r="F93" s="267"/>
      <c r="G93" s="7"/>
      <c r="H93" s="45"/>
      <c r="I93" s="45"/>
      <c r="J93" s="45"/>
      <c r="K93" s="273"/>
      <c r="L93" s="30"/>
      <c r="M93" s="177"/>
      <c r="N93" s="30"/>
      <c r="O93" s="37"/>
      <c r="P93" s="58"/>
      <c r="Q93" s="11"/>
      <c r="R93" s="11"/>
      <c r="S93" s="10"/>
      <c r="T93" s="10"/>
    </row>
    <row r="94" spans="1:20">
      <c r="F94" s="269"/>
      <c r="H94" s="46"/>
      <c r="I94" s="46"/>
      <c r="L94" s="187"/>
      <c r="M94" s="178"/>
      <c r="N94" s="40"/>
    </row>
    <row r="95" spans="1:20">
      <c r="F95" s="269"/>
      <c r="H95" s="46"/>
      <c r="I95" s="46"/>
      <c r="L95" s="187"/>
      <c r="M95" s="178"/>
      <c r="N95" s="40"/>
    </row>
    <row r="96" spans="1:20">
      <c r="F96" s="269"/>
      <c r="H96" s="46"/>
      <c r="I96" s="46"/>
      <c r="L96" s="187"/>
      <c r="M96" s="178"/>
      <c r="N96" s="40"/>
    </row>
    <row r="97" spans="1:20">
      <c r="F97" s="269"/>
      <c r="H97" s="46"/>
      <c r="I97" s="46"/>
      <c r="L97" s="187"/>
      <c r="M97" s="178"/>
      <c r="N97" s="40"/>
    </row>
    <row r="98" spans="1:20">
      <c r="F98" s="269"/>
      <c r="H98" s="46"/>
      <c r="I98" s="46"/>
      <c r="L98" s="187"/>
      <c r="M98" s="178"/>
      <c r="N98" s="40"/>
    </row>
    <row r="99" spans="1:20" s="11" customFormat="1">
      <c r="A99" s="38"/>
      <c r="B99" s="38"/>
      <c r="C99" s="38"/>
      <c r="D99" s="38"/>
      <c r="F99" s="269"/>
      <c r="G99" s="39"/>
      <c r="H99" s="46"/>
      <c r="I99" s="46"/>
      <c r="J99" s="47"/>
      <c r="K99" s="246"/>
      <c r="L99" s="187"/>
      <c r="M99" s="178"/>
      <c r="N99" s="40"/>
      <c r="O99" s="41"/>
      <c r="P99" s="59"/>
      <c r="S99" s="12"/>
      <c r="T99" s="12"/>
    </row>
  </sheetData>
  <protectedRanges>
    <protectedRange sqref="D14:J50 L14:P50" name="범위1_1"/>
    <protectedRange sqref="K14:K50" name="범위1_1_1"/>
  </protectedRanges>
  <mergeCells count="14">
    <mergeCell ref="A6:P6"/>
    <mergeCell ref="O12:O13"/>
    <mergeCell ref="P12:P13"/>
    <mergeCell ref="F12:G12"/>
    <mergeCell ref="H12:K12"/>
    <mergeCell ref="L12:L13"/>
    <mergeCell ref="M12:M13"/>
    <mergeCell ref="N12:N13"/>
    <mergeCell ref="A51:E51"/>
    <mergeCell ref="A12:A13"/>
    <mergeCell ref="B12:B13"/>
    <mergeCell ref="C12:C13"/>
    <mergeCell ref="D12:D13"/>
    <mergeCell ref="E12:E13"/>
  </mergeCells>
  <phoneticPr fontId="4" type="noConversion"/>
  <printOptions horizontalCentered="1"/>
  <pageMargins left="0.39370078740157483" right="0.39370078740157483" top="0.19685039370078741" bottom="0.19685039370078741" header="0.23622047244094491" footer="0"/>
  <pageSetup paperSize="9" scale="44" fitToHeight="0" orientation="landscape" horizontalDpi="1200" verticalDpi="1200" r:id="rId1"/>
  <headerFooter alignWithMargins="0">
    <oddFooter>&amp;C&amp;"Calibri,보통"&amp;12Doosan Enerbility</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B4BF0-3BC7-4E22-9007-E2474CDC4F94}">
  <sheetPr>
    <tabColor rgb="FF00B0F0"/>
    <pageSetUpPr fitToPage="1"/>
  </sheetPr>
  <dimension ref="A1:V136"/>
  <sheetViews>
    <sheetView showGridLines="0" zoomScale="55" zoomScaleNormal="55" workbookViewId="0">
      <selection activeCell="C85" sqref="C85"/>
    </sheetView>
  </sheetViews>
  <sheetFormatPr defaultColWidth="10" defaultRowHeight="13.8"/>
  <cols>
    <col min="1" max="1" width="17" style="38" customWidth="1"/>
    <col min="2" max="2" width="31.8984375" style="38" customWidth="1"/>
    <col min="3" max="3" width="54" style="38" customWidth="1"/>
    <col min="4" max="4" width="21.09765625" style="11" customWidth="1"/>
    <col min="5" max="5" width="11.69921875" style="256" customWidth="1"/>
    <col min="6" max="6" width="10.09765625" style="39" customWidth="1"/>
    <col min="7" max="7" width="11.5" style="246" customWidth="1"/>
    <col min="8" max="9" width="11.5" style="246" bestFit="1" customWidth="1"/>
    <col min="10" max="10" width="11.69921875" style="246" customWidth="1"/>
    <col min="11" max="11" width="17.59765625" style="42" customWidth="1"/>
    <col min="12" max="12" width="18.09765625" style="246" customWidth="1"/>
    <col min="13" max="13" width="24.59765625" style="246" customWidth="1"/>
    <col min="14" max="14" width="17" style="246" customWidth="1"/>
    <col min="15" max="15" width="17.59765625" style="42" customWidth="1"/>
    <col min="16" max="16" width="18.59765625" style="41" customWidth="1"/>
    <col min="17" max="17" width="21.09765625" style="59" customWidth="1"/>
    <col min="18" max="18" width="10" style="11"/>
    <col min="19" max="19" width="20" style="11" bestFit="1" customWidth="1"/>
    <col min="20" max="20" width="28" style="11" customWidth="1"/>
    <col min="21" max="22" width="10" style="12"/>
    <col min="23" max="16384" width="10" style="13"/>
  </cols>
  <sheetData>
    <row r="1" spans="1:22" s="8" customFormat="1" ht="12">
      <c r="A1" s="5"/>
      <c r="B1" s="5"/>
      <c r="C1" s="5"/>
      <c r="D1" s="6"/>
      <c r="E1" s="249"/>
      <c r="F1" s="7"/>
      <c r="G1" s="198"/>
      <c r="H1" s="199"/>
      <c r="I1" s="199"/>
      <c r="J1" s="199"/>
      <c r="L1" s="199"/>
      <c r="M1" s="199"/>
      <c r="N1" s="199"/>
      <c r="O1" s="5"/>
      <c r="P1" s="9" t="s">
        <v>187</v>
      </c>
      <c r="Q1" s="36"/>
      <c r="R1" s="6"/>
      <c r="S1" s="5"/>
      <c r="T1" s="6"/>
      <c r="U1" s="10"/>
      <c r="V1" s="10"/>
    </row>
    <row r="2" spans="1:22" s="8" customFormat="1" ht="12">
      <c r="A2" s="5"/>
      <c r="B2" s="5"/>
      <c r="C2" s="5"/>
      <c r="D2" s="6"/>
      <c r="E2" s="249"/>
      <c r="F2" s="7"/>
      <c r="G2" s="198"/>
      <c r="H2" s="199"/>
      <c r="I2" s="199"/>
      <c r="J2" s="199"/>
      <c r="L2" s="199"/>
      <c r="M2" s="199"/>
      <c r="N2" s="199"/>
      <c r="O2" s="5"/>
      <c r="P2" s="9" t="s">
        <v>1</v>
      </c>
      <c r="Q2" s="36"/>
      <c r="R2" s="200" t="s">
        <v>145</v>
      </c>
      <c r="S2" s="201" t="s">
        <v>146</v>
      </c>
      <c r="T2" s="202" t="s">
        <v>147</v>
      </c>
      <c r="U2" s="10"/>
      <c r="V2" s="10"/>
    </row>
    <row r="3" spans="1:22" s="8" customFormat="1" ht="12">
      <c r="A3" s="5"/>
      <c r="B3" s="5"/>
      <c r="C3" s="5"/>
      <c r="D3" s="6"/>
      <c r="E3" s="249"/>
      <c r="F3" s="7"/>
      <c r="G3" s="198"/>
      <c r="H3" s="199"/>
      <c r="I3" s="199"/>
      <c r="J3" s="199"/>
      <c r="L3" s="199"/>
      <c r="M3" s="199"/>
      <c r="N3" s="199"/>
      <c r="O3" s="5"/>
      <c r="P3" s="9" t="s">
        <v>2</v>
      </c>
      <c r="Q3" s="36"/>
      <c r="R3" s="6"/>
      <c r="S3" s="201" t="s">
        <v>148</v>
      </c>
      <c r="T3" s="202" t="s">
        <v>149</v>
      </c>
      <c r="U3" s="10"/>
      <c r="V3" s="10"/>
    </row>
    <row r="4" spans="1:22" s="8" customFormat="1" ht="12">
      <c r="A4" s="5"/>
      <c r="B4" s="5"/>
      <c r="C4" s="5"/>
      <c r="D4" s="6"/>
      <c r="E4" s="249"/>
      <c r="F4" s="7"/>
      <c r="G4" s="198"/>
      <c r="H4" s="199"/>
      <c r="I4" s="199"/>
      <c r="J4" s="199"/>
      <c r="L4" s="199"/>
      <c r="M4" s="199"/>
      <c r="N4" s="199"/>
      <c r="O4" s="5"/>
      <c r="P4" s="9" t="s">
        <v>3</v>
      </c>
      <c r="Q4" s="36"/>
      <c r="R4" s="6"/>
      <c r="S4" s="201" t="s">
        <v>150</v>
      </c>
      <c r="T4" s="202" t="s">
        <v>151</v>
      </c>
      <c r="U4" s="10"/>
      <c r="V4" s="10"/>
    </row>
    <row r="5" spans="1:22" s="8" customFormat="1" ht="12">
      <c r="A5" s="5"/>
      <c r="B5" s="5"/>
      <c r="C5" s="5"/>
      <c r="D5" s="6"/>
      <c r="E5" s="249"/>
      <c r="F5" s="7"/>
      <c r="G5" s="198"/>
      <c r="H5" s="199"/>
      <c r="I5" s="199"/>
      <c r="J5" s="199"/>
      <c r="L5" s="199"/>
      <c r="M5" s="199"/>
      <c r="N5" s="199"/>
      <c r="O5" s="5"/>
      <c r="P5" s="9" t="s">
        <v>4</v>
      </c>
      <c r="Q5" s="36"/>
      <c r="R5" s="6"/>
      <c r="S5" s="201" t="s">
        <v>152</v>
      </c>
      <c r="T5" s="202" t="s">
        <v>153</v>
      </c>
      <c r="U5" s="10"/>
      <c r="V5" s="10"/>
    </row>
    <row r="6" spans="1:22" ht="47.7" customHeight="1">
      <c r="A6" s="404" t="s">
        <v>188</v>
      </c>
      <c r="B6" s="350"/>
      <c r="C6" s="350"/>
      <c r="D6" s="350"/>
      <c r="E6" s="446"/>
      <c r="F6" s="350"/>
      <c r="G6" s="350"/>
      <c r="H6" s="350"/>
      <c r="I6" s="350"/>
      <c r="J6" s="350"/>
      <c r="K6" s="350"/>
      <c r="L6" s="350"/>
      <c r="M6" s="350"/>
      <c r="N6" s="350"/>
      <c r="O6" s="350"/>
      <c r="P6" s="350"/>
      <c r="Q6" s="350"/>
    </row>
    <row r="7" spans="1:22" ht="21" customHeight="1">
      <c r="A7" s="84" t="s">
        <v>155</v>
      </c>
      <c r="B7" s="84" t="s">
        <v>156</v>
      </c>
      <c r="C7" s="85"/>
      <c r="D7" s="85"/>
      <c r="E7" s="250"/>
      <c r="F7" s="85"/>
      <c r="G7" s="194"/>
      <c r="H7" s="194"/>
      <c r="I7" s="194"/>
      <c r="J7" s="272"/>
      <c r="K7" s="194"/>
      <c r="L7" s="194"/>
      <c r="M7" s="194"/>
      <c r="N7" s="194"/>
      <c r="O7" s="194"/>
      <c r="P7" s="194"/>
      <c r="Q7" s="11"/>
      <c r="S7" s="12"/>
      <c r="T7" s="12"/>
      <c r="U7" s="13"/>
      <c r="V7" s="13"/>
    </row>
    <row r="8" spans="1:22" ht="21" customHeight="1">
      <c r="A8" s="84"/>
      <c r="B8" s="84" t="s">
        <v>157</v>
      </c>
      <c r="C8" s="85"/>
      <c r="D8" s="85"/>
      <c r="E8" s="250"/>
      <c r="F8" s="85"/>
      <c r="G8" s="194"/>
      <c r="H8" s="194"/>
      <c r="I8" s="194"/>
      <c r="J8" s="272"/>
      <c r="K8" s="194"/>
      <c r="L8" s="194"/>
      <c r="M8" s="194"/>
      <c r="N8" s="194"/>
      <c r="O8" s="194"/>
      <c r="P8" s="194"/>
      <c r="Q8" s="11"/>
      <c r="S8" s="12"/>
      <c r="T8" s="12"/>
      <c r="U8" s="13"/>
      <c r="V8" s="13"/>
    </row>
    <row r="9" spans="1:22" s="18" customFormat="1" ht="21" customHeight="1" thickBot="1">
      <c r="A9" s="84" t="s">
        <v>158</v>
      </c>
      <c r="B9" s="84" t="str">
        <f>PL!V8</f>
        <v>PGU-DE-0311</v>
      </c>
      <c r="C9" s="84"/>
      <c r="D9" s="86"/>
      <c r="E9" s="251"/>
      <c r="F9" s="203"/>
      <c r="G9" s="14"/>
      <c r="H9" s="204"/>
      <c r="I9" s="204"/>
      <c r="J9" s="204"/>
      <c r="K9" s="205"/>
      <c r="L9" s="15"/>
      <c r="M9" s="204"/>
      <c r="N9" s="15"/>
      <c r="O9" s="17"/>
      <c r="P9" s="17"/>
      <c r="Q9" s="206"/>
      <c r="R9" s="206"/>
      <c r="S9" s="207"/>
      <c r="T9" s="207"/>
    </row>
    <row r="10" spans="1:22" s="18" customFormat="1" ht="21" customHeight="1">
      <c r="A10" s="208" t="s">
        <v>159</v>
      </c>
      <c r="B10" s="155" t="str">
        <f>'Summary PL'!B10</f>
        <v>Branch of JSC "Doosan Enerbility" in the Turkestan region</v>
      </c>
      <c r="C10" s="155"/>
      <c r="D10" s="164"/>
      <c r="E10" s="252"/>
      <c r="F10" s="209"/>
      <c r="G10" s="14"/>
      <c r="H10" s="204"/>
      <c r="I10" s="204"/>
      <c r="J10" s="204"/>
      <c r="K10" s="205"/>
      <c r="L10" s="15"/>
      <c r="M10" s="204"/>
      <c r="N10" s="15"/>
      <c r="O10" s="17"/>
      <c r="P10" s="17"/>
      <c r="Q10" s="206"/>
      <c r="R10" s="206"/>
      <c r="S10" s="207"/>
      <c r="T10" s="207"/>
    </row>
    <row r="11" spans="1:22" s="18" customFormat="1" ht="21" customHeight="1" thickBot="1">
      <c r="A11" s="210" t="s">
        <v>160</v>
      </c>
      <c r="B11" s="211" t="str">
        <f>'Summary PL'!B11</f>
        <v>321 Tauke Khan Avenue, Turkestan region, Turkestan, Kazakhstan, 161200</v>
      </c>
      <c r="C11" s="211"/>
      <c r="D11" s="197"/>
      <c r="E11" s="253"/>
      <c r="F11" s="212"/>
      <c r="G11" s="14"/>
      <c r="H11" s="204"/>
      <c r="I11" s="204"/>
      <c r="J11" s="204"/>
      <c r="K11" s="205"/>
      <c r="L11" s="15"/>
      <c r="M11" s="204"/>
      <c r="N11" s="15"/>
      <c r="O11" s="17"/>
      <c r="P11" s="17"/>
      <c r="Q11" s="206"/>
      <c r="R11" s="206"/>
      <c r="S11" s="207"/>
      <c r="T11" s="207"/>
    </row>
    <row r="12" spans="1:22" s="21" customFormat="1" ht="23.7" customHeight="1">
      <c r="A12" s="431" t="s">
        <v>161</v>
      </c>
      <c r="B12" s="433" t="s">
        <v>189</v>
      </c>
      <c r="C12" s="433" t="s">
        <v>190</v>
      </c>
      <c r="D12" s="433" t="s">
        <v>191</v>
      </c>
      <c r="E12" s="447" t="s">
        <v>166</v>
      </c>
      <c r="F12" s="439"/>
      <c r="G12" s="440" t="s">
        <v>167</v>
      </c>
      <c r="H12" s="440"/>
      <c r="I12" s="440"/>
      <c r="J12" s="440"/>
      <c r="K12" s="441" t="s">
        <v>168</v>
      </c>
      <c r="L12" s="443" t="s">
        <v>169</v>
      </c>
      <c r="M12" s="443" t="s">
        <v>192</v>
      </c>
      <c r="N12" s="443" t="s">
        <v>193</v>
      </c>
      <c r="O12" s="441" t="s">
        <v>194</v>
      </c>
      <c r="P12" s="435" t="s">
        <v>195</v>
      </c>
      <c r="Q12" s="437" t="s">
        <v>196</v>
      </c>
      <c r="R12" s="19"/>
      <c r="S12" s="20"/>
      <c r="T12" s="20"/>
      <c r="U12" s="20"/>
      <c r="V12" s="20"/>
    </row>
    <row r="13" spans="1:22" s="21" customFormat="1" ht="39" customHeight="1">
      <c r="A13" s="432"/>
      <c r="B13" s="434"/>
      <c r="C13" s="434"/>
      <c r="D13" s="434"/>
      <c r="E13" s="213" t="s">
        <v>197</v>
      </c>
      <c r="F13" s="195" t="s">
        <v>198</v>
      </c>
      <c r="G13" s="214" t="s">
        <v>175</v>
      </c>
      <c r="H13" s="214" t="s">
        <v>176</v>
      </c>
      <c r="I13" s="214" t="s">
        <v>177</v>
      </c>
      <c r="J13" s="214" t="s">
        <v>178</v>
      </c>
      <c r="K13" s="442"/>
      <c r="L13" s="444"/>
      <c r="M13" s="444"/>
      <c r="N13" s="444"/>
      <c r="O13" s="442"/>
      <c r="P13" s="436"/>
      <c r="Q13" s="438"/>
      <c r="R13" s="19"/>
      <c r="S13" s="20"/>
      <c r="T13" s="20"/>
      <c r="U13" s="20"/>
      <c r="V13" s="20"/>
    </row>
    <row r="14" spans="1:22" s="61" customFormat="1" ht="25.2" customHeight="1">
      <c r="A14" s="107">
        <v>1</v>
      </c>
      <c r="B14" s="215" t="s">
        <v>87</v>
      </c>
      <c r="C14" s="274" t="s">
        <v>199</v>
      </c>
      <c r="D14" s="108"/>
      <c r="E14" s="257">
        <v>1</v>
      </c>
      <c r="F14" s="108" t="s">
        <v>200</v>
      </c>
      <c r="G14" s="216"/>
      <c r="H14" s="216"/>
      <c r="I14" s="217"/>
      <c r="J14" s="282"/>
      <c r="K14" s="275"/>
      <c r="L14" s="275"/>
      <c r="M14" s="218"/>
      <c r="N14" s="218"/>
      <c r="O14" s="192"/>
      <c r="P14" s="22"/>
      <c r="Q14" s="219"/>
      <c r="R14" s="23"/>
      <c r="S14" s="24"/>
      <c r="T14" s="220"/>
      <c r="U14" s="24"/>
      <c r="V14" s="60"/>
    </row>
    <row r="15" spans="1:22" s="236" customFormat="1" ht="25.2" customHeight="1">
      <c r="A15" s="222"/>
      <c r="B15" s="223"/>
      <c r="C15" s="224"/>
      <c r="D15" s="225"/>
      <c r="E15" s="226"/>
      <c r="F15" s="227"/>
      <c r="G15" s="228">
        <f>'Summary PL'!H14</f>
        <v>125</v>
      </c>
      <c r="H15" s="228">
        <f>'Summary PL'!I14</f>
        <v>106</v>
      </c>
      <c r="I15" s="228">
        <f>'Summary PL'!J14</f>
        <v>107</v>
      </c>
      <c r="J15" s="228">
        <f>ROUND(I15*H15*G15/1000000,2)</f>
        <v>1.42</v>
      </c>
      <c r="K15" s="228">
        <v>460</v>
      </c>
      <c r="L15" s="228">
        <v>517</v>
      </c>
      <c r="M15" s="230"/>
      <c r="N15" s="229"/>
      <c r="O15" s="229"/>
      <c r="P15" s="231"/>
      <c r="Q15" s="232"/>
      <c r="R15" s="23"/>
      <c r="S15" s="233"/>
      <c r="T15" s="234"/>
      <c r="U15" s="233"/>
      <c r="V15" s="235"/>
    </row>
    <row r="16" spans="1:22" s="61" customFormat="1" ht="25.2" customHeight="1">
      <c r="A16" s="107">
        <v>1</v>
      </c>
      <c r="B16" s="215" t="s">
        <v>201</v>
      </c>
      <c r="C16" s="173" t="s">
        <v>202</v>
      </c>
      <c r="D16" s="108"/>
      <c r="E16" s="257">
        <v>1</v>
      </c>
      <c r="F16" s="108" t="s">
        <v>200</v>
      </c>
      <c r="G16" s="216"/>
      <c r="H16" s="216"/>
      <c r="I16" s="217"/>
      <c r="J16" s="282"/>
      <c r="K16" s="275"/>
      <c r="L16" s="275"/>
      <c r="M16" s="218"/>
      <c r="N16" s="221"/>
      <c r="O16" s="192"/>
      <c r="P16" s="22"/>
      <c r="Q16" s="219"/>
      <c r="R16" s="23"/>
      <c r="S16" s="24"/>
      <c r="T16" s="220"/>
      <c r="U16" s="24"/>
      <c r="V16" s="60"/>
    </row>
    <row r="17" spans="1:22" s="236" customFormat="1" ht="25.2" customHeight="1">
      <c r="A17" s="222"/>
      <c r="B17" s="223"/>
      <c r="C17" s="224"/>
      <c r="D17" s="225"/>
      <c r="E17" s="226"/>
      <c r="F17" s="227"/>
      <c r="G17" s="228">
        <f>'Summary PL'!H15</f>
        <v>95</v>
      </c>
      <c r="H17" s="228">
        <f>'Summary PL'!I15</f>
        <v>52</v>
      </c>
      <c r="I17" s="228">
        <f>'Summary PL'!J15</f>
        <v>95</v>
      </c>
      <c r="J17" s="228">
        <f>ROUND(I17*H17*G17/1000000,3)</f>
        <v>0.46899999999999997</v>
      </c>
      <c r="K17" s="228">
        <v>158</v>
      </c>
      <c r="L17" s="228">
        <v>211</v>
      </c>
      <c r="M17" s="230"/>
      <c r="N17" s="229"/>
      <c r="O17" s="229"/>
      <c r="P17" s="231"/>
      <c r="Q17" s="232"/>
      <c r="R17" s="23"/>
      <c r="S17" s="233"/>
      <c r="T17" s="234"/>
      <c r="U17" s="233"/>
      <c r="V17" s="235"/>
    </row>
    <row r="18" spans="1:22" s="61" customFormat="1" ht="25.2" customHeight="1">
      <c r="A18" s="107">
        <v>1</v>
      </c>
      <c r="B18" s="215" t="s">
        <v>203</v>
      </c>
      <c r="C18" s="173" t="s">
        <v>204</v>
      </c>
      <c r="D18" s="108"/>
      <c r="E18" s="257">
        <v>1</v>
      </c>
      <c r="F18" s="108" t="s">
        <v>200</v>
      </c>
      <c r="G18" s="216"/>
      <c r="H18" s="216"/>
      <c r="I18" s="217"/>
      <c r="J18" s="282"/>
      <c r="K18" s="275"/>
      <c r="L18" s="275"/>
      <c r="M18" s="218"/>
      <c r="N18" s="221"/>
      <c r="O18" s="192"/>
      <c r="P18" s="22"/>
      <c r="Q18" s="219"/>
      <c r="R18" s="23"/>
      <c r="S18" s="24"/>
      <c r="T18" s="220"/>
      <c r="U18" s="24"/>
      <c r="V18" s="60"/>
    </row>
    <row r="19" spans="1:22" s="236" customFormat="1" ht="24.45" customHeight="1">
      <c r="A19" s="222"/>
      <c r="B19" s="223"/>
      <c r="C19" s="224"/>
      <c r="D19" s="225"/>
      <c r="E19" s="226"/>
      <c r="F19" s="227"/>
      <c r="G19" s="228">
        <f>'Summary PL'!H16</f>
        <v>95</v>
      </c>
      <c r="H19" s="228">
        <f>'Summary PL'!I16</f>
        <v>52</v>
      </c>
      <c r="I19" s="228">
        <f>'Summary PL'!J16</f>
        <v>95</v>
      </c>
      <c r="J19" s="228">
        <f>ROUND(I19*H19*G19/1000000,3)</f>
        <v>0.46899999999999997</v>
      </c>
      <c r="K19" s="228">
        <v>155</v>
      </c>
      <c r="L19" s="228">
        <v>207</v>
      </c>
      <c r="M19" s="230"/>
      <c r="N19" s="229"/>
      <c r="O19" s="229"/>
      <c r="P19" s="231"/>
      <c r="Q19" s="232"/>
      <c r="R19" s="23"/>
      <c r="S19" s="233"/>
      <c r="T19" s="234"/>
      <c r="U19" s="233"/>
      <c r="V19" s="235"/>
    </row>
    <row r="20" spans="1:22" s="61" customFormat="1" ht="25.2" customHeight="1">
      <c r="A20" s="107">
        <v>1</v>
      </c>
      <c r="B20" s="215" t="s">
        <v>205</v>
      </c>
      <c r="C20" s="173" t="s">
        <v>206</v>
      </c>
      <c r="D20" s="108"/>
      <c r="E20" s="257">
        <v>1</v>
      </c>
      <c r="F20" s="108" t="s">
        <v>200</v>
      </c>
      <c r="G20" s="216"/>
      <c r="H20" s="216"/>
      <c r="I20" s="217"/>
      <c r="J20" s="282"/>
      <c r="K20" s="275"/>
      <c r="L20" s="275"/>
      <c r="M20" s="218"/>
      <c r="N20" s="221"/>
      <c r="O20" s="192"/>
      <c r="P20" s="22"/>
      <c r="Q20" s="276"/>
      <c r="R20" s="23"/>
      <c r="S20" s="24"/>
      <c r="T20" s="220"/>
      <c r="U20" s="24"/>
      <c r="V20" s="60"/>
    </row>
    <row r="21" spans="1:22" s="236" customFormat="1" ht="24.45" customHeight="1">
      <c r="A21" s="222"/>
      <c r="B21" s="223"/>
      <c r="C21" s="224"/>
      <c r="D21" s="225"/>
      <c r="E21" s="226"/>
      <c r="F21" s="227"/>
      <c r="G21" s="228">
        <f>'Summary PL'!H17</f>
        <v>95</v>
      </c>
      <c r="H21" s="228">
        <f>'Summary PL'!I17</f>
        <v>52</v>
      </c>
      <c r="I21" s="228">
        <f>'Summary PL'!J17</f>
        <v>95</v>
      </c>
      <c r="J21" s="228">
        <f>ROUND(I21*H21*G21/1000000,3)</f>
        <v>0.46899999999999997</v>
      </c>
      <c r="K21" s="228">
        <v>160</v>
      </c>
      <c r="L21" s="228">
        <v>213</v>
      </c>
      <c r="M21" s="230"/>
      <c r="N21" s="229"/>
      <c r="O21" s="229"/>
      <c r="P21" s="231"/>
      <c r="Q21" s="232"/>
      <c r="R21" s="23"/>
      <c r="S21" s="233"/>
      <c r="T21" s="234"/>
      <c r="U21" s="233"/>
      <c r="V21" s="235"/>
    </row>
    <row r="22" spans="1:22" s="61" customFormat="1" ht="25.2" customHeight="1">
      <c r="A22" s="107">
        <v>1</v>
      </c>
      <c r="B22" s="215" t="s">
        <v>207</v>
      </c>
      <c r="C22" s="173" t="s">
        <v>208</v>
      </c>
      <c r="D22" s="108"/>
      <c r="E22" s="257">
        <v>1</v>
      </c>
      <c r="F22" s="108" t="s">
        <v>200</v>
      </c>
      <c r="G22" s="216"/>
      <c r="H22" s="216"/>
      <c r="I22" s="217"/>
      <c r="J22" s="282"/>
      <c r="K22" s="275"/>
      <c r="L22" s="275"/>
      <c r="M22" s="216"/>
      <c r="N22" s="221"/>
      <c r="O22" s="192"/>
      <c r="P22" s="22"/>
      <c r="Q22" s="219"/>
      <c r="R22" s="23"/>
      <c r="S22" s="24"/>
      <c r="T22" s="220"/>
      <c r="U22" s="24"/>
      <c r="V22" s="60"/>
    </row>
    <row r="23" spans="1:22" s="236" customFormat="1" ht="24.45" customHeight="1">
      <c r="A23" s="222"/>
      <c r="B23" s="223"/>
      <c r="C23" s="224"/>
      <c r="D23" s="225"/>
      <c r="E23" s="226"/>
      <c r="F23" s="227"/>
      <c r="G23" s="228">
        <f>'Summary PL'!H19</f>
        <v>95</v>
      </c>
      <c r="H23" s="228">
        <f>'Summary PL'!I19</f>
        <v>52</v>
      </c>
      <c r="I23" s="228">
        <f>'Summary PL'!J19</f>
        <v>95</v>
      </c>
      <c r="J23" s="228">
        <f>ROUND(I23*H23*G23/1000000,3)</f>
        <v>0.46899999999999997</v>
      </c>
      <c r="K23" s="228">
        <v>155</v>
      </c>
      <c r="L23" s="228">
        <v>208</v>
      </c>
      <c r="M23" s="230"/>
      <c r="N23" s="229"/>
      <c r="O23" s="229"/>
      <c r="P23" s="231"/>
      <c r="Q23" s="232"/>
      <c r="R23" s="23"/>
      <c r="S23" s="233"/>
      <c r="T23" s="234"/>
      <c r="U23" s="233"/>
      <c r="V23" s="235"/>
    </row>
    <row r="24" spans="1:22" s="61" customFormat="1" ht="25.2" customHeight="1">
      <c r="A24" s="107">
        <v>1</v>
      </c>
      <c r="B24" s="215" t="s">
        <v>209</v>
      </c>
      <c r="C24" s="173" t="s">
        <v>210</v>
      </c>
      <c r="D24" s="108"/>
      <c r="E24" s="257">
        <v>1</v>
      </c>
      <c r="F24" s="108" t="s">
        <v>200</v>
      </c>
      <c r="G24" s="216"/>
      <c r="H24" s="216"/>
      <c r="I24" s="217"/>
      <c r="J24" s="282"/>
      <c r="K24" s="275"/>
      <c r="L24" s="275"/>
      <c r="M24" s="216"/>
      <c r="N24" s="221"/>
      <c r="O24" s="192"/>
      <c r="P24" s="22"/>
      <c r="Q24" s="219"/>
      <c r="R24" s="23"/>
      <c r="S24" s="24"/>
      <c r="T24" s="220"/>
      <c r="U24" s="24"/>
      <c r="V24" s="60"/>
    </row>
    <row r="25" spans="1:22" s="236" customFormat="1" ht="24.45" customHeight="1">
      <c r="A25" s="222"/>
      <c r="B25" s="223"/>
      <c r="C25" s="224"/>
      <c r="D25" s="225"/>
      <c r="E25" s="226"/>
      <c r="F25" s="227"/>
      <c r="G25" s="228">
        <v>95</v>
      </c>
      <c r="H25" s="228">
        <v>52</v>
      </c>
      <c r="I25" s="228">
        <v>95</v>
      </c>
      <c r="J25" s="228">
        <f>ROUND(I25*H25*G25/1000000,3)</f>
        <v>0.46899999999999997</v>
      </c>
      <c r="K25" s="228">
        <v>155</v>
      </c>
      <c r="L25" s="228">
        <v>209</v>
      </c>
      <c r="M25" s="230"/>
      <c r="N25" s="229"/>
      <c r="O25" s="229"/>
      <c r="P25" s="231"/>
      <c r="Q25" s="232"/>
      <c r="R25" s="23"/>
      <c r="S25" s="233"/>
      <c r="T25" s="234"/>
      <c r="U25" s="233"/>
      <c r="V25" s="235"/>
    </row>
    <row r="26" spans="1:22" s="61" customFormat="1" ht="25.2" customHeight="1">
      <c r="A26" s="107">
        <v>1</v>
      </c>
      <c r="B26" s="215" t="s">
        <v>211</v>
      </c>
      <c r="C26" s="173" t="s">
        <v>212</v>
      </c>
      <c r="D26" s="108"/>
      <c r="E26" s="257">
        <v>1</v>
      </c>
      <c r="F26" s="108" t="s">
        <v>200</v>
      </c>
      <c r="G26" s="216"/>
      <c r="H26" s="216"/>
      <c r="I26" s="217"/>
      <c r="J26" s="282"/>
      <c r="K26" s="275"/>
      <c r="L26" s="275"/>
      <c r="M26" s="216"/>
      <c r="N26" s="221"/>
      <c r="O26" s="192"/>
      <c r="P26" s="22"/>
      <c r="Q26" s="219"/>
      <c r="R26" s="23"/>
      <c r="S26" s="24"/>
      <c r="T26" s="220"/>
      <c r="U26" s="24"/>
      <c r="V26" s="60"/>
    </row>
    <row r="27" spans="1:22" s="236" customFormat="1" ht="24.45" customHeight="1">
      <c r="A27" s="222"/>
      <c r="B27" s="223"/>
      <c r="C27" s="224"/>
      <c r="D27" s="225"/>
      <c r="E27" s="226"/>
      <c r="F27" s="227"/>
      <c r="G27" s="228">
        <v>95</v>
      </c>
      <c r="H27" s="228">
        <v>52</v>
      </c>
      <c r="I27" s="228">
        <v>95</v>
      </c>
      <c r="J27" s="228">
        <f>ROUND(I27*H27*G27/1000000,3)</f>
        <v>0.46899999999999997</v>
      </c>
      <c r="K27" s="228">
        <v>158</v>
      </c>
      <c r="L27" s="228">
        <v>211</v>
      </c>
      <c r="M27" s="230"/>
      <c r="N27" s="229"/>
      <c r="O27" s="229"/>
      <c r="P27" s="231"/>
      <c r="Q27" s="232"/>
      <c r="R27" s="23"/>
      <c r="S27" s="233"/>
      <c r="T27" s="234"/>
      <c r="U27" s="233"/>
      <c r="V27" s="235"/>
    </row>
    <row r="28" spans="1:22" s="61" customFormat="1" ht="25.2" customHeight="1">
      <c r="A28" s="107">
        <v>1</v>
      </c>
      <c r="B28" s="215" t="s">
        <v>213</v>
      </c>
      <c r="C28" s="173" t="s">
        <v>214</v>
      </c>
      <c r="D28" s="108"/>
      <c r="E28" s="257">
        <v>1</v>
      </c>
      <c r="F28" s="108" t="s">
        <v>200</v>
      </c>
      <c r="G28" s="216"/>
      <c r="H28" s="216"/>
      <c r="I28" s="217"/>
      <c r="J28" s="282"/>
      <c r="K28" s="275"/>
      <c r="L28" s="275"/>
      <c r="M28" s="216"/>
      <c r="N28" s="221"/>
      <c r="O28" s="192"/>
      <c r="P28" s="22"/>
      <c r="Q28" s="219"/>
      <c r="R28" s="23"/>
      <c r="S28" s="24"/>
      <c r="T28" s="220"/>
      <c r="U28" s="24"/>
      <c r="V28" s="60"/>
    </row>
    <row r="29" spans="1:22" s="236" customFormat="1" ht="24.45" customHeight="1">
      <c r="A29" s="222"/>
      <c r="B29" s="223"/>
      <c r="C29" s="224"/>
      <c r="D29" s="225"/>
      <c r="E29" s="226"/>
      <c r="F29" s="227"/>
      <c r="G29" s="228">
        <v>95</v>
      </c>
      <c r="H29" s="228">
        <v>52</v>
      </c>
      <c r="I29" s="228">
        <v>95</v>
      </c>
      <c r="J29" s="228">
        <f>ROUND(I29*H29*G29/1000000,3)</f>
        <v>0.46899999999999997</v>
      </c>
      <c r="K29" s="228">
        <v>154</v>
      </c>
      <c r="L29" s="228">
        <v>207</v>
      </c>
      <c r="M29" s="230"/>
      <c r="N29" s="229"/>
      <c r="O29" s="229"/>
      <c r="P29" s="231"/>
      <c r="Q29" s="232"/>
      <c r="R29" s="23"/>
      <c r="S29" s="233"/>
      <c r="T29" s="234"/>
      <c r="U29" s="233"/>
      <c r="V29" s="235"/>
    </row>
    <row r="30" spans="1:22" s="61" customFormat="1" ht="25.2" customHeight="1">
      <c r="A30" s="107">
        <v>1</v>
      </c>
      <c r="B30" s="215" t="s">
        <v>215</v>
      </c>
      <c r="C30" s="173" t="s">
        <v>216</v>
      </c>
      <c r="D30" s="108"/>
      <c r="E30" s="257">
        <v>1</v>
      </c>
      <c r="F30" s="108" t="s">
        <v>200</v>
      </c>
      <c r="G30" s="216"/>
      <c r="H30" s="216"/>
      <c r="I30" s="217"/>
      <c r="J30" s="282"/>
      <c r="K30" s="275"/>
      <c r="L30" s="275"/>
      <c r="M30" s="216"/>
      <c r="N30" s="221"/>
      <c r="O30" s="192"/>
      <c r="P30" s="22"/>
      <c r="Q30" s="219"/>
      <c r="R30" s="23"/>
      <c r="S30" s="24"/>
      <c r="T30" s="220"/>
      <c r="U30" s="24"/>
      <c r="V30" s="60"/>
    </row>
    <row r="31" spans="1:22" s="236" customFormat="1" ht="24.45" customHeight="1">
      <c r="A31" s="222"/>
      <c r="B31" s="223"/>
      <c r="C31" s="224"/>
      <c r="D31" s="225"/>
      <c r="E31" s="226"/>
      <c r="F31" s="227"/>
      <c r="G31" s="228">
        <v>95</v>
      </c>
      <c r="H31" s="228">
        <v>52</v>
      </c>
      <c r="I31" s="228">
        <v>95</v>
      </c>
      <c r="J31" s="228">
        <f>ROUND(I31*H31*G31/1000000,3)</f>
        <v>0.46899999999999997</v>
      </c>
      <c r="K31" s="228">
        <v>156</v>
      </c>
      <c r="L31" s="228">
        <v>209</v>
      </c>
      <c r="M31" s="230"/>
      <c r="N31" s="229"/>
      <c r="O31" s="229"/>
      <c r="P31" s="231"/>
      <c r="Q31" s="232"/>
      <c r="R31" s="23"/>
      <c r="S31" s="233"/>
      <c r="T31" s="234"/>
      <c r="U31" s="233"/>
      <c r="V31" s="235"/>
    </row>
    <row r="32" spans="1:22" s="61" customFormat="1" ht="25.2" customHeight="1">
      <c r="A32" s="107">
        <v>1</v>
      </c>
      <c r="B32" s="215" t="s">
        <v>217</v>
      </c>
      <c r="C32" s="173" t="s">
        <v>218</v>
      </c>
      <c r="D32" s="108"/>
      <c r="E32" s="257">
        <v>1</v>
      </c>
      <c r="F32" s="108" t="s">
        <v>200</v>
      </c>
      <c r="G32" s="216"/>
      <c r="H32" s="216"/>
      <c r="I32" s="217"/>
      <c r="J32" s="282"/>
      <c r="K32" s="275"/>
      <c r="L32" s="275"/>
      <c r="M32" s="216"/>
      <c r="N32" s="221"/>
      <c r="O32" s="192"/>
      <c r="P32" s="22"/>
      <c r="Q32" s="219"/>
      <c r="R32" s="23"/>
      <c r="S32" s="24"/>
      <c r="T32" s="220"/>
      <c r="U32" s="24"/>
      <c r="V32" s="60"/>
    </row>
    <row r="33" spans="1:22" s="236" customFormat="1" ht="24.45" customHeight="1">
      <c r="A33" s="222"/>
      <c r="B33" s="223"/>
      <c r="C33" s="224"/>
      <c r="D33" s="225"/>
      <c r="E33" s="226"/>
      <c r="F33" s="227"/>
      <c r="G33" s="228">
        <v>95</v>
      </c>
      <c r="H33" s="228">
        <v>52</v>
      </c>
      <c r="I33" s="228">
        <v>95</v>
      </c>
      <c r="J33" s="228">
        <f>ROUND(I33*H33*G33/1000000,3)</f>
        <v>0.46899999999999997</v>
      </c>
      <c r="K33" s="228">
        <v>154</v>
      </c>
      <c r="L33" s="228">
        <v>207</v>
      </c>
      <c r="M33" s="230"/>
      <c r="N33" s="229"/>
      <c r="O33" s="229"/>
      <c r="P33" s="231"/>
      <c r="Q33" s="232"/>
      <c r="R33" s="23"/>
      <c r="S33" s="233"/>
      <c r="T33" s="234"/>
      <c r="U33" s="233"/>
      <c r="V33" s="235"/>
    </row>
    <row r="34" spans="1:22" s="61" customFormat="1" ht="25.2" customHeight="1">
      <c r="A34" s="107">
        <v>1</v>
      </c>
      <c r="B34" s="215" t="s">
        <v>219</v>
      </c>
      <c r="C34" s="173" t="s">
        <v>220</v>
      </c>
      <c r="D34" s="108"/>
      <c r="E34" s="257">
        <v>1</v>
      </c>
      <c r="F34" s="108" t="s">
        <v>200</v>
      </c>
      <c r="G34" s="216"/>
      <c r="H34" s="216"/>
      <c r="I34" s="217"/>
      <c r="J34" s="282"/>
      <c r="K34" s="275"/>
      <c r="L34" s="275"/>
      <c r="M34" s="216"/>
      <c r="N34" s="221"/>
      <c r="O34" s="192"/>
      <c r="P34" s="22"/>
      <c r="Q34" s="219"/>
      <c r="R34" s="23"/>
      <c r="S34" s="24"/>
      <c r="T34" s="220"/>
      <c r="U34" s="24"/>
      <c r="V34" s="60"/>
    </row>
    <row r="35" spans="1:22" s="236" customFormat="1" ht="24.45" customHeight="1">
      <c r="A35" s="222"/>
      <c r="B35" s="223"/>
      <c r="C35" s="224"/>
      <c r="D35" s="225"/>
      <c r="E35" s="226"/>
      <c r="F35" s="227"/>
      <c r="G35" s="228">
        <v>95</v>
      </c>
      <c r="H35" s="228">
        <v>52</v>
      </c>
      <c r="I35" s="228">
        <v>95</v>
      </c>
      <c r="J35" s="228">
        <f>ROUND(I35*H35*G35/1000000,3)</f>
        <v>0.46899999999999997</v>
      </c>
      <c r="K35" s="228">
        <v>156</v>
      </c>
      <c r="L35" s="228">
        <v>209</v>
      </c>
      <c r="M35" s="230"/>
      <c r="N35" s="229"/>
      <c r="O35" s="229"/>
      <c r="P35" s="231"/>
      <c r="Q35" s="232"/>
      <c r="R35" s="23"/>
      <c r="S35" s="233"/>
      <c r="T35" s="234"/>
      <c r="U35" s="233"/>
      <c r="V35" s="235"/>
    </row>
    <row r="36" spans="1:22" s="61" customFormat="1" ht="25.2" customHeight="1">
      <c r="A36" s="107">
        <v>1</v>
      </c>
      <c r="B36" s="215" t="s">
        <v>221</v>
      </c>
      <c r="C36" s="173" t="s">
        <v>222</v>
      </c>
      <c r="D36" s="108"/>
      <c r="E36" s="257">
        <v>1</v>
      </c>
      <c r="F36" s="108" t="s">
        <v>200</v>
      </c>
      <c r="G36" s="216"/>
      <c r="H36" s="216"/>
      <c r="I36" s="217"/>
      <c r="J36" s="282"/>
      <c r="K36" s="275"/>
      <c r="L36" s="275"/>
      <c r="M36" s="216"/>
      <c r="N36" s="221"/>
      <c r="O36" s="192"/>
      <c r="P36" s="22"/>
      <c r="Q36" s="219"/>
      <c r="R36" s="23"/>
      <c r="S36" s="24"/>
      <c r="T36" s="220"/>
      <c r="U36" s="24"/>
      <c r="V36" s="60"/>
    </row>
    <row r="37" spans="1:22" s="236" customFormat="1" ht="24.45" customHeight="1">
      <c r="A37" s="222"/>
      <c r="B37" s="223"/>
      <c r="C37" s="224"/>
      <c r="D37" s="225"/>
      <c r="E37" s="226"/>
      <c r="F37" s="227"/>
      <c r="G37" s="228">
        <v>95</v>
      </c>
      <c r="H37" s="228">
        <v>52</v>
      </c>
      <c r="I37" s="228">
        <v>95</v>
      </c>
      <c r="J37" s="228">
        <f>ROUND(I37*H37*G37/1000000,3)</f>
        <v>0.46899999999999997</v>
      </c>
      <c r="K37" s="228">
        <v>153</v>
      </c>
      <c r="L37" s="228">
        <v>206</v>
      </c>
      <c r="M37" s="230"/>
      <c r="N37" s="229"/>
      <c r="O37" s="229"/>
      <c r="P37" s="231"/>
      <c r="Q37" s="232"/>
      <c r="R37" s="23"/>
      <c r="S37" s="233"/>
      <c r="T37" s="234"/>
      <c r="U37" s="233"/>
      <c r="V37" s="235"/>
    </row>
    <row r="38" spans="1:22" s="61" customFormat="1" ht="25.2" customHeight="1">
      <c r="A38" s="107">
        <v>1</v>
      </c>
      <c r="B38" s="215" t="s">
        <v>223</v>
      </c>
      <c r="C38" s="173" t="s">
        <v>224</v>
      </c>
      <c r="D38" s="108"/>
      <c r="E38" s="257">
        <v>1</v>
      </c>
      <c r="F38" s="108" t="s">
        <v>200</v>
      </c>
      <c r="G38" s="216"/>
      <c r="H38" s="216"/>
      <c r="I38" s="217"/>
      <c r="J38" s="282"/>
      <c r="K38" s="275"/>
      <c r="L38" s="275"/>
      <c r="M38" s="216"/>
      <c r="N38" s="221"/>
      <c r="O38" s="192"/>
      <c r="P38" s="22"/>
      <c r="Q38" s="277"/>
      <c r="R38" s="23"/>
      <c r="S38" s="24"/>
      <c r="T38" s="220"/>
      <c r="U38" s="24"/>
      <c r="V38" s="60"/>
    </row>
    <row r="39" spans="1:22" s="236" customFormat="1" ht="25.2" customHeight="1">
      <c r="A39" s="222"/>
      <c r="B39" s="223"/>
      <c r="C39" s="231"/>
      <c r="D39" s="225"/>
      <c r="E39" s="226"/>
      <c r="F39" s="227"/>
      <c r="G39" s="228">
        <v>95</v>
      </c>
      <c r="H39" s="228">
        <v>52</v>
      </c>
      <c r="I39" s="228">
        <v>95</v>
      </c>
      <c r="J39" s="228">
        <f>ROUND(I39*H39*G39/1000000,3)</f>
        <v>0.46899999999999997</v>
      </c>
      <c r="K39" s="228">
        <v>158</v>
      </c>
      <c r="L39" s="228">
        <v>211</v>
      </c>
      <c r="M39" s="229"/>
      <c r="N39" s="229"/>
      <c r="O39" s="229"/>
      <c r="P39" s="231"/>
      <c r="Q39" s="232"/>
      <c r="R39" s="23"/>
      <c r="S39" s="233"/>
      <c r="T39" s="234"/>
      <c r="U39" s="233"/>
      <c r="V39" s="235"/>
    </row>
    <row r="40" spans="1:22" s="61" customFormat="1" ht="25.2" customHeight="1">
      <c r="A40" s="107">
        <v>1</v>
      </c>
      <c r="B40" s="215" t="s">
        <v>225</v>
      </c>
      <c r="C40" s="173" t="s">
        <v>226</v>
      </c>
      <c r="D40" s="108"/>
      <c r="E40" s="257">
        <v>1</v>
      </c>
      <c r="F40" s="108" t="s">
        <v>200</v>
      </c>
      <c r="G40" s="216"/>
      <c r="H40" s="216"/>
      <c r="I40" s="217"/>
      <c r="J40" s="282"/>
      <c r="K40" s="275"/>
      <c r="L40" s="275"/>
      <c r="M40" s="218"/>
      <c r="N40" s="218"/>
      <c r="O40" s="192"/>
      <c r="P40" s="22"/>
      <c r="Q40" s="219"/>
      <c r="R40" s="23"/>
      <c r="S40" s="24"/>
      <c r="T40" s="220"/>
      <c r="U40" s="24"/>
      <c r="V40" s="60"/>
    </row>
    <row r="41" spans="1:22" s="236" customFormat="1" ht="25.2" customHeight="1">
      <c r="A41" s="222"/>
      <c r="B41" s="223"/>
      <c r="C41" s="224"/>
      <c r="D41" s="225"/>
      <c r="E41" s="226"/>
      <c r="F41" s="227"/>
      <c r="G41" s="228">
        <v>95</v>
      </c>
      <c r="H41" s="228">
        <v>52</v>
      </c>
      <c r="I41" s="228">
        <v>95</v>
      </c>
      <c r="J41" s="228">
        <f>ROUND(I41*H41*G41/1000000,3)</f>
        <v>0.46899999999999997</v>
      </c>
      <c r="K41" s="228">
        <v>160</v>
      </c>
      <c r="L41" s="228">
        <v>213</v>
      </c>
      <c r="M41" s="230"/>
      <c r="N41" s="229"/>
      <c r="O41" s="229"/>
      <c r="P41" s="231"/>
      <c r="Q41" s="232"/>
      <c r="R41" s="23"/>
      <c r="S41" s="233"/>
      <c r="T41" s="234"/>
      <c r="U41" s="233"/>
      <c r="V41" s="235"/>
    </row>
    <row r="42" spans="1:22" s="61" customFormat="1" ht="25.2" customHeight="1">
      <c r="A42" s="107">
        <v>1</v>
      </c>
      <c r="B42" s="215" t="s">
        <v>227</v>
      </c>
      <c r="C42" s="173" t="s">
        <v>228</v>
      </c>
      <c r="D42" s="108"/>
      <c r="E42" s="257">
        <v>1</v>
      </c>
      <c r="F42" s="108" t="s">
        <v>200</v>
      </c>
      <c r="G42" s="216"/>
      <c r="H42" s="216"/>
      <c r="I42" s="217"/>
      <c r="J42" s="282"/>
      <c r="K42" s="275"/>
      <c r="L42" s="275"/>
      <c r="M42" s="218"/>
      <c r="N42" s="221"/>
      <c r="O42" s="192"/>
      <c r="P42" s="22"/>
      <c r="Q42" s="219"/>
      <c r="R42" s="23"/>
      <c r="S42" s="24"/>
      <c r="T42" s="220"/>
      <c r="U42" s="24"/>
      <c r="V42" s="60"/>
    </row>
    <row r="43" spans="1:22" s="236" customFormat="1" ht="25.2" customHeight="1">
      <c r="A43" s="222"/>
      <c r="B43" s="223"/>
      <c r="C43" s="224"/>
      <c r="D43" s="225"/>
      <c r="E43" s="226"/>
      <c r="F43" s="227"/>
      <c r="G43" s="228">
        <v>95</v>
      </c>
      <c r="H43" s="228">
        <v>52</v>
      </c>
      <c r="I43" s="228">
        <v>95</v>
      </c>
      <c r="J43" s="228">
        <f>ROUND(I43*H43*G43/1000000,3)</f>
        <v>0.46899999999999997</v>
      </c>
      <c r="K43" s="228">
        <v>156</v>
      </c>
      <c r="L43" s="228">
        <v>210</v>
      </c>
      <c r="M43" s="230"/>
      <c r="N43" s="229"/>
      <c r="O43" s="229"/>
      <c r="P43" s="231"/>
      <c r="Q43" s="232"/>
      <c r="R43" s="23"/>
      <c r="S43" s="233"/>
      <c r="T43" s="234"/>
      <c r="U43" s="233"/>
      <c r="V43" s="235"/>
    </row>
    <row r="44" spans="1:22" s="61" customFormat="1" ht="25.2" customHeight="1">
      <c r="A44" s="107">
        <v>1</v>
      </c>
      <c r="B44" s="215" t="s">
        <v>229</v>
      </c>
      <c r="C44" s="173" t="s">
        <v>230</v>
      </c>
      <c r="D44" s="108"/>
      <c r="E44" s="257">
        <v>1</v>
      </c>
      <c r="F44" s="108" t="s">
        <v>200</v>
      </c>
      <c r="G44" s="216"/>
      <c r="H44" s="216"/>
      <c r="I44" s="217"/>
      <c r="J44" s="282"/>
      <c r="K44" s="275"/>
      <c r="L44" s="275"/>
      <c r="M44" s="218"/>
      <c r="N44" s="221"/>
      <c r="O44" s="192"/>
      <c r="P44" s="22"/>
      <c r="Q44" s="219"/>
      <c r="R44" s="23"/>
      <c r="S44" s="24"/>
      <c r="T44" s="220"/>
      <c r="U44" s="24"/>
      <c r="V44" s="60"/>
    </row>
    <row r="45" spans="1:22" s="236" customFormat="1" ht="24.45" customHeight="1">
      <c r="A45" s="222"/>
      <c r="B45" s="223"/>
      <c r="C45" s="224"/>
      <c r="D45" s="225"/>
      <c r="E45" s="226"/>
      <c r="F45" s="227"/>
      <c r="G45" s="228">
        <v>95</v>
      </c>
      <c r="H45" s="228">
        <v>52</v>
      </c>
      <c r="I45" s="228">
        <v>95</v>
      </c>
      <c r="J45" s="228">
        <f>ROUND(I45*H45*G45/1000000,3)</f>
        <v>0.46899999999999997</v>
      </c>
      <c r="K45" s="228">
        <v>158</v>
      </c>
      <c r="L45" s="228">
        <v>210</v>
      </c>
      <c r="M45" s="230"/>
      <c r="N45" s="229"/>
      <c r="O45" s="229"/>
      <c r="P45" s="231"/>
      <c r="Q45" s="232"/>
      <c r="R45" s="23"/>
      <c r="S45" s="233"/>
      <c r="T45" s="234"/>
      <c r="U45" s="233"/>
      <c r="V45" s="235"/>
    </row>
    <row r="46" spans="1:22" s="61" customFormat="1" ht="25.2" customHeight="1">
      <c r="A46" s="107">
        <v>1</v>
      </c>
      <c r="B46" s="215" t="s">
        <v>231</v>
      </c>
      <c r="C46" s="173" t="s">
        <v>232</v>
      </c>
      <c r="D46" s="108"/>
      <c r="E46" s="257">
        <v>1</v>
      </c>
      <c r="F46" s="108" t="s">
        <v>200</v>
      </c>
      <c r="G46" s="216"/>
      <c r="H46" s="216"/>
      <c r="I46" s="217"/>
      <c r="J46" s="282"/>
      <c r="K46" s="275"/>
      <c r="L46" s="275"/>
      <c r="M46" s="218"/>
      <c r="N46" s="221"/>
      <c r="O46" s="192"/>
      <c r="P46" s="22"/>
      <c r="Q46" s="276"/>
      <c r="R46" s="23"/>
      <c r="S46" s="24"/>
      <c r="T46" s="220"/>
      <c r="U46" s="24"/>
      <c r="V46" s="60"/>
    </row>
    <row r="47" spans="1:22" s="236" customFormat="1" ht="24.45" customHeight="1">
      <c r="A47" s="222"/>
      <c r="B47" s="223"/>
      <c r="C47" s="224"/>
      <c r="D47" s="225"/>
      <c r="E47" s="226"/>
      <c r="F47" s="227"/>
      <c r="G47" s="228">
        <v>95</v>
      </c>
      <c r="H47" s="228">
        <v>52</v>
      </c>
      <c r="I47" s="228">
        <v>95</v>
      </c>
      <c r="J47" s="228">
        <f>ROUND(I47*H47*G47/1000000,3)</f>
        <v>0.46899999999999997</v>
      </c>
      <c r="K47" s="228">
        <v>160</v>
      </c>
      <c r="L47" s="228">
        <v>212</v>
      </c>
      <c r="M47" s="230"/>
      <c r="N47" s="229"/>
      <c r="O47" s="229"/>
      <c r="P47" s="231"/>
      <c r="Q47" s="232"/>
      <c r="R47" s="23"/>
      <c r="S47" s="233"/>
      <c r="T47" s="234"/>
      <c r="U47" s="233"/>
      <c r="V47" s="235"/>
    </row>
    <row r="48" spans="1:22" s="61" customFormat="1" ht="25.2" customHeight="1">
      <c r="A48" s="107">
        <v>1</v>
      </c>
      <c r="B48" s="215" t="s">
        <v>233</v>
      </c>
      <c r="C48" s="173" t="s">
        <v>234</v>
      </c>
      <c r="D48" s="108"/>
      <c r="E48" s="257">
        <v>1</v>
      </c>
      <c r="F48" s="108" t="s">
        <v>200</v>
      </c>
      <c r="G48" s="216"/>
      <c r="H48" s="216"/>
      <c r="I48" s="217"/>
      <c r="J48" s="282"/>
      <c r="K48" s="275"/>
      <c r="L48" s="275"/>
      <c r="M48" s="216"/>
      <c r="N48" s="221"/>
      <c r="O48" s="192"/>
      <c r="P48" s="22"/>
      <c r="Q48" s="219"/>
      <c r="R48" s="23"/>
      <c r="S48" s="24"/>
      <c r="T48" s="220"/>
      <c r="U48" s="24"/>
      <c r="V48" s="60"/>
    </row>
    <row r="49" spans="1:22" s="236" customFormat="1" ht="24.45" customHeight="1">
      <c r="A49" s="222"/>
      <c r="B49" s="223"/>
      <c r="C49" s="224"/>
      <c r="D49" s="225"/>
      <c r="E49" s="226"/>
      <c r="F49" s="227"/>
      <c r="G49" s="228">
        <v>95</v>
      </c>
      <c r="H49" s="228">
        <v>52</v>
      </c>
      <c r="I49" s="228">
        <v>95</v>
      </c>
      <c r="J49" s="228">
        <f>ROUND(I49*H49*G49/1000000,3)</f>
        <v>0.46899999999999997</v>
      </c>
      <c r="K49" s="228">
        <v>158</v>
      </c>
      <c r="L49" s="228">
        <v>211</v>
      </c>
      <c r="M49" s="230"/>
      <c r="N49" s="229"/>
      <c r="O49" s="229"/>
      <c r="P49" s="231"/>
      <c r="Q49" s="232"/>
      <c r="R49" s="23"/>
      <c r="S49" s="233"/>
      <c r="T49" s="234"/>
      <c r="U49" s="233"/>
      <c r="V49" s="235"/>
    </row>
    <row r="50" spans="1:22" s="61" customFormat="1" ht="25.2" customHeight="1">
      <c r="A50" s="107">
        <v>1</v>
      </c>
      <c r="B50" s="215" t="s">
        <v>235</v>
      </c>
      <c r="C50" s="173" t="s">
        <v>236</v>
      </c>
      <c r="D50" s="108"/>
      <c r="E50" s="257">
        <v>1</v>
      </c>
      <c r="F50" s="108" t="s">
        <v>200</v>
      </c>
      <c r="G50" s="216"/>
      <c r="H50" s="216"/>
      <c r="I50" s="217"/>
      <c r="J50" s="282"/>
      <c r="K50" s="275"/>
      <c r="L50" s="275"/>
      <c r="M50" s="216"/>
      <c r="N50" s="221"/>
      <c r="O50" s="192"/>
      <c r="P50" s="22"/>
      <c r="Q50" s="219"/>
      <c r="R50" s="23"/>
      <c r="S50" s="24"/>
      <c r="T50" s="220"/>
      <c r="U50" s="24"/>
      <c r="V50" s="60"/>
    </row>
    <row r="51" spans="1:22" s="236" customFormat="1" ht="24.45" customHeight="1">
      <c r="A51" s="222"/>
      <c r="B51" s="223"/>
      <c r="C51" s="224"/>
      <c r="D51" s="225"/>
      <c r="E51" s="226"/>
      <c r="F51" s="227"/>
      <c r="G51" s="228">
        <v>95</v>
      </c>
      <c r="H51" s="228">
        <v>52</v>
      </c>
      <c r="I51" s="228">
        <v>95</v>
      </c>
      <c r="J51" s="228">
        <f>ROUND(I51*H51*G51/1000000,3)</f>
        <v>0.46899999999999997</v>
      </c>
      <c r="K51" s="228">
        <v>158</v>
      </c>
      <c r="L51" s="228">
        <v>211</v>
      </c>
      <c r="M51" s="230"/>
      <c r="N51" s="229"/>
      <c r="O51" s="229"/>
      <c r="P51" s="231"/>
      <c r="Q51" s="232"/>
      <c r="R51" s="23"/>
      <c r="S51" s="233"/>
      <c r="T51" s="234"/>
      <c r="U51" s="233"/>
      <c r="V51" s="235"/>
    </row>
    <row r="52" spans="1:22" s="61" customFormat="1" ht="25.2" customHeight="1">
      <c r="A52" s="107">
        <v>1</v>
      </c>
      <c r="B52" s="215" t="s">
        <v>237</v>
      </c>
      <c r="C52" s="173" t="s">
        <v>238</v>
      </c>
      <c r="D52" s="108"/>
      <c r="E52" s="257">
        <v>1</v>
      </c>
      <c r="F52" s="108" t="s">
        <v>200</v>
      </c>
      <c r="G52" s="216"/>
      <c r="H52" s="216"/>
      <c r="I52" s="217"/>
      <c r="J52" s="282"/>
      <c r="K52" s="275"/>
      <c r="L52" s="275"/>
      <c r="M52" s="216"/>
      <c r="N52" s="221"/>
      <c r="O52" s="192"/>
      <c r="P52" s="22"/>
      <c r="Q52" s="219"/>
      <c r="R52" s="23"/>
      <c r="S52" s="24"/>
      <c r="T52" s="220"/>
      <c r="U52" s="24"/>
      <c r="V52" s="60"/>
    </row>
    <row r="53" spans="1:22" s="236" customFormat="1" ht="24.45" customHeight="1">
      <c r="A53" s="222"/>
      <c r="B53" s="223"/>
      <c r="C53" s="224"/>
      <c r="D53" s="225"/>
      <c r="E53" s="226"/>
      <c r="F53" s="227"/>
      <c r="G53" s="228">
        <v>95</v>
      </c>
      <c r="H53" s="228">
        <v>52</v>
      </c>
      <c r="I53" s="228">
        <v>95</v>
      </c>
      <c r="J53" s="228">
        <f>ROUND(I53*H53*G53/1000000,3)</f>
        <v>0.46899999999999997</v>
      </c>
      <c r="K53" s="228">
        <v>149</v>
      </c>
      <c r="L53" s="228">
        <v>201</v>
      </c>
      <c r="M53" s="230"/>
      <c r="N53" s="229"/>
      <c r="O53" s="229"/>
      <c r="P53" s="231"/>
      <c r="Q53" s="232"/>
      <c r="R53" s="23"/>
      <c r="S53" s="233"/>
      <c r="T53" s="234"/>
      <c r="U53" s="233"/>
      <c r="V53" s="235"/>
    </row>
    <row r="54" spans="1:22" s="61" customFormat="1" ht="25.2" customHeight="1">
      <c r="A54" s="107">
        <v>1</v>
      </c>
      <c r="B54" s="215" t="s">
        <v>239</v>
      </c>
      <c r="C54" s="173" t="s">
        <v>240</v>
      </c>
      <c r="D54" s="108"/>
      <c r="E54" s="257">
        <v>1</v>
      </c>
      <c r="F54" s="108" t="s">
        <v>200</v>
      </c>
      <c r="G54" s="216"/>
      <c r="H54" s="216"/>
      <c r="I54" s="217"/>
      <c r="J54" s="282"/>
      <c r="K54" s="275"/>
      <c r="L54" s="275"/>
      <c r="M54" s="216"/>
      <c r="N54" s="221"/>
      <c r="O54" s="192"/>
      <c r="P54" s="22"/>
      <c r="Q54" s="219"/>
      <c r="R54" s="23"/>
      <c r="S54" s="24"/>
      <c r="T54" s="220"/>
      <c r="U54" s="24"/>
      <c r="V54" s="60"/>
    </row>
    <row r="55" spans="1:22" s="236" customFormat="1" ht="24.45" customHeight="1">
      <c r="A55" s="222"/>
      <c r="B55" s="223"/>
      <c r="C55" s="224"/>
      <c r="D55" s="225"/>
      <c r="E55" s="226"/>
      <c r="F55" s="227"/>
      <c r="G55" s="228">
        <v>95</v>
      </c>
      <c r="H55" s="228">
        <v>52</v>
      </c>
      <c r="I55" s="228">
        <v>95</v>
      </c>
      <c r="J55" s="228">
        <f>ROUND(I55*H55*G55/1000000,3)</f>
        <v>0.46899999999999997</v>
      </c>
      <c r="K55" s="228">
        <v>164</v>
      </c>
      <c r="L55" s="228">
        <v>206</v>
      </c>
      <c r="M55" s="230"/>
      <c r="N55" s="229"/>
      <c r="O55" s="229"/>
      <c r="P55" s="231"/>
      <c r="Q55" s="232"/>
      <c r="R55" s="23"/>
      <c r="S55" s="233"/>
      <c r="T55" s="234"/>
      <c r="U55" s="233"/>
      <c r="V55" s="235"/>
    </row>
    <row r="56" spans="1:22" s="61" customFormat="1" ht="25.2" customHeight="1">
      <c r="A56" s="107">
        <v>1</v>
      </c>
      <c r="B56" s="215" t="s">
        <v>241</v>
      </c>
      <c r="C56" s="173" t="s">
        <v>242</v>
      </c>
      <c r="D56" s="108"/>
      <c r="E56" s="257">
        <v>1</v>
      </c>
      <c r="F56" s="108" t="s">
        <v>200</v>
      </c>
      <c r="G56" s="216"/>
      <c r="H56" s="216"/>
      <c r="I56" s="217"/>
      <c r="J56" s="282"/>
      <c r="K56" s="275"/>
      <c r="L56" s="275"/>
      <c r="M56" s="216"/>
      <c r="N56" s="221"/>
      <c r="O56" s="192"/>
      <c r="P56" s="22"/>
      <c r="Q56" s="219"/>
      <c r="R56" s="23"/>
      <c r="S56" s="24"/>
      <c r="T56" s="220"/>
      <c r="U56" s="24"/>
      <c r="V56" s="60"/>
    </row>
    <row r="57" spans="1:22" s="236" customFormat="1" ht="24.45" customHeight="1">
      <c r="A57" s="222"/>
      <c r="B57" s="223"/>
      <c r="C57" s="224"/>
      <c r="D57" s="225"/>
      <c r="E57" s="226"/>
      <c r="F57" s="227"/>
      <c r="G57" s="228">
        <v>95</v>
      </c>
      <c r="H57" s="228">
        <v>52</v>
      </c>
      <c r="I57" s="228">
        <v>95</v>
      </c>
      <c r="J57" s="228">
        <f>ROUND(I57*H57*G57/1000000,3)</f>
        <v>0.46899999999999997</v>
      </c>
      <c r="K57" s="228">
        <v>150</v>
      </c>
      <c r="L57" s="228">
        <v>202</v>
      </c>
      <c r="M57" s="230"/>
      <c r="N57" s="229"/>
      <c r="O57" s="229"/>
      <c r="P57" s="231"/>
      <c r="Q57" s="232"/>
      <c r="R57" s="23"/>
      <c r="S57" s="233"/>
      <c r="T57" s="234"/>
      <c r="U57" s="233"/>
      <c r="V57" s="235"/>
    </row>
    <row r="58" spans="1:22" s="61" customFormat="1" ht="25.2" customHeight="1">
      <c r="A58" s="107">
        <v>1</v>
      </c>
      <c r="B58" s="215" t="s">
        <v>243</v>
      </c>
      <c r="C58" s="173" t="s">
        <v>244</v>
      </c>
      <c r="D58" s="108"/>
      <c r="E58" s="257">
        <v>1</v>
      </c>
      <c r="F58" s="108" t="s">
        <v>200</v>
      </c>
      <c r="G58" s="216"/>
      <c r="H58" s="216"/>
      <c r="I58" s="217"/>
      <c r="J58" s="282"/>
      <c r="K58" s="275"/>
      <c r="L58" s="275"/>
      <c r="M58" s="216"/>
      <c r="N58" s="221"/>
      <c r="O58" s="192"/>
      <c r="P58" s="22"/>
      <c r="Q58" s="219"/>
      <c r="R58" s="23"/>
      <c r="S58" s="24"/>
      <c r="T58" s="220"/>
      <c r="U58" s="24"/>
      <c r="V58" s="60"/>
    </row>
    <row r="59" spans="1:22" s="236" customFormat="1" ht="24.45" customHeight="1">
      <c r="A59" s="222"/>
      <c r="B59" s="223"/>
      <c r="C59" s="224"/>
      <c r="D59" s="225"/>
      <c r="E59" s="226"/>
      <c r="F59" s="227"/>
      <c r="G59" s="228">
        <v>95</v>
      </c>
      <c r="H59" s="228">
        <v>52</v>
      </c>
      <c r="I59" s="228">
        <v>95</v>
      </c>
      <c r="J59" s="228">
        <f>ROUND(I59*H59*G59/1000000,3)</f>
        <v>0.46899999999999997</v>
      </c>
      <c r="K59" s="228">
        <v>150</v>
      </c>
      <c r="L59" s="228">
        <v>202</v>
      </c>
      <c r="M59" s="230"/>
      <c r="N59" s="229"/>
      <c r="O59" s="229"/>
      <c r="P59" s="231"/>
      <c r="Q59" s="232"/>
      <c r="R59" s="23"/>
      <c r="S59" s="233"/>
      <c r="T59" s="234"/>
      <c r="U59" s="233"/>
      <c r="V59" s="235"/>
    </row>
    <row r="60" spans="1:22" s="61" customFormat="1" ht="25.2" customHeight="1">
      <c r="A60" s="107">
        <v>1</v>
      </c>
      <c r="B60" s="215" t="s">
        <v>245</v>
      </c>
      <c r="C60" s="173" t="s">
        <v>246</v>
      </c>
      <c r="D60" s="108"/>
      <c r="E60" s="257">
        <v>1</v>
      </c>
      <c r="F60" s="108" t="s">
        <v>200</v>
      </c>
      <c r="G60" s="216"/>
      <c r="H60" s="216"/>
      <c r="I60" s="217"/>
      <c r="J60" s="282"/>
      <c r="K60" s="275"/>
      <c r="L60" s="275"/>
      <c r="M60" s="216"/>
      <c r="N60" s="221"/>
      <c r="O60" s="192"/>
      <c r="P60" s="22"/>
      <c r="Q60" s="219"/>
      <c r="R60" s="23"/>
      <c r="S60" s="24"/>
      <c r="T60" s="220"/>
      <c r="U60" s="24"/>
      <c r="V60" s="60"/>
    </row>
    <row r="61" spans="1:22" s="236" customFormat="1" ht="24.45" customHeight="1">
      <c r="A61" s="222"/>
      <c r="B61" s="223"/>
      <c r="C61" s="224"/>
      <c r="D61" s="225"/>
      <c r="E61" s="226"/>
      <c r="F61" s="227"/>
      <c r="G61" s="228">
        <v>95</v>
      </c>
      <c r="H61" s="228">
        <v>52</v>
      </c>
      <c r="I61" s="228">
        <v>95</v>
      </c>
      <c r="J61" s="228">
        <f>ROUND(I61*H61*G61/1000000,3)</f>
        <v>0.46899999999999997</v>
      </c>
      <c r="K61" s="228">
        <v>156</v>
      </c>
      <c r="L61" s="228">
        <v>209</v>
      </c>
      <c r="M61" s="230"/>
      <c r="N61" s="229"/>
      <c r="O61" s="229"/>
      <c r="P61" s="231"/>
      <c r="Q61" s="232"/>
      <c r="R61" s="23"/>
      <c r="S61" s="233"/>
      <c r="T61" s="234"/>
      <c r="U61" s="233"/>
      <c r="V61" s="235"/>
    </row>
    <row r="62" spans="1:22" s="61" customFormat="1" ht="25.2" customHeight="1">
      <c r="A62" s="107">
        <v>1</v>
      </c>
      <c r="B62" s="215" t="s">
        <v>247</v>
      </c>
      <c r="C62" s="173" t="s">
        <v>248</v>
      </c>
      <c r="D62" s="108"/>
      <c r="E62" s="257">
        <v>1</v>
      </c>
      <c r="F62" s="108" t="s">
        <v>200</v>
      </c>
      <c r="G62" s="216"/>
      <c r="H62" s="216"/>
      <c r="I62" s="217"/>
      <c r="J62" s="282"/>
      <c r="K62" s="275"/>
      <c r="L62" s="275"/>
      <c r="M62" s="216"/>
      <c r="N62" s="221"/>
      <c r="O62" s="192"/>
      <c r="P62" s="22"/>
      <c r="Q62" s="219"/>
      <c r="R62" s="23"/>
      <c r="S62" s="24"/>
      <c r="T62" s="220"/>
      <c r="U62" s="24"/>
      <c r="V62" s="60"/>
    </row>
    <row r="63" spans="1:22" s="236" customFormat="1" ht="24.45" customHeight="1">
      <c r="A63" s="222"/>
      <c r="B63" s="223"/>
      <c r="C63" s="224"/>
      <c r="D63" s="225"/>
      <c r="E63" s="226"/>
      <c r="F63" s="227"/>
      <c r="G63" s="228">
        <v>95</v>
      </c>
      <c r="H63" s="228">
        <v>52</v>
      </c>
      <c r="I63" s="228">
        <v>95</v>
      </c>
      <c r="J63" s="228">
        <f>ROUND(I63*H63*G63/1000000,3)</f>
        <v>0.46899999999999997</v>
      </c>
      <c r="K63" s="228">
        <v>158</v>
      </c>
      <c r="L63" s="228">
        <v>210</v>
      </c>
      <c r="M63" s="230"/>
      <c r="N63" s="229"/>
      <c r="O63" s="229"/>
      <c r="P63" s="231"/>
      <c r="Q63" s="232"/>
      <c r="R63" s="23"/>
      <c r="S63" s="233"/>
      <c r="T63" s="234"/>
      <c r="U63" s="233"/>
      <c r="V63" s="235"/>
    </row>
    <row r="64" spans="1:22" s="61" customFormat="1" ht="25.2" customHeight="1">
      <c r="A64" s="107">
        <v>1</v>
      </c>
      <c r="B64" s="215" t="s">
        <v>249</v>
      </c>
      <c r="C64" s="173" t="s">
        <v>250</v>
      </c>
      <c r="D64" s="108"/>
      <c r="E64" s="257">
        <v>1</v>
      </c>
      <c r="F64" s="108" t="s">
        <v>200</v>
      </c>
      <c r="G64" s="216"/>
      <c r="H64" s="216"/>
      <c r="I64" s="217"/>
      <c r="J64" s="282"/>
      <c r="K64" s="275"/>
      <c r="L64" s="275"/>
      <c r="M64" s="216"/>
      <c r="N64" s="221"/>
      <c r="O64" s="192"/>
      <c r="P64" s="22"/>
      <c r="Q64" s="277"/>
      <c r="R64" s="23"/>
      <c r="S64" s="24"/>
      <c r="T64" s="220"/>
      <c r="U64" s="24"/>
      <c r="V64" s="60"/>
    </row>
    <row r="65" spans="1:22" s="236" customFormat="1" ht="25.2" customHeight="1">
      <c r="A65" s="222"/>
      <c r="B65" s="223"/>
      <c r="C65" s="231"/>
      <c r="D65" s="225"/>
      <c r="E65" s="226"/>
      <c r="F65" s="227"/>
      <c r="G65" s="228">
        <v>95</v>
      </c>
      <c r="H65" s="228">
        <v>52</v>
      </c>
      <c r="I65" s="228">
        <v>95</v>
      </c>
      <c r="J65" s="228">
        <f>ROUND(I65*H65*G65/1000000,3)</f>
        <v>0.46899999999999997</v>
      </c>
      <c r="K65" s="228">
        <v>155</v>
      </c>
      <c r="L65" s="228">
        <v>207</v>
      </c>
      <c r="M65" s="229"/>
      <c r="N65" s="229"/>
      <c r="O65" s="229"/>
      <c r="P65" s="231"/>
      <c r="Q65" s="232"/>
      <c r="R65" s="23"/>
      <c r="S65" s="233"/>
      <c r="T65" s="234"/>
      <c r="U65" s="233"/>
      <c r="V65" s="235"/>
    </row>
    <row r="66" spans="1:22" s="61" customFormat="1" ht="25.2" customHeight="1">
      <c r="A66" s="107">
        <v>1</v>
      </c>
      <c r="B66" s="215" t="s">
        <v>251</v>
      </c>
      <c r="C66" s="173" t="s">
        <v>252</v>
      </c>
      <c r="D66" s="108"/>
      <c r="E66" s="257">
        <v>1</v>
      </c>
      <c r="F66" s="108" t="s">
        <v>200</v>
      </c>
      <c r="G66" s="216"/>
      <c r="H66" s="216"/>
      <c r="I66" s="217"/>
      <c r="J66" s="282"/>
      <c r="K66" s="275"/>
      <c r="L66" s="275"/>
      <c r="M66" s="218"/>
      <c r="N66" s="221"/>
      <c r="O66" s="192"/>
      <c r="P66" s="22"/>
      <c r="Q66" s="276"/>
      <c r="R66" s="23"/>
      <c r="S66" s="24"/>
      <c r="T66" s="220"/>
      <c r="U66" s="24"/>
      <c r="V66" s="60"/>
    </row>
    <row r="67" spans="1:22" s="236" customFormat="1" ht="24.45" customHeight="1">
      <c r="A67" s="222"/>
      <c r="B67" s="223"/>
      <c r="C67" s="224"/>
      <c r="D67" s="225"/>
      <c r="E67" s="226"/>
      <c r="F67" s="227"/>
      <c r="G67" s="228">
        <v>95</v>
      </c>
      <c r="H67" s="228">
        <v>52</v>
      </c>
      <c r="I67" s="228">
        <v>95</v>
      </c>
      <c r="J67" s="228">
        <f>ROUND(I67*H67*G67/1000000,3)</f>
        <v>0.46899999999999997</v>
      </c>
      <c r="K67" s="228">
        <v>151</v>
      </c>
      <c r="L67" s="228">
        <v>204</v>
      </c>
      <c r="M67" s="230"/>
      <c r="N67" s="229"/>
      <c r="O67" s="229"/>
      <c r="P67" s="231"/>
      <c r="Q67" s="232"/>
      <c r="R67" s="23"/>
      <c r="S67" s="233"/>
      <c r="T67" s="234"/>
      <c r="U67" s="233"/>
      <c r="V67" s="235"/>
    </row>
    <row r="68" spans="1:22" s="61" customFormat="1" ht="25.2" customHeight="1">
      <c r="A68" s="107">
        <v>1</v>
      </c>
      <c r="B68" s="215" t="s">
        <v>253</v>
      </c>
      <c r="C68" s="173" t="s">
        <v>254</v>
      </c>
      <c r="D68" s="108"/>
      <c r="E68" s="257">
        <v>1</v>
      </c>
      <c r="F68" s="108" t="s">
        <v>200</v>
      </c>
      <c r="G68" s="216"/>
      <c r="H68" s="216"/>
      <c r="I68" s="217"/>
      <c r="J68" s="282"/>
      <c r="K68" s="275"/>
      <c r="L68" s="275"/>
      <c r="M68" s="216"/>
      <c r="N68" s="221"/>
      <c r="O68" s="192"/>
      <c r="P68" s="22"/>
      <c r="Q68" s="219"/>
      <c r="R68" s="23"/>
      <c r="S68" s="24"/>
      <c r="T68" s="220"/>
      <c r="U68" s="24"/>
      <c r="V68" s="60"/>
    </row>
    <row r="69" spans="1:22" s="236" customFormat="1" ht="24.45" customHeight="1">
      <c r="A69" s="222"/>
      <c r="B69" s="223"/>
      <c r="C69" s="224"/>
      <c r="D69" s="225"/>
      <c r="E69" s="226"/>
      <c r="F69" s="227"/>
      <c r="G69" s="228">
        <v>95</v>
      </c>
      <c r="H69" s="228">
        <v>52</v>
      </c>
      <c r="I69" s="228">
        <v>95</v>
      </c>
      <c r="J69" s="228">
        <f>ROUND(I69*H69*G69/1000000,3)</f>
        <v>0.46899999999999997</v>
      </c>
      <c r="K69" s="228">
        <v>155</v>
      </c>
      <c r="L69" s="228">
        <v>207</v>
      </c>
      <c r="M69" s="230"/>
      <c r="N69" s="229"/>
      <c r="O69" s="229"/>
      <c r="P69" s="231"/>
      <c r="Q69" s="232"/>
      <c r="R69" s="23"/>
      <c r="S69" s="233"/>
      <c r="T69" s="234"/>
      <c r="U69" s="233"/>
      <c r="V69" s="235"/>
    </row>
    <row r="70" spans="1:22" s="61" customFormat="1" ht="25.2" customHeight="1">
      <c r="A70" s="107">
        <v>1</v>
      </c>
      <c r="B70" s="215" t="s">
        <v>255</v>
      </c>
      <c r="C70" s="173" t="s">
        <v>256</v>
      </c>
      <c r="D70" s="108"/>
      <c r="E70" s="257">
        <v>1</v>
      </c>
      <c r="F70" s="108" t="s">
        <v>200</v>
      </c>
      <c r="G70" s="216"/>
      <c r="H70" s="216"/>
      <c r="I70" s="217"/>
      <c r="J70" s="282"/>
      <c r="K70" s="275"/>
      <c r="L70" s="275"/>
      <c r="M70" s="216"/>
      <c r="N70" s="221"/>
      <c r="O70" s="192"/>
      <c r="P70" s="22"/>
      <c r="Q70" s="219"/>
      <c r="R70" s="23"/>
      <c r="S70" s="24"/>
      <c r="T70" s="220"/>
      <c r="U70" s="24"/>
      <c r="V70" s="60"/>
    </row>
    <row r="71" spans="1:22" s="236" customFormat="1" ht="24.45" customHeight="1">
      <c r="A71" s="222"/>
      <c r="B71" s="223"/>
      <c r="C71" s="224"/>
      <c r="D71" s="225"/>
      <c r="E71" s="226"/>
      <c r="F71" s="227"/>
      <c r="G71" s="228">
        <v>95</v>
      </c>
      <c r="H71" s="228">
        <v>52</v>
      </c>
      <c r="I71" s="228">
        <v>95</v>
      </c>
      <c r="J71" s="228">
        <f>ROUND(I71*H71*G71/1000000,3)</f>
        <v>0.46899999999999997</v>
      </c>
      <c r="K71" s="228">
        <v>150</v>
      </c>
      <c r="L71" s="228">
        <v>204</v>
      </c>
      <c r="M71" s="230"/>
      <c r="N71" s="229"/>
      <c r="O71" s="229"/>
      <c r="P71" s="231"/>
      <c r="Q71" s="232"/>
      <c r="R71" s="23"/>
      <c r="S71" s="233"/>
      <c r="T71" s="234"/>
      <c r="U71" s="233"/>
      <c r="V71" s="235"/>
    </row>
    <row r="72" spans="1:22" s="61" customFormat="1" ht="25.2" customHeight="1">
      <c r="A72" s="107">
        <v>1</v>
      </c>
      <c r="B72" s="215" t="s">
        <v>257</v>
      </c>
      <c r="C72" s="173" t="s">
        <v>258</v>
      </c>
      <c r="D72" s="108"/>
      <c r="E72" s="257">
        <v>1</v>
      </c>
      <c r="F72" s="108" t="s">
        <v>200</v>
      </c>
      <c r="G72" s="216"/>
      <c r="H72" s="216"/>
      <c r="I72" s="217"/>
      <c r="J72" s="282"/>
      <c r="K72" s="275"/>
      <c r="L72" s="275"/>
      <c r="M72" s="216"/>
      <c r="N72" s="221"/>
      <c r="O72" s="192"/>
      <c r="P72" s="22"/>
      <c r="Q72" s="219"/>
      <c r="R72" s="23"/>
      <c r="S72" s="24"/>
      <c r="T72" s="220"/>
      <c r="U72" s="24"/>
      <c r="V72" s="60"/>
    </row>
    <row r="73" spans="1:22" s="236" customFormat="1" ht="24.45" customHeight="1">
      <c r="A73" s="222"/>
      <c r="B73" s="223"/>
      <c r="C73" s="224"/>
      <c r="D73" s="225"/>
      <c r="E73" s="226"/>
      <c r="F73" s="227"/>
      <c r="G73" s="228">
        <v>95</v>
      </c>
      <c r="H73" s="228">
        <v>52</v>
      </c>
      <c r="I73" s="228">
        <v>95</v>
      </c>
      <c r="J73" s="228">
        <f>ROUND(I73*H73*G73/1000000,3)</f>
        <v>0.46899999999999997</v>
      </c>
      <c r="K73" s="228">
        <v>162</v>
      </c>
      <c r="L73" s="228">
        <v>204</v>
      </c>
      <c r="M73" s="230"/>
      <c r="N73" s="229"/>
      <c r="O73" s="229"/>
      <c r="P73" s="231"/>
      <c r="Q73" s="232"/>
      <c r="R73" s="23"/>
      <c r="S73" s="233"/>
      <c r="T73" s="234"/>
      <c r="U73" s="233"/>
      <c r="V73" s="235"/>
    </row>
    <row r="74" spans="1:22" s="61" customFormat="1" ht="25.2" customHeight="1">
      <c r="A74" s="107">
        <v>1</v>
      </c>
      <c r="B74" s="215" t="s">
        <v>259</v>
      </c>
      <c r="C74" s="173" t="s">
        <v>260</v>
      </c>
      <c r="D74" s="108"/>
      <c r="E74" s="257">
        <v>1</v>
      </c>
      <c r="F74" s="108" t="s">
        <v>200</v>
      </c>
      <c r="G74" s="216"/>
      <c r="H74" s="216"/>
      <c r="I74" s="217"/>
      <c r="J74" s="282"/>
      <c r="K74" s="275"/>
      <c r="L74" s="275"/>
      <c r="M74" s="216"/>
      <c r="N74" s="221"/>
      <c r="O74" s="192"/>
      <c r="P74" s="22"/>
      <c r="Q74" s="219"/>
      <c r="R74" s="23"/>
      <c r="S74" s="24"/>
      <c r="T74" s="220"/>
      <c r="U74" s="24"/>
      <c r="V74" s="60"/>
    </row>
    <row r="75" spans="1:22" s="236" customFormat="1" ht="24.45" customHeight="1">
      <c r="A75" s="222"/>
      <c r="B75" s="223"/>
      <c r="C75" s="224"/>
      <c r="D75" s="225"/>
      <c r="E75" s="226"/>
      <c r="F75" s="227"/>
      <c r="G75" s="228">
        <v>95</v>
      </c>
      <c r="H75" s="228">
        <v>52</v>
      </c>
      <c r="I75" s="228">
        <v>95</v>
      </c>
      <c r="J75" s="228">
        <f>ROUND(I75*H75*G75/1000000,3)</f>
        <v>0.46899999999999997</v>
      </c>
      <c r="K75" s="228">
        <v>155</v>
      </c>
      <c r="L75" s="228">
        <v>209</v>
      </c>
      <c r="M75" s="230"/>
      <c r="N75" s="229"/>
      <c r="O75" s="229"/>
      <c r="P75" s="231"/>
      <c r="Q75" s="232"/>
      <c r="R75" s="23"/>
      <c r="S75" s="233"/>
      <c r="T75" s="234"/>
      <c r="U75" s="233"/>
      <c r="V75" s="235"/>
    </row>
    <row r="76" spans="1:22" s="61" customFormat="1" ht="25.2" customHeight="1">
      <c r="A76" s="107">
        <v>1</v>
      </c>
      <c r="B76" s="215" t="s">
        <v>261</v>
      </c>
      <c r="C76" s="173" t="s">
        <v>262</v>
      </c>
      <c r="D76" s="108"/>
      <c r="E76" s="257">
        <v>1</v>
      </c>
      <c r="F76" s="108" t="s">
        <v>200</v>
      </c>
      <c r="G76" s="216"/>
      <c r="H76" s="216"/>
      <c r="I76" s="217"/>
      <c r="J76" s="282"/>
      <c r="K76" s="275"/>
      <c r="L76" s="275"/>
      <c r="M76" s="216"/>
      <c r="N76" s="221"/>
      <c r="O76" s="192"/>
      <c r="P76" s="22"/>
      <c r="Q76" s="219"/>
      <c r="R76" s="23"/>
      <c r="S76" s="24"/>
      <c r="T76" s="220"/>
      <c r="U76" s="24"/>
      <c r="V76" s="60"/>
    </row>
    <row r="77" spans="1:22" s="236" customFormat="1" ht="24.45" customHeight="1">
      <c r="A77" s="222"/>
      <c r="B77" s="223"/>
      <c r="C77" s="224"/>
      <c r="D77" s="225"/>
      <c r="E77" s="226"/>
      <c r="F77" s="227"/>
      <c r="G77" s="228">
        <v>95</v>
      </c>
      <c r="H77" s="228">
        <v>52</v>
      </c>
      <c r="I77" s="228">
        <v>95</v>
      </c>
      <c r="J77" s="228">
        <f>ROUND(I77*H77*G77/1000000,3)</f>
        <v>0.46899999999999997</v>
      </c>
      <c r="K77" s="228">
        <v>154</v>
      </c>
      <c r="L77" s="228">
        <v>209</v>
      </c>
      <c r="M77" s="230"/>
      <c r="N77" s="229"/>
      <c r="O77" s="229"/>
      <c r="P77" s="231"/>
      <c r="Q77" s="232"/>
      <c r="R77" s="23"/>
      <c r="S77" s="233"/>
      <c r="T77" s="234"/>
      <c r="U77" s="233"/>
      <c r="V77" s="235"/>
    </row>
    <row r="78" spans="1:22" s="61" customFormat="1" ht="25.2" customHeight="1">
      <c r="A78" s="107">
        <v>1</v>
      </c>
      <c r="B78" s="215" t="s">
        <v>263</v>
      </c>
      <c r="C78" s="173" t="s">
        <v>264</v>
      </c>
      <c r="D78" s="108"/>
      <c r="E78" s="257">
        <v>1</v>
      </c>
      <c r="F78" s="108" t="s">
        <v>200</v>
      </c>
      <c r="G78" s="216"/>
      <c r="H78" s="216"/>
      <c r="I78" s="217"/>
      <c r="J78" s="282"/>
      <c r="K78" s="275"/>
      <c r="L78" s="275"/>
      <c r="M78" s="216"/>
      <c r="N78" s="221"/>
      <c r="O78" s="192"/>
      <c r="P78" s="22"/>
      <c r="Q78" s="219"/>
      <c r="R78" s="23"/>
      <c r="S78" s="24"/>
      <c r="T78" s="220"/>
      <c r="U78" s="24"/>
      <c r="V78" s="60"/>
    </row>
    <row r="79" spans="1:22" s="236" customFormat="1" ht="24.45" customHeight="1">
      <c r="A79" s="222"/>
      <c r="B79" s="223"/>
      <c r="C79" s="224"/>
      <c r="D79" s="225"/>
      <c r="E79" s="226"/>
      <c r="F79" s="227"/>
      <c r="G79" s="228">
        <v>95</v>
      </c>
      <c r="H79" s="228">
        <v>52</v>
      </c>
      <c r="I79" s="228">
        <v>95</v>
      </c>
      <c r="J79" s="228">
        <f>ROUND(I79*H79*G79/1000000,3)</f>
        <v>0.46899999999999997</v>
      </c>
      <c r="K79" s="228">
        <v>169</v>
      </c>
      <c r="L79" s="228">
        <v>210</v>
      </c>
      <c r="M79" s="230"/>
      <c r="N79" s="229"/>
      <c r="O79" s="229"/>
      <c r="P79" s="231"/>
      <c r="Q79" s="232"/>
      <c r="R79" s="23"/>
      <c r="S79" s="233"/>
      <c r="T79" s="234"/>
      <c r="U79" s="233"/>
      <c r="V79" s="235"/>
    </row>
    <row r="80" spans="1:22" s="61" customFormat="1" ht="25.2" customHeight="1">
      <c r="A80" s="107">
        <v>1</v>
      </c>
      <c r="B80" s="215" t="s">
        <v>265</v>
      </c>
      <c r="C80" s="173" t="s">
        <v>266</v>
      </c>
      <c r="D80" s="108"/>
      <c r="E80" s="257">
        <v>1</v>
      </c>
      <c r="F80" s="108" t="s">
        <v>200</v>
      </c>
      <c r="G80" s="216"/>
      <c r="H80" s="216"/>
      <c r="I80" s="217"/>
      <c r="J80" s="282"/>
      <c r="K80" s="275"/>
      <c r="L80" s="275"/>
      <c r="M80" s="216"/>
      <c r="N80" s="221"/>
      <c r="O80" s="192"/>
      <c r="P80" s="22"/>
      <c r="Q80" s="219"/>
      <c r="R80" s="23"/>
      <c r="S80" s="24"/>
      <c r="T80" s="220"/>
      <c r="U80" s="24"/>
      <c r="V80" s="60"/>
    </row>
    <row r="81" spans="1:22" s="236" customFormat="1" ht="24.45" customHeight="1">
      <c r="A81" s="222"/>
      <c r="B81" s="223"/>
      <c r="C81" s="224"/>
      <c r="D81" s="225"/>
      <c r="E81" s="226"/>
      <c r="F81" s="227"/>
      <c r="G81" s="228">
        <v>95</v>
      </c>
      <c r="H81" s="228">
        <v>52</v>
      </c>
      <c r="I81" s="228">
        <v>95</v>
      </c>
      <c r="J81" s="228">
        <f>ROUND(I81*H81*G81/1000000,3)</f>
        <v>0.46899999999999997</v>
      </c>
      <c r="K81" s="228">
        <v>168</v>
      </c>
      <c r="L81" s="228">
        <v>209</v>
      </c>
      <c r="M81" s="230"/>
      <c r="N81" s="229"/>
      <c r="O81" s="229"/>
      <c r="P81" s="231"/>
      <c r="Q81" s="232"/>
      <c r="R81" s="23"/>
      <c r="S81" s="233"/>
      <c r="T81" s="234"/>
      <c r="U81" s="233"/>
      <c r="V81" s="235"/>
    </row>
    <row r="82" spans="1:22" s="61" customFormat="1" ht="25.2" customHeight="1">
      <c r="A82" s="107">
        <v>1</v>
      </c>
      <c r="B82" s="215" t="s">
        <v>267</v>
      </c>
      <c r="C82" s="173" t="s">
        <v>268</v>
      </c>
      <c r="D82" s="108"/>
      <c r="E82" s="257">
        <v>1</v>
      </c>
      <c r="F82" s="108" t="s">
        <v>200</v>
      </c>
      <c r="G82" s="216"/>
      <c r="H82" s="216"/>
      <c r="I82" s="217"/>
      <c r="J82" s="282"/>
      <c r="K82" s="275"/>
      <c r="L82" s="275"/>
      <c r="M82" s="216"/>
      <c r="N82" s="221"/>
      <c r="O82" s="192"/>
      <c r="P82" s="22"/>
      <c r="Q82" s="219"/>
      <c r="R82" s="23"/>
      <c r="S82" s="24"/>
      <c r="T82" s="220"/>
      <c r="U82" s="24"/>
      <c r="V82" s="60"/>
    </row>
    <row r="83" spans="1:22" s="236" customFormat="1" ht="24.45" customHeight="1">
      <c r="A83" s="222"/>
      <c r="B83" s="223"/>
      <c r="C83" s="224"/>
      <c r="D83" s="225"/>
      <c r="E83" s="226"/>
      <c r="F83" s="227"/>
      <c r="G83" s="228">
        <v>95</v>
      </c>
      <c r="H83" s="228">
        <v>52</v>
      </c>
      <c r="I83" s="228">
        <v>95</v>
      </c>
      <c r="J83" s="228">
        <f>ROUND(I83*H83*G83/1000000,3)</f>
        <v>0.46899999999999997</v>
      </c>
      <c r="K83" s="228">
        <v>166</v>
      </c>
      <c r="L83" s="228">
        <v>208</v>
      </c>
      <c r="M83" s="230"/>
      <c r="N83" s="229"/>
      <c r="O83" s="229"/>
      <c r="P83" s="231"/>
      <c r="Q83" s="232"/>
      <c r="R83" s="23"/>
      <c r="S83" s="233"/>
      <c r="T83" s="234"/>
      <c r="U83" s="233"/>
      <c r="V83" s="235"/>
    </row>
    <row r="84" spans="1:22" s="61" customFormat="1" ht="25.2" customHeight="1">
      <c r="A84" s="107">
        <v>1</v>
      </c>
      <c r="B84" s="215" t="s">
        <v>269</v>
      </c>
      <c r="C84" s="173" t="s">
        <v>270</v>
      </c>
      <c r="D84" s="108"/>
      <c r="E84" s="257">
        <v>1</v>
      </c>
      <c r="F84" s="108" t="s">
        <v>200</v>
      </c>
      <c r="G84" s="216"/>
      <c r="H84" s="216"/>
      <c r="I84" s="217"/>
      <c r="J84" s="282"/>
      <c r="K84" s="275"/>
      <c r="L84" s="275"/>
      <c r="M84" s="216"/>
      <c r="N84" s="221"/>
      <c r="O84" s="192"/>
      <c r="P84" s="22"/>
      <c r="Q84" s="277"/>
      <c r="R84" s="23"/>
      <c r="S84" s="24"/>
      <c r="T84" s="220"/>
      <c r="U84" s="24"/>
      <c r="V84" s="60"/>
    </row>
    <row r="85" spans="1:22" s="236" customFormat="1" ht="25.2" customHeight="1">
      <c r="A85" s="222"/>
      <c r="B85" s="223"/>
      <c r="C85" s="231"/>
      <c r="D85" s="225"/>
      <c r="E85" s="226"/>
      <c r="F85" s="227"/>
      <c r="G85" s="228">
        <v>95</v>
      </c>
      <c r="H85" s="228">
        <v>52</v>
      </c>
      <c r="I85" s="228">
        <v>95</v>
      </c>
      <c r="J85" s="228">
        <f>ROUND(I85*H85*G85/1000000,3)</f>
        <v>0.46899999999999997</v>
      </c>
      <c r="K85" s="228">
        <v>155</v>
      </c>
      <c r="L85" s="228">
        <v>209</v>
      </c>
      <c r="M85" s="229"/>
      <c r="N85" s="229"/>
      <c r="O85" s="229"/>
      <c r="P85" s="231"/>
      <c r="Q85" s="232"/>
      <c r="R85" s="23"/>
      <c r="S85" s="233"/>
      <c r="T85" s="234"/>
      <c r="U85" s="233"/>
      <c r="V85" s="235"/>
    </row>
    <row r="86" spans="1:22" s="61" customFormat="1" ht="25.2" customHeight="1">
      <c r="A86" s="107">
        <v>1</v>
      </c>
      <c r="B86" s="215" t="s">
        <v>271</v>
      </c>
      <c r="C86" s="173" t="s">
        <v>272</v>
      </c>
      <c r="D86" s="108"/>
      <c r="E86" s="257">
        <v>1</v>
      </c>
      <c r="F86" s="108" t="s">
        <v>200</v>
      </c>
      <c r="G86" s="216"/>
      <c r="H86" s="216"/>
      <c r="I86" s="217"/>
      <c r="J86" s="282"/>
      <c r="K86" s="275"/>
      <c r="L86" s="275"/>
      <c r="M86" s="216"/>
      <c r="N86" s="221"/>
      <c r="O86" s="192"/>
      <c r="P86" s="22"/>
      <c r="Q86" s="277"/>
      <c r="R86" s="23"/>
      <c r="S86" s="24"/>
      <c r="T86" s="220"/>
      <c r="U86" s="24"/>
      <c r="V86" s="60"/>
    </row>
    <row r="87" spans="1:22" s="236" customFormat="1" ht="25.2" customHeight="1">
      <c r="A87" s="222"/>
      <c r="B87" s="223"/>
      <c r="C87" s="231"/>
      <c r="D87" s="225"/>
      <c r="E87" s="226"/>
      <c r="F87" s="227"/>
      <c r="G87" s="228">
        <v>95</v>
      </c>
      <c r="H87" s="228">
        <v>52</v>
      </c>
      <c r="I87" s="228">
        <v>95</v>
      </c>
      <c r="J87" s="228">
        <f>ROUND(I87*H87*G87/1000000,3)</f>
        <v>0.46899999999999997</v>
      </c>
      <c r="K87" s="228">
        <v>153</v>
      </c>
      <c r="L87" s="228">
        <v>207</v>
      </c>
      <c r="M87" s="229"/>
      <c r="N87" s="229"/>
      <c r="O87" s="229"/>
      <c r="P87" s="231"/>
      <c r="Q87" s="232"/>
      <c r="R87" s="23"/>
      <c r="S87" s="233"/>
      <c r="T87" s="234"/>
      <c r="U87" s="233"/>
      <c r="V87" s="235"/>
    </row>
    <row r="88" spans="1:22" s="27" customFormat="1" ht="28.2" customHeight="1" thickBot="1">
      <c r="A88" s="448" t="s">
        <v>273</v>
      </c>
      <c r="B88" s="449"/>
      <c r="C88" s="449"/>
      <c r="D88" s="449"/>
      <c r="E88" s="237"/>
      <c r="F88" s="238"/>
      <c r="G88" s="239"/>
      <c r="H88" s="239"/>
      <c r="I88" s="239"/>
      <c r="J88" s="240">
        <f>SUM(J14:J87)</f>
        <v>18.303999999999998</v>
      </c>
      <c r="K88" s="240">
        <f>SUM(K15:K87)</f>
        <v>6102</v>
      </c>
      <c r="L88" s="240">
        <f>SUM(L15:L87)</f>
        <v>8009</v>
      </c>
      <c r="M88" s="240"/>
      <c r="N88" s="240"/>
      <c r="O88" s="156"/>
      <c r="P88" s="157"/>
      <c r="Q88" s="158"/>
      <c r="R88" s="25"/>
      <c r="S88" s="25"/>
      <c r="T88" s="25"/>
      <c r="U88" s="26"/>
      <c r="V88" s="26"/>
    </row>
    <row r="89" spans="1:22" s="8" customFormat="1" ht="22.5" customHeight="1">
      <c r="A89" s="5"/>
      <c r="B89" s="7"/>
      <c r="C89" s="7"/>
      <c r="D89" s="28"/>
      <c r="E89" s="180"/>
      <c r="F89" s="7"/>
      <c r="G89" s="241"/>
      <c r="H89" s="241"/>
      <c r="I89" s="242"/>
      <c r="J89" s="242"/>
      <c r="K89" s="29"/>
      <c r="L89" s="241"/>
      <c r="M89" s="241"/>
      <c r="N89" s="241"/>
      <c r="O89" s="29"/>
      <c r="P89" s="31"/>
      <c r="Q89" s="17"/>
      <c r="R89" s="32"/>
      <c r="S89" s="32"/>
      <c r="T89" s="32"/>
      <c r="U89" s="10"/>
      <c r="V89" s="10"/>
    </row>
    <row r="90" spans="1:22" s="8" customFormat="1" ht="12" customHeight="1">
      <c r="A90" s="5"/>
      <c r="B90" s="7"/>
      <c r="C90" s="7"/>
      <c r="E90" s="180"/>
      <c r="F90" s="7"/>
      <c r="G90" s="241"/>
      <c r="H90" s="241"/>
      <c r="I90" s="242"/>
      <c r="J90" s="242"/>
      <c r="K90" s="29"/>
      <c r="L90" s="241"/>
      <c r="M90" s="241"/>
      <c r="N90" s="241"/>
      <c r="O90" s="29"/>
      <c r="P90" s="31"/>
      <c r="Q90" s="17"/>
      <c r="R90" s="6"/>
      <c r="S90" s="6"/>
      <c r="T90" s="6"/>
      <c r="U90" s="10"/>
      <c r="V90" s="10"/>
    </row>
    <row r="91" spans="1:22" s="8" customFormat="1" ht="22.5" customHeight="1">
      <c r="A91" s="5"/>
      <c r="B91" s="7"/>
      <c r="C91" s="7"/>
      <c r="E91" s="180"/>
      <c r="F91" s="7"/>
      <c r="G91" s="241"/>
      <c r="H91" s="241"/>
      <c r="I91" s="242"/>
      <c r="J91" s="242"/>
      <c r="K91" s="29"/>
      <c r="L91" s="241"/>
      <c r="M91" s="241"/>
      <c r="N91" s="241"/>
      <c r="O91" s="29"/>
      <c r="P91" s="31"/>
      <c r="Q91" s="17"/>
      <c r="R91" s="6"/>
      <c r="S91" s="6"/>
      <c r="T91" s="6"/>
      <c r="U91" s="10"/>
      <c r="V91" s="10"/>
    </row>
    <row r="92" spans="1:22" s="8" customFormat="1" ht="12" customHeight="1">
      <c r="A92" s="5"/>
      <c r="B92" s="7"/>
      <c r="C92" s="7"/>
      <c r="E92" s="180"/>
      <c r="F92" s="7"/>
      <c r="G92" s="241"/>
      <c r="H92" s="241"/>
      <c r="I92" s="242"/>
      <c r="J92" s="242"/>
      <c r="K92" s="29"/>
      <c r="L92" s="241"/>
      <c r="M92" s="241"/>
      <c r="N92" s="241"/>
      <c r="O92" s="29"/>
      <c r="P92" s="31"/>
      <c r="Q92" s="17"/>
      <c r="R92" s="6"/>
      <c r="S92" s="6"/>
      <c r="T92" s="6"/>
      <c r="U92" s="10"/>
      <c r="V92" s="10"/>
    </row>
    <row r="93" spans="1:22" s="8" customFormat="1" ht="12" customHeight="1">
      <c r="A93" s="5"/>
      <c r="B93" s="7"/>
      <c r="C93" s="7"/>
      <c r="E93" s="181"/>
      <c r="F93" s="33"/>
      <c r="G93" s="241"/>
      <c r="H93" s="241"/>
      <c r="I93" s="242"/>
      <c r="J93" s="242"/>
      <c r="K93" s="29"/>
      <c r="L93" s="241"/>
      <c r="M93" s="241"/>
      <c r="N93" s="241"/>
      <c r="O93" s="29"/>
      <c r="P93" s="31"/>
      <c r="Q93" s="17"/>
      <c r="R93" s="6"/>
      <c r="S93" s="6"/>
      <c r="T93" s="6"/>
      <c r="U93" s="10"/>
      <c r="V93" s="10"/>
    </row>
    <row r="94" spans="1:22" s="8" customFormat="1" ht="12" customHeight="1">
      <c r="A94" s="5"/>
      <c r="B94" s="7"/>
      <c r="C94" s="7"/>
      <c r="E94" s="181"/>
      <c r="F94" s="33"/>
      <c r="G94" s="241"/>
      <c r="H94" s="241"/>
      <c r="I94" s="242"/>
      <c r="J94" s="242"/>
      <c r="K94" s="29"/>
      <c r="L94" s="241"/>
      <c r="M94" s="241"/>
      <c r="N94" s="241"/>
      <c r="O94" s="29"/>
      <c r="P94" s="31"/>
      <c r="Q94" s="17"/>
      <c r="R94" s="6"/>
      <c r="S94" s="6"/>
      <c r="T94" s="6"/>
      <c r="U94" s="10"/>
      <c r="V94" s="10"/>
    </row>
    <row r="95" spans="1:22" s="8" customFormat="1" ht="12" customHeight="1">
      <c r="A95" s="5"/>
      <c r="B95" s="7"/>
      <c r="C95" s="7"/>
      <c r="E95" s="181"/>
      <c r="F95" s="33"/>
      <c r="G95" s="241"/>
      <c r="H95" s="241"/>
      <c r="I95" s="242"/>
      <c r="J95" s="242"/>
      <c r="K95" s="29"/>
      <c r="L95" s="241"/>
      <c r="M95" s="241"/>
      <c r="N95" s="241"/>
      <c r="O95" s="29"/>
      <c r="P95" s="31"/>
      <c r="Q95" s="17"/>
      <c r="R95" s="6"/>
      <c r="S95" s="6"/>
      <c r="T95" s="6"/>
      <c r="U95" s="10"/>
      <c r="V95" s="10"/>
    </row>
    <row r="96" spans="1:22" s="36" customFormat="1" ht="29.25" customHeight="1">
      <c r="A96" s="9"/>
      <c r="B96" s="9"/>
      <c r="C96" s="9"/>
      <c r="E96" s="254"/>
      <c r="F96" s="33"/>
      <c r="G96" s="243"/>
      <c r="H96" s="243"/>
      <c r="I96" s="244"/>
      <c r="J96" s="244"/>
      <c r="K96" s="34"/>
      <c r="L96" s="243"/>
      <c r="M96" s="243"/>
      <c r="N96" s="243"/>
      <c r="O96" s="34"/>
      <c r="P96" s="17"/>
      <c r="Q96" s="17"/>
      <c r="R96" s="6"/>
      <c r="S96" s="6"/>
      <c r="T96" s="6"/>
      <c r="U96" s="35"/>
      <c r="V96" s="35"/>
    </row>
    <row r="97" spans="1:22" s="36" customFormat="1" ht="29.25" customHeight="1">
      <c r="A97" s="9"/>
      <c r="B97" s="9"/>
      <c r="C97" s="9"/>
      <c r="E97" s="254"/>
      <c r="F97" s="33"/>
      <c r="G97" s="243"/>
      <c r="H97" s="243"/>
      <c r="I97" s="244"/>
      <c r="J97" s="244"/>
      <c r="K97" s="34"/>
      <c r="L97" s="243"/>
      <c r="M97" s="243"/>
      <c r="N97" s="243"/>
      <c r="O97" s="34"/>
      <c r="P97" s="17"/>
      <c r="Q97" s="17"/>
      <c r="R97" s="6"/>
      <c r="S97" s="6"/>
      <c r="T97" s="6"/>
      <c r="U97" s="35"/>
      <c r="V97" s="35"/>
    </row>
    <row r="98" spans="1:22" s="8" customFormat="1" ht="12" customHeight="1">
      <c r="A98" s="5"/>
      <c r="B98" s="7"/>
      <c r="C98" s="7"/>
      <c r="E98" s="181"/>
      <c r="F98" s="7"/>
      <c r="G98" s="241"/>
      <c r="H98" s="241"/>
      <c r="I98" s="242"/>
      <c r="J98" s="242"/>
      <c r="K98" s="29"/>
      <c r="L98" s="241"/>
      <c r="M98" s="241"/>
      <c r="N98" s="241"/>
      <c r="O98" s="29"/>
      <c r="P98" s="31"/>
      <c r="Q98" s="17"/>
      <c r="R98" s="6"/>
      <c r="S98" s="6"/>
      <c r="T98" s="6"/>
      <c r="U98" s="10"/>
      <c r="V98" s="10"/>
    </row>
    <row r="99" spans="1:22" s="8" customFormat="1" ht="18" customHeight="1">
      <c r="A99" s="5"/>
      <c r="B99" s="7"/>
      <c r="C99" s="7"/>
      <c r="D99" s="5"/>
      <c r="E99" s="181"/>
      <c r="F99" s="7"/>
      <c r="G99" s="241"/>
      <c r="H99" s="241"/>
      <c r="I99" s="242"/>
      <c r="J99" s="242"/>
      <c r="K99" s="29"/>
      <c r="L99" s="241"/>
      <c r="M99" s="241"/>
      <c r="N99" s="241"/>
      <c r="O99" s="29"/>
      <c r="P99" s="31"/>
      <c r="Q99" s="17"/>
      <c r="R99" s="6"/>
      <c r="S99" s="6"/>
      <c r="T99" s="6"/>
      <c r="U99" s="10"/>
      <c r="V99" s="10"/>
    </row>
    <row r="100" spans="1:22" s="8" customFormat="1" ht="12" customHeight="1">
      <c r="A100" s="5"/>
      <c r="B100" s="7"/>
      <c r="C100" s="7"/>
      <c r="D100" s="5"/>
      <c r="E100" s="181"/>
      <c r="F100" s="7"/>
      <c r="G100" s="241"/>
      <c r="H100" s="241"/>
      <c r="I100" s="242"/>
      <c r="J100" s="242"/>
      <c r="K100" s="29"/>
      <c r="L100" s="241"/>
      <c r="M100" s="241"/>
      <c r="N100" s="241"/>
      <c r="O100" s="29"/>
      <c r="P100" s="31"/>
      <c r="Q100" s="17"/>
      <c r="R100" s="6"/>
      <c r="S100" s="6"/>
      <c r="T100" s="6"/>
      <c r="U100" s="10"/>
      <c r="V100" s="10"/>
    </row>
    <row r="101" spans="1:22" s="8" customFormat="1" ht="12" customHeight="1">
      <c r="A101" s="5"/>
      <c r="B101" s="7"/>
      <c r="C101" s="7"/>
      <c r="D101" s="5"/>
      <c r="E101" s="181"/>
      <c r="F101" s="7"/>
      <c r="G101" s="241"/>
      <c r="H101" s="241"/>
      <c r="I101" s="242"/>
      <c r="J101" s="242"/>
      <c r="K101" s="29"/>
      <c r="L101" s="241"/>
      <c r="M101" s="241"/>
      <c r="N101" s="241"/>
      <c r="O101" s="29"/>
      <c r="P101" s="31"/>
      <c r="Q101" s="17"/>
      <c r="R101" s="6"/>
      <c r="S101" s="6"/>
      <c r="T101" s="6"/>
      <c r="U101" s="10"/>
      <c r="V101" s="10"/>
    </row>
    <row r="102" spans="1:22" s="8" customFormat="1" ht="12" customHeight="1">
      <c r="A102" s="5"/>
      <c r="B102" s="7"/>
      <c r="C102" s="7"/>
      <c r="D102" s="5"/>
      <c r="E102" s="181"/>
      <c r="F102" s="7"/>
      <c r="G102" s="241"/>
      <c r="H102" s="241"/>
      <c r="I102" s="242"/>
      <c r="J102" s="242"/>
      <c r="K102" s="29"/>
      <c r="L102" s="241"/>
      <c r="M102" s="241"/>
      <c r="N102" s="241"/>
      <c r="O102" s="29"/>
      <c r="P102" s="31"/>
      <c r="Q102" s="17"/>
      <c r="R102" s="6"/>
      <c r="S102" s="6"/>
      <c r="T102" s="6"/>
      <c r="U102" s="10"/>
      <c r="V102" s="10"/>
    </row>
    <row r="103" spans="1:22" s="8" customFormat="1" ht="12" customHeight="1">
      <c r="A103" s="5"/>
      <c r="B103" s="7"/>
      <c r="C103" s="7"/>
      <c r="D103" s="5"/>
      <c r="E103" s="181"/>
      <c r="F103" s="7"/>
      <c r="G103" s="241"/>
      <c r="H103" s="241"/>
      <c r="I103" s="242"/>
      <c r="J103" s="242"/>
      <c r="K103" s="29"/>
      <c r="L103" s="241"/>
      <c r="M103" s="241"/>
      <c r="N103" s="241"/>
      <c r="O103" s="29"/>
      <c r="P103" s="31"/>
      <c r="Q103" s="17"/>
      <c r="R103" s="6"/>
      <c r="S103" s="6"/>
      <c r="T103" s="6"/>
      <c r="U103" s="10"/>
      <c r="V103" s="10"/>
    </row>
    <row r="104" spans="1:22" s="8" customFormat="1" ht="12" customHeight="1">
      <c r="A104" s="5"/>
      <c r="B104" s="7"/>
      <c r="C104" s="7"/>
      <c r="D104" s="5"/>
      <c r="E104" s="181"/>
      <c r="F104" s="7"/>
      <c r="G104" s="241"/>
      <c r="H104" s="241"/>
      <c r="I104" s="242"/>
      <c r="J104" s="242"/>
      <c r="K104" s="29"/>
      <c r="L104" s="241"/>
      <c r="M104" s="241"/>
      <c r="N104" s="241"/>
      <c r="O104" s="29"/>
      <c r="P104" s="31"/>
      <c r="Q104" s="17"/>
      <c r="R104" s="6"/>
      <c r="S104" s="6"/>
      <c r="T104" s="6"/>
      <c r="U104" s="10"/>
      <c r="V104" s="10"/>
    </row>
    <row r="105" spans="1:22" s="8" customFormat="1" ht="13.5" customHeight="1">
      <c r="A105" s="5"/>
      <c r="B105" s="7"/>
      <c r="C105" s="7"/>
      <c r="D105" s="5"/>
      <c r="E105" s="181"/>
      <c r="F105" s="7"/>
      <c r="G105" s="241"/>
      <c r="H105" s="241"/>
      <c r="I105" s="242"/>
      <c r="J105" s="242"/>
      <c r="K105" s="29"/>
      <c r="L105" s="241"/>
      <c r="M105" s="241"/>
      <c r="N105" s="241"/>
      <c r="O105" s="29"/>
      <c r="P105" s="31"/>
      <c r="Q105" s="17"/>
      <c r="R105" s="6"/>
      <c r="S105" s="6"/>
      <c r="T105" s="6"/>
      <c r="U105" s="10"/>
      <c r="V105" s="10"/>
    </row>
    <row r="106" spans="1:22" s="8" customFormat="1" ht="13.5" customHeight="1">
      <c r="A106" s="5"/>
      <c r="B106" s="7"/>
      <c r="C106" s="7"/>
      <c r="D106" s="5"/>
      <c r="E106" s="181"/>
      <c r="F106" s="7"/>
      <c r="G106" s="241"/>
      <c r="H106" s="241"/>
      <c r="I106" s="242"/>
      <c r="J106" s="242"/>
      <c r="K106" s="29"/>
      <c r="L106" s="241"/>
      <c r="M106" s="241"/>
      <c r="N106" s="241"/>
      <c r="O106" s="29"/>
      <c r="P106" s="31"/>
      <c r="Q106" s="17"/>
      <c r="R106" s="6"/>
      <c r="S106" s="6"/>
      <c r="T106" s="6"/>
      <c r="U106" s="10"/>
      <c r="V106" s="10"/>
    </row>
    <row r="107" spans="1:22" s="8" customFormat="1" ht="13.5" customHeight="1">
      <c r="A107" s="5"/>
      <c r="B107" s="7"/>
      <c r="C107" s="7"/>
      <c r="D107" s="5"/>
      <c r="E107" s="181"/>
      <c r="F107" s="7"/>
      <c r="G107" s="241"/>
      <c r="H107" s="241"/>
      <c r="I107" s="242"/>
      <c r="J107" s="242"/>
      <c r="K107" s="29"/>
      <c r="L107" s="241"/>
      <c r="M107" s="241"/>
      <c r="N107" s="241"/>
      <c r="O107" s="29"/>
      <c r="P107" s="31"/>
      <c r="Q107" s="17"/>
      <c r="R107" s="6"/>
      <c r="S107" s="6"/>
      <c r="T107" s="6"/>
      <c r="U107" s="10"/>
      <c r="V107" s="10"/>
    </row>
    <row r="108" spans="1:22" s="8" customFormat="1" ht="29.25" customHeight="1">
      <c r="A108" s="5"/>
      <c r="B108" s="7"/>
      <c r="C108" s="7"/>
      <c r="D108" s="5"/>
      <c r="E108" s="181"/>
      <c r="F108" s="7"/>
      <c r="G108" s="241"/>
      <c r="H108" s="241"/>
      <c r="I108" s="242"/>
      <c r="J108" s="242"/>
      <c r="K108" s="29"/>
      <c r="L108" s="241"/>
      <c r="M108" s="241"/>
      <c r="N108" s="241"/>
      <c r="O108" s="29"/>
      <c r="P108" s="31"/>
      <c r="Q108" s="17"/>
      <c r="R108" s="6"/>
      <c r="S108" s="6"/>
      <c r="T108" s="6"/>
      <c r="U108" s="10"/>
      <c r="V108" s="10"/>
    </row>
    <row r="109" spans="1:22" s="8" customFormat="1" ht="13.5" customHeight="1">
      <c r="A109" s="5"/>
      <c r="B109" s="7"/>
      <c r="C109" s="7"/>
      <c r="D109" s="5"/>
      <c r="E109" s="181"/>
      <c r="F109" s="7"/>
      <c r="G109" s="241"/>
      <c r="H109" s="241"/>
      <c r="I109" s="242"/>
      <c r="J109" s="242"/>
      <c r="K109" s="29"/>
      <c r="L109" s="241"/>
      <c r="M109" s="241"/>
      <c r="N109" s="241"/>
      <c r="O109" s="29"/>
      <c r="P109" s="31"/>
      <c r="Q109" s="17"/>
      <c r="R109" s="6"/>
      <c r="S109" s="6"/>
      <c r="T109" s="6"/>
      <c r="U109" s="10"/>
      <c r="V109" s="10"/>
    </row>
    <row r="110" spans="1:22" s="8" customFormat="1" ht="13.5" customHeight="1">
      <c r="A110" s="5"/>
      <c r="B110" s="7"/>
      <c r="C110" s="7"/>
      <c r="D110" s="5"/>
      <c r="E110" s="181"/>
      <c r="F110" s="7"/>
      <c r="G110" s="241"/>
      <c r="H110" s="241"/>
      <c r="I110" s="242"/>
      <c r="J110" s="242"/>
      <c r="K110" s="29"/>
      <c r="L110" s="241"/>
      <c r="M110" s="241"/>
      <c r="N110" s="241"/>
      <c r="O110" s="29"/>
      <c r="P110" s="31"/>
      <c r="Q110" s="17"/>
      <c r="R110" s="6"/>
      <c r="S110" s="6"/>
      <c r="T110" s="6"/>
      <c r="U110" s="10"/>
      <c r="V110" s="10"/>
    </row>
    <row r="111" spans="1:22" s="8" customFormat="1" ht="13.5" customHeight="1">
      <c r="A111" s="5"/>
      <c r="B111" s="7"/>
      <c r="C111" s="7"/>
      <c r="D111" s="5"/>
      <c r="E111" s="181"/>
      <c r="F111" s="7"/>
      <c r="G111" s="241"/>
      <c r="H111" s="241"/>
      <c r="I111" s="242"/>
      <c r="J111" s="242"/>
      <c r="K111" s="29"/>
      <c r="L111" s="241"/>
      <c r="M111" s="241"/>
      <c r="N111" s="241"/>
      <c r="O111" s="29"/>
      <c r="P111" s="31"/>
      <c r="Q111" s="17"/>
      <c r="R111" s="6"/>
      <c r="S111" s="6"/>
      <c r="T111" s="6"/>
      <c r="U111" s="10"/>
      <c r="V111" s="10"/>
    </row>
    <row r="112" spans="1:22" s="8" customFormat="1" ht="13.5" customHeight="1">
      <c r="A112" s="5"/>
      <c r="B112" s="7"/>
      <c r="C112" s="7"/>
      <c r="D112" s="5"/>
      <c r="E112" s="181"/>
      <c r="F112" s="7"/>
      <c r="G112" s="241"/>
      <c r="H112" s="241"/>
      <c r="I112" s="242"/>
      <c r="J112" s="242"/>
      <c r="K112" s="29"/>
      <c r="L112" s="241"/>
      <c r="M112" s="241"/>
      <c r="N112" s="241"/>
      <c r="O112" s="29"/>
      <c r="P112" s="31"/>
      <c r="Q112" s="17"/>
      <c r="R112" s="6"/>
      <c r="S112" s="6"/>
      <c r="T112" s="6"/>
      <c r="U112" s="10"/>
      <c r="V112" s="10"/>
    </row>
    <row r="113" spans="1:22" s="8" customFormat="1" ht="13.5" customHeight="1">
      <c r="A113" s="5"/>
      <c r="B113" s="7"/>
      <c r="C113" s="7"/>
      <c r="D113" s="5"/>
      <c r="E113" s="181"/>
      <c r="F113" s="7"/>
      <c r="G113" s="241"/>
      <c r="H113" s="241"/>
      <c r="I113" s="242"/>
      <c r="J113" s="242"/>
      <c r="K113" s="29"/>
      <c r="L113" s="241"/>
      <c r="M113" s="241"/>
      <c r="N113" s="241"/>
      <c r="O113" s="29"/>
      <c r="P113" s="31"/>
      <c r="Q113" s="17"/>
      <c r="R113" s="6"/>
      <c r="S113" s="6"/>
      <c r="T113" s="6"/>
      <c r="U113" s="10"/>
      <c r="V113" s="10"/>
    </row>
    <row r="114" spans="1:22" s="8" customFormat="1" ht="13.5" customHeight="1">
      <c r="A114" s="5"/>
      <c r="B114" s="7"/>
      <c r="C114" s="7"/>
      <c r="D114" s="5"/>
      <c r="E114" s="181"/>
      <c r="F114" s="7"/>
      <c r="G114" s="241"/>
      <c r="H114" s="241"/>
      <c r="I114" s="242"/>
      <c r="J114" s="242"/>
      <c r="K114" s="29"/>
      <c r="L114" s="241"/>
      <c r="M114" s="241"/>
      <c r="N114" s="241"/>
      <c r="O114" s="29"/>
      <c r="P114" s="31"/>
      <c r="Q114" s="17"/>
      <c r="R114" s="6"/>
      <c r="S114" s="6"/>
      <c r="T114" s="6"/>
      <c r="U114" s="10"/>
      <c r="V114" s="10"/>
    </row>
    <row r="115" spans="1:22" s="8" customFormat="1" ht="13.5" customHeight="1">
      <c r="A115" s="5"/>
      <c r="B115" s="7"/>
      <c r="C115" s="7"/>
      <c r="D115" s="5"/>
      <c r="E115" s="181"/>
      <c r="F115" s="7"/>
      <c r="G115" s="241"/>
      <c r="H115" s="241"/>
      <c r="I115" s="242"/>
      <c r="J115" s="242"/>
      <c r="K115" s="29"/>
      <c r="L115" s="241"/>
      <c r="M115" s="241"/>
      <c r="N115" s="241"/>
      <c r="O115" s="29"/>
      <c r="P115" s="31"/>
      <c r="Q115" s="17"/>
      <c r="R115" s="6"/>
      <c r="S115" s="6"/>
      <c r="T115" s="6"/>
      <c r="U115" s="10"/>
      <c r="V115" s="10"/>
    </row>
    <row r="116" spans="1:22" s="8" customFormat="1" ht="13.5" customHeight="1">
      <c r="A116" s="5"/>
      <c r="B116" s="7"/>
      <c r="C116" s="7"/>
      <c r="D116" s="5"/>
      <c r="E116" s="181"/>
      <c r="F116" s="7"/>
      <c r="G116" s="241"/>
      <c r="H116" s="241"/>
      <c r="I116" s="242"/>
      <c r="J116" s="242"/>
      <c r="K116" s="29"/>
      <c r="L116" s="241"/>
      <c r="M116" s="241"/>
      <c r="N116" s="241"/>
      <c r="O116" s="29"/>
      <c r="P116" s="31"/>
      <c r="Q116" s="17"/>
      <c r="R116" s="6"/>
      <c r="S116" s="6"/>
      <c r="T116" s="6"/>
      <c r="U116" s="10"/>
      <c r="V116" s="10"/>
    </row>
    <row r="117" spans="1:22" s="8" customFormat="1" ht="13.5" customHeight="1">
      <c r="A117" s="5"/>
      <c r="B117" s="7"/>
      <c r="C117" s="7"/>
      <c r="D117" s="5"/>
      <c r="E117" s="181"/>
      <c r="F117" s="7"/>
      <c r="G117" s="241"/>
      <c r="H117" s="241"/>
      <c r="I117" s="242"/>
      <c r="J117" s="242"/>
      <c r="K117" s="29"/>
      <c r="L117" s="241"/>
      <c r="M117" s="241"/>
      <c r="N117" s="241"/>
      <c r="O117" s="29"/>
      <c r="P117" s="31"/>
      <c r="Q117" s="17"/>
      <c r="R117" s="6"/>
      <c r="S117" s="6"/>
      <c r="T117" s="6"/>
      <c r="U117" s="10"/>
      <c r="V117" s="10"/>
    </row>
    <row r="118" spans="1:22" s="8" customFormat="1" ht="13.5" customHeight="1">
      <c r="A118" s="5"/>
      <c r="B118" s="7"/>
      <c r="C118" s="7"/>
      <c r="D118" s="5"/>
      <c r="E118" s="181"/>
      <c r="F118" s="7"/>
      <c r="G118" s="241"/>
      <c r="H118" s="241"/>
      <c r="I118" s="242"/>
      <c r="J118" s="242"/>
      <c r="K118" s="29"/>
      <c r="L118" s="241"/>
      <c r="M118" s="241"/>
      <c r="N118" s="241"/>
      <c r="O118" s="29"/>
      <c r="P118" s="31"/>
      <c r="Q118" s="17"/>
      <c r="R118" s="6"/>
      <c r="S118" s="6"/>
      <c r="T118" s="6"/>
      <c r="U118" s="10"/>
      <c r="V118" s="10"/>
    </row>
    <row r="119" spans="1:22" s="8" customFormat="1" ht="13.5" customHeight="1">
      <c r="A119" s="5"/>
      <c r="B119" s="7"/>
      <c r="C119" s="7"/>
      <c r="D119" s="5"/>
      <c r="E119" s="181"/>
      <c r="F119" s="7"/>
      <c r="G119" s="241"/>
      <c r="H119" s="241"/>
      <c r="I119" s="242"/>
      <c r="J119" s="242"/>
      <c r="K119" s="29"/>
      <c r="L119" s="241"/>
      <c r="M119" s="241"/>
      <c r="N119" s="241"/>
      <c r="O119" s="29"/>
      <c r="P119" s="31"/>
      <c r="Q119" s="17"/>
      <c r="R119" s="6"/>
      <c r="S119" s="6"/>
      <c r="T119" s="6"/>
      <c r="U119" s="10"/>
      <c r="V119" s="10"/>
    </row>
    <row r="120" spans="1:22" s="8" customFormat="1" ht="13.5" customHeight="1">
      <c r="A120" s="5"/>
      <c r="B120" s="7"/>
      <c r="C120" s="7"/>
      <c r="D120" s="5"/>
      <c r="E120" s="181"/>
      <c r="F120" s="7"/>
      <c r="G120" s="241"/>
      <c r="H120" s="241"/>
      <c r="I120" s="242"/>
      <c r="J120" s="242"/>
      <c r="K120" s="29"/>
      <c r="L120" s="241"/>
      <c r="M120" s="241"/>
      <c r="N120" s="241"/>
      <c r="O120" s="29"/>
      <c r="P120" s="31"/>
      <c r="Q120" s="17"/>
      <c r="R120" s="6"/>
      <c r="S120" s="6"/>
      <c r="T120" s="6"/>
      <c r="U120" s="10"/>
      <c r="V120" s="10"/>
    </row>
    <row r="121" spans="1:22" s="8" customFormat="1" ht="13.5" customHeight="1">
      <c r="A121" s="5"/>
      <c r="B121" s="7"/>
      <c r="C121" s="7"/>
      <c r="D121" s="5"/>
      <c r="E121" s="181"/>
      <c r="F121" s="7"/>
      <c r="G121" s="241"/>
      <c r="H121" s="241"/>
      <c r="I121" s="242"/>
      <c r="J121" s="242"/>
      <c r="K121" s="29"/>
      <c r="L121" s="241"/>
      <c r="M121" s="241"/>
      <c r="N121" s="241"/>
      <c r="O121" s="29"/>
      <c r="P121" s="31"/>
      <c r="Q121" s="17"/>
      <c r="R121" s="6"/>
      <c r="S121" s="6"/>
      <c r="T121" s="6"/>
      <c r="U121" s="10"/>
      <c r="V121" s="10"/>
    </row>
    <row r="122" spans="1:22" s="8" customFormat="1" ht="13.5" customHeight="1">
      <c r="A122" s="5"/>
      <c r="B122" s="7"/>
      <c r="C122" s="7"/>
      <c r="D122" s="5"/>
      <c r="E122" s="181"/>
      <c r="F122" s="7"/>
      <c r="G122" s="241"/>
      <c r="H122" s="241"/>
      <c r="I122" s="242"/>
      <c r="J122" s="242"/>
      <c r="K122" s="29"/>
      <c r="L122" s="241"/>
      <c r="M122" s="241"/>
      <c r="N122" s="241"/>
      <c r="O122" s="29"/>
      <c r="P122" s="31"/>
      <c r="Q122" s="17"/>
      <c r="R122" s="6"/>
      <c r="S122" s="6"/>
      <c r="T122" s="6"/>
      <c r="U122" s="10"/>
      <c r="V122" s="10"/>
    </row>
    <row r="123" spans="1:22" s="8" customFormat="1" ht="13.5" customHeight="1">
      <c r="A123" s="5"/>
      <c r="B123" s="7"/>
      <c r="C123" s="7"/>
      <c r="D123" s="5"/>
      <c r="E123" s="181"/>
      <c r="F123" s="7"/>
      <c r="G123" s="241"/>
      <c r="H123" s="241"/>
      <c r="I123" s="242"/>
      <c r="J123" s="242"/>
      <c r="K123" s="29"/>
      <c r="L123" s="241"/>
      <c r="M123" s="241"/>
      <c r="N123" s="241"/>
      <c r="O123" s="29"/>
      <c r="P123" s="31"/>
      <c r="Q123" s="17"/>
      <c r="R123" s="11"/>
      <c r="S123" s="11"/>
      <c r="T123" s="11"/>
      <c r="U123" s="10"/>
      <c r="V123" s="10"/>
    </row>
    <row r="124" spans="1:22" s="8" customFormat="1" ht="13.5" customHeight="1">
      <c r="A124" s="5"/>
      <c r="B124" s="7"/>
      <c r="C124" s="7"/>
      <c r="D124" s="5"/>
      <c r="E124" s="181"/>
      <c r="F124" s="7"/>
      <c r="G124" s="241"/>
      <c r="H124" s="241"/>
      <c r="I124" s="242"/>
      <c r="J124" s="242"/>
      <c r="K124" s="29"/>
      <c r="L124" s="241"/>
      <c r="M124" s="241"/>
      <c r="N124" s="241"/>
      <c r="O124" s="29"/>
      <c r="P124" s="31"/>
      <c r="Q124" s="17"/>
      <c r="R124" s="11"/>
      <c r="S124" s="11"/>
      <c r="T124" s="11"/>
      <c r="U124" s="10"/>
      <c r="V124" s="10"/>
    </row>
    <row r="125" spans="1:22" s="8" customFormat="1" ht="13.5" customHeight="1">
      <c r="A125" s="5"/>
      <c r="B125" s="7"/>
      <c r="C125" s="7"/>
      <c r="D125" s="5"/>
      <c r="E125" s="181"/>
      <c r="F125" s="7"/>
      <c r="G125" s="241"/>
      <c r="H125" s="241"/>
      <c r="I125" s="242"/>
      <c r="J125" s="242"/>
      <c r="K125" s="29"/>
      <c r="L125" s="241"/>
      <c r="M125" s="241"/>
      <c r="N125" s="241"/>
      <c r="O125" s="29"/>
      <c r="P125" s="31"/>
      <c r="Q125" s="17"/>
      <c r="R125" s="11"/>
      <c r="S125" s="11"/>
      <c r="T125" s="11"/>
      <c r="U125" s="10"/>
      <c r="V125" s="10"/>
    </row>
    <row r="126" spans="1:22" s="8" customFormat="1" ht="13.5" customHeight="1">
      <c r="A126" s="5"/>
      <c r="B126" s="7"/>
      <c r="C126" s="7"/>
      <c r="D126" s="5"/>
      <c r="E126" s="181"/>
      <c r="F126" s="7"/>
      <c r="G126" s="241"/>
      <c r="H126" s="241"/>
      <c r="I126" s="242"/>
      <c r="J126" s="242"/>
      <c r="K126" s="29"/>
      <c r="L126" s="241"/>
      <c r="M126" s="241"/>
      <c r="N126" s="241"/>
      <c r="O126" s="29"/>
      <c r="P126" s="31"/>
      <c r="Q126" s="17"/>
      <c r="R126" s="11"/>
      <c r="S126" s="11"/>
      <c r="T126" s="11"/>
      <c r="U126" s="10"/>
      <c r="V126" s="10"/>
    </row>
    <row r="127" spans="1:22" s="8" customFormat="1" ht="13.5" customHeight="1">
      <c r="A127" s="5"/>
      <c r="B127" s="7"/>
      <c r="C127" s="7"/>
      <c r="D127" s="5"/>
      <c r="E127" s="181"/>
      <c r="F127" s="7"/>
      <c r="G127" s="241"/>
      <c r="H127" s="241"/>
      <c r="I127" s="242"/>
      <c r="J127" s="242"/>
      <c r="K127" s="29"/>
      <c r="L127" s="241"/>
      <c r="M127" s="241"/>
      <c r="N127" s="241"/>
      <c r="O127" s="29"/>
      <c r="P127" s="31"/>
      <c r="Q127" s="17"/>
      <c r="R127" s="11"/>
      <c r="S127" s="11"/>
      <c r="T127" s="11"/>
      <c r="U127" s="10"/>
      <c r="V127" s="10"/>
    </row>
    <row r="128" spans="1:22" s="8" customFormat="1" ht="13.5" customHeight="1">
      <c r="A128" s="5"/>
      <c r="B128" s="7"/>
      <c r="C128" s="7"/>
      <c r="D128" s="5"/>
      <c r="E128" s="181"/>
      <c r="F128" s="7"/>
      <c r="G128" s="241"/>
      <c r="H128" s="241"/>
      <c r="I128" s="242"/>
      <c r="J128" s="242"/>
      <c r="K128" s="29"/>
      <c r="L128" s="241"/>
      <c r="M128" s="241"/>
      <c r="N128" s="241"/>
      <c r="O128" s="29"/>
      <c r="P128" s="31"/>
      <c r="Q128" s="17"/>
      <c r="R128" s="11"/>
      <c r="S128" s="11"/>
      <c r="T128" s="11"/>
      <c r="U128" s="10"/>
      <c r="V128" s="10"/>
    </row>
    <row r="129" spans="1:22" s="8" customFormat="1" ht="13.5" customHeight="1">
      <c r="A129" s="5"/>
      <c r="B129" s="7"/>
      <c r="C129" s="7"/>
      <c r="D129" s="5"/>
      <c r="E129" s="180"/>
      <c r="F129" s="7"/>
      <c r="G129" s="241"/>
      <c r="H129" s="241"/>
      <c r="I129" s="242"/>
      <c r="J129" s="242"/>
      <c r="K129" s="29"/>
      <c r="L129" s="241"/>
      <c r="M129" s="241"/>
      <c r="N129" s="241"/>
      <c r="O129" s="29"/>
      <c r="P129" s="31"/>
      <c r="Q129" s="17"/>
      <c r="R129" s="11"/>
      <c r="S129" s="11"/>
      <c r="T129" s="11"/>
      <c r="U129" s="10"/>
      <c r="V129" s="10"/>
    </row>
    <row r="130" spans="1:22" s="8" customFormat="1" ht="22.5" customHeight="1">
      <c r="A130" s="5"/>
      <c r="B130" s="445"/>
      <c r="C130" s="445"/>
      <c r="D130" s="445"/>
      <c r="E130" s="180"/>
      <c r="F130" s="7"/>
      <c r="G130" s="242"/>
      <c r="H130" s="242"/>
      <c r="I130" s="242"/>
      <c r="J130" s="273"/>
      <c r="K130" s="30"/>
      <c r="L130" s="242"/>
      <c r="M130" s="242"/>
      <c r="N130" s="242"/>
      <c r="O130" s="30"/>
      <c r="P130" s="37"/>
      <c r="Q130" s="58"/>
      <c r="R130" s="11"/>
      <c r="S130" s="11"/>
      <c r="T130" s="11"/>
      <c r="U130" s="10"/>
      <c r="V130" s="10"/>
    </row>
    <row r="131" spans="1:22">
      <c r="E131" s="255"/>
      <c r="G131" s="245"/>
      <c r="H131" s="245"/>
      <c r="K131" s="40"/>
      <c r="L131" s="245"/>
      <c r="M131" s="245"/>
      <c r="N131" s="245"/>
      <c r="O131" s="40"/>
    </row>
    <row r="132" spans="1:22">
      <c r="E132" s="255"/>
      <c r="G132" s="245"/>
      <c r="H132" s="245"/>
      <c r="K132" s="40"/>
      <c r="L132" s="245"/>
      <c r="M132" s="245"/>
      <c r="N132" s="245"/>
      <c r="O132" s="40"/>
    </row>
    <row r="133" spans="1:22">
      <c r="E133" s="255"/>
      <c r="G133" s="245"/>
      <c r="H133" s="245"/>
      <c r="K133" s="40"/>
      <c r="L133" s="245"/>
      <c r="M133" s="245"/>
      <c r="N133" s="245"/>
      <c r="O133" s="40"/>
    </row>
    <row r="134" spans="1:22">
      <c r="E134" s="255"/>
      <c r="G134" s="245"/>
      <c r="H134" s="245"/>
      <c r="K134" s="40"/>
      <c r="L134" s="245"/>
      <c r="M134" s="245"/>
      <c r="N134" s="245"/>
      <c r="O134" s="40"/>
    </row>
    <row r="135" spans="1:22">
      <c r="E135" s="255"/>
      <c r="G135" s="245"/>
      <c r="H135" s="245"/>
      <c r="K135" s="40"/>
      <c r="L135" s="245"/>
      <c r="M135" s="245"/>
      <c r="N135" s="245"/>
      <c r="O135" s="40"/>
    </row>
    <row r="136" spans="1:22" s="11" customFormat="1">
      <c r="A136" s="38"/>
      <c r="B136" s="38"/>
      <c r="C136" s="38"/>
      <c r="E136" s="255"/>
      <c r="F136" s="39"/>
      <c r="G136" s="245"/>
      <c r="H136" s="245"/>
      <c r="I136" s="246"/>
      <c r="J136" s="246"/>
      <c r="K136" s="40"/>
      <c r="L136" s="245"/>
      <c r="M136" s="245"/>
      <c r="N136" s="245"/>
      <c r="O136" s="40"/>
      <c r="P136" s="41"/>
      <c r="Q136" s="59"/>
      <c r="U136" s="12"/>
      <c r="V136" s="12"/>
    </row>
  </sheetData>
  <protectedRanges>
    <protectedRange sqref="M22:Q22 M24:Q24 J39:L39 J45:L45 M48:Q48 M50:Q50 M42:Q42 J65:L65 M68:Q68 M70:Q70 C14:H14 C16:H16 C22:H22 C18:H18 C20:H20 C19:L19 C15:L15 C17:L17 M14:Q20 C21:Q21 J25:Q25 M26:Q40 J27:L27 J29:L29 J31:L31 J33:L33 J35:L35 J37:L37 J41:Q41 J43:Q43 M44:Q46 J47:Q47 J49:Q49 J51:Q51 M52:Q66 J53:L53 J55:L55 J57:L57 J59:L59 J61:L61 J63:L63 J67:Q67 J69:Q69 J71:Q71 M72:Q87 J73:L73 J75:L75 J77:L77 J79:L79 J81:L81 J83:L83 J87:L87 J85:L85 C23:Q23 C24:H87" name="범위1_1"/>
    <protectedRange sqref="J14 J20 J16 J22 J24 J18 J26 J40 J46 J42 J48 J50 J44 J52 J66 J68 J70 J72 J86 J28 J30 J32 J34 J36 J38 J54 J56 J58 J60 J62 J64 J74 J76 J78 J80 J82 J84" name="범위1_1_1"/>
  </protectedRanges>
  <autoFilter ref="A12:Q88" xr:uid="{939B4BF0-3BC7-4E22-9007-E2474CDC4F94}">
    <filterColumn colId="4" showButton="0"/>
    <filterColumn colId="6" showButton="0"/>
    <filterColumn colId="7" showButton="0"/>
    <filterColumn colId="8" showButton="0"/>
  </autoFilter>
  <mergeCells count="16">
    <mergeCell ref="B130:D130"/>
    <mergeCell ref="A6:Q6"/>
    <mergeCell ref="A12:A13"/>
    <mergeCell ref="B12:B13"/>
    <mergeCell ref="C12:C13"/>
    <mergeCell ref="D12:D13"/>
    <mergeCell ref="E12:F12"/>
    <mergeCell ref="G12:J12"/>
    <mergeCell ref="K12:K13"/>
    <mergeCell ref="L12:L13"/>
    <mergeCell ref="M12:M13"/>
    <mergeCell ref="N12:N13"/>
    <mergeCell ref="O12:O13"/>
    <mergeCell ref="P12:P13"/>
    <mergeCell ref="Q12:Q13"/>
    <mergeCell ref="A88:D88"/>
  </mergeCells>
  <phoneticPr fontId="4" type="noConversion"/>
  <printOptions horizontalCentered="1"/>
  <pageMargins left="0.39370078740157483" right="0.39370078740157483" top="0.19685039370078741" bottom="0.19685039370078741" header="0.23622047244094491" footer="0"/>
  <pageSetup paperSize="9" scale="38" fitToHeight="0" orientation="landscape" horizontalDpi="1200" verticalDpi="1200" r:id="rId1"/>
  <headerFooter alignWithMargins="0">
    <oddFooter>&amp;C&amp;"Calibri,보통"&amp;12Doosan Enerbility</oddFoot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9B526-F86F-4314-8755-7C7D07C1F773}">
  <dimension ref="A1:AC32"/>
  <sheetViews>
    <sheetView showGridLines="0" view="pageBreakPreview" zoomScale="55" zoomScaleNormal="100" zoomScaleSheetLayoutView="55" workbookViewId="0">
      <selection activeCell="V50" sqref="V50"/>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PL'!D14</f>
        <v xml:space="preserve">Power cable </v>
      </c>
      <c r="H14" s="90"/>
      <c r="I14" s="90"/>
      <c r="J14" s="90"/>
      <c r="K14" s="90"/>
      <c r="L14" s="90"/>
      <c r="M14" s="90"/>
      <c r="N14" s="72"/>
      <c r="P14" s="71" t="s">
        <v>289</v>
      </c>
      <c r="Q14" s="90"/>
      <c r="R14" s="90"/>
      <c r="S14" s="90"/>
      <c r="T14" s="90"/>
      <c r="U14" s="91" t="s">
        <v>276</v>
      </c>
      <c r="V14" s="92" t="str">
        <f>G14</f>
        <v xml:space="preserve">Power cable </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PL'!C14</f>
        <v>PGU-DE-0311-DCS-INS-001</v>
      </c>
      <c r="H17" s="67"/>
      <c r="I17" s="67"/>
      <c r="J17" s="67"/>
      <c r="K17" s="67"/>
      <c r="L17" s="67"/>
      <c r="M17" s="67"/>
      <c r="N17" s="70"/>
      <c r="P17" s="69" t="s">
        <v>291</v>
      </c>
      <c r="Q17" s="67"/>
      <c r="R17" s="67"/>
      <c r="S17" s="67"/>
      <c r="T17" s="67"/>
      <c r="U17" s="91" t="s">
        <v>292</v>
      </c>
      <c r="V17" s="88" t="str">
        <f>G17</f>
        <v>PGU-DE-0311-DCS-INS-001</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PL'!L14</f>
        <v>460</v>
      </c>
      <c r="H20" s="88" t="s">
        <v>295</v>
      </c>
      <c r="I20" s="67"/>
      <c r="J20" s="67"/>
      <c r="K20" s="67"/>
      <c r="L20" s="67"/>
      <c r="M20" s="67"/>
      <c r="N20" s="70"/>
      <c r="P20" s="69" t="s">
        <v>294</v>
      </c>
      <c r="Q20" s="67"/>
      <c r="R20" s="67"/>
      <c r="S20" s="67"/>
      <c r="T20" s="67"/>
      <c r="U20" s="88" t="s">
        <v>287</v>
      </c>
      <c r="V20" s="93">
        <f>G20</f>
        <v>460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PL'!M14</f>
        <v>517</v>
      </c>
      <c r="H23" s="88" t="s">
        <v>295</v>
      </c>
      <c r="I23" s="67"/>
      <c r="J23" s="67"/>
      <c r="K23" s="67"/>
      <c r="L23" s="67"/>
      <c r="M23" s="67"/>
      <c r="N23" s="70"/>
      <c r="P23" s="69" t="s">
        <v>297</v>
      </c>
      <c r="Q23" s="67"/>
      <c r="R23" s="67"/>
      <c r="S23" s="67"/>
      <c r="T23" s="67"/>
      <c r="U23" s="88" t="s">
        <v>287</v>
      </c>
      <c r="V23" s="93">
        <f>G23</f>
        <v>517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PL'!K14</f>
        <v>1.4179999999999999</v>
      </c>
      <c r="H26" s="94" t="s">
        <v>300</v>
      </c>
      <c r="I26" s="94"/>
      <c r="J26" s="94"/>
      <c r="K26" s="94"/>
      <c r="L26" s="67"/>
      <c r="M26" s="67"/>
      <c r="N26" s="70"/>
      <c r="P26" s="73" t="s">
        <v>299</v>
      </c>
      <c r="Q26" s="67"/>
      <c r="R26" s="67"/>
      <c r="S26" s="67"/>
      <c r="T26" s="67"/>
      <c r="U26" s="88" t="s">
        <v>287</v>
      </c>
      <c r="V26" s="283">
        <f>G26</f>
        <v>1.4179999999999999</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E31:K32"/>
    <mergeCell ref="P1:AC1"/>
    <mergeCell ref="T31:Z32"/>
    <mergeCell ref="G29:M30"/>
    <mergeCell ref="V29:AC29"/>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DCCB5F-6CC0-4562-A814-9CF9625C8753}">
  <dimension ref="A1:AC32"/>
  <sheetViews>
    <sheetView showGridLines="0" view="pageBreakPreview" zoomScale="55" zoomScaleNormal="100" zoomScaleSheetLayoutView="55" workbookViewId="0">
      <selection activeCell="T43" sqref="T43"/>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PL'!D15</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PL'!C18</f>
        <v>PGU-DE-0311-DCS-INS-005</v>
      </c>
      <c r="H17" s="67"/>
      <c r="I17" s="67"/>
      <c r="J17" s="67"/>
      <c r="K17" s="67"/>
      <c r="L17" s="67"/>
      <c r="M17" s="67"/>
      <c r="N17" s="70"/>
      <c r="P17" s="69" t="s">
        <v>291</v>
      </c>
      <c r="Q17" s="67"/>
      <c r="R17" s="67"/>
      <c r="S17" s="67"/>
      <c r="T17" s="67"/>
      <c r="U17" s="91" t="s">
        <v>292</v>
      </c>
      <c r="V17" s="88" t="str">
        <f>G17</f>
        <v>PGU-DE-0311-DCS-INS-005</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PL'!L15</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PL'!M15</f>
        <v>211</v>
      </c>
      <c r="H23" s="88" t="s">
        <v>295</v>
      </c>
      <c r="I23" s="67"/>
      <c r="J23" s="67"/>
      <c r="K23" s="67"/>
      <c r="L23" s="67"/>
      <c r="M23" s="67"/>
      <c r="N23" s="70"/>
      <c r="P23" s="69" t="s">
        <v>297</v>
      </c>
      <c r="Q23" s="67"/>
      <c r="R23" s="67"/>
      <c r="S23" s="67"/>
      <c r="T23" s="67"/>
      <c r="U23" s="88" t="s">
        <v>287</v>
      </c>
      <c r="V23" s="93">
        <f>G23</f>
        <v>211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4">
        <f>'Summary PL'!K15</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D3349-3711-458A-B894-C05EBA34BF5B}">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PL'!D16</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PL'!C16</f>
        <v>PGU-DE-0311-DCS-INS-003</v>
      </c>
      <c r="H17" s="67"/>
      <c r="I17" s="67"/>
      <c r="J17" s="67"/>
      <c r="K17" s="67"/>
      <c r="L17" s="67"/>
      <c r="M17" s="67"/>
      <c r="N17" s="70"/>
      <c r="P17" s="69" t="s">
        <v>291</v>
      </c>
      <c r="Q17" s="67"/>
      <c r="R17" s="67"/>
      <c r="S17" s="67"/>
      <c r="T17" s="67"/>
      <c r="U17" s="91" t="s">
        <v>292</v>
      </c>
      <c r="V17" s="88" t="str">
        <f>G17</f>
        <v>PGU-DE-0311-DCS-INS-003</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PL'!L16</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PL'!M16</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PL'!K16</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51D5F4-AD00-41AD-8ACC-26C1C9AD3BD3}">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PL'!D17</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PL'!C17</f>
        <v>PGU-DE-0311-DCS-INS-004</v>
      </c>
      <c r="H17" s="67"/>
      <c r="I17" s="67"/>
      <c r="J17" s="67"/>
      <c r="K17" s="67"/>
      <c r="L17" s="67"/>
      <c r="M17" s="67"/>
      <c r="N17" s="70"/>
      <c r="P17" s="69" t="s">
        <v>291</v>
      </c>
      <c r="Q17" s="67"/>
      <c r="R17" s="67"/>
      <c r="S17" s="67"/>
      <c r="T17" s="67"/>
      <c r="U17" s="91" t="s">
        <v>292</v>
      </c>
      <c r="V17" s="88" t="str">
        <f>G17</f>
        <v>PGU-DE-0311-DCS-INS-004</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PL'!L17</f>
        <v>160</v>
      </c>
      <c r="H20" s="88" t="s">
        <v>295</v>
      </c>
      <c r="I20" s="67"/>
      <c r="J20" s="67"/>
      <c r="K20" s="67"/>
      <c r="L20" s="67"/>
      <c r="M20" s="67"/>
      <c r="N20" s="70"/>
      <c r="P20" s="69" t="s">
        <v>294</v>
      </c>
      <c r="Q20" s="67"/>
      <c r="R20" s="67"/>
      <c r="S20" s="67"/>
      <c r="T20" s="67"/>
      <c r="U20" s="88" t="s">
        <v>287</v>
      </c>
      <c r="V20" s="93">
        <f>G20</f>
        <v>160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PL'!M17</f>
        <v>213</v>
      </c>
      <c r="H23" s="88" t="s">
        <v>295</v>
      </c>
      <c r="I23" s="67"/>
      <c r="J23" s="67"/>
      <c r="K23" s="67"/>
      <c r="L23" s="67"/>
      <c r="M23" s="67"/>
      <c r="N23" s="70"/>
      <c r="P23" s="69" t="s">
        <v>297</v>
      </c>
      <c r="Q23" s="67"/>
      <c r="R23" s="67"/>
      <c r="S23" s="67"/>
      <c r="T23" s="67"/>
      <c r="U23" s="88" t="s">
        <v>287</v>
      </c>
      <c r="V23" s="93">
        <f>G23</f>
        <v>213</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PL'!K17</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B085B-E2CA-49CC-946A-FCBC367D4201}">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PL'!D18</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PL'!C18</f>
        <v>PGU-DE-0311-DCS-INS-005</v>
      </c>
      <c r="H17" s="67"/>
      <c r="I17" s="67"/>
      <c r="J17" s="67"/>
      <c r="K17" s="67"/>
      <c r="L17" s="67"/>
      <c r="M17" s="67"/>
      <c r="N17" s="70"/>
      <c r="P17" s="69" t="s">
        <v>291</v>
      </c>
      <c r="Q17" s="67"/>
      <c r="R17" s="67"/>
      <c r="S17" s="67"/>
      <c r="T17" s="67"/>
      <c r="U17" s="91" t="s">
        <v>292</v>
      </c>
      <c r="V17" s="88" t="str">
        <f>G17</f>
        <v>PGU-DE-0311-DCS-INS-005</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PL'!L18</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PL'!M18</f>
        <v>208</v>
      </c>
      <c r="H23" s="88" t="s">
        <v>295</v>
      </c>
      <c r="I23" s="67"/>
      <c r="J23" s="67"/>
      <c r="K23" s="67"/>
      <c r="L23" s="67"/>
      <c r="M23" s="67"/>
      <c r="N23" s="70"/>
      <c r="P23" s="69" t="s">
        <v>297</v>
      </c>
      <c r="Q23" s="67"/>
      <c r="R23" s="67"/>
      <c r="S23" s="67"/>
      <c r="T23" s="67"/>
      <c r="U23" s="88" t="s">
        <v>287</v>
      </c>
      <c r="V23" s="93">
        <f>G23</f>
        <v>208</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PL'!K18</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B4532-8AA9-47D9-AC0B-DB0C07923C1A}">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PL'!D19</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PL'!C19</f>
        <v>PGU-DE-0311-DCS-INS-006</v>
      </c>
      <c r="H17" s="67"/>
      <c r="I17" s="67"/>
      <c r="J17" s="67"/>
      <c r="K17" s="67"/>
      <c r="L17" s="67"/>
      <c r="M17" s="67"/>
      <c r="N17" s="70"/>
      <c r="P17" s="69" t="s">
        <v>291</v>
      </c>
      <c r="Q17" s="67"/>
      <c r="R17" s="67"/>
      <c r="S17" s="67"/>
      <c r="T17" s="67"/>
      <c r="U17" s="91" t="s">
        <v>292</v>
      </c>
      <c r="V17" s="88" t="str">
        <f>G17</f>
        <v>PGU-DE-0311-DCS-INS-006</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PL'!L19</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PL'!M19</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PL'!K19</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E49450-0AFB-491B-85F9-8A14F0F02E20}">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PL'!D20</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PL'!C20</f>
        <v>PGU-DE-0311-DCS-INS-007</v>
      </c>
      <c r="H17" s="67"/>
      <c r="I17" s="67"/>
      <c r="J17" s="67"/>
      <c r="K17" s="67"/>
      <c r="L17" s="67"/>
      <c r="M17" s="67"/>
      <c r="N17" s="70"/>
      <c r="P17" s="69" t="s">
        <v>291</v>
      </c>
      <c r="Q17" s="67"/>
      <c r="R17" s="67"/>
      <c r="S17" s="67"/>
      <c r="T17" s="67"/>
      <c r="U17" s="91" t="s">
        <v>292</v>
      </c>
      <c r="V17" s="88" t="str">
        <f>G17</f>
        <v>PGU-DE-0311-DCS-INS-007</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PL'!L20</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PL'!M20</f>
        <v>211</v>
      </c>
      <c r="H23" s="88" t="s">
        <v>295</v>
      </c>
      <c r="I23" s="67"/>
      <c r="J23" s="67"/>
      <c r="K23" s="67"/>
      <c r="L23" s="67"/>
      <c r="M23" s="67"/>
      <c r="N23" s="70"/>
      <c r="P23" s="69" t="s">
        <v>297</v>
      </c>
      <c r="Q23" s="67"/>
      <c r="R23" s="67"/>
      <c r="S23" s="67"/>
      <c r="T23" s="67"/>
      <c r="U23" s="88" t="s">
        <v>287</v>
      </c>
      <c r="V23" s="93">
        <f>G23</f>
        <v>211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PL'!K20</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4D829F-01A2-4B49-B488-F16DA5B86597}">
  <dimension ref="A1:AC32"/>
  <sheetViews>
    <sheetView showGridLines="0" view="pageBreakPreview" zoomScale="55" zoomScaleNormal="100" zoomScaleSheetLayoutView="55" workbookViewId="0">
      <selection activeCell="V26" sqref="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PL'!D21</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PL'!C21</f>
        <v>PGU-DE-0311-DCS-INS-008</v>
      </c>
      <c r="H17" s="67"/>
      <c r="I17" s="67"/>
      <c r="J17" s="67"/>
      <c r="K17" s="67"/>
      <c r="L17" s="67"/>
      <c r="M17" s="67"/>
      <c r="N17" s="70"/>
      <c r="P17" s="69" t="s">
        <v>291</v>
      </c>
      <c r="Q17" s="67"/>
      <c r="R17" s="67"/>
      <c r="S17" s="67"/>
      <c r="T17" s="67"/>
      <c r="U17" s="91" t="s">
        <v>292</v>
      </c>
      <c r="V17" s="88" t="str">
        <f>G17</f>
        <v>PGU-DE-0311-DCS-INS-008</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PL'!L21</f>
        <v>154</v>
      </c>
      <c r="H20" s="88" t="s">
        <v>295</v>
      </c>
      <c r="I20" s="67"/>
      <c r="J20" s="67"/>
      <c r="K20" s="67"/>
      <c r="L20" s="67"/>
      <c r="M20" s="67"/>
      <c r="N20" s="70"/>
      <c r="P20" s="69" t="s">
        <v>294</v>
      </c>
      <c r="Q20" s="67"/>
      <c r="R20" s="67"/>
      <c r="S20" s="67"/>
      <c r="T20" s="67"/>
      <c r="U20" s="88" t="s">
        <v>287</v>
      </c>
      <c r="V20" s="93">
        <f>G20</f>
        <v>154</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PL'!M21</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PL'!K21</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CAA3A5-FB04-43C4-82EA-DBA074BBE977}">
  <dimension ref="A1:AC32"/>
  <sheetViews>
    <sheetView showGridLines="0" view="pageBreakPreview" zoomScale="55" zoomScaleNormal="100" zoomScaleSheetLayoutView="55" workbookViewId="0">
      <selection activeCell="AE54" sqref="AE54"/>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PL'!D22</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PL'!C22</f>
        <v>PGU-DE-0311-DCS-INS-009</v>
      </c>
      <c r="H17" s="67"/>
      <c r="I17" s="67"/>
      <c r="J17" s="67"/>
      <c r="K17" s="67"/>
      <c r="L17" s="67"/>
      <c r="M17" s="67"/>
      <c r="N17" s="70"/>
      <c r="P17" s="69" t="s">
        <v>291</v>
      </c>
      <c r="Q17" s="67"/>
      <c r="R17" s="67"/>
      <c r="S17" s="67"/>
      <c r="T17" s="67"/>
      <c r="U17" s="91" t="s">
        <v>292</v>
      </c>
      <c r="V17" s="88" t="str">
        <f>G17</f>
        <v>PGU-DE-0311-DCS-INS-009</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PL'!L22</f>
        <v>156</v>
      </c>
      <c r="H20" s="88" t="s">
        <v>295</v>
      </c>
      <c r="I20" s="67"/>
      <c r="J20" s="67"/>
      <c r="K20" s="67"/>
      <c r="L20" s="67"/>
      <c r="M20" s="67"/>
      <c r="N20" s="70"/>
      <c r="P20" s="69" t="s">
        <v>294</v>
      </c>
      <c r="Q20" s="67"/>
      <c r="R20" s="67"/>
      <c r="S20" s="67"/>
      <c r="T20" s="67"/>
      <c r="U20" s="88" t="s">
        <v>287</v>
      </c>
      <c r="V20" s="93">
        <f>G20</f>
        <v>156</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PL'!M22</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PL'!K22</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29A4E0-97D9-49A4-8D13-234DC9259B12}">
  <dimension ref="A1:AC32"/>
  <sheetViews>
    <sheetView showGridLines="0" view="pageBreakPreview" zoomScale="55" zoomScaleNormal="100" zoomScaleSheetLayoutView="55" workbookViewId="0">
      <selection activeCell="AE45" sqref="AE45"/>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PL'!D23</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PL'!C23</f>
        <v>PGU-DE-0311-DCS-INS-010</v>
      </c>
      <c r="H17" s="67"/>
      <c r="I17" s="67"/>
      <c r="J17" s="67"/>
      <c r="K17" s="67"/>
      <c r="L17" s="67"/>
      <c r="M17" s="67"/>
      <c r="N17" s="70"/>
      <c r="P17" s="69" t="s">
        <v>291</v>
      </c>
      <c r="Q17" s="67"/>
      <c r="R17" s="67"/>
      <c r="S17" s="67"/>
      <c r="T17" s="67"/>
      <c r="U17" s="91" t="s">
        <v>292</v>
      </c>
      <c r="V17" s="88" t="str">
        <f>G17</f>
        <v>PGU-DE-0311-DCS-INS-010</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PL'!L23</f>
        <v>154</v>
      </c>
      <c r="H20" s="88" t="s">
        <v>295</v>
      </c>
      <c r="I20" s="67"/>
      <c r="J20" s="67"/>
      <c r="K20" s="67"/>
      <c r="L20" s="67"/>
      <c r="M20" s="67"/>
      <c r="N20" s="70"/>
      <c r="P20" s="69" t="s">
        <v>294</v>
      </c>
      <c r="Q20" s="67"/>
      <c r="R20" s="67"/>
      <c r="S20" s="67"/>
      <c r="T20" s="67"/>
      <c r="U20" s="88" t="s">
        <v>287</v>
      </c>
      <c r="V20" s="93">
        <f>G20</f>
        <v>154</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PL'!M23</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PL'!K23</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55FB7-F38F-4068-B8F0-BA1975D06A0B}">
  <dimension ref="A1:AC32"/>
  <sheetViews>
    <sheetView showGridLines="0" view="pageBreakPreview" zoomScale="55" zoomScaleNormal="100" zoomScaleSheetLayoutView="55" workbookViewId="0">
      <selection activeCell="AB46" sqref="AB4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PL'!D24</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PL'!C24</f>
        <v>PGU-DE-0311-DCS-INS-011</v>
      </c>
      <c r="H17" s="67"/>
      <c r="I17" s="67"/>
      <c r="J17" s="67"/>
      <c r="K17" s="67"/>
      <c r="L17" s="67"/>
      <c r="M17" s="67"/>
      <c r="N17" s="70"/>
      <c r="P17" s="69" t="s">
        <v>291</v>
      </c>
      <c r="Q17" s="67"/>
      <c r="R17" s="67"/>
      <c r="S17" s="67"/>
      <c r="T17" s="67"/>
      <c r="U17" s="91" t="s">
        <v>292</v>
      </c>
      <c r="V17" s="88" t="str">
        <f>G17</f>
        <v>PGU-DE-0311-DCS-INS-011</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PL'!L24</f>
        <v>156</v>
      </c>
      <c r="H20" s="88" t="s">
        <v>295</v>
      </c>
      <c r="I20" s="67"/>
      <c r="J20" s="67"/>
      <c r="K20" s="67"/>
      <c r="L20" s="67"/>
      <c r="M20" s="67"/>
      <c r="N20" s="70"/>
      <c r="P20" s="69" t="s">
        <v>294</v>
      </c>
      <c r="Q20" s="67"/>
      <c r="R20" s="67"/>
      <c r="S20" s="67"/>
      <c r="T20" s="67"/>
      <c r="U20" s="88" t="s">
        <v>287</v>
      </c>
      <c r="V20" s="93">
        <f>G20</f>
        <v>156</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PL'!M24</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PL'!K24</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285"/>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FFF164-24D9-40BA-8F8F-794DC19EDAE5}">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PL'!D25</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PL'!C25</f>
        <v>PGU-DE-0311-DCS-INS-012</v>
      </c>
      <c r="H17" s="67"/>
      <c r="I17" s="67"/>
      <c r="J17" s="67"/>
      <c r="K17" s="67"/>
      <c r="L17" s="67"/>
      <c r="M17" s="67"/>
      <c r="N17" s="70"/>
      <c r="P17" s="69" t="s">
        <v>291</v>
      </c>
      <c r="Q17" s="67"/>
      <c r="R17" s="67"/>
      <c r="S17" s="67"/>
      <c r="T17" s="67"/>
      <c r="U17" s="91" t="s">
        <v>292</v>
      </c>
      <c r="V17" s="88" t="str">
        <f>G17</f>
        <v>PGU-DE-0311-DCS-INS-012</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PL'!L25</f>
        <v>153</v>
      </c>
      <c r="H20" s="88" t="s">
        <v>295</v>
      </c>
      <c r="I20" s="67"/>
      <c r="J20" s="67"/>
      <c r="K20" s="67"/>
      <c r="L20" s="67"/>
      <c r="M20" s="67"/>
      <c r="N20" s="70"/>
      <c r="P20" s="69" t="s">
        <v>294</v>
      </c>
      <c r="Q20" s="67"/>
      <c r="R20" s="67"/>
      <c r="S20" s="67"/>
      <c r="T20" s="67"/>
      <c r="U20" s="88" t="s">
        <v>287</v>
      </c>
      <c r="V20" s="93">
        <f>G20</f>
        <v>153</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PL'!M25</f>
        <v>206</v>
      </c>
      <c r="H23" s="88" t="s">
        <v>295</v>
      </c>
      <c r="I23" s="67"/>
      <c r="J23" s="67"/>
      <c r="K23" s="67"/>
      <c r="L23" s="67"/>
      <c r="M23" s="67"/>
      <c r="N23" s="70"/>
      <c r="P23" s="69" t="s">
        <v>297</v>
      </c>
      <c r="Q23" s="67"/>
      <c r="R23" s="67"/>
      <c r="S23" s="67"/>
      <c r="T23" s="67"/>
      <c r="U23" s="88" t="s">
        <v>287</v>
      </c>
      <c r="V23" s="93">
        <f>G23</f>
        <v>206</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PL'!K25</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4D7E3F-9FF0-4408-A7A1-CFAE0AABF19D}">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PL'!D26</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PL'!C26</f>
        <v>PGU-DE-0311-DCS-INS-013</v>
      </c>
      <c r="H17" s="67"/>
      <c r="I17" s="67"/>
      <c r="J17" s="67"/>
      <c r="K17" s="67"/>
      <c r="L17" s="67"/>
      <c r="M17" s="67"/>
      <c r="N17" s="70"/>
      <c r="P17" s="69" t="s">
        <v>291</v>
      </c>
      <c r="Q17" s="67"/>
      <c r="R17" s="67"/>
      <c r="S17" s="67"/>
      <c r="T17" s="67"/>
      <c r="U17" s="91" t="s">
        <v>292</v>
      </c>
      <c r="V17" s="88" t="str">
        <f>G17</f>
        <v>PGU-DE-0311-DCS-INS-013</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PL'!L26</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PL'!M26</f>
        <v>211</v>
      </c>
      <c r="H23" s="88" t="s">
        <v>295</v>
      </c>
      <c r="J23" s="67"/>
      <c r="K23" s="67"/>
      <c r="L23" s="67"/>
      <c r="M23" s="67"/>
      <c r="N23" s="70"/>
      <c r="P23" s="69" t="s">
        <v>297</v>
      </c>
      <c r="Q23" s="67"/>
      <c r="R23" s="67"/>
      <c r="S23" s="67"/>
      <c r="T23" s="67"/>
      <c r="U23" s="88" t="s">
        <v>287</v>
      </c>
      <c r="V23" s="93">
        <f>G23</f>
        <v>211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PL'!K26</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DDE707-4D9F-4939-B060-69E21D394DB0}">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PL'!D27</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PL'!C27</f>
        <v>PGU-DE-0311-DCS-INS-014</v>
      </c>
      <c r="H17" s="67"/>
      <c r="I17" s="67"/>
      <c r="J17" s="67"/>
      <c r="K17" s="67"/>
      <c r="L17" s="67"/>
      <c r="M17" s="67"/>
      <c r="N17" s="70"/>
      <c r="P17" s="69" t="s">
        <v>291</v>
      </c>
      <c r="Q17" s="67"/>
      <c r="R17" s="67"/>
      <c r="S17" s="67"/>
      <c r="T17" s="67"/>
      <c r="U17" s="91" t="s">
        <v>292</v>
      </c>
      <c r="V17" s="88" t="str">
        <f>G17</f>
        <v>PGU-DE-0311-DCS-INS-014</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PL'!L27</f>
        <v>160</v>
      </c>
      <c r="H20" s="88" t="s">
        <v>295</v>
      </c>
      <c r="I20" s="67"/>
      <c r="J20" s="67"/>
      <c r="K20" s="67"/>
      <c r="L20" s="67"/>
      <c r="M20" s="67"/>
      <c r="N20" s="70"/>
      <c r="P20" s="69" t="s">
        <v>294</v>
      </c>
      <c r="Q20" s="67"/>
      <c r="R20" s="67"/>
      <c r="S20" s="67"/>
      <c r="T20" s="67"/>
      <c r="U20" s="88" t="s">
        <v>287</v>
      </c>
      <c r="V20" s="93">
        <f>G20</f>
        <v>160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PL'!M27</f>
        <v>213</v>
      </c>
      <c r="H23" s="88" t="s">
        <v>295</v>
      </c>
      <c r="I23" s="67"/>
      <c r="J23" s="67"/>
      <c r="K23" s="67"/>
      <c r="L23" s="67"/>
      <c r="M23" s="67"/>
      <c r="N23" s="70"/>
      <c r="P23" s="69" t="s">
        <v>297</v>
      </c>
      <c r="Q23" s="67"/>
      <c r="R23" s="67"/>
      <c r="S23" s="67"/>
      <c r="T23" s="67"/>
      <c r="U23" s="88" t="s">
        <v>287</v>
      </c>
      <c r="V23" s="93">
        <f>G23</f>
        <v>213</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PL'!K27</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359922-E798-4A79-91FD-642BFE82FB8B}">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PL'!D28</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PL'!C28</f>
        <v>PGU-DE-0311-DCS-INS-015</v>
      </c>
      <c r="H17" s="67"/>
      <c r="I17" s="67"/>
      <c r="J17" s="67"/>
      <c r="K17" s="67"/>
      <c r="L17" s="67"/>
      <c r="M17" s="67"/>
      <c r="N17" s="70"/>
      <c r="P17" s="69" t="s">
        <v>291</v>
      </c>
      <c r="Q17" s="67"/>
      <c r="R17" s="67"/>
      <c r="S17" s="67"/>
      <c r="T17" s="67"/>
      <c r="U17" s="91" t="s">
        <v>292</v>
      </c>
      <c r="V17" s="88" t="str">
        <f>G17</f>
        <v>PGU-DE-0311-DCS-INS-015</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PL'!L28</f>
        <v>156</v>
      </c>
      <c r="H20" s="88" t="s">
        <v>295</v>
      </c>
      <c r="I20" s="67"/>
      <c r="J20" s="67"/>
      <c r="K20" s="67"/>
      <c r="L20" s="67"/>
      <c r="M20" s="67"/>
      <c r="N20" s="70"/>
      <c r="P20" s="69" t="s">
        <v>294</v>
      </c>
      <c r="Q20" s="67"/>
      <c r="R20" s="67"/>
      <c r="S20" s="67"/>
      <c r="T20" s="67"/>
      <c r="U20" s="88" t="s">
        <v>287</v>
      </c>
      <c r="V20" s="93">
        <f>G20</f>
        <v>156</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93"/>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PL'!M28</f>
        <v>210</v>
      </c>
      <c r="H23" s="88" t="s">
        <v>295</v>
      </c>
      <c r="I23" s="67"/>
      <c r="J23" s="67"/>
      <c r="K23" s="67"/>
      <c r="L23" s="67"/>
      <c r="M23" s="67"/>
      <c r="N23" s="70"/>
      <c r="P23" s="69" t="s">
        <v>297</v>
      </c>
      <c r="Q23" s="67"/>
      <c r="R23" s="67"/>
      <c r="S23" s="67"/>
      <c r="T23" s="67"/>
      <c r="U23" s="88" t="s">
        <v>287</v>
      </c>
      <c r="V23" s="93">
        <f>G23</f>
        <v>210</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PL'!K28</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BBB4A-6D12-4994-83BD-36138CFA8FF4}">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PL'!D29</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PL'!C29</f>
        <v>PGU-DE-0311-DCS-INS-016</v>
      </c>
      <c r="H17" s="67"/>
      <c r="I17" s="67"/>
      <c r="J17" s="67"/>
      <c r="K17" s="67"/>
      <c r="L17" s="67"/>
      <c r="M17" s="67"/>
      <c r="N17" s="70"/>
      <c r="P17" s="69" t="s">
        <v>291</v>
      </c>
      <c r="Q17" s="67"/>
      <c r="R17" s="67"/>
      <c r="S17" s="67"/>
      <c r="T17" s="67"/>
      <c r="U17" s="91" t="s">
        <v>292</v>
      </c>
      <c r="V17" s="88" t="str">
        <f>G17</f>
        <v>PGU-DE-0311-DCS-INS-016</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PL'!L29</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PL'!M29</f>
        <v>210</v>
      </c>
      <c r="H23" s="88" t="s">
        <v>295</v>
      </c>
      <c r="I23" s="67"/>
      <c r="J23" s="67"/>
      <c r="K23" s="67"/>
      <c r="L23" s="67"/>
      <c r="M23" s="67"/>
      <c r="N23" s="70"/>
      <c r="P23" s="69" t="s">
        <v>297</v>
      </c>
      <c r="Q23" s="67"/>
      <c r="R23" s="67"/>
      <c r="S23" s="67"/>
      <c r="T23" s="67"/>
      <c r="U23" s="88" t="s">
        <v>287</v>
      </c>
      <c r="V23" s="93">
        <f>G23</f>
        <v>210</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PL'!K29</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AB05F-8A59-4927-BEF7-303BEFE9D71A}">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PL'!D30</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PL'!C30</f>
        <v>PGU-DE-0311-DCS-INS-017</v>
      </c>
      <c r="H17" s="67"/>
      <c r="I17" s="67"/>
      <c r="J17" s="67"/>
      <c r="K17" s="67"/>
      <c r="L17" s="67"/>
      <c r="M17" s="67"/>
      <c r="N17" s="70"/>
      <c r="P17" s="69" t="s">
        <v>291</v>
      </c>
      <c r="Q17" s="67"/>
      <c r="R17" s="67"/>
      <c r="S17" s="67"/>
      <c r="T17" s="67"/>
      <c r="U17" s="91" t="s">
        <v>292</v>
      </c>
      <c r="V17" s="88" t="str">
        <f>G17</f>
        <v>PGU-DE-0311-DCS-INS-017</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PL'!L30</f>
        <v>160</v>
      </c>
      <c r="H20" s="88" t="s">
        <v>295</v>
      </c>
      <c r="I20" s="67"/>
      <c r="J20" s="67"/>
      <c r="K20" s="67"/>
      <c r="L20" s="67"/>
      <c r="M20" s="67"/>
      <c r="N20" s="70"/>
      <c r="P20" s="69" t="s">
        <v>294</v>
      </c>
      <c r="Q20" s="67"/>
      <c r="R20" s="67"/>
      <c r="S20" s="67"/>
      <c r="T20" s="67"/>
      <c r="U20" s="88" t="s">
        <v>287</v>
      </c>
      <c r="V20" s="93">
        <f>G20</f>
        <v>160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PL'!M30</f>
        <v>212</v>
      </c>
      <c r="H23" s="88" t="s">
        <v>295</v>
      </c>
      <c r="I23" s="67"/>
      <c r="J23" s="67"/>
      <c r="K23" s="67"/>
      <c r="L23" s="67"/>
      <c r="M23" s="67"/>
      <c r="N23" s="70"/>
      <c r="P23" s="69" t="s">
        <v>297</v>
      </c>
      <c r="Q23" s="67"/>
      <c r="R23" s="67"/>
      <c r="S23" s="67"/>
      <c r="T23" s="67"/>
      <c r="U23" s="88" t="s">
        <v>287</v>
      </c>
      <c r="V23" s="93">
        <f>G23</f>
        <v>212</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PL'!K30</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06982-9404-4E7A-9DA7-BF0EC8D7451A}">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PL'!D31</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PL'!C31</f>
        <v>PGU-DE-0311-DCS-INS-018</v>
      </c>
      <c r="H17" s="67"/>
      <c r="I17" s="67"/>
      <c r="J17" s="67"/>
      <c r="K17" s="67"/>
      <c r="L17" s="67"/>
      <c r="M17" s="67"/>
      <c r="N17" s="70"/>
      <c r="P17" s="69" t="s">
        <v>291</v>
      </c>
      <c r="Q17" s="67"/>
      <c r="R17" s="67"/>
      <c r="S17" s="67"/>
      <c r="T17" s="67"/>
      <c r="U17" s="91" t="s">
        <v>292</v>
      </c>
      <c r="V17" s="88" t="str">
        <f>G17</f>
        <v>PGU-DE-0311-DCS-INS-018</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PL'!L31</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PL'!M31</f>
        <v>211</v>
      </c>
      <c r="H23" s="88" t="s">
        <v>295</v>
      </c>
      <c r="I23" s="67"/>
      <c r="J23" s="67"/>
      <c r="K23" s="67"/>
      <c r="L23" s="67"/>
      <c r="M23" s="67"/>
      <c r="N23" s="70"/>
      <c r="P23" s="69" t="s">
        <v>297</v>
      </c>
      <c r="Q23" s="67"/>
      <c r="R23" s="67"/>
      <c r="S23" s="67"/>
      <c r="T23" s="67"/>
      <c r="U23" s="88" t="s">
        <v>287</v>
      </c>
      <c r="V23" s="93">
        <f>G23</f>
        <v>211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PL'!K31</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8F2CDF-354D-4731-BA77-EA5D0BBC3191}">
  <dimension ref="A1:AC32"/>
  <sheetViews>
    <sheetView showGridLines="0" view="pageBreakPreview" zoomScale="55" zoomScaleNormal="100" zoomScaleSheetLayoutView="55" workbookViewId="0">
      <selection activeCell="V26" activeCellId="2" sqref="G26 V27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PL'!D32</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PL'!C32</f>
        <v>PGU-DE-0311-DCS-INS-019</v>
      </c>
      <c r="H17" s="67"/>
      <c r="I17" s="67"/>
      <c r="J17" s="67"/>
      <c r="K17" s="67"/>
      <c r="L17" s="67"/>
      <c r="M17" s="67"/>
      <c r="N17" s="70"/>
      <c r="P17" s="69" t="s">
        <v>291</v>
      </c>
      <c r="Q17" s="67"/>
      <c r="R17" s="67"/>
      <c r="S17" s="67"/>
      <c r="T17" s="67"/>
      <c r="U17" s="91" t="s">
        <v>292</v>
      </c>
      <c r="V17" s="88" t="str">
        <f>G17</f>
        <v>PGU-DE-0311-DCS-INS-019</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PL'!L32</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PL'!M32</f>
        <v>211</v>
      </c>
      <c r="H23" s="88" t="s">
        <v>295</v>
      </c>
      <c r="I23" s="67"/>
      <c r="J23" s="67"/>
      <c r="K23" s="67"/>
      <c r="L23" s="67"/>
      <c r="M23" s="67"/>
      <c r="N23" s="70"/>
      <c r="P23" s="69" t="s">
        <v>297</v>
      </c>
      <c r="Q23" s="67"/>
      <c r="R23" s="67"/>
      <c r="S23" s="67"/>
      <c r="T23" s="67"/>
      <c r="U23" s="88" t="s">
        <v>287</v>
      </c>
      <c r="V23" s="93">
        <f>G23</f>
        <v>211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PL'!K32</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285"/>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F717A-FA7B-43A2-A971-9630BEC95DE3}">
  <dimension ref="A1:AC32"/>
  <sheetViews>
    <sheetView showGridLines="0" view="pageBreakPreview" zoomScale="55" zoomScaleNormal="100" zoomScaleSheetLayoutView="55" workbookViewId="0">
      <selection activeCell="AL67" sqref="AL67"/>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PL'!D33</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PL'!C33</f>
        <v>PGU-DE-0311-DCS-INS-020</v>
      </c>
      <c r="H17" s="67"/>
      <c r="I17" s="67"/>
      <c r="J17" s="67"/>
      <c r="K17" s="67"/>
      <c r="L17" s="67"/>
      <c r="M17" s="67"/>
      <c r="N17" s="70"/>
      <c r="P17" s="69" t="s">
        <v>291</v>
      </c>
      <c r="Q17" s="67"/>
      <c r="R17" s="67"/>
      <c r="S17" s="67"/>
      <c r="T17" s="67"/>
      <c r="U17" s="91" t="s">
        <v>292</v>
      </c>
      <c r="V17" s="88" t="str">
        <f>G17</f>
        <v>PGU-DE-0311-DCS-INS-020</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PL'!L33</f>
        <v>149</v>
      </c>
      <c r="H20" s="88" t="s">
        <v>295</v>
      </c>
      <c r="I20" s="67"/>
      <c r="J20" s="67"/>
      <c r="K20" s="67"/>
      <c r="L20" s="67"/>
      <c r="M20" s="67"/>
      <c r="N20" s="70"/>
      <c r="P20" s="69" t="s">
        <v>294</v>
      </c>
      <c r="Q20" s="67"/>
      <c r="R20" s="67"/>
      <c r="S20" s="67"/>
      <c r="T20" s="67"/>
      <c r="U20" s="88" t="s">
        <v>287</v>
      </c>
      <c r="V20" s="93">
        <f>G20</f>
        <v>149</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PL'!M33</f>
        <v>201</v>
      </c>
      <c r="H23" s="88" t="s">
        <v>295</v>
      </c>
      <c r="I23" s="67"/>
      <c r="J23" s="67"/>
      <c r="K23" s="67"/>
      <c r="L23" s="67"/>
      <c r="M23" s="67"/>
      <c r="N23" s="70"/>
      <c r="P23" s="69" t="s">
        <v>297</v>
      </c>
      <c r="Q23" s="67"/>
      <c r="R23" s="67"/>
      <c r="S23" s="67"/>
      <c r="T23" s="67"/>
      <c r="U23" s="88" t="s">
        <v>287</v>
      </c>
      <c r="V23" s="93">
        <f>G23</f>
        <v>201</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PL'!K33</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D2E052-C017-4E05-A4C7-8363A847268A}">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PL'!D34</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PL'!C34</f>
        <v>PGU-DE-0311-DCS-INS-021</v>
      </c>
      <c r="H17" s="67"/>
      <c r="I17" s="67"/>
      <c r="J17" s="67"/>
      <c r="K17" s="67"/>
      <c r="L17" s="67"/>
      <c r="M17" s="67"/>
      <c r="N17" s="70"/>
      <c r="P17" s="69" t="s">
        <v>291</v>
      </c>
      <c r="Q17" s="67"/>
      <c r="R17" s="67"/>
      <c r="S17" s="67"/>
      <c r="T17" s="67"/>
      <c r="U17" s="91" t="s">
        <v>292</v>
      </c>
      <c r="V17" s="88" t="str">
        <f>G17</f>
        <v>PGU-DE-0311-DCS-INS-021</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PL'!L34</f>
        <v>164</v>
      </c>
      <c r="H20" s="88" t="s">
        <v>295</v>
      </c>
      <c r="I20" s="67"/>
      <c r="J20" s="67"/>
      <c r="K20" s="67"/>
      <c r="L20" s="67"/>
      <c r="M20" s="67"/>
      <c r="N20" s="70"/>
      <c r="P20" s="69" t="s">
        <v>294</v>
      </c>
      <c r="Q20" s="67"/>
      <c r="R20" s="67"/>
      <c r="S20" s="67"/>
      <c r="T20" s="67"/>
      <c r="U20" s="88" t="s">
        <v>287</v>
      </c>
      <c r="V20" s="93">
        <f>G20</f>
        <v>164</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PL'!M34</f>
        <v>206</v>
      </c>
      <c r="H23" s="88" t="s">
        <v>295</v>
      </c>
      <c r="I23" s="67"/>
      <c r="J23" s="67"/>
      <c r="K23" s="67"/>
      <c r="L23" s="67"/>
      <c r="M23" s="67"/>
      <c r="N23" s="70"/>
      <c r="P23" s="69" t="s">
        <v>297</v>
      </c>
      <c r="Q23" s="67"/>
      <c r="R23" s="67"/>
      <c r="S23" s="67"/>
      <c r="T23" s="67"/>
      <c r="U23" s="88" t="s">
        <v>287</v>
      </c>
      <c r="V23" s="93">
        <f>G23</f>
        <v>206</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PL'!K34</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398D6D-8B51-4365-AD41-C554B361B380}">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PL'!D35</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PL'!C35</f>
        <v>PGU-DE-0311-DCS-INS-022</v>
      </c>
      <c r="H17" s="67"/>
      <c r="I17" s="67"/>
      <c r="J17" s="67"/>
      <c r="K17" s="67"/>
      <c r="L17" s="67"/>
      <c r="M17" s="67"/>
      <c r="N17" s="70"/>
      <c r="P17" s="69" t="s">
        <v>291</v>
      </c>
      <c r="Q17" s="67"/>
      <c r="R17" s="67"/>
      <c r="S17" s="67"/>
      <c r="T17" s="67"/>
      <c r="U17" s="91" t="s">
        <v>292</v>
      </c>
      <c r="V17" s="88" t="str">
        <f>G17</f>
        <v>PGU-DE-0311-DCS-INS-022</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PL'!L35</f>
        <v>150</v>
      </c>
      <c r="H20" s="88" t="s">
        <v>295</v>
      </c>
      <c r="I20" s="67"/>
      <c r="J20" s="67"/>
      <c r="K20" s="67"/>
      <c r="L20" s="67"/>
      <c r="M20" s="67"/>
      <c r="N20" s="70"/>
      <c r="P20" s="69" t="s">
        <v>294</v>
      </c>
      <c r="Q20" s="67"/>
      <c r="R20" s="67"/>
      <c r="S20" s="67"/>
      <c r="T20" s="67"/>
      <c r="U20" s="88" t="s">
        <v>287</v>
      </c>
      <c r="V20" s="93">
        <f>G20</f>
        <v>150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PL'!M35</f>
        <v>202</v>
      </c>
      <c r="H23" s="88" t="s">
        <v>295</v>
      </c>
      <c r="I23" s="67"/>
      <c r="J23" s="67"/>
      <c r="K23" s="67"/>
      <c r="L23" s="67"/>
      <c r="M23" s="67"/>
      <c r="N23" s="70"/>
      <c r="P23" s="69" t="s">
        <v>297</v>
      </c>
      <c r="Q23" s="67"/>
      <c r="R23" s="67"/>
      <c r="S23" s="67"/>
      <c r="T23" s="67"/>
      <c r="U23" s="88" t="s">
        <v>287</v>
      </c>
      <c r="V23" s="93">
        <f>G23</f>
        <v>202</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PL'!K35</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E6AB1-0933-4F6A-A707-4BCC5D412C2D}">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PL'!D36</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PL'!C36</f>
        <v>PGU-DE-0311-DCS-INS-023</v>
      </c>
      <c r="H17" s="67"/>
      <c r="I17" s="67"/>
      <c r="J17" s="67"/>
      <c r="K17" s="67"/>
      <c r="L17" s="67"/>
      <c r="M17" s="67"/>
      <c r="N17" s="70"/>
      <c r="P17" s="69" t="s">
        <v>291</v>
      </c>
      <c r="Q17" s="67"/>
      <c r="R17" s="67"/>
      <c r="S17" s="67"/>
      <c r="T17" s="67"/>
      <c r="U17" s="91" t="s">
        <v>292</v>
      </c>
      <c r="V17" s="88" t="str">
        <f>G17</f>
        <v>PGU-DE-0311-DCS-INS-023</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PL'!L36</f>
        <v>150</v>
      </c>
      <c r="H20" s="88" t="s">
        <v>295</v>
      </c>
      <c r="I20" s="67"/>
      <c r="J20" s="67"/>
      <c r="K20" s="67"/>
      <c r="L20" s="67"/>
      <c r="M20" s="67"/>
      <c r="N20" s="70"/>
      <c r="P20" s="69" t="s">
        <v>294</v>
      </c>
      <c r="Q20" s="67"/>
      <c r="R20" s="67"/>
      <c r="S20" s="67"/>
      <c r="T20" s="67"/>
      <c r="U20" s="88" t="s">
        <v>287</v>
      </c>
      <c r="V20" s="93">
        <f>G20</f>
        <v>150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PL'!M36</f>
        <v>202</v>
      </c>
      <c r="H23" s="88" t="s">
        <v>295</v>
      </c>
      <c r="I23" s="67"/>
      <c r="J23" s="67"/>
      <c r="K23" s="67"/>
      <c r="L23" s="67"/>
      <c r="M23" s="67"/>
      <c r="N23" s="70"/>
      <c r="P23" s="69" t="s">
        <v>297</v>
      </c>
      <c r="Q23" s="67"/>
      <c r="R23" s="67"/>
      <c r="S23" s="67"/>
      <c r="T23" s="67"/>
      <c r="U23" s="88" t="s">
        <v>287</v>
      </c>
      <c r="V23" s="93">
        <f>G23</f>
        <v>202</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PL'!K36</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C1837-FCB1-4794-B70A-36933E9B9263}">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PL'!D37</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PL'!C37</f>
        <v>PGU-DE-0311-DCS-INS-024</v>
      </c>
      <c r="H17" s="67"/>
      <c r="I17" s="67"/>
      <c r="J17" s="67"/>
      <c r="K17" s="67"/>
      <c r="L17" s="67"/>
      <c r="M17" s="67"/>
      <c r="N17" s="70"/>
      <c r="P17" s="69" t="s">
        <v>291</v>
      </c>
      <c r="Q17" s="67"/>
      <c r="R17" s="67"/>
      <c r="S17" s="67"/>
      <c r="T17" s="67"/>
      <c r="U17" s="91" t="s">
        <v>292</v>
      </c>
      <c r="V17" s="88" t="str">
        <f>G17</f>
        <v>PGU-DE-0311-DCS-INS-024</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PL'!L37</f>
        <v>156</v>
      </c>
      <c r="H20" s="88" t="s">
        <v>295</v>
      </c>
      <c r="I20" s="67"/>
      <c r="J20" s="67"/>
      <c r="K20" s="67"/>
      <c r="L20" s="67"/>
      <c r="M20" s="67"/>
      <c r="N20" s="70"/>
      <c r="P20" s="69" t="s">
        <v>294</v>
      </c>
      <c r="Q20" s="67"/>
      <c r="R20" s="67"/>
      <c r="S20" s="67"/>
      <c r="T20" s="67"/>
      <c r="U20" s="88" t="s">
        <v>287</v>
      </c>
      <c r="V20" s="93">
        <f>G20</f>
        <v>156</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PL'!M37</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PL'!K37</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032D6B-3F38-45CB-97DC-732830DE2FA0}">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PL'!D38</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PL'!C38</f>
        <v>PGU-DE-0311-DCS-INS-025</v>
      </c>
      <c r="H17" s="67"/>
      <c r="I17" s="67"/>
      <c r="J17" s="67"/>
      <c r="K17" s="67"/>
      <c r="L17" s="67"/>
      <c r="M17" s="67"/>
      <c r="N17" s="70"/>
      <c r="P17" s="69" t="s">
        <v>291</v>
      </c>
      <c r="Q17" s="67"/>
      <c r="R17" s="67"/>
      <c r="S17" s="67"/>
      <c r="T17" s="67"/>
      <c r="U17" s="91" t="s">
        <v>292</v>
      </c>
      <c r="V17" s="88" t="str">
        <f>G17</f>
        <v>PGU-DE-0311-DCS-INS-025</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PL'!L38</f>
        <v>158</v>
      </c>
      <c r="H20" s="88" t="s">
        <v>295</v>
      </c>
      <c r="I20" s="67"/>
      <c r="J20" s="67"/>
      <c r="K20" s="67"/>
      <c r="L20" s="67"/>
      <c r="M20" s="67"/>
      <c r="N20" s="70"/>
      <c r="P20" s="69" t="s">
        <v>294</v>
      </c>
      <c r="Q20" s="67"/>
      <c r="R20" s="67"/>
      <c r="S20" s="67"/>
      <c r="T20" s="67"/>
      <c r="U20" s="88" t="s">
        <v>287</v>
      </c>
      <c r="V20" s="93">
        <f>G20</f>
        <v>158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PL'!M38</f>
        <v>210</v>
      </c>
      <c r="H23" s="88" t="s">
        <v>295</v>
      </c>
      <c r="I23" s="67"/>
      <c r="J23" s="67"/>
      <c r="K23" s="67"/>
      <c r="L23" s="67"/>
      <c r="M23" s="67"/>
      <c r="N23" s="70"/>
      <c r="P23" s="69" t="s">
        <v>297</v>
      </c>
      <c r="Q23" s="67"/>
      <c r="R23" s="67"/>
      <c r="S23" s="67"/>
      <c r="T23" s="67"/>
      <c r="U23" s="88" t="s">
        <v>287</v>
      </c>
      <c r="V23" s="93">
        <f>G23</f>
        <v>210</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PL'!K38</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D7243-0C1F-4ED9-AAFE-7FD71CEAEF3D}">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PL'!D39</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PL'!C39</f>
        <v>PGU-DE-0311-DCS-INS-026</v>
      </c>
      <c r="H17" s="67"/>
      <c r="I17" s="67"/>
      <c r="J17" s="67"/>
      <c r="K17" s="67"/>
      <c r="L17" s="67"/>
      <c r="M17" s="67"/>
      <c r="N17" s="70"/>
      <c r="P17" s="69" t="s">
        <v>291</v>
      </c>
      <c r="Q17" s="67"/>
      <c r="R17" s="67"/>
      <c r="S17" s="67"/>
      <c r="T17" s="67"/>
      <c r="U17" s="91" t="s">
        <v>292</v>
      </c>
      <c r="V17" s="88" t="str">
        <f>G17</f>
        <v>PGU-DE-0311-DCS-INS-026</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PL'!L39</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PL'!M39</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PL'!K39</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32" man="1"/>
  </colBreaks>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2D0397-42AB-4B3D-93EE-BA717660F2AF}">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PL'!D40</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PL'!C40</f>
        <v>PGU-DE-0311-DCS-INS-027</v>
      </c>
      <c r="H17" s="67"/>
      <c r="I17" s="67"/>
      <c r="J17" s="67"/>
      <c r="K17" s="67"/>
      <c r="L17" s="67"/>
      <c r="M17" s="67"/>
      <c r="N17" s="70"/>
      <c r="P17" s="69" t="s">
        <v>291</v>
      </c>
      <c r="Q17" s="67"/>
      <c r="R17" s="67"/>
      <c r="S17" s="67"/>
      <c r="T17" s="67"/>
      <c r="U17" s="91" t="s">
        <v>292</v>
      </c>
      <c r="V17" s="88" t="str">
        <f>G17</f>
        <v>PGU-DE-0311-DCS-INS-027</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PL'!L40</f>
        <v>151</v>
      </c>
      <c r="H20" s="88" t="s">
        <v>295</v>
      </c>
      <c r="I20" s="67"/>
      <c r="J20" s="67"/>
      <c r="K20" s="67"/>
      <c r="L20" s="67"/>
      <c r="M20" s="67"/>
      <c r="N20" s="70"/>
      <c r="P20" s="69" t="s">
        <v>294</v>
      </c>
      <c r="Q20" s="67"/>
      <c r="R20" s="67"/>
      <c r="S20" s="67"/>
      <c r="T20" s="67"/>
      <c r="U20" s="88" t="s">
        <v>287</v>
      </c>
      <c r="V20" s="93">
        <f>G20</f>
        <v>151</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PL'!M40</f>
        <v>204</v>
      </c>
      <c r="H23" s="88" t="s">
        <v>295</v>
      </c>
      <c r="I23" s="67"/>
      <c r="J23" s="67"/>
      <c r="K23" s="67"/>
      <c r="L23" s="67"/>
      <c r="M23" s="67"/>
      <c r="N23" s="70"/>
      <c r="P23" s="69" t="s">
        <v>297</v>
      </c>
      <c r="Q23" s="67"/>
      <c r="R23" s="67"/>
      <c r="S23" s="67"/>
      <c r="T23" s="67"/>
      <c r="U23" s="88" t="s">
        <v>287</v>
      </c>
      <c r="V23" s="93">
        <f>G23</f>
        <v>204</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PL'!K40</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A88E6C-0468-402E-A300-956EBBB215E5}">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PL'!D41</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PL'!C41</f>
        <v>PGU-DE-0311-DCS-INS-028</v>
      </c>
      <c r="H17" s="67"/>
      <c r="I17" s="67"/>
      <c r="J17" s="67"/>
      <c r="K17" s="67"/>
      <c r="L17" s="67"/>
      <c r="M17" s="67"/>
      <c r="N17" s="70"/>
      <c r="P17" s="69" t="s">
        <v>291</v>
      </c>
      <c r="Q17" s="67"/>
      <c r="R17" s="67"/>
      <c r="S17" s="67"/>
      <c r="T17" s="67"/>
      <c r="U17" s="91" t="s">
        <v>292</v>
      </c>
      <c r="V17" s="88" t="str">
        <f>G17</f>
        <v>PGU-DE-0311-DCS-INS-028</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PL'!L41</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PL'!M41</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PL'!K41</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32826B-8F27-49F4-A09D-169E1A4FC29C}">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PL'!D42</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PL'!C42</f>
        <v>PGU-DE-0311-DCS-INS-029</v>
      </c>
      <c r="H17" s="67"/>
      <c r="I17" s="67"/>
      <c r="J17" s="67"/>
      <c r="K17" s="67"/>
      <c r="L17" s="67"/>
      <c r="M17" s="67"/>
      <c r="N17" s="70"/>
      <c r="P17" s="69" t="s">
        <v>291</v>
      </c>
      <c r="Q17" s="67"/>
      <c r="R17" s="67"/>
      <c r="S17" s="67"/>
      <c r="T17" s="67"/>
      <c r="U17" s="91" t="s">
        <v>292</v>
      </c>
      <c r="V17" s="88" t="str">
        <f>G17</f>
        <v>PGU-DE-0311-DCS-INS-029</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PL'!L42</f>
        <v>150</v>
      </c>
      <c r="H20" s="88" t="s">
        <v>295</v>
      </c>
      <c r="I20" s="67"/>
      <c r="J20" s="67"/>
      <c r="K20" s="67"/>
      <c r="L20" s="67"/>
      <c r="M20" s="67"/>
      <c r="N20" s="70"/>
      <c r="P20" s="69" t="s">
        <v>294</v>
      </c>
      <c r="Q20" s="67"/>
      <c r="R20" s="67"/>
      <c r="S20" s="67"/>
      <c r="T20" s="67"/>
      <c r="U20" s="88" t="s">
        <v>287</v>
      </c>
      <c r="V20" s="93">
        <f>G20</f>
        <v>150</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PL'!M42</f>
        <v>204</v>
      </c>
      <c r="H23" s="88" t="s">
        <v>295</v>
      </c>
      <c r="I23" s="67"/>
      <c r="J23" s="67"/>
      <c r="K23" s="67"/>
      <c r="L23" s="67"/>
      <c r="M23" s="67"/>
      <c r="N23" s="70"/>
      <c r="P23" s="69" t="s">
        <v>297</v>
      </c>
      <c r="Q23" s="67"/>
      <c r="R23" s="67"/>
      <c r="S23" s="67"/>
      <c r="T23" s="67"/>
      <c r="U23" s="88" t="s">
        <v>287</v>
      </c>
      <c r="V23" s="93">
        <f>G23</f>
        <v>204</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PL'!K42</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E237-E18C-4FC0-9942-F85290185FDB}">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PL'!D43</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PL'!C43</f>
        <v>PGU-DE-0311-DCS-INS-030</v>
      </c>
      <c r="H17" s="67"/>
      <c r="I17" s="67"/>
      <c r="J17" s="67"/>
      <c r="K17" s="67"/>
      <c r="L17" s="67"/>
      <c r="M17" s="67"/>
      <c r="N17" s="70"/>
      <c r="P17" s="69" t="s">
        <v>291</v>
      </c>
      <c r="Q17" s="67"/>
      <c r="R17" s="67"/>
      <c r="S17" s="67"/>
      <c r="T17" s="67"/>
      <c r="U17" s="91" t="s">
        <v>292</v>
      </c>
      <c r="V17" s="88" t="str">
        <f>G17</f>
        <v>PGU-DE-0311-DCS-INS-030</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PL'!L43</f>
        <v>162</v>
      </c>
      <c r="H20" s="88" t="s">
        <v>295</v>
      </c>
      <c r="I20" s="67"/>
      <c r="J20" s="67"/>
      <c r="K20" s="67"/>
      <c r="L20" s="67"/>
      <c r="M20" s="67"/>
      <c r="N20" s="70"/>
      <c r="P20" s="69" t="s">
        <v>294</v>
      </c>
      <c r="Q20" s="67"/>
      <c r="R20" s="67"/>
      <c r="S20" s="67"/>
      <c r="T20" s="67"/>
      <c r="U20" s="88" t="s">
        <v>287</v>
      </c>
      <c r="V20" s="93">
        <f>G20</f>
        <v>162</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PL'!M43</f>
        <v>204</v>
      </c>
      <c r="H23" s="88" t="s">
        <v>295</v>
      </c>
      <c r="I23" s="67"/>
      <c r="J23" s="67"/>
      <c r="K23" s="67"/>
      <c r="L23" s="67"/>
      <c r="M23" s="67"/>
      <c r="N23" s="70"/>
      <c r="P23" s="69" t="s">
        <v>297</v>
      </c>
      <c r="Q23" s="67"/>
      <c r="R23" s="67"/>
      <c r="S23" s="67"/>
      <c r="T23" s="67"/>
      <c r="U23" s="88" t="s">
        <v>287</v>
      </c>
      <c r="V23" s="93">
        <f>G23</f>
        <v>204</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PL'!K43</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ED47BC-4AA9-403E-B9DB-62D7B982022C}">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PL'!D44</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PL'!C44</f>
        <v>PGU-DE-0311-DCS-INS-031</v>
      </c>
      <c r="H17" s="67"/>
      <c r="I17" s="67"/>
      <c r="J17" s="67"/>
      <c r="K17" s="67"/>
      <c r="L17" s="67"/>
      <c r="M17" s="67"/>
      <c r="N17" s="70"/>
      <c r="P17" s="69" t="s">
        <v>291</v>
      </c>
      <c r="Q17" s="67"/>
      <c r="R17" s="67"/>
      <c r="S17" s="67"/>
      <c r="T17" s="67"/>
      <c r="U17" s="91" t="s">
        <v>292</v>
      </c>
      <c r="V17" s="88" t="str">
        <f>G17</f>
        <v>PGU-DE-0311-DCS-INS-031</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PL'!L44</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PL'!M44</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PL'!K44</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FDE855-254A-4CD5-AFED-1B25F739756A}">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PL'!D45</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PL'!C45</f>
        <v>PGU-DE-0311-DCS-INS-032</v>
      </c>
      <c r="H17" s="67"/>
      <c r="I17" s="67"/>
      <c r="J17" s="67"/>
      <c r="K17" s="67"/>
      <c r="L17" s="67"/>
      <c r="M17" s="67"/>
      <c r="N17" s="70"/>
      <c r="P17" s="69" t="s">
        <v>291</v>
      </c>
      <c r="Q17" s="67"/>
      <c r="R17" s="67"/>
      <c r="S17" s="67"/>
      <c r="T17" s="67"/>
      <c r="U17" s="91" t="s">
        <v>292</v>
      </c>
      <c r="V17" s="88" t="str">
        <f>G17</f>
        <v>PGU-DE-0311-DCS-INS-032</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PL'!L45</f>
        <v>154</v>
      </c>
      <c r="H20" s="88" t="s">
        <v>295</v>
      </c>
      <c r="I20" s="67"/>
      <c r="J20" s="67"/>
      <c r="K20" s="67"/>
      <c r="L20" s="67"/>
      <c r="M20" s="67"/>
      <c r="N20" s="70"/>
      <c r="P20" s="69" t="s">
        <v>294</v>
      </c>
      <c r="Q20" s="67"/>
      <c r="R20" s="67"/>
      <c r="S20" s="67"/>
      <c r="T20" s="67"/>
      <c r="U20" s="88" t="s">
        <v>287</v>
      </c>
      <c r="V20" s="93">
        <f>G20</f>
        <v>154</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PL'!M45</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PL'!K45</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AA13A1-4E87-427F-BDB5-91572E323CF6}">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PL'!D46</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PL'!C46</f>
        <v>PGU-DE-0311-DCS-INS-033</v>
      </c>
      <c r="H17" s="67"/>
      <c r="I17" s="67"/>
      <c r="J17" s="67"/>
      <c r="K17" s="67"/>
      <c r="L17" s="67"/>
      <c r="M17" s="67"/>
      <c r="N17" s="70"/>
      <c r="P17" s="69" t="s">
        <v>291</v>
      </c>
      <c r="Q17" s="67"/>
      <c r="R17" s="67"/>
      <c r="S17" s="67"/>
      <c r="T17" s="67"/>
      <c r="U17" s="91" t="s">
        <v>292</v>
      </c>
      <c r="V17" s="88" t="str">
        <f>G17</f>
        <v>PGU-DE-0311-DCS-INS-033</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PL'!L46</f>
        <v>169</v>
      </c>
      <c r="H20" s="88" t="s">
        <v>295</v>
      </c>
      <c r="I20" s="67"/>
      <c r="J20" s="67"/>
      <c r="K20" s="67"/>
      <c r="L20" s="67"/>
      <c r="M20" s="67"/>
      <c r="N20" s="70"/>
      <c r="P20" s="69" t="s">
        <v>294</v>
      </c>
      <c r="Q20" s="67"/>
      <c r="R20" s="67"/>
      <c r="S20" s="67"/>
      <c r="T20" s="67"/>
      <c r="U20" s="88" t="s">
        <v>287</v>
      </c>
      <c r="V20" s="93">
        <f>G20</f>
        <v>169</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PL'!M46</f>
        <v>210</v>
      </c>
      <c r="H23" s="88" t="s">
        <v>295</v>
      </c>
      <c r="I23" s="67"/>
      <c r="J23" s="67"/>
      <c r="K23" s="67"/>
      <c r="L23" s="67"/>
      <c r="M23" s="67"/>
      <c r="N23" s="70"/>
      <c r="P23" s="69" t="s">
        <v>297</v>
      </c>
      <c r="Q23" s="67"/>
      <c r="R23" s="67"/>
      <c r="S23" s="67"/>
      <c r="T23" s="67"/>
      <c r="U23" s="88" t="s">
        <v>287</v>
      </c>
      <c r="V23" s="93">
        <f>G23</f>
        <v>210</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PL'!K46</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44482-B190-4DE6-B1E1-37BAA6C6D6BC}">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PL'!D47</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PL'!C47</f>
        <v>PGU-DE-0311-DCS-INS-034</v>
      </c>
      <c r="H17" s="67"/>
      <c r="I17" s="67"/>
      <c r="J17" s="67"/>
      <c r="K17" s="67"/>
      <c r="L17" s="67"/>
      <c r="M17" s="67"/>
      <c r="N17" s="70"/>
      <c r="P17" s="69" t="s">
        <v>291</v>
      </c>
      <c r="Q17" s="67"/>
      <c r="R17" s="67"/>
      <c r="S17" s="67"/>
      <c r="T17" s="67"/>
      <c r="U17" s="91" t="s">
        <v>292</v>
      </c>
      <c r="V17" s="88" t="str">
        <f>G17</f>
        <v>PGU-DE-0311-DCS-INS-034</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PL'!L47</f>
        <v>168</v>
      </c>
      <c r="H20" s="88" t="s">
        <v>295</v>
      </c>
      <c r="I20" s="67"/>
      <c r="J20" s="67"/>
      <c r="K20" s="67"/>
      <c r="L20" s="67"/>
      <c r="M20" s="67"/>
      <c r="N20" s="70"/>
      <c r="P20" s="69" t="s">
        <v>294</v>
      </c>
      <c r="Q20" s="67"/>
      <c r="R20" s="67"/>
      <c r="S20" s="67"/>
      <c r="T20" s="67"/>
      <c r="U20" s="88" t="s">
        <v>287</v>
      </c>
      <c r="V20" s="93">
        <f>G20</f>
        <v>168</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PL'!M47</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PL'!K47</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5C28-141B-44C9-822A-A1AB8EA3E5A6}">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PL'!D48</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PL'!C48</f>
        <v>PGU-DE-0311-DCS-INS-035</v>
      </c>
      <c r="H17" s="67"/>
      <c r="I17" s="67"/>
      <c r="J17" s="67"/>
      <c r="K17" s="67"/>
      <c r="L17" s="67"/>
      <c r="M17" s="67"/>
      <c r="N17" s="70"/>
      <c r="P17" s="69" t="s">
        <v>291</v>
      </c>
      <c r="Q17" s="67"/>
      <c r="R17" s="67"/>
      <c r="S17" s="67"/>
      <c r="T17" s="67"/>
      <c r="U17" s="91" t="s">
        <v>292</v>
      </c>
      <c r="V17" s="88" t="str">
        <f>G17</f>
        <v>PGU-DE-0311-DCS-INS-035</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PL'!L48</f>
        <v>166</v>
      </c>
      <c r="H20" s="88" t="s">
        <v>295</v>
      </c>
      <c r="I20" s="67"/>
      <c r="J20" s="67"/>
      <c r="K20" s="67"/>
      <c r="L20" s="67"/>
      <c r="M20" s="67"/>
      <c r="N20" s="70"/>
      <c r="P20" s="69" t="s">
        <v>294</v>
      </c>
      <c r="Q20" s="67"/>
      <c r="R20" s="67"/>
      <c r="S20" s="67"/>
      <c r="T20" s="67"/>
      <c r="U20" s="88" t="s">
        <v>287</v>
      </c>
      <c r="V20" s="93">
        <f>G20</f>
        <v>166</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PL'!M48</f>
        <v>208</v>
      </c>
      <c r="H23" s="88" t="s">
        <v>295</v>
      </c>
      <c r="I23" s="67"/>
      <c r="J23" s="67"/>
      <c r="K23" s="67"/>
      <c r="L23" s="67"/>
      <c r="M23" s="67"/>
      <c r="N23" s="70"/>
      <c r="P23" s="69" t="s">
        <v>297</v>
      </c>
      <c r="Q23" s="67"/>
      <c r="R23" s="67"/>
      <c r="S23" s="67"/>
      <c r="T23" s="67"/>
      <c r="U23" s="88" t="s">
        <v>287</v>
      </c>
      <c r="V23" s="93">
        <f>G23</f>
        <v>208</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PL'!K48</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87283-DC79-440A-9F14-824F156123AD}">
  <dimension ref="A1:AC32"/>
  <sheetViews>
    <sheetView showGridLines="0" view="pageBreakPreview" zoomScale="55" zoomScaleNormal="100" zoomScaleSheetLayoutView="55" workbookViewId="0">
      <selection activeCell="V26" activeCellId="1" sqref="G26 V2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PL'!D49</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PL'!C49</f>
        <v>PGU-DE-0311-DCS-INS-036</v>
      </c>
      <c r="H17" s="67"/>
      <c r="I17" s="67"/>
      <c r="J17" s="67"/>
      <c r="K17" s="67"/>
      <c r="L17" s="67"/>
      <c r="M17" s="67"/>
      <c r="N17" s="70"/>
      <c r="P17" s="69" t="s">
        <v>291</v>
      </c>
      <c r="Q17" s="67"/>
      <c r="R17" s="67"/>
      <c r="S17" s="67"/>
      <c r="T17" s="67"/>
      <c r="U17" s="91" t="s">
        <v>292</v>
      </c>
      <c r="V17" s="88" t="str">
        <f>G17</f>
        <v>PGU-DE-0311-DCS-INS-036</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PL'!L49</f>
        <v>155</v>
      </c>
      <c r="H20" s="88" t="s">
        <v>295</v>
      </c>
      <c r="I20" s="67"/>
      <c r="J20" s="67"/>
      <c r="K20" s="67"/>
      <c r="L20" s="67"/>
      <c r="M20" s="67"/>
      <c r="N20" s="70"/>
      <c r="P20" s="69" t="s">
        <v>294</v>
      </c>
      <c r="Q20" s="67"/>
      <c r="R20" s="67"/>
      <c r="S20" s="67"/>
      <c r="T20" s="67"/>
      <c r="U20" s="88" t="s">
        <v>287</v>
      </c>
      <c r="V20" s="93">
        <f>G20</f>
        <v>155</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PL'!M49</f>
        <v>209</v>
      </c>
      <c r="H23" s="88" t="s">
        <v>295</v>
      </c>
      <c r="I23" s="67"/>
      <c r="J23" s="67"/>
      <c r="K23" s="67"/>
      <c r="L23" s="67"/>
      <c r="M23" s="67"/>
      <c r="N23" s="70"/>
      <c r="P23" s="69" t="s">
        <v>297</v>
      </c>
      <c r="Q23" s="67"/>
      <c r="R23" s="67"/>
      <c r="S23" s="67"/>
      <c r="T23" s="67"/>
      <c r="U23" s="88" t="s">
        <v>287</v>
      </c>
      <c r="V23" s="93">
        <f>G23</f>
        <v>209</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PL'!K49</f>
        <v>0.46899999999999997</v>
      </c>
      <c r="H26" s="94"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6FF35-A34D-47EB-A5AE-06A18E4F3BDB}">
  <dimension ref="A1:AC32"/>
  <sheetViews>
    <sheetView showGridLines="0" view="pageBreakPreview" zoomScale="55" zoomScaleNormal="100" zoomScaleSheetLayoutView="55" workbookViewId="0">
      <selection activeCell="AE46" sqref="AD46:AE46"/>
    </sheetView>
  </sheetViews>
  <sheetFormatPr defaultColWidth="9" defaultRowHeight="21"/>
  <cols>
    <col min="1" max="1" width="12.59765625" style="67" customWidth="1"/>
    <col min="2" max="3" width="9" style="67"/>
    <col min="4" max="4" width="1.8984375" style="67" customWidth="1"/>
    <col min="5" max="5" width="9" style="67"/>
    <col min="6" max="6" width="2.3984375" style="68" customWidth="1"/>
    <col min="7" max="7" width="16.8984375" style="68" customWidth="1"/>
    <col min="8" max="8" width="9" style="68" customWidth="1"/>
    <col min="9" max="9" width="12.09765625" style="68" bestFit="1" customWidth="1"/>
    <col min="10" max="10" width="9" style="68" customWidth="1"/>
    <col min="11" max="11" width="14.3984375" style="68" bestFit="1" customWidth="1"/>
    <col min="12" max="13" width="9" style="68"/>
    <col min="14" max="14" width="5.8984375" style="68" customWidth="1"/>
    <col min="15" max="15" width="3.59765625" style="2" customWidth="1"/>
    <col min="16" max="16" width="12.59765625" style="67" customWidth="1"/>
    <col min="17" max="18" width="9" style="67"/>
    <col min="19" max="19" width="1.8984375" style="67" customWidth="1"/>
    <col min="20" max="20" width="9" style="67"/>
    <col min="21" max="21" width="2.3984375" style="68" customWidth="1"/>
    <col min="22" max="22" width="16.8984375" style="68" customWidth="1"/>
    <col min="23" max="23" width="9" style="68"/>
    <col min="24" max="24" width="12.09765625" style="68" bestFit="1" customWidth="1"/>
    <col min="25" max="25" width="9" style="68"/>
    <col min="26" max="26" width="14.3984375" style="68" bestFit="1" customWidth="1"/>
    <col min="27" max="28" width="9" style="68"/>
    <col min="29" max="29" width="2.59765625" style="68" customWidth="1"/>
    <col min="30" max="30" width="3.59765625" style="2" customWidth="1"/>
    <col min="31" max="16384" width="9" style="2"/>
  </cols>
  <sheetData>
    <row r="1" spans="1:29" ht="95.1" customHeight="1" thickBot="1">
      <c r="A1" s="450" t="s">
        <v>274</v>
      </c>
      <c r="B1" s="451"/>
      <c r="C1" s="451"/>
      <c r="D1" s="451"/>
      <c r="E1" s="451"/>
      <c r="F1" s="451"/>
      <c r="G1" s="451"/>
      <c r="H1" s="451"/>
      <c r="I1" s="451"/>
      <c r="J1" s="451"/>
      <c r="K1" s="451"/>
      <c r="L1" s="451"/>
      <c r="M1" s="451"/>
      <c r="N1" s="452"/>
      <c r="O1" s="95"/>
      <c r="P1" s="450" t="s">
        <v>274</v>
      </c>
      <c r="Q1" s="451"/>
      <c r="R1" s="451"/>
      <c r="S1" s="451"/>
      <c r="T1" s="451"/>
      <c r="U1" s="451"/>
      <c r="V1" s="451"/>
      <c r="W1" s="451"/>
      <c r="X1" s="451"/>
      <c r="Y1" s="451"/>
      <c r="Z1" s="451"/>
      <c r="AA1" s="451"/>
      <c r="AB1" s="451"/>
      <c r="AC1" s="452"/>
    </row>
    <row r="2" spans="1:29" s="3" customFormat="1" ht="37.5" customHeight="1">
      <c r="A2" s="79" t="s">
        <v>275</v>
      </c>
      <c r="B2" s="87"/>
      <c r="C2" s="87"/>
      <c r="D2" s="67"/>
      <c r="E2" s="67"/>
      <c r="F2" s="88" t="s">
        <v>276</v>
      </c>
      <c r="G2" s="88" t="s">
        <v>277</v>
      </c>
      <c r="H2" s="88"/>
      <c r="I2" s="88"/>
      <c r="J2" s="88"/>
      <c r="K2" s="88"/>
      <c r="L2" s="88"/>
      <c r="M2" s="88"/>
      <c r="N2" s="80"/>
      <c r="O2" s="96"/>
      <c r="P2" s="79" t="s">
        <v>275</v>
      </c>
      <c r="Q2" s="87"/>
      <c r="R2" s="87"/>
      <c r="S2" s="67"/>
      <c r="T2" s="67"/>
      <c r="U2" s="88" t="s">
        <v>276</v>
      </c>
      <c r="V2" s="88" t="s">
        <v>277</v>
      </c>
      <c r="W2" s="88"/>
      <c r="X2" s="88"/>
      <c r="Y2" s="88"/>
      <c r="Z2" s="88"/>
      <c r="AA2" s="88"/>
      <c r="AB2" s="88"/>
      <c r="AC2" s="80"/>
    </row>
    <row r="3" spans="1:29" s="4" customFormat="1" ht="25.2">
      <c r="A3" s="69" t="s">
        <v>278</v>
      </c>
      <c r="B3" s="67"/>
      <c r="C3" s="67"/>
      <c r="D3" s="67"/>
      <c r="E3" s="67"/>
      <c r="F3" s="88"/>
      <c r="G3" s="88" t="s">
        <v>279</v>
      </c>
      <c r="H3" s="88"/>
      <c r="I3" s="88"/>
      <c r="J3" s="88"/>
      <c r="K3" s="88"/>
      <c r="L3" s="88"/>
      <c r="M3" s="88"/>
      <c r="N3" s="80"/>
      <c r="P3" s="69" t="s">
        <v>278</v>
      </c>
      <c r="Q3" s="67"/>
      <c r="R3" s="67"/>
      <c r="S3" s="67"/>
      <c r="T3" s="67"/>
      <c r="U3" s="88"/>
      <c r="V3" s="88" t="s">
        <v>279</v>
      </c>
      <c r="W3" s="88"/>
      <c r="X3" s="88"/>
      <c r="Y3" s="88"/>
      <c r="Z3" s="88"/>
      <c r="AA3" s="88"/>
      <c r="AB3" s="88"/>
      <c r="AC3" s="80"/>
    </row>
    <row r="4" spans="1:29" s="3" customFormat="1" ht="10.199999999999999" customHeight="1">
      <c r="A4" s="69"/>
      <c r="B4" s="67"/>
      <c r="C4" s="67"/>
      <c r="D4" s="67"/>
      <c r="E4" s="67"/>
      <c r="F4" s="88"/>
      <c r="G4" s="67"/>
      <c r="H4" s="67"/>
      <c r="I4" s="67"/>
      <c r="J4" s="67"/>
      <c r="K4" s="67"/>
      <c r="L4" s="67"/>
      <c r="M4" s="67"/>
      <c r="N4" s="70"/>
      <c r="P4" s="69"/>
      <c r="Q4" s="67"/>
      <c r="R4" s="67"/>
      <c r="S4" s="67"/>
      <c r="T4" s="67"/>
      <c r="U4" s="88"/>
      <c r="V4" s="67"/>
      <c r="W4" s="67"/>
      <c r="X4" s="67"/>
      <c r="Y4" s="67"/>
      <c r="Z4" s="67"/>
      <c r="AA4" s="67"/>
      <c r="AB4" s="67"/>
      <c r="AC4" s="70"/>
    </row>
    <row r="5" spans="1:29" s="169" customFormat="1" ht="42.75" customHeight="1">
      <c r="A5" s="165" t="s">
        <v>280</v>
      </c>
      <c r="B5" s="166"/>
      <c r="C5" s="166"/>
      <c r="D5" s="166"/>
      <c r="E5" s="166"/>
      <c r="F5" s="167" t="s">
        <v>276</v>
      </c>
      <c r="G5" s="167" t="str">
        <f>CI!B13</f>
        <v>Branch of JSC "Doosan Enerbility" in the Turkestan region</v>
      </c>
      <c r="H5" s="166"/>
      <c r="I5" s="166"/>
      <c r="J5" s="166"/>
      <c r="K5" s="166"/>
      <c r="L5" s="166"/>
      <c r="M5" s="166"/>
      <c r="N5" s="168"/>
      <c r="P5" s="165" t="s">
        <v>280</v>
      </c>
      <c r="Q5" s="166"/>
      <c r="R5" s="166"/>
      <c r="S5" s="166"/>
      <c r="T5" s="166"/>
      <c r="U5" s="167" t="s">
        <v>276</v>
      </c>
      <c r="V5" s="167" t="str">
        <f>G5</f>
        <v>Branch of JSC "Doosan Enerbility" in the Turkestan region</v>
      </c>
      <c r="W5" s="166"/>
      <c r="X5" s="166"/>
      <c r="Y5" s="166"/>
      <c r="Z5" s="166"/>
      <c r="AA5" s="166"/>
      <c r="AB5" s="166"/>
      <c r="AC5" s="168"/>
    </row>
    <row r="6" spans="1:29" s="171" customFormat="1" ht="25.2">
      <c r="A6" s="165" t="s">
        <v>281</v>
      </c>
      <c r="B6" s="166"/>
      <c r="C6" s="166"/>
      <c r="D6" s="166"/>
      <c r="E6" s="166"/>
      <c r="F6" s="170"/>
      <c r="G6" s="167"/>
      <c r="H6" s="166"/>
      <c r="I6" s="166"/>
      <c r="J6" s="166"/>
      <c r="K6" s="166"/>
      <c r="L6" s="166"/>
      <c r="M6" s="166"/>
      <c r="N6" s="168"/>
      <c r="P6" s="165" t="s">
        <v>281</v>
      </c>
      <c r="Q6" s="166"/>
      <c r="R6" s="166"/>
      <c r="S6" s="166"/>
      <c r="T6" s="166"/>
      <c r="U6" s="170"/>
      <c r="V6" s="167"/>
      <c r="W6" s="166"/>
      <c r="X6" s="166"/>
      <c r="Y6" s="166"/>
      <c r="Z6" s="166"/>
      <c r="AA6" s="166"/>
      <c r="AB6" s="166"/>
      <c r="AC6" s="168"/>
    </row>
    <row r="7" spans="1:29" s="3" customFormat="1" ht="10.199999999999999" customHeight="1">
      <c r="A7" s="69"/>
      <c r="B7" s="67"/>
      <c r="C7" s="67"/>
      <c r="D7" s="67"/>
      <c r="E7" s="67"/>
      <c r="F7" s="89"/>
      <c r="G7" s="89"/>
      <c r="H7" s="67"/>
      <c r="I7" s="67"/>
      <c r="J7" s="67"/>
      <c r="K7" s="67"/>
      <c r="L7" s="67"/>
      <c r="M7" s="67"/>
      <c r="N7" s="70"/>
      <c r="P7" s="69"/>
      <c r="Q7" s="67"/>
      <c r="R7" s="67"/>
      <c r="S7" s="67"/>
      <c r="T7" s="67"/>
      <c r="U7" s="89"/>
      <c r="V7" s="89"/>
      <c r="W7" s="67"/>
      <c r="X7" s="67"/>
      <c r="Y7" s="67"/>
      <c r="Z7" s="67"/>
      <c r="AA7" s="67"/>
      <c r="AB7" s="67"/>
      <c r="AC7" s="70"/>
    </row>
    <row r="8" spans="1:29" s="3" customFormat="1" ht="25.2">
      <c r="A8" s="69" t="s">
        <v>282</v>
      </c>
      <c r="B8" s="67"/>
      <c r="C8" s="67"/>
      <c r="D8" s="67"/>
      <c r="E8" s="67"/>
      <c r="F8" s="88" t="s">
        <v>283</v>
      </c>
      <c r="G8" s="67"/>
      <c r="H8" s="67"/>
      <c r="I8" s="67"/>
      <c r="J8" s="67"/>
      <c r="K8" s="67"/>
      <c r="L8" s="67"/>
      <c r="M8" s="67"/>
      <c r="N8" s="70"/>
      <c r="P8" s="69" t="s">
        <v>282</v>
      </c>
      <c r="Q8" s="67"/>
      <c r="R8" s="67"/>
      <c r="S8" s="67"/>
      <c r="T8" s="67"/>
      <c r="U8" s="88" t="s">
        <v>283</v>
      </c>
      <c r="V8" s="67"/>
      <c r="W8" s="67"/>
      <c r="X8" s="67"/>
      <c r="Y8" s="67"/>
      <c r="Z8" s="67"/>
      <c r="AA8" s="67"/>
      <c r="AB8" s="67"/>
      <c r="AC8" s="70"/>
    </row>
    <row r="9" spans="1:29" s="4" customFormat="1" ht="25.2">
      <c r="A9" s="69" t="s">
        <v>284</v>
      </c>
      <c r="B9" s="67"/>
      <c r="C9" s="67"/>
      <c r="D9" s="67"/>
      <c r="E9" s="67"/>
      <c r="F9" s="88" t="s">
        <v>285</v>
      </c>
      <c r="G9" s="67"/>
      <c r="H9" s="67"/>
      <c r="I9" s="67"/>
      <c r="J9" s="67"/>
      <c r="K9" s="67"/>
      <c r="L9" s="67"/>
      <c r="M9" s="67"/>
      <c r="N9" s="70"/>
      <c r="P9" s="69" t="s">
        <v>284</v>
      </c>
      <c r="Q9" s="67"/>
      <c r="R9" s="67"/>
      <c r="S9" s="67"/>
      <c r="T9" s="67"/>
      <c r="U9" s="88" t="s">
        <v>285</v>
      </c>
      <c r="V9" s="67"/>
      <c r="W9" s="67"/>
      <c r="X9" s="67"/>
      <c r="Y9" s="67"/>
      <c r="Z9" s="67"/>
      <c r="AA9" s="67"/>
      <c r="AB9" s="67"/>
      <c r="AC9" s="70"/>
    </row>
    <row r="10" spans="1:29" s="3" customFormat="1" ht="10.199999999999999" customHeight="1">
      <c r="A10" s="69"/>
      <c r="B10" s="67"/>
      <c r="C10" s="67"/>
      <c r="D10" s="67"/>
      <c r="E10" s="67"/>
      <c r="F10" s="88"/>
      <c r="G10" s="67"/>
      <c r="H10" s="67"/>
      <c r="I10" s="67"/>
      <c r="J10" s="67"/>
      <c r="K10" s="67"/>
      <c r="L10" s="67"/>
      <c r="M10" s="67"/>
      <c r="N10" s="70"/>
      <c r="P10" s="69"/>
      <c r="Q10" s="67"/>
      <c r="R10" s="67"/>
      <c r="S10" s="67"/>
      <c r="T10" s="67"/>
      <c r="U10" s="88"/>
      <c r="V10" s="67"/>
      <c r="W10" s="67"/>
      <c r="X10" s="67"/>
      <c r="Y10" s="67"/>
      <c r="Z10" s="67"/>
      <c r="AA10" s="67"/>
      <c r="AB10" s="67"/>
      <c r="AC10" s="70"/>
    </row>
    <row r="11" spans="1:29" s="3" customFormat="1" ht="25.2">
      <c r="A11" s="69" t="s">
        <v>286</v>
      </c>
      <c r="B11" s="67"/>
      <c r="C11" s="67"/>
      <c r="D11" s="67"/>
      <c r="E11" s="67"/>
      <c r="F11" s="88" t="s">
        <v>287</v>
      </c>
      <c r="G11" s="88" t="str">
        <f>CI!V8</f>
        <v>PGU-DE-0311</v>
      </c>
      <c r="H11" s="67"/>
      <c r="I11" s="67"/>
      <c r="J11" s="67"/>
      <c r="K11" s="67"/>
      <c r="L11" s="67"/>
      <c r="M11" s="67"/>
      <c r="N11" s="70"/>
      <c r="P11" s="69" t="s">
        <v>286</v>
      </c>
      <c r="Q11" s="67"/>
      <c r="R11" s="67"/>
      <c r="S11" s="67"/>
      <c r="T11" s="67"/>
      <c r="U11" s="88" t="s">
        <v>287</v>
      </c>
      <c r="V11" s="88" t="str">
        <f>CI!V8</f>
        <v>PGU-DE-0311</v>
      </c>
      <c r="W11" s="67"/>
      <c r="X11" s="67"/>
      <c r="Y11" s="67"/>
      <c r="Z11" s="67"/>
      <c r="AA11" s="67"/>
      <c r="AB11" s="67"/>
      <c r="AC11" s="70"/>
    </row>
    <row r="12" spans="1:29" s="3" customFormat="1" ht="25.2">
      <c r="A12" s="69" t="s">
        <v>288</v>
      </c>
      <c r="B12" s="67"/>
      <c r="C12" s="67"/>
      <c r="D12" s="67"/>
      <c r="E12" s="67"/>
      <c r="F12" s="88"/>
      <c r="G12" s="67"/>
      <c r="H12" s="67"/>
      <c r="I12" s="67"/>
      <c r="J12" s="67"/>
      <c r="K12" s="67"/>
      <c r="L12" s="67"/>
      <c r="M12" s="67"/>
      <c r="N12" s="70"/>
      <c r="P12" s="69" t="s">
        <v>288</v>
      </c>
      <c r="Q12" s="67"/>
      <c r="R12" s="67"/>
      <c r="S12" s="67"/>
      <c r="T12" s="67"/>
      <c r="U12" s="88"/>
      <c r="V12" s="67"/>
      <c r="W12" s="67"/>
      <c r="X12" s="67"/>
      <c r="Y12" s="67"/>
      <c r="Z12" s="67"/>
      <c r="AA12" s="67"/>
      <c r="AB12" s="67"/>
      <c r="AC12" s="70"/>
    </row>
    <row r="13" spans="1:29" s="3" customFormat="1" ht="10.199999999999999" customHeight="1">
      <c r="A13" s="69"/>
      <c r="B13" s="67"/>
      <c r="C13" s="67"/>
      <c r="D13" s="67"/>
      <c r="E13" s="67"/>
      <c r="F13" s="88"/>
      <c r="G13" s="67"/>
      <c r="H13" s="67"/>
      <c r="I13" s="67"/>
      <c r="J13" s="67"/>
      <c r="K13" s="67"/>
      <c r="L13" s="67"/>
      <c r="M13" s="67"/>
      <c r="N13" s="70"/>
      <c r="P13" s="69"/>
      <c r="Q13" s="67"/>
      <c r="R13" s="67"/>
      <c r="S13" s="67"/>
      <c r="T13" s="67"/>
      <c r="U13" s="88"/>
      <c r="V13" s="67"/>
      <c r="W13" s="67"/>
      <c r="X13" s="67"/>
      <c r="Y13" s="67"/>
      <c r="Z13" s="67"/>
      <c r="AA13" s="67"/>
      <c r="AB13" s="67"/>
      <c r="AC13" s="70"/>
    </row>
    <row r="14" spans="1:29" s="3" customFormat="1" ht="25.2">
      <c r="A14" s="71" t="s">
        <v>289</v>
      </c>
      <c r="B14" s="90"/>
      <c r="C14" s="90"/>
      <c r="D14" s="90"/>
      <c r="E14" s="90"/>
      <c r="F14" s="91" t="s">
        <v>276</v>
      </c>
      <c r="G14" s="92" t="str">
        <f>'Summary PL'!D50</f>
        <v>FO Cable Drum</v>
      </c>
      <c r="H14" s="90"/>
      <c r="I14" s="90"/>
      <c r="J14" s="90"/>
      <c r="K14" s="90"/>
      <c r="L14" s="90"/>
      <c r="M14" s="90"/>
      <c r="N14" s="72"/>
      <c r="P14" s="71" t="s">
        <v>289</v>
      </c>
      <c r="Q14" s="90"/>
      <c r="R14" s="90"/>
      <c r="S14" s="90"/>
      <c r="T14" s="90"/>
      <c r="U14" s="91" t="s">
        <v>276</v>
      </c>
      <c r="V14" s="92" t="str">
        <f>G14</f>
        <v>FO Cable Drum</v>
      </c>
      <c r="W14" s="90"/>
      <c r="X14" s="90"/>
      <c r="Y14" s="90"/>
      <c r="Z14" s="90"/>
      <c r="AA14" s="90"/>
      <c r="AB14" s="90"/>
      <c r="AC14" s="72"/>
    </row>
    <row r="15" spans="1:29" s="3" customFormat="1" ht="25.2">
      <c r="A15" s="71" t="s">
        <v>290</v>
      </c>
      <c r="B15" s="90"/>
      <c r="C15" s="90"/>
      <c r="D15" s="90"/>
      <c r="E15" s="90"/>
      <c r="F15" s="91"/>
      <c r="G15" s="90"/>
      <c r="H15" s="90"/>
      <c r="I15" s="90"/>
      <c r="J15" s="90"/>
      <c r="K15" s="90"/>
      <c r="L15" s="90"/>
      <c r="M15" s="90"/>
      <c r="N15" s="72"/>
      <c r="P15" s="71" t="s">
        <v>290</v>
      </c>
      <c r="Q15" s="90"/>
      <c r="R15" s="90"/>
      <c r="S15" s="90"/>
      <c r="T15" s="90"/>
      <c r="U15" s="91"/>
      <c r="V15" s="90"/>
      <c r="W15" s="90"/>
      <c r="X15" s="90"/>
      <c r="Y15" s="90"/>
      <c r="Z15" s="90"/>
      <c r="AA15" s="90"/>
      <c r="AB15" s="90"/>
      <c r="AC15" s="72"/>
    </row>
    <row r="16" spans="1:29" s="3" customFormat="1" ht="10.199999999999999" customHeight="1">
      <c r="A16" s="69"/>
      <c r="B16" s="67"/>
      <c r="C16" s="67"/>
      <c r="D16" s="67"/>
      <c r="E16" s="67"/>
      <c r="F16" s="88"/>
      <c r="G16" s="67"/>
      <c r="H16" s="67"/>
      <c r="I16" s="67"/>
      <c r="J16" s="67"/>
      <c r="K16" s="67"/>
      <c r="L16" s="67"/>
      <c r="M16" s="67"/>
      <c r="N16" s="70"/>
      <c r="P16" s="69"/>
      <c r="Q16" s="67"/>
      <c r="R16" s="67"/>
      <c r="S16" s="67"/>
      <c r="T16" s="67"/>
      <c r="U16" s="88"/>
      <c r="V16" s="67"/>
      <c r="W16" s="67"/>
      <c r="X16" s="67"/>
      <c r="Y16" s="67"/>
      <c r="Z16" s="67"/>
      <c r="AA16" s="67"/>
      <c r="AB16" s="67"/>
      <c r="AC16" s="70"/>
    </row>
    <row r="17" spans="1:29" s="3" customFormat="1" ht="25.2">
      <c r="A17" s="69" t="s">
        <v>291</v>
      </c>
      <c r="B17" s="67"/>
      <c r="C17" s="67"/>
      <c r="D17" s="67"/>
      <c r="E17" s="67"/>
      <c r="F17" s="91" t="s">
        <v>292</v>
      </c>
      <c r="G17" s="88" t="str">
        <f>'Summary PL'!C50</f>
        <v>PGU-DE-0311-DCS-INS-037</v>
      </c>
      <c r="H17" s="67"/>
      <c r="I17" s="67"/>
      <c r="J17" s="67"/>
      <c r="K17" s="67"/>
      <c r="L17" s="67"/>
      <c r="M17" s="67"/>
      <c r="N17" s="70"/>
      <c r="P17" s="69" t="s">
        <v>291</v>
      </c>
      <c r="Q17" s="67"/>
      <c r="R17" s="67"/>
      <c r="S17" s="67"/>
      <c r="T17" s="67"/>
      <c r="U17" s="91" t="s">
        <v>292</v>
      </c>
      <c r="V17" s="88" t="str">
        <f>G17</f>
        <v>PGU-DE-0311-DCS-INS-037</v>
      </c>
      <c r="W17" s="67"/>
      <c r="X17" s="67"/>
      <c r="Y17" s="67"/>
      <c r="Z17" s="67"/>
      <c r="AA17" s="67"/>
      <c r="AB17" s="67"/>
      <c r="AC17" s="70"/>
    </row>
    <row r="18" spans="1:29" s="4" customFormat="1" ht="25.2">
      <c r="A18" s="69" t="s">
        <v>293</v>
      </c>
      <c r="B18" s="67"/>
      <c r="C18" s="67"/>
      <c r="D18" s="67"/>
      <c r="E18" s="67"/>
      <c r="F18" s="88"/>
      <c r="G18" s="88"/>
      <c r="H18" s="67"/>
      <c r="I18" s="67"/>
      <c r="J18" s="67"/>
      <c r="K18" s="67"/>
      <c r="L18" s="67"/>
      <c r="M18" s="67"/>
      <c r="N18" s="70"/>
      <c r="P18" s="69" t="s">
        <v>293</v>
      </c>
      <c r="Q18" s="67"/>
      <c r="R18" s="67"/>
      <c r="S18" s="67"/>
      <c r="T18" s="67"/>
      <c r="U18" s="88"/>
      <c r="V18" s="88"/>
      <c r="W18" s="67"/>
      <c r="X18" s="67"/>
      <c r="Y18" s="67"/>
      <c r="Z18" s="67"/>
      <c r="AA18" s="67"/>
      <c r="AB18" s="67"/>
      <c r="AC18" s="70"/>
    </row>
    <row r="19" spans="1:29" s="3" customFormat="1" ht="10.199999999999999" customHeight="1">
      <c r="A19" s="69"/>
      <c r="B19" s="67"/>
      <c r="C19" s="67"/>
      <c r="D19" s="67"/>
      <c r="E19" s="67"/>
      <c r="F19" s="88"/>
      <c r="G19" s="88"/>
      <c r="H19" s="67"/>
      <c r="I19" s="67"/>
      <c r="J19" s="67"/>
      <c r="K19" s="67"/>
      <c r="L19" s="67"/>
      <c r="M19" s="67"/>
      <c r="N19" s="70"/>
      <c r="P19" s="69"/>
      <c r="Q19" s="67"/>
      <c r="R19" s="67"/>
      <c r="S19" s="67"/>
      <c r="T19" s="67"/>
      <c r="U19" s="88"/>
      <c r="V19" s="88"/>
      <c r="W19" s="67"/>
      <c r="X19" s="67"/>
      <c r="Y19" s="67"/>
      <c r="Z19" s="67"/>
      <c r="AA19" s="67"/>
      <c r="AB19" s="67"/>
      <c r="AC19" s="70"/>
    </row>
    <row r="20" spans="1:29" s="3" customFormat="1" ht="25.2">
      <c r="A20" s="69" t="s">
        <v>294</v>
      </c>
      <c r="B20" s="67"/>
      <c r="C20" s="67"/>
      <c r="D20" s="67"/>
      <c r="E20" s="67"/>
      <c r="F20" s="88" t="s">
        <v>287</v>
      </c>
      <c r="G20" s="93">
        <f>'Summary PL'!L50</f>
        <v>153</v>
      </c>
      <c r="H20" s="88" t="s">
        <v>295</v>
      </c>
      <c r="I20" s="67"/>
      <c r="J20" s="67"/>
      <c r="K20" s="67"/>
      <c r="L20" s="67"/>
      <c r="M20" s="67"/>
      <c r="N20" s="70"/>
      <c r="P20" s="69" t="s">
        <v>294</v>
      </c>
      <c r="Q20" s="67"/>
      <c r="R20" s="67"/>
      <c r="S20" s="67"/>
      <c r="T20" s="67"/>
      <c r="U20" s="88" t="s">
        <v>287</v>
      </c>
      <c r="V20" s="93">
        <f>G20</f>
        <v>153</v>
      </c>
      <c r="W20" s="88" t="s">
        <v>295</v>
      </c>
      <c r="X20" s="67"/>
      <c r="Y20" s="67"/>
      <c r="Z20" s="67"/>
      <c r="AA20" s="67"/>
      <c r="AB20" s="67"/>
      <c r="AC20" s="70"/>
    </row>
    <row r="21" spans="1:29" s="4" customFormat="1" ht="25.2">
      <c r="A21" s="69" t="s">
        <v>296</v>
      </c>
      <c r="B21" s="67"/>
      <c r="C21" s="67"/>
      <c r="D21" s="67"/>
      <c r="E21" s="67"/>
      <c r="F21" s="88"/>
      <c r="G21" s="88"/>
      <c r="H21" s="88"/>
      <c r="I21" s="67"/>
      <c r="J21" s="67"/>
      <c r="K21" s="67"/>
      <c r="L21" s="67"/>
      <c r="M21" s="67"/>
      <c r="N21" s="70"/>
      <c r="P21" s="69" t="s">
        <v>296</v>
      </c>
      <c r="Q21" s="67"/>
      <c r="R21" s="67"/>
      <c r="S21" s="67"/>
      <c r="T21" s="67"/>
      <c r="U21" s="88"/>
      <c r="V21" s="88"/>
      <c r="W21" s="88"/>
      <c r="X21" s="67"/>
      <c r="Y21" s="67"/>
      <c r="Z21" s="67"/>
      <c r="AA21" s="67"/>
      <c r="AB21" s="67"/>
      <c r="AC21" s="70"/>
    </row>
    <row r="22" spans="1:29" s="3" customFormat="1" ht="10.199999999999999" customHeight="1">
      <c r="A22" s="69"/>
      <c r="B22" s="67"/>
      <c r="C22" s="67"/>
      <c r="D22" s="67"/>
      <c r="E22" s="67"/>
      <c r="F22" s="88"/>
      <c r="G22" s="88"/>
      <c r="H22" s="88"/>
      <c r="I22" s="67"/>
      <c r="J22" s="67"/>
      <c r="K22" s="67"/>
      <c r="L22" s="67"/>
      <c r="M22" s="67"/>
      <c r="N22" s="70"/>
      <c r="P22" s="69"/>
      <c r="Q22" s="67"/>
      <c r="R22" s="67"/>
      <c r="S22" s="67"/>
      <c r="T22" s="67"/>
      <c r="U22" s="88"/>
      <c r="V22" s="88"/>
      <c r="W22" s="88"/>
      <c r="X22" s="67"/>
      <c r="Y22" s="67"/>
      <c r="Z22" s="67"/>
      <c r="AA22" s="67"/>
      <c r="AB22" s="67"/>
      <c r="AC22" s="70"/>
    </row>
    <row r="23" spans="1:29" s="3" customFormat="1" ht="25.2">
      <c r="A23" s="69" t="s">
        <v>297</v>
      </c>
      <c r="B23" s="67"/>
      <c r="C23" s="67"/>
      <c r="D23" s="67"/>
      <c r="E23" s="67"/>
      <c r="F23" s="88" t="s">
        <v>287</v>
      </c>
      <c r="G23" s="93">
        <f>'Summary PL'!M50</f>
        <v>207</v>
      </c>
      <c r="H23" s="88" t="s">
        <v>295</v>
      </c>
      <c r="I23" s="67"/>
      <c r="J23" s="67"/>
      <c r="K23" s="67"/>
      <c r="L23" s="67"/>
      <c r="M23" s="67"/>
      <c r="N23" s="70"/>
      <c r="P23" s="69" t="s">
        <v>297</v>
      </c>
      <c r="Q23" s="67"/>
      <c r="R23" s="67"/>
      <c r="S23" s="67"/>
      <c r="T23" s="67"/>
      <c r="U23" s="88" t="s">
        <v>287</v>
      </c>
      <c r="V23" s="93">
        <f>G23</f>
        <v>207</v>
      </c>
      <c r="W23" s="88" t="s">
        <v>295</v>
      </c>
      <c r="X23" s="67"/>
      <c r="Y23" s="67"/>
      <c r="Z23" s="67"/>
      <c r="AA23" s="67"/>
      <c r="AB23" s="67"/>
      <c r="AC23" s="70"/>
    </row>
    <row r="24" spans="1:29" s="4" customFormat="1" ht="25.2">
      <c r="A24" s="69" t="s">
        <v>298</v>
      </c>
      <c r="B24" s="67"/>
      <c r="C24" s="67"/>
      <c r="D24" s="67"/>
      <c r="E24" s="67"/>
      <c r="F24" s="88"/>
      <c r="G24" s="88"/>
      <c r="H24" s="67"/>
      <c r="I24" s="67"/>
      <c r="J24" s="67"/>
      <c r="K24" s="67"/>
      <c r="L24" s="67"/>
      <c r="M24" s="67"/>
      <c r="N24" s="70"/>
      <c r="P24" s="69" t="s">
        <v>298</v>
      </c>
      <c r="Q24" s="67"/>
      <c r="R24" s="67"/>
      <c r="S24" s="67"/>
      <c r="T24" s="67"/>
      <c r="U24" s="88"/>
      <c r="V24" s="88"/>
      <c r="W24" s="67"/>
      <c r="X24" s="67"/>
      <c r="Y24" s="67"/>
      <c r="Z24" s="67"/>
      <c r="AA24" s="67"/>
      <c r="AB24" s="67"/>
      <c r="AC24" s="70"/>
    </row>
    <row r="25" spans="1:29" s="3" customFormat="1" ht="10.199999999999999" customHeight="1">
      <c r="A25" s="69"/>
      <c r="B25" s="67"/>
      <c r="C25" s="67"/>
      <c r="D25" s="67"/>
      <c r="E25" s="67"/>
      <c r="F25" s="88"/>
      <c r="G25" s="88"/>
      <c r="H25" s="67"/>
      <c r="I25" s="67"/>
      <c r="J25" s="67"/>
      <c r="K25" s="67"/>
      <c r="L25" s="67"/>
      <c r="M25" s="67"/>
      <c r="N25" s="70"/>
      <c r="P25" s="69"/>
      <c r="Q25" s="67"/>
      <c r="R25" s="67"/>
      <c r="S25" s="67"/>
      <c r="T25" s="67"/>
      <c r="U25" s="88"/>
      <c r="V25" s="88"/>
      <c r="W25" s="67"/>
      <c r="X25" s="67"/>
      <c r="Y25" s="67"/>
      <c r="Z25" s="67"/>
      <c r="AA25" s="67"/>
      <c r="AB25" s="67"/>
      <c r="AC25" s="70"/>
    </row>
    <row r="26" spans="1:29" s="3" customFormat="1" ht="25.2">
      <c r="A26" s="73" t="s">
        <v>299</v>
      </c>
      <c r="B26" s="67"/>
      <c r="C26" s="67"/>
      <c r="D26" s="67"/>
      <c r="E26" s="67"/>
      <c r="F26" s="88" t="s">
        <v>287</v>
      </c>
      <c r="G26" s="283">
        <f>'Summary PL'!K50</f>
        <v>0.46899999999999997</v>
      </c>
      <c r="H26" s="193" t="s">
        <v>300</v>
      </c>
      <c r="I26" s="94"/>
      <c r="J26" s="94"/>
      <c r="K26" s="94"/>
      <c r="L26" s="67"/>
      <c r="M26" s="67"/>
      <c r="N26" s="70"/>
      <c r="P26" s="73" t="s">
        <v>299</v>
      </c>
      <c r="Q26" s="67"/>
      <c r="R26" s="67"/>
      <c r="S26" s="67"/>
      <c r="T26" s="67"/>
      <c r="U26" s="88" t="s">
        <v>287</v>
      </c>
      <c r="V26" s="283">
        <f>G26</f>
        <v>0.46899999999999997</v>
      </c>
      <c r="W26" s="94" t="s">
        <v>300</v>
      </c>
      <c r="X26" s="94"/>
      <c r="Y26" s="94"/>
      <c r="Z26" s="94"/>
      <c r="AA26" s="67"/>
      <c r="AB26" s="67"/>
      <c r="AC26" s="70"/>
    </row>
    <row r="27" spans="1:29" s="4" customFormat="1" ht="25.2">
      <c r="A27" s="69" t="s">
        <v>301</v>
      </c>
      <c r="B27" s="67"/>
      <c r="C27" s="67"/>
      <c r="D27" s="67"/>
      <c r="E27" s="67"/>
      <c r="F27" s="88"/>
      <c r="G27" s="88"/>
      <c r="H27" s="67"/>
      <c r="I27" s="67"/>
      <c r="J27" s="67"/>
      <c r="K27" s="67"/>
      <c r="L27" s="67"/>
      <c r="M27" s="67"/>
      <c r="N27" s="70"/>
      <c r="P27" s="69" t="s">
        <v>301</v>
      </c>
      <c r="Q27" s="67"/>
      <c r="R27" s="67"/>
      <c r="S27" s="67"/>
      <c r="T27" s="67"/>
      <c r="U27" s="88"/>
      <c r="V27" s="88"/>
      <c r="W27" s="67"/>
      <c r="X27" s="67"/>
      <c r="Y27" s="67"/>
      <c r="Z27" s="67"/>
      <c r="AA27" s="67"/>
      <c r="AB27" s="67"/>
      <c r="AC27" s="70"/>
    </row>
    <row r="28" spans="1:29" s="3" customFormat="1" ht="10.199999999999999" customHeight="1">
      <c r="A28" s="69"/>
      <c r="B28" s="67"/>
      <c r="C28" s="67"/>
      <c r="D28" s="67"/>
      <c r="E28" s="67"/>
      <c r="F28" s="88"/>
      <c r="G28" s="88"/>
      <c r="H28" s="67"/>
      <c r="I28" s="67"/>
      <c r="J28" s="67"/>
      <c r="K28" s="67"/>
      <c r="L28" s="67"/>
      <c r="M28" s="67"/>
      <c r="N28" s="70"/>
      <c r="P28" s="69"/>
      <c r="Q28" s="67"/>
      <c r="R28" s="67"/>
      <c r="S28" s="67"/>
      <c r="T28" s="67"/>
      <c r="U28" s="88"/>
      <c r="V28" s="88"/>
      <c r="W28" s="67"/>
      <c r="X28" s="67"/>
      <c r="Y28" s="67"/>
      <c r="Z28" s="67"/>
      <c r="AA28" s="67"/>
      <c r="AB28" s="67"/>
      <c r="AC28" s="70"/>
    </row>
    <row r="29" spans="1:29" s="169" customFormat="1" ht="42">
      <c r="A29" s="165" t="s">
        <v>302</v>
      </c>
      <c r="B29" s="166"/>
      <c r="C29" s="166"/>
      <c r="D29" s="166"/>
      <c r="E29" s="166"/>
      <c r="F29" s="172" t="s">
        <v>303</v>
      </c>
      <c r="G29" s="456" t="s">
        <v>304</v>
      </c>
      <c r="H29" s="456"/>
      <c r="I29" s="456"/>
      <c r="J29" s="456"/>
      <c r="K29" s="456"/>
      <c r="L29" s="456"/>
      <c r="M29" s="456"/>
      <c r="N29" s="168"/>
      <c r="P29" s="165" t="s">
        <v>302</v>
      </c>
      <c r="Q29" s="166"/>
      <c r="R29" s="166"/>
      <c r="S29" s="166"/>
      <c r="T29" s="166"/>
      <c r="U29" s="172" t="s">
        <v>303</v>
      </c>
      <c r="V29" s="456" t="str">
        <f>G29</f>
        <v xml:space="preserve">Turkestan Oblast, Sairam district, Karamurt rural district, quarter 171, Republic of Kazakhstan </v>
      </c>
      <c r="W29" s="456"/>
      <c r="X29" s="456"/>
      <c r="Y29" s="456"/>
      <c r="Z29" s="456"/>
      <c r="AA29" s="456"/>
      <c r="AB29" s="456"/>
      <c r="AC29" s="458"/>
    </row>
    <row r="30" spans="1:29" s="171" customFormat="1" ht="25.8" thickBot="1">
      <c r="A30" s="165" t="s">
        <v>305</v>
      </c>
      <c r="B30" s="166"/>
      <c r="C30" s="166"/>
      <c r="D30" s="166"/>
      <c r="E30" s="166"/>
      <c r="F30" s="167"/>
      <c r="G30" s="457"/>
      <c r="H30" s="457"/>
      <c r="I30" s="457"/>
      <c r="J30" s="457"/>
      <c r="K30" s="457"/>
      <c r="L30" s="457"/>
      <c r="M30" s="457"/>
      <c r="N30" s="168"/>
      <c r="P30" s="165" t="s">
        <v>305</v>
      </c>
      <c r="Q30" s="166"/>
      <c r="R30" s="166"/>
      <c r="S30" s="166"/>
      <c r="T30" s="166"/>
      <c r="U30" s="167"/>
      <c r="V30" s="167"/>
      <c r="W30" s="166"/>
      <c r="X30" s="166"/>
      <c r="Y30" s="166"/>
      <c r="Z30" s="166"/>
      <c r="AA30" s="166"/>
      <c r="AB30" s="166"/>
      <c r="AC30" s="168"/>
    </row>
    <row r="31" spans="1:29">
      <c r="A31" s="63"/>
      <c r="B31" s="64"/>
      <c r="C31" s="64"/>
      <c r="D31" s="64"/>
      <c r="E31" s="453" t="s">
        <v>306</v>
      </c>
      <c r="F31" s="454"/>
      <c r="G31" s="454"/>
      <c r="H31" s="454"/>
      <c r="I31" s="454"/>
      <c r="J31" s="454"/>
      <c r="K31" s="454"/>
      <c r="L31" s="65"/>
      <c r="M31" s="65"/>
      <c r="N31" s="66"/>
      <c r="P31" s="63"/>
      <c r="Q31" s="64"/>
      <c r="R31" s="64"/>
      <c r="S31" s="64"/>
      <c r="T31" s="453" t="s">
        <v>306</v>
      </c>
      <c r="U31" s="454"/>
      <c r="V31" s="454"/>
      <c r="W31" s="454"/>
      <c r="X31" s="454"/>
      <c r="Y31" s="454"/>
      <c r="Z31" s="454"/>
      <c r="AA31" s="65"/>
      <c r="AB31" s="65"/>
      <c r="AC31" s="66"/>
    </row>
    <row r="32" spans="1:29" ht="25.5" customHeight="1" thickBot="1">
      <c r="A32" s="74"/>
      <c r="B32" s="75"/>
      <c r="C32" s="75"/>
      <c r="D32" s="75"/>
      <c r="E32" s="455"/>
      <c r="F32" s="455"/>
      <c r="G32" s="455"/>
      <c r="H32" s="455"/>
      <c r="I32" s="455"/>
      <c r="J32" s="455"/>
      <c r="K32" s="455"/>
      <c r="L32" s="76"/>
      <c r="M32" s="76"/>
      <c r="N32" s="77"/>
      <c r="P32" s="74"/>
      <c r="Q32" s="75"/>
      <c r="R32" s="75"/>
      <c r="S32" s="75"/>
      <c r="T32" s="455"/>
      <c r="U32" s="455"/>
      <c r="V32" s="455"/>
      <c r="W32" s="455"/>
      <c r="X32" s="455"/>
      <c r="Y32" s="455"/>
      <c r="Z32" s="455"/>
      <c r="AA32" s="76"/>
      <c r="AB32" s="76"/>
      <c r="AC32" s="77"/>
    </row>
  </sheetData>
  <mergeCells count="6">
    <mergeCell ref="A1:N1"/>
    <mergeCell ref="P1:AC1"/>
    <mergeCell ref="G29:M30"/>
    <mergeCell ref="V29:AC29"/>
    <mergeCell ref="E31:K32"/>
    <mergeCell ref="T31:Z32"/>
  </mergeCells>
  <phoneticPr fontId="4" type="noConversion"/>
  <pageMargins left="0.51181102362204722" right="0.31496062992125984" top="0.74803149606299213" bottom="0.74803149606299213" header="0.31496062992125984" footer="0.31496062992125984"/>
  <pageSetup paperSize="9" scale="65" orientation="portrait" r:id="rId1"/>
  <colBreaks count="1" manualBreakCount="1">
    <brk id="14" max="1048575" man="1"/>
  </col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fafe03ea-8b69-4947-9101-36aab1225da6">
      <Terms xmlns="http://schemas.microsoft.com/office/infopath/2007/PartnerControls"/>
    </lcf76f155ced4ddcb4097134ff3c332f>
    <TaxCatchAll xmlns="0fd7f0fd-4562-4143-a7f1-276269a5d384" xsi:nil="true"/>
    <User xmlns="fafe03ea-8b69-4947-9101-36aab1225da6">
      <UserInfo>
        <DisplayName/>
        <AccountId xsi:nil="true"/>
        <AccountType/>
      </UserInfo>
    </User>
    <Description xmlns="fafe03ea-8b69-4947-9101-36aab1225da6" xsi:nil="true"/>
  </documentManagement>
</p:properties>
</file>

<file path=customXml/item3.xml><?xml version="1.0" encoding="utf-8"?>
<ct:contentTypeSchema xmlns:ct="http://schemas.microsoft.com/office/2006/metadata/contentType" xmlns:ma="http://schemas.microsoft.com/office/2006/metadata/properties/metaAttributes" ct:_="" ma:_="" ma:contentTypeName="문서" ma:contentTypeID="0x010100CDD28EF1209DEC48A970DDDB93544B7D" ma:contentTypeVersion="17" ma:contentTypeDescription="새 문서를 만듭니다." ma:contentTypeScope="" ma:versionID="74046605fe204a0752e4bfa5bc1570bb">
  <xsd:schema xmlns:xsd="http://www.w3.org/2001/XMLSchema" xmlns:xs="http://www.w3.org/2001/XMLSchema" xmlns:p="http://schemas.microsoft.com/office/2006/metadata/properties" xmlns:ns2="fafe03ea-8b69-4947-9101-36aab1225da6" xmlns:ns3="0fd7f0fd-4562-4143-a7f1-276269a5d384" targetNamespace="http://schemas.microsoft.com/office/2006/metadata/properties" ma:root="true" ma:fieldsID="af3551d98b6fc785585459350e49d0b4" ns2:_="" ns3:_="">
    <xsd:import namespace="fafe03ea-8b69-4947-9101-36aab1225da6"/>
    <xsd:import namespace="0fd7f0fd-4562-4143-a7f1-276269a5d384"/>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MediaServiceSearchProperties" minOccurs="0"/>
                <xsd:element ref="ns2:lcf76f155ced4ddcb4097134ff3c332f" minOccurs="0"/>
                <xsd:element ref="ns3:TaxCatchAll" minOccurs="0"/>
                <xsd:element ref="ns2:MediaServiceDateTaken" minOccurs="0"/>
                <xsd:element ref="ns2:MediaServiceGenerationTime" minOccurs="0"/>
                <xsd:element ref="ns2:MediaServiceEventHashCode" minOccurs="0"/>
                <xsd:element ref="ns2:MediaServiceOCR" minOccurs="0"/>
                <xsd:element ref="ns2:MediaLengthInSeconds" minOccurs="0"/>
                <xsd:element ref="ns2:MediaServiceLocation" minOccurs="0"/>
                <xsd:element ref="ns2:User" minOccurs="0"/>
                <xsd:element ref="ns2:Descrip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fe03ea-8b69-4947-9101-36aab1225da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3" nillable="true" ma:displayName="MediaServiceSearchProperties" ma:hidden="true" ma:internalName="MediaServiceSearchProperties" ma:readOnly="true">
      <xsd:simpleType>
        <xsd:restriction base="dms:Note"/>
      </xsd:simpleType>
    </xsd:element>
    <xsd:element name="lcf76f155ced4ddcb4097134ff3c332f" ma:index="15" nillable="true" ma:taxonomy="true" ma:internalName="lcf76f155ced4ddcb4097134ff3c332f" ma:taxonomyFieldName="MediaServiceImageTags" ma:displayName="이미지 태그" ma:readOnly="false" ma:fieldId="{5cf76f15-5ced-4ddc-b409-7134ff3c332f}" ma:taxonomyMulti="true" ma:sspId="c8a7d0b2-06ec-47a5-9bd5-a2ea2905d2be"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User" ma:index="23" nillable="true" ma:displayName="User" ma:format="Dropdown" ma:list="UserInfo" ma:SharePointGroup="0" ma:internalName="User">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Description" ma:index="24" nillable="true" ma:displayName="Description" ma:format="Dropdown" ma:internalName="Description">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fd7f0fd-4562-4143-a7f1-276269a5d384" elementFormDefault="qualified">
    <xsd:import namespace="http://schemas.microsoft.com/office/2006/documentManagement/types"/>
    <xsd:import namespace="http://schemas.microsoft.com/office/infopath/2007/PartnerControls"/>
    <xsd:element name="SharedWithUsers" ma:index="11" nillable="true" ma:displayName="공유 대상"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세부 정보 공유" ma:internalName="SharedWithDetails" ma:readOnly="true">
      <xsd:simpleType>
        <xsd:restriction base="dms:Note">
          <xsd:maxLength value="255"/>
        </xsd:restriction>
      </xsd:simpleType>
    </xsd:element>
    <xsd:element name="TaxCatchAll" ma:index="16" nillable="true" ma:displayName="Taxonomy Catch All Column" ma:hidden="true" ma:list="{e98e606e-d84f-4495-a3cd-5e3f37618732}" ma:internalName="TaxCatchAll" ma:showField="CatchAllData" ma:web="0fd7f0fd-4562-4143-a7f1-276269a5d38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콘텐츠 형식"/>
        <xsd:element ref="dc:title" minOccurs="0" maxOccurs="1" ma:index="4" ma:displayName="제목"/>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E322461D-902A-416E-9DA2-3663A258DF19}">
  <ds:schemaRefs>
    <ds:schemaRef ds:uri="http://schemas.microsoft.com/sharepoint/v3/contenttype/forms"/>
  </ds:schemaRefs>
</ds:datastoreItem>
</file>

<file path=customXml/itemProps2.xml><?xml version="1.0" encoding="utf-8"?>
<ds:datastoreItem xmlns:ds="http://schemas.openxmlformats.org/officeDocument/2006/customXml" ds:itemID="{55B4D1C2-B3EB-4841-99C1-DE89D6CFBB09}">
  <ds:schemaRefs>
    <ds:schemaRef ds:uri="http://purl.org/dc/terms/"/>
    <ds:schemaRef ds:uri="0fd7f0fd-4562-4143-a7f1-276269a5d384"/>
    <ds:schemaRef ds:uri="http://www.w3.org/XML/1998/namespace"/>
    <ds:schemaRef ds:uri="http://purl.org/dc/elements/1.1/"/>
    <ds:schemaRef ds:uri="http://purl.org/dc/dcmitype/"/>
    <ds:schemaRef ds:uri="fafe03ea-8b69-4947-9101-36aab1225da6"/>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s>
</ds:datastoreItem>
</file>

<file path=customXml/itemProps3.xml><?xml version="1.0" encoding="utf-8"?>
<ds:datastoreItem xmlns:ds="http://schemas.openxmlformats.org/officeDocument/2006/customXml" ds:itemID="{9EFD8107-E88C-4064-9FF3-38555874CF0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afe03ea-8b69-4947-9101-36aab1225da6"/>
    <ds:schemaRef ds:uri="0fd7f0fd-4562-4143-a7f1-276269a5d38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55c3c93c-4c7c-4709-9e9e-2b12e2d560ab}" enabled="1" method="Privileged" siteId="{9d1b3610-9ab0-42d5-93aa-46150d723d87}"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42</vt:i4>
      </vt:variant>
      <vt:variant>
        <vt:lpstr>이름 지정된 범위</vt:lpstr>
      </vt:variant>
      <vt:variant>
        <vt:i4>32</vt:i4>
      </vt:variant>
    </vt:vector>
  </HeadingPairs>
  <TitlesOfParts>
    <vt:vector size="74" baseType="lpstr">
      <vt:lpstr>CI</vt:lpstr>
      <vt:lpstr>CI_BD</vt:lpstr>
      <vt:lpstr>PL</vt:lpstr>
      <vt:lpstr>Summary PL</vt:lpstr>
      <vt:lpstr>Detail PL</vt:lpstr>
      <vt:lpstr>PGU-DE-0311-DCS-INS-001</vt:lpstr>
      <vt:lpstr>PGU-DE-0311-DCS-INS-002</vt:lpstr>
      <vt:lpstr>PGU-DE-0311-DCS-INS-003</vt:lpstr>
      <vt:lpstr>PGU-DE-0311-DCS-INS-004</vt:lpstr>
      <vt:lpstr>PGU-DE-0311-DCS-INS-005</vt:lpstr>
      <vt:lpstr>PGU-DE-0311-DCS-INS-006</vt:lpstr>
      <vt:lpstr>PGU-DE-0311-DCS-INS-007</vt:lpstr>
      <vt:lpstr>PGU-DE-0311-DCS-INS-008</vt:lpstr>
      <vt:lpstr>PGU-DE-0311-DCS-INS-009</vt:lpstr>
      <vt:lpstr>PGU-DE-0311-DCS-INS-010</vt:lpstr>
      <vt:lpstr>PGU-DE-0311-DCS-INS-011</vt:lpstr>
      <vt:lpstr>PGU-DE-0311-DCS-INS-012</vt:lpstr>
      <vt:lpstr>PGU-DE-0311-INS-Cable-013</vt:lpstr>
      <vt:lpstr>PGU-DE-0311-DCS-INS-014</vt:lpstr>
      <vt:lpstr>PGU-DE-0311-DCS-INS-015</vt:lpstr>
      <vt:lpstr>PGU-DE-0311-DCS-INS-016</vt:lpstr>
      <vt:lpstr>PGU-DE-0311-DCS-INS-017</vt:lpstr>
      <vt:lpstr>PGU-DE-0311-DCS-INS-018</vt:lpstr>
      <vt:lpstr>PGU-DE-0311-DCS-INS-019</vt:lpstr>
      <vt:lpstr>PGU-DE-0311-DCS-INS-020</vt:lpstr>
      <vt:lpstr>PGU-DE-0311-DCS-INS-021</vt:lpstr>
      <vt:lpstr>PGU-DE-0311-DCS-INS-022</vt:lpstr>
      <vt:lpstr>PGU-DE-0311-DCS-INS-023</vt:lpstr>
      <vt:lpstr>PGU-DE-0311-DCS-INS-024</vt:lpstr>
      <vt:lpstr>PGU-DE-0311-DCS-INS-025</vt:lpstr>
      <vt:lpstr>PGU-DE-0311-DCS-INS-026</vt:lpstr>
      <vt:lpstr>PGU-DE-0311-DCS-INS-027</vt:lpstr>
      <vt:lpstr>PGU-DE-0311-DCS-INS-028</vt:lpstr>
      <vt:lpstr>PGU-DE-0311-DCS-INS-029</vt:lpstr>
      <vt:lpstr>PGU-DE-0311-DCS-INS-030</vt:lpstr>
      <vt:lpstr>PGU-DE-0311-DCS-INS-031</vt:lpstr>
      <vt:lpstr>PGU-DE-0311-DCS-INS-032</vt:lpstr>
      <vt:lpstr>PGU-DE-0311-DCS-INS-033</vt:lpstr>
      <vt:lpstr>PGU-DE-0311-DCS-INS-034</vt:lpstr>
      <vt:lpstr>PGU-DE-0311-DCS-INS-035</vt:lpstr>
      <vt:lpstr>PGU-DE-0311-DCS-INS-036</vt:lpstr>
      <vt:lpstr>PGU-DE-0311-DCS-INS-037</vt:lpstr>
      <vt:lpstr>CI!Print_Area</vt:lpstr>
      <vt:lpstr>CI_BD!Print_Area</vt:lpstr>
      <vt:lpstr>'Detail PL'!Print_Area</vt:lpstr>
      <vt:lpstr>'PGU-DE-0311-DCS-INS-001'!Print_Area</vt:lpstr>
      <vt:lpstr>'PGU-DE-0311-DCS-INS-002'!Print_Area</vt:lpstr>
      <vt:lpstr>'PGU-DE-0311-DCS-INS-003'!Print_Area</vt:lpstr>
      <vt:lpstr>'PGU-DE-0311-DCS-INS-004'!Print_Area</vt:lpstr>
      <vt:lpstr>'PGU-DE-0311-DCS-INS-005'!Print_Area</vt:lpstr>
      <vt:lpstr>'PGU-DE-0311-DCS-INS-006'!Print_Area</vt:lpstr>
      <vt:lpstr>'PGU-DE-0311-DCS-INS-007'!Print_Area</vt:lpstr>
      <vt:lpstr>'PGU-DE-0311-DCS-INS-008'!Print_Area</vt:lpstr>
      <vt:lpstr>'PGU-DE-0311-DCS-INS-009'!Print_Area</vt:lpstr>
      <vt:lpstr>'PGU-DE-0311-DCS-INS-010'!Print_Area</vt:lpstr>
      <vt:lpstr>'PGU-DE-0311-DCS-INS-011'!Print_Area</vt:lpstr>
      <vt:lpstr>'PGU-DE-0311-DCS-INS-012'!Print_Area</vt:lpstr>
      <vt:lpstr>'PGU-DE-0311-DCS-INS-014'!Print_Area</vt:lpstr>
      <vt:lpstr>'PGU-DE-0311-DCS-INS-015'!Print_Area</vt:lpstr>
      <vt:lpstr>'PGU-DE-0311-DCS-INS-016'!Print_Area</vt:lpstr>
      <vt:lpstr>'PGU-DE-0311-DCS-INS-017'!Print_Area</vt:lpstr>
      <vt:lpstr>'PGU-DE-0311-DCS-INS-018'!Print_Area</vt:lpstr>
      <vt:lpstr>'PGU-DE-0311-DCS-INS-019'!Print_Area</vt:lpstr>
      <vt:lpstr>'PGU-DE-0311-DCS-INS-020'!Print_Area</vt:lpstr>
      <vt:lpstr>'PGU-DE-0311-DCS-INS-021'!Print_Area</vt:lpstr>
      <vt:lpstr>'PGU-DE-0311-DCS-INS-022'!Print_Area</vt:lpstr>
      <vt:lpstr>'PGU-DE-0311-DCS-INS-023'!Print_Area</vt:lpstr>
      <vt:lpstr>'PGU-DE-0311-DCS-INS-024'!Print_Area</vt:lpstr>
      <vt:lpstr>'PGU-DE-0311-DCS-INS-025'!Print_Area</vt:lpstr>
      <vt:lpstr>'PGU-DE-0311-DCS-INS-026'!Print_Area</vt:lpstr>
      <vt:lpstr>'PGU-DE-0311-INS-Cable-013'!Print_Area</vt:lpstr>
      <vt:lpstr>PL!Print_Area</vt:lpstr>
      <vt:lpstr>'Summary PL'!Print_Area</vt:lpstr>
      <vt:lpstr>'Detail PL'!Print_Titles</vt:lpstr>
    </vt:vector>
  </TitlesOfParts>
  <Manager/>
  <Company>DHI</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PL008564</dc:creator>
  <cp:keywords/>
  <dc:description/>
  <cp:lastModifiedBy>우재상(Jaesang Woo) 수석 두산에너빌리티</cp:lastModifiedBy>
  <cp:revision/>
  <dcterms:created xsi:type="dcterms:W3CDTF">2016-03-15T11:01:58Z</dcterms:created>
  <dcterms:modified xsi:type="dcterms:W3CDTF">2026-06-26T06:40:21Z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0x010100CDD28EF1209DEC48A970DDDB93544B7D</vt:lpwstr>
  </property>
  <property fmtid="{D5CDD505-2E9C-101B-9397-08002B2CF9AE}" pid="3" name="MediaServiceImageTags">
    <vt:lpwstr/>
  </property>
  <property fmtid="{D5CDD505-2E9C-101B-9397-08002B2CF9AE}" pid="4" name="MSIP_Label_36791f77-3d39-4d72-9277-ac879ec799ed_Enabled">
    <vt:lpwstr>true</vt:lpwstr>
  </property>
  <property fmtid="{D5CDD505-2E9C-101B-9397-08002B2CF9AE}" pid="5" name="MSIP_Label_36791f77-3d39-4d72-9277-ac879ec799ed_SetDate">
    <vt:lpwstr>2025-02-06T08:25:54Z</vt:lpwstr>
  </property>
  <property fmtid="{D5CDD505-2E9C-101B-9397-08002B2CF9AE}" pid="6" name="MSIP_Label_36791f77-3d39-4d72-9277-ac879ec799ed_Method">
    <vt:lpwstr>Standard</vt:lpwstr>
  </property>
  <property fmtid="{D5CDD505-2E9C-101B-9397-08002B2CF9AE}" pid="7" name="MSIP_Label_36791f77-3d39-4d72-9277-ac879ec799ed_Name">
    <vt:lpwstr>restricted-default</vt:lpwstr>
  </property>
  <property fmtid="{D5CDD505-2E9C-101B-9397-08002B2CF9AE}" pid="8" name="MSIP_Label_36791f77-3d39-4d72-9277-ac879ec799ed_SiteId">
    <vt:lpwstr>254ba93e-1f6f-48f3-90e6-e2766664b477</vt:lpwstr>
  </property>
  <property fmtid="{D5CDD505-2E9C-101B-9397-08002B2CF9AE}" pid="9" name="MSIP_Label_36791f77-3d39-4d72-9277-ac879ec799ed_ActionId">
    <vt:lpwstr>37783edc-388c-4ebc-8595-e4ce0c688b3b</vt:lpwstr>
  </property>
  <property fmtid="{D5CDD505-2E9C-101B-9397-08002B2CF9AE}" pid="10" name="MSIP_Label_36791f77-3d39-4d72-9277-ac879ec799ed_ContentBits">
    <vt:lpwstr>0</vt:lpwstr>
  </property>
</Properties>
</file>